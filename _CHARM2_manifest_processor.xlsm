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D:\MounSinai\Darpa\Programming\CHARM2_Manifest_Processor\"/>
    </mc:Choice>
  </mc:AlternateContent>
  <xr:revisionPtr revIDLastSave="0" documentId="13_ncr:1_{5932DFB0-A73D-44D0-B3C3-F632DA97D032}" xr6:coauthVersionLast="46" xr6:coauthVersionMax="46" xr10:uidLastSave="{00000000-0000-0000-0000-000000000000}"/>
  <bookViews>
    <workbookView xWindow="-120" yWindow="-120" windowWidth="29040" windowHeight="15840" activeTab="3" xr2:uid="{00000000-000D-0000-FFFF-FFFF00000000}"/>
  </bookViews>
  <sheets>
    <sheet name="shipment" sheetId="1" r:id="rId1"/>
    <sheet name="lab_stats" sheetId="9" r:id="rId2"/>
    <sheet name="study_demographic" sheetId="8" r:id="rId3"/>
    <sheet name="config" sheetId="3" r:id="rId4"/>
    <sheet name="manifest" sheetId="2" r:id="rId5"/>
    <sheet name="metadata" sheetId="5" r:id="rId6"/>
    <sheet name="logs" sheetId="7" r:id="rId7"/>
    <sheet name="dictionary" sheetId="6" r:id="rId8"/>
    <sheet name="Manifest MDB data" sheetId="4" r:id="rId9"/>
  </sheets>
  <functionGroups builtInGroupCount="19"/>
  <definedNames>
    <definedName name="_xlnm._FilterDatabase" localSheetId="4" hidden="1">manifest!$A$1:$S$1</definedName>
    <definedName name="Query_from_10.160.20.65_SSQL_2016" localSheetId="8" hidden="1">'Manifest MDB data'!$A$1:$R$616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48" i="9" l="1"/>
  <c r="N23" i="9"/>
  <c r="E619" i="2"/>
  <c r="A781" i="5"/>
  <c r="E519" i="2"/>
  <c r="E213" i="2"/>
  <c r="E21" i="2"/>
  <c r="E466" i="2"/>
  <c r="E643" i="2"/>
  <c r="E579" i="2"/>
  <c r="E24" i="2"/>
  <c r="E838" i="2"/>
  <c r="E509" i="2"/>
  <c r="E884" i="2"/>
  <c r="E802" i="2"/>
  <c r="A741" i="5"/>
  <c r="E905" i="2"/>
  <c r="E747" i="2"/>
  <c r="E580" i="2"/>
  <c r="E954" i="2"/>
  <c r="E413" i="2"/>
  <c r="E15" i="2"/>
  <c r="E966" i="2"/>
  <c r="E749" i="2"/>
  <c r="E484" i="2"/>
  <c r="E283" i="2"/>
  <c r="E125" i="2"/>
  <c r="A728" i="5"/>
  <c r="E281" i="2"/>
  <c r="E990" i="2"/>
  <c r="E725" i="2"/>
  <c r="E460" i="2"/>
  <c r="E835" i="2"/>
  <c r="E783" i="2"/>
  <c r="A858" i="5"/>
  <c r="E79" i="2"/>
  <c r="A782" i="5"/>
  <c r="A931" i="5"/>
  <c r="A788" i="5"/>
  <c r="E227" i="2"/>
  <c r="A408" i="5"/>
  <c r="A793" i="5"/>
  <c r="E656" i="2"/>
  <c r="A622" i="5"/>
  <c r="E200" i="2"/>
  <c r="E232" i="2"/>
  <c r="E31" i="2"/>
  <c r="E105" i="2"/>
  <c r="E480" i="2"/>
  <c r="E842" i="2"/>
  <c r="E251" i="2"/>
  <c r="E921" i="2"/>
  <c r="A860" i="5"/>
  <c r="A549" i="5"/>
  <c r="E144" i="2"/>
  <c r="A628" i="5"/>
  <c r="E639" i="2"/>
  <c r="E671" i="2"/>
  <c r="E745" i="2"/>
  <c r="E544" i="2"/>
  <c r="E919" i="2"/>
  <c r="E985" i="2"/>
  <c r="A854" i="5"/>
  <c r="E345" i="2"/>
  <c r="A929" i="5"/>
  <c r="A710" i="5"/>
  <c r="A38" i="5"/>
  <c r="A141" i="5"/>
  <c r="A286" i="5"/>
  <c r="E112" i="2"/>
  <c r="E435" i="2"/>
  <c r="E40" i="2"/>
  <c r="A216" i="5"/>
  <c r="A903" i="5"/>
  <c r="A453" i="5"/>
  <c r="A87" i="5"/>
  <c r="E669" i="2"/>
  <c r="A187" i="5"/>
  <c r="A507" i="5"/>
  <c r="E632" i="2"/>
  <c r="A978" i="5"/>
  <c r="A578" i="5"/>
  <c r="E155" i="2"/>
  <c r="E169" i="2"/>
  <c r="E908" i="2"/>
  <c r="E268" i="2"/>
  <c r="E951" i="2"/>
  <c r="E427" i="2"/>
  <c r="A938" i="5"/>
  <c r="A713" i="5"/>
  <c r="E759" i="2"/>
  <c r="A231" i="5"/>
  <c r="A222" i="5"/>
  <c r="A523" i="5"/>
  <c r="E551" i="2"/>
  <c r="E57" i="2"/>
  <c r="E523" i="2"/>
  <c r="E91" i="2"/>
  <c r="A761" i="5"/>
  <c r="A412" i="5"/>
  <c r="E851" i="2"/>
  <c r="A673" i="5"/>
  <c r="E538" i="2"/>
  <c r="E165" i="2"/>
  <c r="A334" i="5"/>
  <c r="E714" i="2"/>
  <c r="A170" i="5"/>
  <c r="A890" i="5"/>
  <c r="A323" i="5"/>
  <c r="E991" i="2"/>
  <c r="E939" i="2"/>
  <c r="E343" i="2"/>
  <c r="A783" i="5"/>
  <c r="A711" i="5"/>
  <c r="E342" i="2"/>
  <c r="A954" i="5"/>
  <c r="E331" i="2"/>
  <c r="E194" i="2"/>
  <c r="A684" i="5"/>
  <c r="E294" i="2"/>
  <c r="A575" i="5"/>
  <c r="A151" i="5"/>
  <c r="A928" i="5"/>
  <c r="E794" i="2"/>
  <c r="A478" i="5"/>
  <c r="E665" i="2"/>
  <c r="E48" i="2"/>
  <c r="E445" i="2"/>
  <c r="A641" i="5"/>
  <c r="E647" i="2"/>
  <c r="A135" i="5"/>
  <c r="E63" i="2"/>
  <c r="E95" i="2"/>
  <c r="E479" i="2"/>
  <c r="E997" i="2"/>
  <c r="E864" i="2"/>
  <c r="E736" i="2"/>
  <c r="E363" i="2"/>
  <c r="E890" i="2"/>
  <c r="E976" i="2"/>
  <c r="E469" i="2"/>
  <c r="E869" i="2"/>
  <c r="E844" i="2"/>
  <c r="E229" i="2"/>
  <c r="E704" i="2"/>
  <c r="A467" i="5"/>
  <c r="E198" i="2"/>
  <c r="E172" i="2"/>
  <c r="E234" i="2"/>
  <c r="E176" i="2"/>
  <c r="E926" i="2"/>
  <c r="E661" i="2"/>
  <c r="E953" i="2"/>
  <c r="E153" i="2"/>
  <c r="A719" i="5"/>
  <c r="E840" i="2"/>
  <c r="E808" i="2"/>
  <c r="E607" i="2"/>
  <c r="E681" i="2"/>
  <c r="E41" i="2"/>
  <c r="E418" i="2"/>
  <c r="E397" i="2"/>
  <c r="E330" i="2"/>
  <c r="E610" i="2"/>
  <c r="A448" i="5"/>
  <c r="A529" i="5"/>
  <c r="A393" i="5"/>
  <c r="A337" i="5"/>
  <c r="E825" i="2"/>
  <c r="E776" i="2"/>
  <c r="A766" i="5"/>
  <c r="E539" i="2"/>
  <c r="E974" i="2"/>
  <c r="E645" i="2"/>
  <c r="E444" i="2"/>
  <c r="E819" i="2"/>
  <c r="E885" i="2"/>
  <c r="A272" i="5"/>
  <c r="E465" i="2"/>
  <c r="A415" i="5"/>
  <c r="E761" i="2"/>
  <c r="E264" i="2"/>
  <c r="A661" i="5"/>
  <c r="E114" i="2"/>
  <c r="E398" i="2"/>
  <c r="E69" i="2"/>
  <c r="E883" i="2"/>
  <c r="E243" i="2"/>
  <c r="E529" i="2"/>
  <c r="A802" i="5"/>
  <c r="E904" i="2"/>
  <c r="A527" i="5"/>
  <c r="A539" i="5"/>
  <c r="E438" i="2"/>
  <c r="A801" i="5"/>
  <c r="E795" i="2"/>
  <c r="E737" i="2"/>
  <c r="E697" i="2"/>
  <c r="E767" i="2"/>
  <c r="E441" i="2"/>
  <c r="E377" i="2"/>
  <c r="E773" i="2"/>
  <c r="E782" i="2"/>
  <c r="A887" i="5"/>
  <c r="E124" i="2"/>
  <c r="E60" i="2"/>
  <c r="E830" i="2"/>
  <c r="E721" i="2"/>
  <c r="E520" i="2"/>
  <c r="E351" i="2"/>
  <c r="E321" i="2"/>
  <c r="E726" i="2"/>
  <c r="E696" i="2"/>
  <c r="E202" i="2"/>
  <c r="E300" i="2"/>
  <c r="E186" i="2"/>
  <c r="A605" i="5"/>
  <c r="E977" i="2"/>
  <c r="E945" i="2"/>
  <c r="E744" i="2"/>
  <c r="E543" i="2"/>
  <c r="E889" i="2"/>
  <c r="E273" i="2"/>
  <c r="A572" i="5"/>
  <c r="E100" i="2"/>
  <c r="E535" i="2"/>
  <c r="E334" i="2"/>
  <c r="E5" i="2"/>
  <c r="E380" i="2"/>
  <c r="E510" i="2"/>
  <c r="A557" i="5"/>
  <c r="E821" i="2"/>
  <c r="A260" i="5"/>
  <c r="A838" i="5"/>
  <c r="E894" i="2"/>
  <c r="A777" i="5"/>
  <c r="E456" i="2"/>
  <c r="E103" i="2"/>
  <c r="E676" i="2"/>
  <c r="E917" i="2"/>
  <c r="E853" i="2"/>
  <c r="E578" i="2"/>
  <c r="E97" i="2"/>
  <c r="E911" i="2"/>
  <c r="E271" i="2"/>
  <c r="E429" i="2"/>
  <c r="E458" i="2"/>
  <c r="E804" i="2"/>
  <c r="A472" i="5"/>
  <c r="E606" i="2"/>
  <c r="E164" i="2"/>
  <c r="E341" i="2"/>
  <c r="E277" i="2"/>
  <c r="E801" i="2"/>
  <c r="E536" i="2"/>
  <c r="E335" i="2"/>
  <c r="E646" i="2"/>
  <c r="E868" i="2"/>
  <c r="A556" i="5"/>
  <c r="E228" i="2"/>
  <c r="A745" i="5"/>
  <c r="A91" i="5"/>
  <c r="E549" i="2"/>
  <c r="A690" i="5"/>
  <c r="E604" i="2"/>
  <c r="E685" i="2"/>
  <c r="E168" i="2"/>
  <c r="E158" i="2"/>
  <c r="E405" i="2"/>
  <c r="E521" i="2"/>
  <c r="E739" i="2"/>
  <c r="A759" i="5"/>
  <c r="A878" i="5"/>
  <c r="E448" i="2"/>
  <c r="A642" i="5"/>
  <c r="A447" i="5"/>
  <c r="A919" i="5"/>
  <c r="E314" i="2"/>
  <c r="E204" i="2"/>
  <c r="E621" i="2"/>
  <c r="E244" i="2"/>
  <c r="E555" i="2"/>
  <c r="A525" i="5"/>
  <c r="E861" i="2"/>
  <c r="A482" i="5"/>
  <c r="E470" i="2"/>
  <c r="E267" i="2"/>
  <c r="A138" i="5"/>
  <c r="A979" i="5"/>
  <c r="E637" i="2"/>
  <c r="E109" i="2"/>
  <c r="E408" i="2"/>
  <c r="E973" i="2"/>
  <c r="E611" i="2"/>
  <c r="A953" i="5"/>
  <c r="A283" i="5"/>
  <c r="A602" i="5"/>
  <c r="E318" i="2"/>
  <c r="A540" i="5"/>
  <c r="E434" i="2"/>
  <c r="A315" i="5"/>
  <c r="A473" i="5"/>
  <c r="A43" i="5"/>
  <c r="A316" i="5"/>
  <c r="A136" i="5"/>
  <c r="E558" i="2"/>
  <c r="E910" i="2"/>
  <c r="E552" i="2"/>
  <c r="E863" i="2"/>
  <c r="E28" i="2"/>
  <c r="E712" i="2"/>
  <c r="A404" i="5"/>
  <c r="A218" i="5"/>
  <c r="E174" i="2"/>
  <c r="A468" i="5"/>
  <c r="A387" i="5"/>
  <c r="A992" i="5"/>
  <c r="A764" i="5"/>
  <c r="A867" i="5"/>
  <c r="A717" i="5"/>
  <c r="A898" i="5"/>
  <c r="A288" i="5"/>
  <c r="E25" i="2"/>
  <c r="A958" i="5"/>
  <c r="E94" i="2"/>
  <c r="E667" i="2"/>
  <c r="E780" i="2"/>
  <c r="E716" i="2"/>
  <c r="E161" i="2"/>
  <c r="E658" i="2"/>
  <c r="E925" i="2"/>
  <c r="E591" i="2"/>
  <c r="E527" i="2"/>
  <c r="E374" i="2"/>
  <c r="E45" i="2"/>
  <c r="E859" i="2"/>
  <c r="E78" i="2"/>
  <c r="E660" i="2"/>
  <c r="E389" i="2"/>
  <c r="E20" i="2"/>
  <c r="E340" i="2"/>
  <c r="E505" i="2"/>
  <c r="E126" i="2"/>
  <c r="E891" i="2"/>
  <c r="E301" i="2"/>
  <c r="E672" i="2"/>
  <c r="E471" i="2"/>
  <c r="E206" i="2"/>
  <c r="E615" i="2"/>
  <c r="E173" i="2"/>
  <c r="E542" i="2"/>
  <c r="E478" i="2"/>
  <c r="E410" i="2"/>
  <c r="E673" i="2"/>
  <c r="E472" i="2"/>
  <c r="E847" i="2"/>
  <c r="E6" i="2"/>
  <c r="E867" i="2"/>
  <c r="E365" i="2"/>
  <c r="E642" i="2"/>
  <c r="A184" i="5"/>
  <c r="E183" i="2"/>
  <c r="A405" i="5"/>
  <c r="E238" i="2"/>
  <c r="E497" i="2"/>
  <c r="E64" i="2"/>
  <c r="E799" i="2"/>
  <c r="E735" i="2"/>
  <c r="E701" i="2"/>
  <c r="E436" i="2"/>
  <c r="E235" i="2"/>
  <c r="E871" i="2"/>
  <c r="E256" i="2"/>
  <c r="E231" i="2"/>
  <c r="E631" i="2"/>
  <c r="E694" i="2"/>
  <c r="E1000" i="2"/>
  <c r="E567" i="2"/>
  <c r="E223" i="2"/>
  <c r="E159" i="2"/>
  <c r="E61" i="2"/>
  <c r="E875" i="2"/>
  <c r="E594" i="2"/>
  <c r="E295" i="2"/>
  <c r="E695" i="2"/>
  <c r="E670" i="2"/>
  <c r="E22" i="2"/>
  <c r="E356" i="2"/>
  <c r="A925" i="5"/>
  <c r="E367" i="2"/>
  <c r="A725" i="5"/>
  <c r="E614" i="2"/>
  <c r="E916" i="2"/>
  <c r="E399" i="2"/>
  <c r="E654" i="2"/>
  <c r="E965" i="2"/>
  <c r="E93" i="2"/>
  <c r="E887" i="2"/>
  <c r="E781" i="2"/>
  <c r="A780" i="5"/>
  <c r="E178" i="2"/>
  <c r="E547" i="2"/>
  <c r="A760" i="5"/>
  <c r="A307" i="5"/>
  <c r="A582" i="5"/>
  <c r="E488" i="2"/>
  <c r="E55" i="2"/>
  <c r="E1001" i="2"/>
  <c r="E937" i="2"/>
  <c r="E500" i="2"/>
  <c r="E710" i="2"/>
  <c r="E662" i="2"/>
  <c r="E858" i="2"/>
  <c r="E752" i="2"/>
  <c r="E487" i="2"/>
  <c r="E286" i="2"/>
  <c r="E597" i="2"/>
  <c r="E481" i="2"/>
  <c r="A845" i="5"/>
  <c r="E856" i="2"/>
  <c r="A852" i="5"/>
  <c r="A714" i="5"/>
  <c r="E624" i="2"/>
  <c r="E246" i="2"/>
  <c r="E743" i="2"/>
  <c r="E679" i="2"/>
  <c r="E123" i="2"/>
  <c r="E138" i="2"/>
  <c r="E609" i="2"/>
  <c r="E515" i="2"/>
  <c r="E576" i="2"/>
  <c r="E360" i="2"/>
  <c r="E296" i="2"/>
  <c r="E326" i="2"/>
  <c r="E131" i="2"/>
  <c r="E811" i="2"/>
  <c r="E432" i="2"/>
  <c r="E832" i="2"/>
  <c r="E807" i="2"/>
  <c r="E192" i="2"/>
  <c r="E17" i="2"/>
  <c r="A949" i="5"/>
  <c r="E952" i="2"/>
  <c r="A620" i="5"/>
  <c r="E56" i="2"/>
  <c r="E800" i="2"/>
  <c r="E979" i="2"/>
  <c r="E526" i="2"/>
  <c r="E462" i="2"/>
  <c r="E89" i="2"/>
  <c r="E903" i="2"/>
  <c r="E702" i="2"/>
  <c r="E689" i="2"/>
  <c r="E595" i="2"/>
  <c r="E49" i="2"/>
  <c r="E666" i="2"/>
  <c r="E613" i="2"/>
  <c r="E288" i="2"/>
  <c r="E467" i="2"/>
  <c r="E901" i="2"/>
  <c r="E837" i="2"/>
  <c r="E528" i="2"/>
  <c r="E327" i="2"/>
  <c r="E38" i="2"/>
  <c r="E113" i="2"/>
  <c r="E226" i="2"/>
  <c r="E424" i="2"/>
  <c r="E834" i="2"/>
  <c r="E860" i="2"/>
  <c r="A298" i="5"/>
  <c r="E675" i="2"/>
  <c r="A564" i="5"/>
  <c r="A588" i="5"/>
  <c r="E167" i="2"/>
  <c r="E310" i="2"/>
  <c r="E381" i="2"/>
  <c r="E756" i="2"/>
  <c r="E75" i="2"/>
  <c r="E678" i="2"/>
  <c r="A199" i="5"/>
  <c r="A197" i="5"/>
  <c r="E148" i="2"/>
  <c r="A548" i="5"/>
  <c r="E170" i="2"/>
  <c r="E913" i="2"/>
  <c r="A966" i="5"/>
  <c r="E140" i="2"/>
  <c r="E372" i="2"/>
  <c r="E293" i="2"/>
  <c r="E668" i="2"/>
  <c r="A896" i="5"/>
  <c r="A414" i="5"/>
  <c r="E912" i="2"/>
  <c r="E845" i="2"/>
  <c r="A538" i="5"/>
  <c r="E895" i="2"/>
  <c r="A709" i="5"/>
  <c r="E51" i="2"/>
  <c r="E299" i="2"/>
  <c r="E892" i="2"/>
  <c r="E252" i="2"/>
  <c r="E818" i="2"/>
  <c r="E796" i="2"/>
  <c r="E690" i="2"/>
  <c r="A743" i="5"/>
  <c r="E824" i="2"/>
  <c r="A440" i="5"/>
  <c r="A373" i="5"/>
  <c r="A359" i="5"/>
  <c r="A350" i="5"/>
  <c r="A409" i="5"/>
  <c r="A344" i="5"/>
  <c r="A829" i="5"/>
  <c r="E425" i="2"/>
  <c r="E423" i="2"/>
  <c r="E409" i="2"/>
  <c r="E784" i="2"/>
  <c r="A179" i="5"/>
  <c r="E276" i="2"/>
  <c r="A291" i="5"/>
  <c r="E370" i="2"/>
  <c r="E150" i="2"/>
  <c r="A322" i="5"/>
  <c r="A826" i="5"/>
  <c r="E347" i="2"/>
  <c r="A639" i="5"/>
  <c r="E713" i="2"/>
  <c r="A627" i="5"/>
  <c r="A849" i="5"/>
  <c r="E401" i="2"/>
  <c r="E307" i="2"/>
  <c r="E731" i="2"/>
  <c r="E791" i="2"/>
  <c r="E810" i="2"/>
  <c r="E325" i="2"/>
  <c r="E261" i="2"/>
  <c r="E633" i="2"/>
  <c r="E90" i="2"/>
  <c r="A932" i="5"/>
  <c r="E382" i="2"/>
  <c r="E76" i="2"/>
  <c r="E305" i="2"/>
  <c r="E104" i="2"/>
  <c r="E415" i="2"/>
  <c r="E820" i="2"/>
  <c r="A267" i="5"/>
  <c r="E180" i="2"/>
  <c r="A101" i="5"/>
  <c r="A962" i="5"/>
  <c r="E524" i="2"/>
  <c r="E585" i="2"/>
  <c r="E561" i="2"/>
  <c r="E433" i="2"/>
  <c r="E463" i="2"/>
  <c r="E262" i="2"/>
  <c r="E948" i="2"/>
  <c r="E297" i="2"/>
  <c r="E476" i="2"/>
  <c r="E87" i="2"/>
  <c r="E23" i="2"/>
  <c r="E729" i="2"/>
  <c r="E464" i="2"/>
  <c r="E263" i="2"/>
  <c r="E771" i="2"/>
  <c r="E156" i="2"/>
  <c r="E625" i="2"/>
  <c r="E531" i="2"/>
  <c r="E366" i="2"/>
  <c r="A355" i="5"/>
  <c r="E850" i="2"/>
  <c r="A750" i="5"/>
  <c r="A870" i="5"/>
  <c r="E700" i="2"/>
  <c r="E30" i="2"/>
  <c r="E929" i="2"/>
  <c r="E865" i="2"/>
  <c r="E648" i="2"/>
  <c r="E447" i="2"/>
  <c r="E182" i="2"/>
  <c r="E416" i="2"/>
  <c r="E47" i="2"/>
  <c r="E727" i="2"/>
  <c r="E358" i="2"/>
  <c r="E431" i="2"/>
  <c r="E188" i="2"/>
  <c r="E495" i="2"/>
  <c r="E353" i="2"/>
  <c r="E289" i="2"/>
  <c r="E72" i="2"/>
  <c r="E886" i="2"/>
  <c r="E557" i="2"/>
  <c r="E855" i="2"/>
  <c r="E422" i="2"/>
  <c r="E151" i="2"/>
  <c r="E733" i="2"/>
  <c r="E742" i="2"/>
  <c r="A891" i="5"/>
  <c r="A234" i="5"/>
  <c r="A640" i="5"/>
  <c r="A12" i="5"/>
  <c r="E454" i="2"/>
  <c r="E918" i="2"/>
  <c r="E392" i="2"/>
  <c r="E703" i="2"/>
  <c r="A943" i="5"/>
  <c r="A950" i="5"/>
  <c r="A541" i="5"/>
  <c r="A901" i="5"/>
  <c r="A484" i="5"/>
  <c r="E323" i="2"/>
  <c r="A391" i="5"/>
  <c r="E750" i="2"/>
  <c r="A461" i="5"/>
  <c r="E313" i="2"/>
  <c r="E420" i="2"/>
  <c r="E84" i="2"/>
  <c r="E459" i="2"/>
  <c r="E722" i="2"/>
  <c r="A842" i="5"/>
  <c r="E421" i="2"/>
  <c r="A773" i="5"/>
  <c r="E117" i="2"/>
  <c r="E110" i="2"/>
  <c r="A338" i="5"/>
  <c r="E936" i="2"/>
  <c r="E923" i="2"/>
  <c r="E683" i="2"/>
  <c r="E946" i="2"/>
  <c r="A452" i="5"/>
  <c r="E29" i="2"/>
  <c r="A68" i="5"/>
  <c r="E68" i="2"/>
  <c r="E50" i="2"/>
  <c r="A369" i="5"/>
  <c r="A965" i="5"/>
  <c r="E237" i="2"/>
  <c r="A503" i="5"/>
  <c r="E219" i="2"/>
  <c r="A977" i="5"/>
  <c r="A907" i="5"/>
  <c r="E958" i="2"/>
  <c r="E581" i="2"/>
  <c r="E292" i="2"/>
  <c r="E603" i="2"/>
  <c r="A583" i="5"/>
  <c r="A571" i="5"/>
  <c r="A599" i="5"/>
  <c r="A252" i="5"/>
  <c r="A481" i="5"/>
  <c r="A545" i="5"/>
  <c r="A331" i="5"/>
  <c r="E348" i="2"/>
  <c r="A275" i="5"/>
  <c r="E403" i="2"/>
  <c r="A417" i="5"/>
  <c r="A32" i="5"/>
  <c r="E599" i="2"/>
  <c r="E839" i="2"/>
  <c r="E897" i="2"/>
  <c r="E691" i="2"/>
  <c r="E998" i="2"/>
  <c r="E792" i="2"/>
  <c r="E664" i="2"/>
  <c r="E569" i="2"/>
  <c r="E638" i="2"/>
  <c r="E86" i="2"/>
  <c r="E877" i="2"/>
  <c r="E233" i="2"/>
  <c r="E32" i="2"/>
  <c r="E846" i="2"/>
  <c r="E142" i="2"/>
  <c r="E272" i="2"/>
  <c r="A800" i="5"/>
  <c r="E583" i="2"/>
  <c r="A899" i="5"/>
  <c r="A269" i="5"/>
  <c r="E982" i="2"/>
  <c r="E485" i="2"/>
  <c r="E224" i="2"/>
  <c r="E160" i="2"/>
  <c r="E18" i="2"/>
  <c r="E601" i="2"/>
  <c r="E400" i="2"/>
  <c r="E197" i="2"/>
  <c r="E504" i="2"/>
  <c r="E394" i="2"/>
  <c r="E682" i="2"/>
  <c r="E209" i="2"/>
  <c r="E8" i="2"/>
  <c r="E822" i="2"/>
  <c r="E992" i="2"/>
  <c r="E623" i="2"/>
  <c r="E352" i="2"/>
  <c r="E934" i="2"/>
  <c r="E312" i="2"/>
  <c r="A916" i="5"/>
  <c r="A74" i="5"/>
  <c r="A508" i="5"/>
  <c r="A386" i="5"/>
  <c r="E728" i="2"/>
  <c r="E907" i="2"/>
  <c r="E253" i="2"/>
  <c r="E189" i="2"/>
  <c r="E987" i="2"/>
  <c r="E560" i="2"/>
  <c r="E935" i="2"/>
  <c r="E755" i="2"/>
  <c r="E770" i="2"/>
  <c r="E482" i="2"/>
  <c r="E437" i="2"/>
  <c r="E931" i="2"/>
  <c r="E216" i="2"/>
  <c r="E395" i="2"/>
  <c r="E692" i="2"/>
  <c r="E564" i="2"/>
  <c r="E249" i="2"/>
  <c r="E999" i="2"/>
  <c r="E359" i="2"/>
  <c r="E994" i="2"/>
  <c r="E693" i="2"/>
  <c r="E906" i="2"/>
  <c r="E259" i="2"/>
  <c r="A876" i="5"/>
  <c r="A246" i="5"/>
  <c r="A444" i="5"/>
  <c r="A542" i="5"/>
  <c r="A550" i="5"/>
  <c r="E39" i="2"/>
  <c r="E134" i="2"/>
  <c r="E494" i="2"/>
  <c r="E805" i="2"/>
  <c r="A828" i="5"/>
  <c r="A559" i="5"/>
  <c r="E171" i="2"/>
  <c r="A282" i="5"/>
  <c r="A753" i="5"/>
  <c r="E949" i="2"/>
  <c r="A456" i="5"/>
  <c r="E568" i="2"/>
  <c r="E533" i="2"/>
  <c r="E600" i="2"/>
  <c r="E854" i="2"/>
  <c r="A264" i="5"/>
  <c r="A94" i="5"/>
  <c r="A658" i="5"/>
  <c r="E324" i="2"/>
  <c r="E980" i="2"/>
  <c r="E525" i="2"/>
  <c r="A339" i="5"/>
  <c r="E879" i="2"/>
  <c r="A581" i="5"/>
  <c r="E857" i="2"/>
  <c r="E407" i="2"/>
  <c r="E630" i="2"/>
  <c r="E941" i="2"/>
  <c r="A506" i="5"/>
  <c r="A789" i="5"/>
  <c r="A730" i="5"/>
  <c r="A526" i="5"/>
  <c r="A294" i="5"/>
  <c r="A910" i="5"/>
  <c r="A566" i="5"/>
  <c r="E101" i="2"/>
  <c r="A311" i="5"/>
  <c r="E284" i="2"/>
  <c r="A296" i="5"/>
  <c r="A292" i="5"/>
  <c r="E361" i="2"/>
  <c r="E537" i="2"/>
  <c r="E250" i="2"/>
  <c r="E833" i="2"/>
  <c r="A679" i="5"/>
  <c r="A843" i="5"/>
  <c r="E118" i="2"/>
  <c r="E82" i="2"/>
  <c r="A762" i="5"/>
  <c r="E411" i="2"/>
  <c r="A688" i="5"/>
  <c r="E230" i="2"/>
  <c r="A941" i="5"/>
  <c r="E349" i="2"/>
  <c r="A551" i="5"/>
  <c r="D159" i="2"/>
  <c r="E369" i="2"/>
  <c r="E222" i="2"/>
  <c r="E306" i="2"/>
  <c r="E719" i="2"/>
  <c r="E602" i="2"/>
  <c r="E371" i="2"/>
  <c r="E270" i="2"/>
  <c r="E404" i="2"/>
  <c r="E627" i="2"/>
  <c r="A861" i="5"/>
  <c r="E518" i="2"/>
  <c r="E817" i="2"/>
  <c r="A836" i="5"/>
  <c r="A565" i="5"/>
  <c r="A552" i="5"/>
  <c r="A441" i="5"/>
  <c r="E983" i="2"/>
  <c r="E651" i="2"/>
  <c r="A726" i="5"/>
  <c r="E570" i="2"/>
  <c r="E902" i="2"/>
  <c r="E92" i="2"/>
  <c r="A947" i="5"/>
  <c r="A701" i="5"/>
  <c r="E111" i="2"/>
  <c r="A520" i="5"/>
  <c r="E688" i="2"/>
  <c r="A915" i="5"/>
  <c r="A790" i="5"/>
  <c r="A731" i="5"/>
  <c r="A913" i="5"/>
  <c r="A112" i="5"/>
  <c r="E508" i="2"/>
  <c r="E208" i="2"/>
  <c r="A366" i="5"/>
  <c r="E587" i="2"/>
  <c r="E501" i="2"/>
  <c r="A636" i="5"/>
  <c r="E986" i="2"/>
  <c r="A318" i="5"/>
  <c r="A869" i="5"/>
  <c r="E777" i="2"/>
  <c r="A806" i="5"/>
  <c r="E873" i="2"/>
  <c r="E972" i="2"/>
  <c r="A951" i="5"/>
  <c r="A718" i="5"/>
  <c r="A988" i="5"/>
  <c r="A163" i="5"/>
  <c r="E641" i="2"/>
  <c r="A494" i="5"/>
  <c r="A886" i="5"/>
  <c r="E154" i="2"/>
  <c r="E309" i="2"/>
  <c r="A902" i="5"/>
  <c r="E772" i="2"/>
  <c r="A648" i="5"/>
  <c r="E58" i="2"/>
  <c r="E241" i="2"/>
  <c r="A823" i="5"/>
  <c r="A53" i="5"/>
  <c r="A939" i="5"/>
  <c r="A273" i="5"/>
  <c r="D592" i="2"/>
  <c r="E129" i="2"/>
  <c r="A895" i="5"/>
  <c r="D345" i="2"/>
  <c r="A879" i="5"/>
  <c r="D869" i="2"/>
  <c r="D760" i="2"/>
  <c r="D774" i="2"/>
  <c r="D212" i="2"/>
  <c r="A502" i="5"/>
  <c r="D909" i="2"/>
  <c r="E146" i="2"/>
  <c r="A814" i="5"/>
  <c r="E203" i="2"/>
  <c r="A857" i="5"/>
  <c r="A665" i="5"/>
  <c r="D738" i="2"/>
  <c r="E634" i="2"/>
  <c r="A189" i="5"/>
  <c r="D677" i="2"/>
  <c r="A633" i="5"/>
  <c r="A380" i="5"/>
  <c r="D225" i="2"/>
  <c r="A892" i="5"/>
  <c r="D866" i="2"/>
  <c r="D309" i="2"/>
  <c r="D630" i="2"/>
  <c r="E393" i="2"/>
  <c r="A437" i="5"/>
  <c r="E571" i="2"/>
  <c r="E26" i="2"/>
  <c r="A495" i="5"/>
  <c r="D463" i="2"/>
  <c r="A382" i="5"/>
  <c r="A804" i="5"/>
  <c r="D235" i="2"/>
  <c r="A78" i="5"/>
  <c r="E964" i="2"/>
  <c r="D360" i="2"/>
  <c r="A851" i="5"/>
  <c r="D479" i="2"/>
  <c r="D234" i="2"/>
  <c r="A436" i="5"/>
  <c r="E981" i="2"/>
  <c r="A598" i="5"/>
  <c r="A952" i="5"/>
  <c r="A70" i="5"/>
  <c r="A946" i="5"/>
  <c r="D614" i="2"/>
  <c r="A58" i="5"/>
  <c r="A214" i="5"/>
  <c r="D142" i="2"/>
  <c r="A115" i="5"/>
  <c r="A143" i="5"/>
  <c r="D910" i="2"/>
  <c r="A105" i="5"/>
  <c r="A116" i="5"/>
  <c r="D660" i="2"/>
  <c r="A779" i="5"/>
  <c r="E559" i="2"/>
  <c r="A676" i="5"/>
  <c r="E933" i="2"/>
  <c r="E37" i="2"/>
  <c r="A784" i="5"/>
  <c r="D194" i="2"/>
  <c r="A416" i="5"/>
  <c r="A888" i="5"/>
  <c r="D808" i="2"/>
  <c r="E52" i="2"/>
  <c r="E442" i="2"/>
  <c r="E513" i="2"/>
  <c r="E829" i="2"/>
  <c r="E258" i="2"/>
  <c r="E720" i="2"/>
  <c r="A755" i="5"/>
  <c r="E177" i="2"/>
  <c r="A504" i="5"/>
  <c r="E596" i="2"/>
  <c r="A864" i="5"/>
  <c r="E586" i="2"/>
  <c r="E984" i="2"/>
  <c r="A607" i="5"/>
  <c r="A973" i="5"/>
  <c r="E181" i="2"/>
  <c r="E608" i="2"/>
  <c r="E141" i="2"/>
  <c r="E574" i="2"/>
  <c r="A590" i="5"/>
  <c r="A317" i="5"/>
  <c r="A990" i="5"/>
  <c r="E490" i="2"/>
  <c r="A505" i="5"/>
  <c r="E147" i="2"/>
  <c r="A674" i="5"/>
  <c r="A289" i="5"/>
  <c r="A230" i="5"/>
  <c r="E862" i="2"/>
  <c r="E290" i="2"/>
  <c r="A95" i="5"/>
  <c r="A11" i="5"/>
  <c r="A106" i="5"/>
  <c r="A678" i="5"/>
  <c r="A471" i="5"/>
  <c r="A492" i="5"/>
  <c r="A251" i="5"/>
  <c r="E659" i="2"/>
  <c r="E279" i="2"/>
  <c r="E967" i="2"/>
  <c r="E517" i="2"/>
  <c r="A918" i="5"/>
  <c r="A824" i="5"/>
  <c r="E66" i="2"/>
  <c r="A811" i="5"/>
  <c r="E866" i="2"/>
  <c r="A638" i="5"/>
  <c r="A71" i="5"/>
  <c r="E788" i="2"/>
  <c r="A646" i="5"/>
  <c r="A668" i="5"/>
  <c r="A464" i="5"/>
  <c r="A420" i="5"/>
  <c r="A309" i="5"/>
  <c r="E956" i="2"/>
  <c r="A937" i="5"/>
  <c r="E971" i="2"/>
  <c r="E59" i="2"/>
  <c r="A569" i="5"/>
  <c r="D91" i="2"/>
  <c r="E162" i="2"/>
  <c r="A358" i="5"/>
  <c r="D874" i="2"/>
  <c r="A998" i="5"/>
  <c r="A630" i="5"/>
  <c r="D834" i="2"/>
  <c r="A975" i="5"/>
  <c r="D242" i="2"/>
  <c r="D737" i="2"/>
  <c r="D10" i="2"/>
  <c r="E968" i="2"/>
  <c r="A680" i="5"/>
  <c r="A247" i="5"/>
  <c r="A198" i="5"/>
  <c r="A976" i="5"/>
  <c r="D946" i="2"/>
  <c r="A332" i="5"/>
  <c r="A986" i="5"/>
  <c r="D577" i="2"/>
  <c r="D693" i="2"/>
  <c r="A212" i="5"/>
  <c r="A228" i="5"/>
  <c r="A906" i="5"/>
  <c r="D149" i="2"/>
  <c r="D810" i="2"/>
  <c r="A959" i="5"/>
  <c r="E368" i="2"/>
  <c r="A872" i="5"/>
  <c r="E163" i="2"/>
  <c r="A77" i="5"/>
  <c r="A846" i="5"/>
  <c r="D208" i="2"/>
  <c r="A767" i="5"/>
  <c r="A704" i="5"/>
  <c r="D320" i="2"/>
  <c r="D50" i="2"/>
  <c r="A321" i="5"/>
  <c r="D264" i="2"/>
  <c r="A810" i="5"/>
  <c r="A60" i="5"/>
  <c r="D999" i="2"/>
  <c r="A772" i="5"/>
  <c r="E430" i="2"/>
  <c r="A39" i="5"/>
  <c r="E439" i="2"/>
  <c r="E741" i="2"/>
  <c r="A866" i="5"/>
  <c r="A258" i="5"/>
  <c r="A722" i="5"/>
  <c r="A691" i="5"/>
  <c r="D255" i="2"/>
  <c r="D100" i="2"/>
  <c r="D409" i="2"/>
  <c r="D278" i="2"/>
  <c r="D994" i="2"/>
  <c r="D598" i="2"/>
  <c r="D446" i="2"/>
  <c r="E46" i="2"/>
  <c r="E65" i="2"/>
  <c r="E787" i="2"/>
  <c r="A518" i="5"/>
  <c r="E874" i="2"/>
  <c r="A604" i="5"/>
  <c r="D33" i="2"/>
  <c r="A340" i="5"/>
  <c r="A376" i="5"/>
  <c r="D117" i="2"/>
  <c r="E99" i="2"/>
  <c r="E545" i="2"/>
  <c r="E563" i="2"/>
  <c r="E765" i="2"/>
  <c r="E938" i="2"/>
  <c r="E414" i="2"/>
  <c r="A469" i="5"/>
  <c r="E582" i="2"/>
  <c r="A981" i="5"/>
  <c r="A124" i="5"/>
  <c r="E346" i="2"/>
  <c r="A737" i="5"/>
  <c r="E453" i="2"/>
  <c r="A923" i="5"/>
  <c r="A904" i="5"/>
  <c r="A612" i="5"/>
  <c r="A1001" i="5"/>
  <c r="E247" i="2"/>
  <c r="E212" i="2"/>
  <c r="E493" i="2"/>
  <c r="A889" i="5"/>
  <c r="A848" i="5"/>
  <c r="E798" i="2"/>
  <c r="A686" i="5"/>
  <c r="A123" i="5"/>
  <c r="E412" i="2"/>
  <c r="A463" i="5"/>
  <c r="A134" i="5"/>
  <c r="E718" i="2"/>
  <c r="E257" i="2"/>
  <c r="A341" i="5"/>
  <c r="A449" i="5"/>
  <c r="E978" i="2"/>
  <c r="A524" i="5"/>
  <c r="A423" i="5"/>
  <c r="E841" i="2"/>
  <c r="A771" i="5"/>
  <c r="E477" i="2"/>
  <c r="E135" i="2"/>
  <c r="E350" i="2"/>
  <c r="E308" i="2"/>
  <c r="E944" i="2"/>
  <c r="E473" i="2"/>
  <c r="A512" i="5"/>
  <c r="E44" i="2"/>
  <c r="E426" i="2"/>
  <c r="E475" i="2"/>
  <c r="A705" i="5"/>
  <c r="A651" i="5"/>
  <c r="E13" i="2"/>
  <c r="A224" i="5"/>
  <c r="E492" i="2"/>
  <c r="A394" i="5"/>
  <c r="E274" i="2"/>
  <c r="E71" i="2"/>
  <c r="E130" i="2"/>
  <c r="A747" i="5"/>
  <c r="A47" i="5"/>
  <c r="A996" i="5"/>
  <c r="D369" i="2"/>
  <c r="A172" i="5"/>
  <c r="A758" i="5"/>
  <c r="D925" i="2"/>
  <c r="D17" i="2"/>
  <c r="A177" i="5"/>
  <c r="D407" i="2"/>
  <c r="A930" i="5"/>
  <c r="D966" i="2"/>
  <c r="D542" i="2"/>
  <c r="E315" i="2"/>
  <c r="A649" i="5"/>
  <c r="A657" i="5"/>
  <c r="A193" i="5"/>
  <c r="A213" i="5"/>
  <c r="A944" i="5"/>
  <c r="D223" i="2"/>
  <c r="A516" i="5"/>
  <c r="A749" i="5"/>
  <c r="D855" i="2"/>
  <c r="D844" i="2"/>
  <c r="A277" i="5"/>
  <c r="D982" i="2"/>
  <c r="A574" i="5"/>
  <c r="D615" i="2"/>
  <c r="D596" i="2"/>
  <c r="E626" i="2"/>
  <c r="E768" i="2"/>
  <c r="A609" i="5"/>
  <c r="E320" i="2"/>
  <c r="E686" i="2"/>
  <c r="A757" i="5"/>
  <c r="D667" i="2"/>
  <c r="A985" i="5"/>
  <c r="A744" i="5"/>
  <c r="D790" i="2"/>
  <c r="D899" i="2"/>
  <c r="D649" i="2"/>
  <c r="D176" i="2"/>
  <c r="D304" i="2"/>
  <c r="D35" i="2"/>
  <c r="D233" i="2"/>
  <c r="E255" i="2"/>
  <c r="E218" i="2"/>
  <c r="E201" i="2"/>
  <c r="A880" i="5"/>
  <c r="E674" i="2"/>
  <c r="E955" i="2"/>
  <c r="D784" i="2"/>
  <c r="A202" i="5"/>
  <c r="A205" i="5"/>
  <c r="D521" i="2"/>
  <c r="D326" i="2"/>
  <c r="D401" i="2"/>
  <c r="D347" i="2"/>
  <c r="D501" i="2"/>
  <c r="E83" i="2"/>
  <c r="D828" i="2"/>
  <c r="E922" i="2"/>
  <c r="A125" i="5"/>
  <c r="A421" i="5"/>
  <c r="A501" i="5"/>
  <c r="A488" i="5"/>
  <c r="A511" i="5"/>
  <c r="E730" i="2"/>
  <c r="A921" i="5"/>
  <c r="A813" i="5"/>
  <c r="D562" i="2"/>
  <c r="E121" i="2"/>
  <c r="E831" i="2"/>
  <c r="E499" i="2"/>
  <c r="E548" i="2"/>
  <c r="A715" i="5"/>
  <c r="E149" i="2"/>
  <c r="E116" i="2"/>
  <c r="A499" i="5"/>
  <c r="E390" i="2"/>
  <c r="A55" i="5"/>
  <c r="A96" i="5"/>
  <c r="E207" i="2"/>
  <c r="E191" i="2"/>
  <c r="E302" i="2"/>
  <c r="E592" i="2"/>
  <c r="A554" i="5"/>
  <c r="E617" i="2"/>
  <c r="A853" i="5"/>
  <c r="A370" i="5"/>
  <c r="E175" i="2"/>
  <c r="A459" i="5"/>
  <c r="A972" i="5"/>
  <c r="E70" i="2"/>
  <c r="A765" i="5"/>
  <c r="A384" i="5"/>
  <c r="A969" i="5"/>
  <c r="A485" i="5"/>
  <c r="E214" i="2"/>
  <c r="E927" i="2"/>
  <c r="A752" i="5"/>
  <c r="A775" i="5"/>
  <c r="A357" i="5"/>
  <c r="E322" i="2"/>
  <c r="A486" i="5"/>
  <c r="A671" i="5"/>
  <c r="E723" i="2"/>
  <c r="A113" i="5"/>
  <c r="A561" i="5"/>
  <c r="E650" i="2"/>
  <c r="E947" i="2"/>
  <c r="E790" i="2"/>
  <c r="E489" i="2"/>
  <c r="E769" i="2"/>
  <c r="E378" i="2"/>
  <c r="A623" i="5"/>
  <c r="E373" i="2"/>
  <c r="E540" i="2"/>
  <c r="A84" i="5"/>
  <c r="A809" i="5"/>
  <c r="A497" i="5"/>
  <c r="A739" i="5"/>
  <c r="A419" i="5"/>
  <c r="A396" i="5"/>
  <c r="A320" i="5"/>
  <c r="A917" i="5"/>
  <c r="A580" i="5"/>
  <c r="A920" i="5"/>
  <c r="A326" i="5"/>
  <c r="A871" i="5"/>
  <c r="D475" i="2"/>
  <c r="A576" i="5"/>
  <c r="A335" i="5"/>
  <c r="D76" i="2"/>
  <c r="D485" i="2"/>
  <c r="A532" i="5"/>
  <c r="D670" i="2"/>
  <c r="A327" i="5"/>
  <c r="D917" i="2"/>
  <c r="D346" i="2"/>
  <c r="E196" i="2"/>
  <c r="E328" i="2"/>
  <c r="A795" i="5"/>
  <c r="E575" i="2"/>
  <c r="E375" i="2"/>
  <c r="E236" i="2"/>
  <c r="D820" i="2"/>
  <c r="E2" i="2"/>
  <c r="A768" i="5"/>
  <c r="D477" i="2"/>
  <c r="D934" i="2"/>
  <c r="D460" i="2"/>
  <c r="A44" i="5"/>
  <c r="D115" i="2"/>
  <c r="D751" i="2"/>
  <c r="D187" i="2"/>
  <c r="E785" i="2"/>
  <c r="E199" i="2"/>
  <c r="E19" i="2"/>
  <c r="E940" i="2"/>
  <c r="E532" i="2"/>
  <c r="A182" i="5"/>
  <c r="D520" i="2"/>
  <c r="A190" i="5"/>
  <c r="A563" i="5"/>
  <c r="D251" i="2"/>
  <c r="D381" i="2"/>
  <c r="A65" i="5"/>
  <c r="D908" i="2"/>
  <c r="D500" i="2"/>
  <c r="A319" i="5"/>
  <c r="D688" i="2"/>
  <c r="E816" i="2"/>
  <c r="E474" i="2"/>
  <c r="E298" i="2"/>
  <c r="A933" i="5"/>
  <c r="A313" i="5"/>
  <c r="A528" i="5"/>
  <c r="E612" i="2"/>
  <c r="A961" i="5"/>
  <c r="A677" i="5"/>
  <c r="D886" i="2"/>
  <c r="D297" i="2"/>
  <c r="D992" i="2"/>
  <c r="D273" i="2"/>
  <c r="D952" i="2"/>
  <c r="E452" i="2"/>
  <c r="A82" i="5"/>
  <c r="E11" i="2"/>
  <c r="E457" i="2"/>
  <c r="A219" i="5"/>
  <c r="A343" i="5"/>
  <c r="A820" i="5"/>
  <c r="D464" i="2"/>
  <c r="E220" i="2"/>
  <c r="A159" i="5"/>
  <c r="A114" i="5"/>
  <c r="E506" i="2"/>
  <c r="E758" i="2"/>
  <c r="A103" i="5"/>
  <c r="E254" i="2"/>
  <c r="E185" i="2"/>
  <c r="A994" i="5"/>
  <c r="E899" i="2"/>
  <c r="A754" i="5"/>
  <c r="E893" i="2"/>
  <c r="E511" i="2"/>
  <c r="A908" i="5"/>
  <c r="E827" i="2"/>
  <c r="E10" i="2"/>
  <c r="A454" i="5"/>
  <c r="A617" i="5"/>
  <c r="E577" i="2"/>
  <c r="A347" i="5"/>
  <c r="E332" i="2"/>
  <c r="A120" i="5"/>
  <c r="E803" i="2"/>
  <c r="A152" i="5"/>
  <c r="A940" i="5"/>
  <c r="D348" i="2"/>
  <c r="E74" i="2"/>
  <c r="A220" i="5"/>
  <c r="A215" i="5"/>
  <c r="A477" i="5"/>
  <c r="A363" i="5"/>
  <c r="E809" i="2"/>
  <c r="E848" i="2"/>
  <c r="A682" i="5"/>
  <c r="E4" i="2"/>
  <c r="A837" i="5"/>
  <c r="E338" i="2"/>
  <c r="A424" i="5"/>
  <c r="A513" i="5"/>
  <c r="E541" i="2"/>
  <c r="A666" i="5"/>
  <c r="E419" i="2"/>
  <c r="A439" i="5"/>
  <c r="E766" i="2"/>
  <c r="E920" i="2"/>
  <c r="E280" i="2"/>
  <c r="A498" i="5"/>
  <c r="E746" i="2"/>
  <c r="A883" i="5"/>
  <c r="A756" i="5"/>
  <c r="E550" i="2"/>
  <c r="A659" i="5"/>
  <c r="A399" i="5"/>
  <c r="E748" i="2"/>
  <c r="E333" i="2"/>
  <c r="A982" i="5"/>
  <c r="E195" i="2"/>
  <c r="E778" i="2"/>
  <c r="E446" i="2"/>
  <c r="A702" i="5"/>
  <c r="E16" i="2"/>
  <c r="E960" i="2"/>
  <c r="A281" i="5"/>
  <c r="D841" i="2"/>
  <c r="E108" i="2"/>
  <c r="A667" i="5"/>
  <c r="A329" i="5"/>
  <c r="D750" i="2"/>
  <c r="D260" i="2"/>
  <c r="A433" i="5"/>
  <c r="D545" i="2"/>
  <c r="D481" i="2"/>
  <c r="D300" i="2"/>
  <c r="E179" i="2"/>
  <c r="A460" i="5"/>
  <c r="A577" i="5"/>
  <c r="E139" i="2"/>
  <c r="E870" i="2"/>
  <c r="A637" i="5"/>
  <c r="D207" i="2"/>
  <c r="A300" i="5"/>
  <c r="A700" i="5"/>
  <c r="D298" i="2"/>
  <c r="D129" i="2"/>
  <c r="D97" i="2"/>
  <c r="D595" i="2"/>
  <c r="D367" i="2"/>
  <c r="A626" i="5"/>
  <c r="D214" i="2"/>
  <c r="E740" i="2"/>
  <c r="A279" i="5"/>
  <c r="E132" i="2"/>
  <c r="E620" i="2"/>
  <c r="A606" i="5"/>
  <c r="A479" i="5"/>
  <c r="E62" i="2"/>
  <c r="A945" i="5"/>
  <c r="A597" i="5"/>
  <c r="D633" i="2"/>
  <c r="A40" i="5"/>
  <c r="D247" i="2"/>
  <c r="A3" i="5"/>
  <c r="A196" i="5"/>
  <c r="A158" i="5"/>
  <c r="D822" i="2"/>
  <c r="E881" i="2"/>
  <c r="E757" i="2"/>
  <c r="A827" i="5"/>
  <c r="A26" i="5"/>
  <c r="E34" i="2"/>
  <c r="D42" i="2"/>
  <c r="E924" i="2"/>
  <c r="A75" i="5"/>
  <c r="A140" i="5"/>
  <c r="A37" i="5"/>
  <c r="E304" i="2"/>
  <c r="E127" i="2"/>
  <c r="E145" i="2"/>
  <c r="E496" i="2"/>
  <c r="A442" i="5"/>
  <c r="E753" i="2"/>
  <c r="E80" i="2"/>
  <c r="A536" i="5"/>
  <c r="E996" i="2"/>
  <c r="A491" i="5"/>
  <c r="E814" i="2"/>
  <c r="E491" i="2"/>
  <c r="E828" i="2"/>
  <c r="A748" i="5"/>
  <c r="A601" i="5"/>
  <c r="E12" i="2"/>
  <c r="E732" i="2"/>
  <c r="E217" i="2"/>
  <c r="E507" i="2"/>
  <c r="A663" i="5"/>
  <c r="A912" i="5"/>
  <c r="E930" i="2"/>
  <c r="E443" i="2"/>
  <c r="E915" i="2"/>
  <c r="E136" i="2"/>
  <c r="A410" i="5"/>
  <c r="A229" i="5"/>
  <c r="E988" i="2"/>
  <c r="A816" i="5"/>
  <c r="A656" i="5"/>
  <c r="A631" i="5"/>
  <c r="E406" i="2"/>
  <c r="E388" i="2"/>
  <c r="E813" i="2"/>
  <c r="A716" i="5"/>
  <c r="A618" i="5"/>
  <c r="A17" i="5"/>
  <c r="A111" i="5"/>
  <c r="E764" i="2"/>
  <c r="E85" i="2"/>
  <c r="E711" i="2"/>
  <c r="E7" i="2"/>
  <c r="A119" i="5"/>
  <c r="A968" i="5"/>
  <c r="E483" i="2"/>
  <c r="A875" i="5"/>
  <c r="A586" i="5"/>
  <c r="A445" i="5"/>
  <c r="A863" i="5"/>
  <c r="E9" i="2"/>
  <c r="A697" i="5"/>
  <c r="E128" i="2"/>
  <c r="A740" i="5"/>
  <c r="E709" i="2"/>
  <c r="A721" i="5"/>
  <c r="A560" i="5"/>
  <c r="E843" i="2"/>
  <c r="E751" i="2"/>
  <c r="A698" i="5"/>
  <c r="D657" i="2"/>
  <c r="A794" i="5"/>
  <c r="A530" i="5"/>
  <c r="D1000" i="2"/>
  <c r="D758" i="2"/>
  <c r="D462" i="2"/>
  <c r="D682" i="2"/>
  <c r="A145" i="5"/>
  <c r="D702" i="2"/>
  <c r="D632" i="2"/>
  <c r="E152" i="2"/>
  <c r="A893" i="5"/>
  <c r="A610" i="5"/>
  <c r="A9" i="5"/>
  <c r="A305" i="5"/>
  <c r="A188" i="5"/>
  <c r="E337" i="2"/>
  <c r="A859" i="5"/>
  <c r="A706" i="5"/>
  <c r="A24" i="5"/>
  <c r="A425" i="5"/>
  <c r="D505" i="2"/>
  <c r="D294" i="2"/>
  <c r="D687" i="2"/>
  <c r="A434" i="5"/>
  <c r="D544" i="2"/>
  <c r="E963" i="2"/>
  <c r="A265" i="5"/>
  <c r="A833" i="5"/>
  <c r="A914" i="5"/>
  <c r="E364" i="2"/>
  <c r="D26" i="2"/>
  <c r="E677" i="2"/>
  <c r="A79" i="5"/>
  <c r="A457" i="5"/>
  <c r="A353" i="5"/>
  <c r="D981" i="2"/>
  <c r="D250" i="2"/>
  <c r="D726" i="2"/>
  <c r="D696" i="2"/>
  <c r="A90" i="5"/>
  <c r="D928" i="2"/>
  <c r="E774" i="2"/>
  <c r="A856" i="5"/>
  <c r="E336" i="2"/>
  <c r="A593" i="5"/>
  <c r="E77" i="2"/>
  <c r="A7" i="5"/>
  <c r="E806" i="2"/>
  <c r="A905" i="5"/>
  <c r="D662" i="2"/>
  <c r="E205" i="2"/>
  <c r="D623" i="2"/>
  <c r="D435" i="2"/>
  <c r="D937" i="2"/>
  <c r="D450" i="2"/>
  <c r="D865" i="2"/>
  <c r="D84" i="2"/>
  <c r="E553" i="2"/>
  <c r="A102" i="5"/>
  <c r="A660" i="5"/>
  <c r="A515" i="5"/>
  <c r="A186" i="5"/>
  <c r="D785" i="2"/>
  <c r="A763" i="5"/>
  <c r="A92" i="5"/>
  <c r="D455" i="2"/>
  <c r="A238" i="5"/>
  <c r="E240" i="2"/>
  <c r="A176" i="5"/>
  <c r="E959" i="2"/>
  <c r="E316" i="2"/>
  <c r="A817" i="5"/>
  <c r="E143" i="2"/>
  <c r="E789" i="2"/>
  <c r="A54" i="5"/>
  <c r="A989" i="5"/>
  <c r="A368" i="5"/>
  <c r="E362" i="2"/>
  <c r="E950" i="2"/>
  <c r="E566" i="2"/>
  <c r="E763" i="2"/>
  <c r="E266" i="2"/>
  <c r="E73" i="2"/>
  <c r="A208" i="5"/>
  <c r="A681" i="5"/>
  <c r="E878" i="2"/>
  <c r="A615" i="5"/>
  <c r="E166" i="2"/>
  <c r="A942" i="5"/>
  <c r="A778" i="5"/>
  <c r="A483" i="5"/>
  <c r="E943" i="2"/>
  <c r="A379" i="5"/>
  <c r="A595" i="5"/>
  <c r="E663" i="2"/>
  <c r="E287" i="2"/>
  <c r="E275" i="2"/>
  <c r="E36" i="2"/>
  <c r="A236" i="5"/>
  <c r="A137" i="5"/>
  <c r="E357" i="2"/>
  <c r="A403" i="5"/>
  <c r="E635" i="2"/>
  <c r="A553" i="5"/>
  <c r="A791" i="5"/>
  <c r="E502" i="2"/>
  <c r="E618" i="2"/>
  <c r="E969" i="2"/>
  <c r="E329" i="2"/>
  <c r="A191" i="5"/>
  <c r="E644" i="2"/>
  <c r="A290" i="5"/>
  <c r="A644" i="5"/>
  <c r="A450" i="5"/>
  <c r="A555" i="5"/>
  <c r="E589" i="2"/>
  <c r="E42" i="2"/>
  <c r="E53" i="2"/>
  <c r="A984" i="5"/>
  <c r="E98" i="2"/>
  <c r="E27" i="2"/>
  <c r="E387" i="2"/>
  <c r="A476" i="5"/>
  <c r="A603" i="5"/>
  <c r="A261" i="5"/>
  <c r="A840" i="5"/>
  <c r="E455" i="2"/>
  <c r="A822" i="5"/>
  <c r="A675" i="5"/>
  <c r="A41" i="5"/>
  <c r="D13" i="2"/>
  <c r="D735" i="2"/>
  <c r="D638" i="2"/>
  <c r="D971" i="2"/>
  <c r="A422" i="5"/>
  <c r="A20" i="5"/>
  <c r="E849" i="2"/>
  <c r="A689" i="5"/>
  <c r="E909" i="2"/>
  <c r="A708" i="5"/>
  <c r="D24" i="2"/>
  <c r="A5" i="5"/>
  <c r="E622" i="2"/>
  <c r="A168" i="5"/>
  <c r="A489" i="5"/>
  <c r="A723" i="5"/>
  <c r="D783" i="2"/>
  <c r="D244" i="2"/>
  <c r="D43" i="2"/>
  <c r="D178" i="2"/>
  <c r="A974" i="5"/>
  <c r="D112" i="2"/>
  <c r="E33" i="2"/>
  <c r="E706" i="2"/>
  <c r="E754" i="2"/>
  <c r="A573" i="5"/>
  <c r="A271" i="5"/>
  <c r="D396" i="2"/>
  <c r="E687" i="2"/>
  <c r="A882" i="5"/>
  <c r="D437" i="2"/>
  <c r="A413" i="5"/>
  <c r="D587" i="2"/>
  <c r="A164" i="5"/>
  <c r="D200" i="2"/>
  <c r="D763" i="2"/>
  <c r="D245" i="2"/>
  <c r="D172" i="2"/>
  <c r="E734" i="2"/>
  <c r="A785" i="5"/>
  <c r="A455" i="5"/>
  <c r="A960" i="5"/>
  <c r="A174" i="5"/>
  <c r="D253" i="2"/>
  <c r="E562" i="2"/>
  <c r="A365" i="5"/>
  <c r="D173" i="2"/>
  <c r="A865" i="5"/>
  <c r="A936" i="5"/>
  <c r="D351" i="2"/>
  <c r="A432" i="5"/>
  <c r="A707" i="5"/>
  <c r="A276" i="5"/>
  <c r="D852" i="2"/>
  <c r="E184" i="2"/>
  <c r="E512" i="2"/>
  <c r="A600" i="5"/>
  <c r="A995" i="5"/>
  <c r="A259" i="5"/>
  <c r="D653" i="2"/>
  <c r="E653" i="2"/>
  <c r="A957" i="5"/>
  <c r="D492" i="2"/>
  <c r="D722" i="2"/>
  <c r="E572" i="2"/>
  <c r="E221" i="2"/>
  <c r="E707" i="2"/>
  <c r="A652" i="5"/>
  <c r="A262" i="5"/>
  <c r="E760" i="2"/>
  <c r="A703" i="5"/>
  <c r="E826" i="2"/>
  <c r="A85" i="5"/>
  <c r="A543" i="5"/>
  <c r="D299" i="2"/>
  <c r="A769" i="5"/>
  <c r="D769" i="2"/>
  <c r="A855" i="5"/>
  <c r="E43" i="2"/>
  <c r="D267" i="2"/>
  <c r="A592" i="5"/>
  <c r="A200" i="5"/>
  <c r="D593" i="2"/>
  <c r="D745" i="2"/>
  <c r="D32" i="2"/>
  <c r="D894" i="2"/>
  <c r="A732" i="5"/>
  <c r="D877" i="2"/>
  <c r="E88" i="2"/>
  <c r="A73" i="5"/>
  <c r="A107" i="5"/>
  <c r="A245" i="5"/>
  <c r="A621" i="5"/>
  <c r="A121" i="5"/>
  <c r="E649" i="2"/>
  <c r="A587" i="5"/>
  <c r="A807" i="5"/>
  <c r="D354" i="2"/>
  <c r="D417" i="2"/>
  <c r="D262" i="2"/>
  <c r="D974" i="2"/>
  <c r="D368" i="2"/>
  <c r="A881" i="5"/>
  <c r="D104" i="2"/>
  <c r="E190" i="2"/>
  <c r="E705" i="2"/>
  <c r="A818" i="5"/>
  <c r="E187" i="2"/>
  <c r="A733" i="5"/>
  <c r="D252" i="2"/>
  <c r="E402" i="2"/>
  <c r="E556" i="2"/>
  <c r="D209" i="2"/>
  <c r="A519" i="5"/>
  <c r="D284" i="2"/>
  <c r="D289" i="2"/>
  <c r="A48" i="5"/>
  <c r="A25" i="5"/>
  <c r="A328" i="5"/>
  <c r="D344" i="2"/>
  <c r="A862" i="5"/>
  <c r="D271" i="2"/>
  <c r="D998" i="2"/>
  <c r="D370" i="2"/>
  <c r="D996" i="2"/>
  <c r="D825" i="2"/>
  <c r="D137" i="2"/>
  <c r="D107" i="2"/>
  <c r="A128" i="5"/>
  <c r="D842" i="2"/>
  <c r="D182" i="2"/>
  <c r="A490" i="5"/>
  <c r="D864" i="2"/>
  <c r="D675" i="2"/>
  <c r="D197" i="2"/>
  <c r="D581" i="2"/>
  <c r="D551" i="2"/>
  <c r="D387" i="2"/>
  <c r="D388" i="2"/>
  <c r="A240" i="5"/>
  <c r="D698" i="2"/>
  <c r="D772" i="2"/>
  <c r="D400" i="2"/>
  <c r="A333" i="5"/>
  <c r="D383" i="2"/>
  <c r="D418" i="2"/>
  <c r="A42" i="5"/>
  <c r="D148" i="2"/>
  <c r="D478" i="2"/>
  <c r="A248" i="5"/>
  <c r="D204" i="2"/>
  <c r="A27" i="5"/>
  <c r="A173" i="5"/>
  <c r="D220" i="2"/>
  <c r="E107" i="2"/>
  <c r="A28" i="5"/>
  <c r="D796" i="2"/>
  <c r="D727" i="2"/>
  <c r="D582" i="2"/>
  <c r="D568" i="2"/>
  <c r="D226" i="2"/>
  <c r="E616" i="2"/>
  <c r="D447" i="2"/>
  <c r="A35" i="5"/>
  <c r="A429" i="5"/>
  <c r="D469" i="2"/>
  <c r="D949" i="2"/>
  <c r="D168" i="2"/>
  <c r="D717" i="2"/>
  <c r="D62" i="2"/>
  <c r="D421" i="2"/>
  <c r="D268" i="2"/>
  <c r="D591" i="2"/>
  <c r="D147" i="2"/>
  <c r="D340" i="2"/>
  <c r="D486" i="2"/>
  <c r="D723" i="2"/>
  <c r="A243" i="5"/>
  <c r="A266" i="5"/>
  <c r="D514" i="2"/>
  <c r="A401" i="5"/>
  <c r="D528" i="2"/>
  <c r="E498" i="2"/>
  <c r="D603" i="2"/>
  <c r="D945" i="2"/>
  <c r="D160" i="2"/>
  <c r="A798" i="5"/>
  <c r="D597" i="2"/>
  <c r="D456" i="2"/>
  <c r="D720" i="2"/>
  <c r="D857" i="2"/>
  <c r="A132" i="5"/>
  <c r="A567" i="5"/>
  <c r="E942" i="2"/>
  <c r="E786" i="2"/>
  <c r="A256" i="5"/>
  <c r="E239" i="2"/>
  <c r="E120" i="2"/>
  <c r="E724" i="2"/>
  <c r="A221" i="5"/>
  <c r="D263" i="2"/>
  <c r="A303" i="5"/>
  <c r="D612" i="2"/>
  <c r="A284" i="5"/>
  <c r="A428" i="5"/>
  <c r="A647" i="5"/>
  <c r="D308" i="2"/>
  <c r="D963" i="2"/>
  <c r="A613" i="5"/>
  <c r="A885" i="5"/>
  <c r="D884" i="2"/>
  <c r="D352" i="2"/>
  <c r="D541" i="2"/>
  <c r="D29" i="2"/>
  <c r="E882" i="2"/>
  <c r="D548" i="2"/>
  <c r="E975" i="2"/>
  <c r="E640" i="2"/>
  <c r="E565" i="2"/>
  <c r="A14" i="5"/>
  <c r="A835" i="5"/>
  <c r="D30" i="2"/>
  <c r="E339" i="2"/>
  <c r="A371" i="5"/>
  <c r="A692" i="5"/>
  <c r="A509" i="5"/>
  <c r="D795" i="2"/>
  <c r="D101" i="2"/>
  <c r="D943" i="2"/>
  <c r="D594" i="2"/>
  <c r="A361" i="5"/>
  <c r="D666" i="2"/>
  <c r="E396" i="2"/>
  <c r="A474" i="5"/>
  <c r="E698" i="2"/>
  <c r="A389" i="5"/>
  <c r="A579" i="5"/>
  <c r="D807" i="2"/>
  <c r="E468" i="2"/>
  <c r="A451" i="5"/>
  <c r="D40" i="2"/>
  <c r="A635" i="5"/>
  <c r="D780" i="2"/>
  <c r="D779" i="2"/>
  <c r="E245" i="2"/>
  <c r="D600" i="2"/>
  <c r="D2" i="2"/>
  <c r="D144" i="2"/>
  <c r="A927" i="5"/>
  <c r="A80" i="5"/>
  <c r="D532" i="2"/>
  <c r="A517" i="5"/>
  <c r="D25" i="2"/>
  <c r="A406" i="5"/>
  <c r="A226" i="5"/>
  <c r="D885" i="2"/>
  <c r="A487" i="5"/>
  <c r="D940" i="2"/>
  <c r="E133" i="2"/>
  <c r="A167" i="5"/>
  <c r="A330" i="5"/>
  <c r="D778" i="2"/>
  <c r="D310" i="2"/>
  <c r="A46" i="5"/>
  <c r="D74" i="2"/>
  <c r="D28" i="2"/>
  <c r="D57" i="2"/>
  <c r="D868" i="2"/>
  <c r="D237" i="2"/>
  <c r="D589" i="2"/>
  <c r="A81" i="5"/>
  <c r="D504" i="2"/>
  <c r="D322" i="2"/>
  <c r="D875" i="2"/>
  <c r="D759" i="2"/>
  <c r="D602" i="2"/>
  <c r="D53" i="2"/>
  <c r="A446" i="5"/>
  <c r="D67" i="2"/>
  <c r="A735" i="5"/>
  <c r="D434" i="2"/>
  <c r="D604" i="2"/>
  <c r="A274" i="5"/>
  <c r="D837" i="2"/>
  <c r="D965" i="2"/>
  <c r="D892" i="2"/>
  <c r="D90" i="2"/>
  <c r="D318" i="2"/>
  <c r="A169" i="5"/>
  <c r="A117" i="5"/>
  <c r="A971" i="5"/>
  <c r="D373" i="2"/>
  <c r="D566" i="2"/>
  <c r="A178" i="5"/>
  <c r="D14" i="2"/>
  <c r="D480" i="2"/>
  <c r="D286" i="2"/>
  <c r="D365" i="2"/>
  <c r="D679" i="2"/>
  <c r="D333" i="2"/>
  <c r="D420" i="2"/>
  <c r="D849" i="2"/>
  <c r="D601" i="2"/>
  <c r="D476" i="2"/>
  <c r="D482" i="2"/>
  <c r="A805" i="5"/>
  <c r="E210" i="2"/>
  <c r="D740" i="2"/>
  <c r="A372" i="5"/>
  <c r="D588" i="2"/>
  <c r="E291" i="2"/>
  <c r="D503" i="2"/>
  <c r="D329" i="2"/>
  <c r="D862" i="2"/>
  <c r="E303" i="2"/>
  <c r="D787" i="2"/>
  <c r="D692" i="2"/>
  <c r="D979" i="2"/>
  <c r="D37" i="2"/>
  <c r="E225" i="2"/>
  <c r="A385" i="5"/>
  <c r="A819" i="5"/>
  <c r="A157" i="5"/>
  <c r="A596" i="5"/>
  <c r="A374" i="5"/>
  <c r="A533" i="5"/>
  <c r="D56" i="2"/>
  <c r="D64" i="2"/>
  <c r="D823" i="2"/>
  <c r="D590" i="2"/>
  <c r="D316" i="2"/>
  <c r="D12" i="2"/>
  <c r="A314" i="5"/>
  <c r="D531" i="2"/>
  <c r="A736" i="5"/>
  <c r="E775" i="2"/>
  <c r="D975" i="2"/>
  <c r="D193" i="2"/>
  <c r="D746" i="2"/>
  <c r="D491" i="2"/>
  <c r="D261" i="2"/>
  <c r="A897" i="5"/>
  <c r="D902" i="2"/>
  <c r="E383" i="2"/>
  <c r="A844" i="5"/>
  <c r="E503" i="2"/>
  <c r="A268" i="5"/>
  <c r="A900" i="5"/>
  <c r="D730" i="2"/>
  <c r="E285" i="2"/>
  <c r="A510" i="5"/>
  <c r="D732" i="2"/>
  <c r="A786" i="5"/>
  <c r="A4" i="5"/>
  <c r="D80" i="2"/>
  <c r="A306" i="5"/>
  <c r="D984" i="2"/>
  <c r="D898" i="2"/>
  <c r="D644" i="2"/>
  <c r="E344" i="2"/>
  <c r="A812" i="5"/>
  <c r="A50" i="5"/>
  <c r="A480" i="5"/>
  <c r="A873" i="5"/>
  <c r="D70" i="2"/>
  <c r="A797" i="5"/>
  <c r="E260" i="2"/>
  <c r="D128" i="2"/>
  <c r="A693" i="5"/>
  <c r="A568" i="5"/>
  <c r="D850" i="2"/>
  <c r="E708" i="2"/>
  <c r="D650" i="2"/>
  <c r="D269" i="2"/>
  <c r="A500" i="5"/>
  <c r="A738" i="5"/>
  <c r="D291" i="2"/>
  <c r="D684" i="2"/>
  <c r="A611" i="5"/>
  <c r="D231" i="2"/>
  <c r="A955" i="5"/>
  <c r="D706" i="2"/>
  <c r="D427" i="2"/>
  <c r="D613" i="2"/>
  <c r="D77" i="2"/>
  <c r="A352" i="5"/>
  <c r="D563" i="2"/>
  <c r="D627" i="2"/>
  <c r="D105" i="2"/>
  <c r="A312" i="5"/>
  <c r="D572" i="2"/>
  <c r="A156" i="5"/>
  <c r="D453" i="2"/>
  <c r="D16" i="2"/>
  <c r="D331" i="2"/>
  <c r="D314" i="2"/>
  <c r="D166" i="2"/>
  <c r="D775" i="2"/>
  <c r="D5" i="2"/>
  <c r="D319" i="2"/>
  <c r="D94" i="2"/>
  <c r="E961" i="2"/>
  <c r="A360" i="5"/>
  <c r="D3" i="2"/>
  <c r="D576" i="2"/>
  <c r="D506" i="2"/>
  <c r="A160" i="5"/>
  <c r="D303" i="2"/>
  <c r="D496" i="2"/>
  <c r="D625" i="2"/>
  <c r="D792" i="2"/>
  <c r="D467" i="2"/>
  <c r="D537" i="2"/>
  <c r="D413" i="2"/>
  <c r="D663" i="2"/>
  <c r="D439" i="2"/>
  <c r="E449" i="2"/>
  <c r="D686" i="2"/>
  <c r="D399" i="2"/>
  <c r="A209" i="5"/>
  <c r="D283" i="2"/>
  <c r="D88" i="2"/>
  <c r="A381" i="5"/>
  <c r="D533" i="2"/>
  <c r="D430" i="2"/>
  <c r="D816" i="2"/>
  <c r="D177" i="2"/>
  <c r="D950" i="2"/>
  <c r="D156" i="2"/>
  <c r="D765" i="2"/>
  <c r="D800" i="2"/>
  <c r="D561" i="2"/>
  <c r="D366" i="2"/>
  <c r="D929" i="2"/>
  <c r="D584" i="2"/>
  <c r="A584" i="5"/>
  <c r="D714" i="2"/>
  <c r="A746" i="5"/>
  <c r="D391" i="2"/>
  <c r="D330" i="2"/>
  <c r="D307" i="2"/>
  <c r="E762" i="2"/>
  <c r="A770" i="5"/>
  <c r="D238" i="2"/>
  <c r="A19" i="5"/>
  <c r="D947" i="2"/>
  <c r="E554" i="2"/>
  <c r="E573" i="2"/>
  <c r="A443" i="5"/>
  <c r="E122" i="2"/>
  <c r="A206" i="5"/>
  <c r="A223" i="5"/>
  <c r="E779" i="2"/>
  <c r="E311" i="2"/>
  <c r="A608" i="5"/>
  <c r="E376" i="2"/>
  <c r="D145" i="2"/>
  <c r="E428" i="2"/>
  <c r="D534" i="2"/>
  <c r="A255" i="5"/>
  <c r="D978" i="2"/>
  <c r="E81" i="2"/>
  <c r="A997" i="5"/>
  <c r="D565" i="2"/>
  <c r="A104" i="5"/>
  <c r="D764" i="2"/>
  <c r="A751" i="5"/>
  <c r="D770" i="2"/>
  <c r="D713" i="2"/>
  <c r="D292" i="2"/>
  <c r="E215" i="2"/>
  <c r="A349" i="5"/>
  <c r="A922" i="5"/>
  <c r="A426" i="5"/>
  <c r="E812" i="2"/>
  <c r="D747" i="2"/>
  <c r="A562" i="5"/>
  <c r="A23" i="5"/>
  <c r="A438" i="5"/>
  <c r="A999" i="5"/>
  <c r="A956" i="5"/>
  <c r="D863" i="2"/>
  <c r="A181" i="5"/>
  <c r="A18" i="5"/>
  <c r="D46" i="2"/>
  <c r="D510" i="2"/>
  <c r="A911" i="5"/>
  <c r="E888" i="2"/>
  <c r="E355" i="2"/>
  <c r="A462" i="5"/>
  <c r="A59" i="5"/>
  <c r="D426" i="2"/>
  <c r="A964" i="5"/>
  <c r="A774" i="5"/>
  <c r="D488" i="2"/>
  <c r="D826" i="2"/>
  <c r="A963" i="5"/>
  <c r="D923" i="2"/>
  <c r="A348" i="5"/>
  <c r="D337" i="2"/>
  <c r="D791" i="2"/>
  <c r="A287" i="5"/>
  <c r="E793" i="2"/>
  <c r="A664" i="5"/>
  <c r="D944" i="2"/>
  <c r="A161" i="5"/>
  <c r="D811" i="2"/>
  <c r="D709" i="2"/>
  <c r="A110" i="5"/>
  <c r="D66" i="2"/>
  <c r="D997" i="2"/>
  <c r="D232" i="2"/>
  <c r="A924" i="5"/>
  <c r="D502" i="2"/>
  <c r="D933" i="2"/>
  <c r="D206" i="2"/>
  <c r="D203" i="2"/>
  <c r="D484" i="2"/>
  <c r="D888" i="2"/>
  <c r="D150" i="2"/>
  <c r="D879" i="2"/>
  <c r="A33" i="5"/>
  <c r="D724" i="2"/>
  <c r="D27" i="2"/>
  <c r="D68" i="2"/>
  <c r="D11" i="2"/>
  <c r="D574" i="2"/>
  <c r="D550" i="2"/>
  <c r="E282" i="2"/>
  <c r="A88" i="5"/>
  <c r="D69" i="2"/>
  <c r="D466" i="2"/>
  <c r="D189" i="2"/>
  <c r="D405" i="2"/>
  <c r="D419" i="2"/>
  <c r="D151" i="2"/>
  <c r="A16" i="5"/>
  <c r="D83" i="2"/>
  <c r="D452" i="2"/>
  <c r="D782" i="2"/>
  <c r="D970" i="2"/>
  <c r="D897" i="2"/>
  <c r="D802" i="2"/>
  <c r="A345" i="5"/>
  <c r="D93" i="2"/>
  <c r="D969" i="2"/>
  <c r="A834" i="5"/>
  <c r="D393" i="2"/>
  <c r="A378" i="5"/>
  <c r="D647" i="2"/>
  <c r="A162" i="5"/>
  <c r="A742" i="5"/>
  <c r="D529" i="2"/>
  <c r="D890" i="2"/>
  <c r="D617" i="2"/>
  <c r="D639" i="2"/>
  <c r="D968" i="2"/>
  <c r="D559" i="2"/>
  <c r="A175" i="5"/>
  <c r="A496" i="5"/>
  <c r="D570" i="2"/>
  <c r="D960" i="2"/>
  <c r="D634" i="2"/>
  <c r="A67" i="5"/>
  <c r="D406" i="2"/>
  <c r="A100" i="5"/>
  <c r="D793" i="2"/>
  <c r="D880" i="2"/>
  <c r="A293" i="5"/>
  <c r="D164" i="2"/>
  <c r="D219" i="2"/>
  <c r="E115" i="2"/>
  <c r="D691" i="2"/>
  <c r="E628" i="2"/>
  <c r="E629" i="2"/>
  <c r="E598" i="2"/>
  <c r="E417" i="2"/>
  <c r="A301" i="5"/>
  <c r="E265" i="2"/>
  <c r="A470" i="5"/>
  <c r="A535" i="5"/>
  <c r="D938" i="2"/>
  <c r="A980" i="5"/>
  <c r="D955" i="2"/>
  <c r="A109" i="5"/>
  <c r="D120" i="2"/>
  <c r="A868" i="5"/>
  <c r="A653" i="5"/>
  <c r="E928" i="2"/>
  <c r="A435" i="5"/>
  <c r="D773" i="2"/>
  <c r="A522" i="5"/>
  <c r="D422" i="2"/>
  <c r="A31" i="5"/>
  <c r="A239" i="5"/>
  <c r="A235" i="5"/>
  <c r="D317" i="2"/>
  <c r="E797" i="2"/>
  <c r="E823" i="2"/>
  <c r="A154" i="5"/>
  <c r="A877" i="5"/>
  <c r="A63" i="5"/>
  <c r="D82" i="2"/>
  <c r="E35" i="2"/>
  <c r="A983" i="5"/>
  <c r="D901" i="2"/>
  <c r="D364" i="2"/>
  <c r="A493" i="5"/>
  <c r="D470" i="2"/>
  <c r="A304" i="5"/>
  <c r="D988" i="2"/>
  <c r="D230" i="2"/>
  <c r="A364" i="5"/>
  <c r="E655" i="2"/>
  <c r="A734" i="5"/>
  <c r="A263" i="5"/>
  <c r="E319" i="2"/>
  <c r="A233" i="5"/>
  <c r="D404" i="2"/>
  <c r="A388" i="5"/>
  <c r="E995" i="2"/>
  <c r="D8" i="2"/>
  <c r="A257" i="5"/>
  <c r="A129" i="5"/>
  <c r="D906" i="2"/>
  <c r="D756" i="2"/>
  <c r="A22" i="5"/>
  <c r="D65" i="2"/>
  <c r="A672" i="5"/>
  <c r="E354" i="2"/>
  <c r="A299" i="5"/>
  <c r="D118" i="2"/>
  <c r="D935" i="2"/>
  <c r="D152" i="2"/>
  <c r="D465" i="2"/>
  <c r="D38" i="2"/>
  <c r="D161" i="2"/>
  <c r="A29" i="5"/>
  <c r="D526" i="2"/>
  <c r="E379" i="2"/>
  <c r="A217" i="5"/>
  <c r="D339" i="2"/>
  <c r="D392" i="2"/>
  <c r="D483" i="2"/>
  <c r="D915" i="2"/>
  <c r="D799" i="2"/>
  <c r="D942" i="2"/>
  <c r="A458" i="5"/>
  <c r="D375" i="2"/>
  <c r="D989" i="2"/>
  <c r="D762" i="2"/>
  <c r="D58" i="2"/>
  <c r="D856" i="2"/>
  <c r="D280" i="2"/>
  <c r="E584" i="2"/>
  <c r="D904" i="2"/>
  <c r="A241" i="5"/>
  <c r="D985" i="2"/>
  <c r="D22" i="2"/>
  <c r="A237" i="5"/>
  <c r="D789" i="2"/>
  <c r="D749" i="2"/>
  <c r="D867" i="2"/>
  <c r="D394" i="2"/>
  <c r="D620" i="2"/>
  <c r="D449" i="2"/>
  <c r="D119" i="2"/>
  <c r="D335" i="2"/>
  <c r="D433" i="2"/>
  <c r="D332" i="2"/>
  <c r="A475" i="5"/>
  <c r="A841" i="5"/>
  <c r="D549" i="2"/>
  <c r="A155" i="5"/>
  <c r="D926" i="2"/>
  <c r="A166" i="5"/>
  <c r="A207" i="5"/>
  <c r="D7" i="2"/>
  <c r="A839" i="5"/>
  <c r="D637" i="2"/>
  <c r="D441" i="2"/>
  <c r="D573" i="2"/>
  <c r="D605" i="2"/>
  <c r="D538" i="2"/>
  <c r="D641" i="2"/>
  <c r="D336" i="2"/>
  <c r="E530" i="2"/>
  <c r="A302" i="5"/>
  <c r="D685" i="2"/>
  <c r="D659" i="2"/>
  <c r="D755" i="2"/>
  <c r="A346" i="5"/>
  <c r="D324" i="2"/>
  <c r="D221" i="2"/>
  <c r="D803" i="2"/>
  <c r="E516" i="2"/>
  <c r="A375" i="5"/>
  <c r="D138" i="2"/>
  <c r="E451" i="2"/>
  <c r="D51" i="2"/>
  <c r="A787" i="5"/>
  <c r="A687" i="5"/>
  <c r="E652" i="2"/>
  <c r="A395" i="5"/>
  <c r="A30" i="5"/>
  <c r="A695" i="5"/>
  <c r="E391" i="2"/>
  <c r="A402" i="5"/>
  <c r="E680" i="2"/>
  <c r="D380" i="2"/>
  <c r="E14" i="2"/>
  <c r="D831" i="2"/>
  <c r="E119" i="2"/>
  <c r="D861" i="2"/>
  <c r="D678" i="2"/>
  <c r="E534" i="2"/>
  <c r="D353" i="2"/>
  <c r="E106" i="2"/>
  <c r="A993" i="5"/>
  <c r="D395" i="2"/>
  <c r="A392" i="5"/>
  <c r="D754" i="2"/>
  <c r="D508" i="2"/>
  <c r="A815" i="5"/>
  <c r="E590" i="2"/>
  <c r="A624" i="5"/>
  <c r="A585" i="5"/>
  <c r="E593" i="2"/>
  <c r="A342" i="5"/>
  <c r="D585" i="2"/>
  <c r="A699" i="5"/>
  <c r="E278" i="2"/>
  <c r="A351" i="5"/>
  <c r="D681" i="2"/>
  <c r="A144" i="5"/>
  <c r="D695" i="2"/>
  <c r="D860" i="2"/>
  <c r="D15" i="2"/>
  <c r="D853" i="2"/>
  <c r="A558" i="5"/>
  <c r="A796" i="5"/>
  <c r="A570" i="5"/>
  <c r="E385" i="2"/>
  <c r="E193" i="2"/>
  <c r="A650" i="5"/>
  <c r="A192" i="5"/>
  <c r="A589" i="5"/>
  <c r="A934" i="5"/>
  <c r="D343" i="2"/>
  <c r="D98" i="2"/>
  <c r="D580" i="2"/>
  <c r="D703" i="2"/>
  <c r="A407" i="5"/>
  <c r="D174" i="2"/>
  <c r="D281" i="2"/>
  <c r="E880" i="2"/>
  <c r="E962" i="2"/>
  <c r="A696" i="5"/>
  <c r="D86" i="2"/>
  <c r="D814" i="2"/>
  <c r="D668" i="2"/>
  <c r="D356" i="2"/>
  <c r="D397" i="2"/>
  <c r="D126" i="2"/>
  <c r="D516" i="2"/>
  <c r="D31" i="2"/>
  <c r="A534" i="5"/>
  <c r="D753" i="2"/>
  <c r="D192" i="2"/>
  <c r="A591" i="5"/>
  <c r="A297" i="5"/>
  <c r="A227" i="5"/>
  <c r="D282" i="2"/>
  <c r="D718" i="2"/>
  <c r="E461" i="2"/>
  <c r="A72" i="5"/>
  <c r="D363" i="2"/>
  <c r="D806" i="2"/>
  <c r="D893" i="2"/>
  <c r="D445" i="2"/>
  <c r="D169" i="2"/>
  <c r="E248" i="2"/>
  <c r="A669" i="5"/>
  <c r="D643" i="2"/>
  <c r="D845" i="2"/>
  <c r="D578" i="2"/>
  <c r="D240" i="2"/>
  <c r="D424" i="2"/>
  <c r="D468" i="2"/>
  <c r="D154" i="2"/>
  <c r="D804" i="2"/>
  <c r="D757" i="2"/>
  <c r="D973" i="2"/>
  <c r="D495" i="2"/>
  <c r="D45" i="2"/>
  <c r="D777" i="2"/>
  <c r="D958" i="2"/>
  <c r="A6" i="5"/>
  <c r="D239" i="2"/>
  <c r="D457" i="2"/>
  <c r="A547" i="5"/>
  <c r="D854" i="2"/>
  <c r="A466" i="5"/>
  <c r="D412" i="2"/>
  <c r="D701" i="2"/>
  <c r="A139" i="5"/>
  <c r="D162" i="2"/>
  <c r="D99" i="2"/>
  <c r="D911" i="2"/>
  <c r="A99" i="5"/>
  <c r="D183" i="2"/>
  <c r="D272" i="2"/>
  <c r="E957" i="2"/>
  <c r="D429" i="2"/>
  <c r="A56" i="5"/>
  <c r="D279" i="2"/>
  <c r="D560" i="2"/>
  <c r="D805" i="2"/>
  <c r="D742" i="2"/>
  <c r="D403" i="2"/>
  <c r="A634" i="5"/>
  <c r="D205" i="2"/>
  <c r="D700" i="2"/>
  <c r="D932" i="2"/>
  <c r="D876" i="2"/>
  <c r="A948" i="5"/>
  <c r="D661" i="2"/>
  <c r="E588" i="2"/>
  <c r="E386" i="2"/>
  <c r="E993" i="2"/>
  <c r="E211" i="2"/>
  <c r="E636" i="2"/>
  <c r="A278" i="5"/>
  <c r="A720" i="5"/>
  <c r="D328" i="2"/>
  <c r="A625" i="5"/>
  <c r="A254" i="5"/>
  <c r="E3" i="2"/>
  <c r="A390" i="5"/>
  <c r="A21" i="5"/>
  <c r="D616" i="2"/>
  <c r="D123" i="2"/>
  <c r="E546" i="2"/>
  <c r="D767" i="2"/>
  <c r="D113" i="2"/>
  <c r="A308" i="5"/>
  <c r="D524" i="2"/>
  <c r="A34" i="5"/>
  <c r="D385" i="2"/>
  <c r="D927" i="2"/>
  <c r="A619" i="5"/>
  <c r="E157" i="2"/>
  <c r="A685" i="5"/>
  <c r="E67" i="2"/>
  <c r="E914" i="2"/>
  <c r="A832" i="5"/>
  <c r="A253" i="5"/>
  <c r="A655" i="5"/>
  <c r="A874" i="5"/>
  <c r="D839" i="2"/>
  <c r="D246" i="2"/>
  <c r="D972" i="2"/>
  <c r="D436" i="2"/>
  <c r="D75" i="2"/>
  <c r="D270" i="2"/>
  <c r="D905" i="2"/>
  <c r="E522" i="2"/>
  <c r="A383" i="5"/>
  <c r="E605" i="2"/>
  <c r="A544" i="5"/>
  <c r="E898" i="2"/>
  <c r="A654" i="5"/>
  <c r="D431" i="2"/>
  <c r="E836" i="2"/>
  <c r="E699" i="2"/>
  <c r="A171" i="5"/>
  <c r="D21" i="2"/>
  <c r="D211" i="2"/>
  <c r="A148" i="5"/>
  <c r="D334" i="2"/>
  <c r="A847" i="5"/>
  <c r="D719" i="2"/>
  <c r="E900" i="2"/>
  <c r="D873" i="2"/>
  <c r="D530" i="2"/>
  <c r="D44" i="2"/>
  <c r="A89" i="5"/>
  <c r="D236" i="2"/>
  <c r="D622" i="2"/>
  <c r="D254" i="2"/>
  <c r="D729" i="2"/>
  <c r="D507" i="2"/>
  <c r="D664" i="2"/>
  <c r="D964" i="2"/>
  <c r="D835" i="2"/>
  <c r="A142" i="5"/>
  <c r="A987" i="5"/>
  <c r="D918" i="2"/>
  <c r="A967" i="5"/>
  <c r="D631" i="2"/>
  <c r="D216" i="2"/>
  <c r="A310" i="5"/>
  <c r="D571" i="2"/>
  <c r="D54" i="2"/>
  <c r="D497" i="2"/>
  <c r="D227" i="2"/>
  <c r="D248" i="2"/>
  <c r="D517" i="2"/>
  <c r="A683" i="5"/>
  <c r="A377" i="5"/>
  <c r="D916" i="2"/>
  <c r="D443" i="2"/>
  <c r="D390" i="2"/>
  <c r="D859" i="2"/>
  <c r="D829" i="2"/>
  <c r="D186" i="2"/>
  <c r="D321" i="2"/>
  <c r="A643" i="5"/>
  <c r="D131" i="2"/>
  <c r="D106" i="2"/>
  <c r="D4" i="2"/>
  <c r="D652" i="2"/>
  <c r="D140" i="2"/>
  <c r="D930" i="2"/>
  <c r="E715" i="2"/>
  <c r="D376" i="2"/>
  <c r="A13" i="5"/>
  <c r="D302" i="2"/>
  <c r="A185" i="5"/>
  <c r="D951" i="2"/>
  <c r="D579" i="2"/>
  <c r="D135" i="2"/>
  <c r="D451" i="2"/>
  <c r="D523" i="2"/>
  <c r="D878" i="2"/>
  <c r="D175" i="2"/>
  <c r="D511" i="2"/>
  <c r="D170" i="2"/>
  <c r="A803" i="5"/>
  <c r="A629" i="5"/>
  <c r="A147" i="5"/>
  <c r="D553" i="2"/>
  <c r="D499" i="2"/>
  <c r="D728" i="2"/>
  <c r="D122" i="2"/>
  <c r="D771" i="2"/>
  <c r="D311" i="2"/>
  <c r="A645" i="5"/>
  <c r="D398" i="2"/>
  <c r="A909" i="5"/>
  <c r="A225" i="5"/>
  <c r="D813" i="2"/>
  <c r="D628" i="2"/>
  <c r="D882" i="2"/>
  <c r="A727" i="5"/>
  <c r="E269" i="2"/>
  <c r="E102" i="2"/>
  <c r="E989" i="2"/>
  <c r="A51" i="5"/>
  <c r="A729" i="5"/>
  <c r="D146" i="2"/>
  <c r="D79" i="2"/>
  <c r="D49" i="2"/>
  <c r="A201" i="5"/>
  <c r="D991" i="2"/>
  <c r="D155" i="2"/>
  <c r="D386" i="2"/>
  <c r="D408" i="2"/>
  <c r="E876" i="2"/>
  <c r="A52" i="5"/>
  <c r="D41" i="2"/>
  <c r="D986" i="2"/>
  <c r="D110" i="2"/>
  <c r="D259" i="2"/>
  <c r="D554" i="2"/>
  <c r="A324" i="5"/>
  <c r="D425" i="2"/>
  <c r="D797" i="2"/>
  <c r="D96" i="2"/>
  <c r="A195" i="5"/>
  <c r="D257" i="2"/>
  <c r="D599" i="2"/>
  <c r="D141" i="2"/>
  <c r="D564" i="2"/>
  <c r="D924" i="2"/>
  <c r="A64" i="5"/>
  <c r="D361" i="2"/>
  <c r="D493" i="2"/>
  <c r="D440" i="2"/>
  <c r="D889" i="2"/>
  <c r="D851" i="2"/>
  <c r="D358" i="2"/>
  <c r="A10" i="5"/>
  <c r="D555" i="2"/>
  <c r="D618" i="2"/>
  <c r="D525" i="2"/>
  <c r="D428" i="2"/>
  <c r="D883" i="2"/>
  <c r="A93" i="5"/>
  <c r="A831" i="5"/>
  <c r="D55" i="2"/>
  <c r="D903" i="2"/>
  <c r="A61" i="5"/>
  <c r="A210" i="5"/>
  <c r="D379" i="2"/>
  <c r="D818" i="2"/>
  <c r="D736" i="2"/>
  <c r="D752" i="2"/>
  <c r="D442" i="2"/>
  <c r="D489" i="2"/>
  <c r="D459" i="2"/>
  <c r="A799" i="5"/>
  <c r="D977" i="2"/>
  <c r="D127" i="2"/>
  <c r="D490" i="2"/>
  <c r="A76" i="5"/>
  <c r="D611" i="2"/>
  <c r="D474" i="2"/>
  <c r="A926" i="5"/>
  <c r="A694" i="5"/>
  <c r="D512" i="2"/>
  <c r="D241" i="2"/>
  <c r="D583" i="2"/>
  <c r="D494" i="2"/>
  <c r="D438" i="2"/>
  <c r="E970" i="2"/>
  <c r="D896" i="2"/>
  <c r="D921" i="2"/>
  <c r="D444" i="2"/>
  <c r="E872" i="2"/>
  <c r="D635" i="2"/>
  <c r="D20" i="2"/>
  <c r="E738" i="2"/>
  <c r="D957" i="2"/>
  <c r="A935" i="5"/>
  <c r="D646" i="2"/>
  <c r="D711" i="2"/>
  <c r="D961" i="2"/>
  <c r="A249" i="5"/>
  <c r="A1000" i="5"/>
  <c r="E242" i="2"/>
  <c r="A325" i="5"/>
  <c r="A45" i="5"/>
  <c r="A537" i="5"/>
  <c r="D535" i="2"/>
  <c r="A808" i="5"/>
  <c r="D167" i="2"/>
  <c r="D153" i="2"/>
  <c r="A776" i="5"/>
  <c r="D912" i="2"/>
  <c r="D697" i="2"/>
  <c r="D900" i="2"/>
  <c r="D71" i="2"/>
  <c r="A2" i="5"/>
  <c r="A15" i="5"/>
  <c r="A49" i="5"/>
  <c r="A126" i="5"/>
  <c r="D673" i="2"/>
  <c r="D922" i="2"/>
  <c r="D586" i="2"/>
  <c r="D362" i="2"/>
  <c r="D85" i="2"/>
  <c r="D540" i="2"/>
  <c r="D606" i="2"/>
  <c r="D288" i="2"/>
  <c r="D350" i="2"/>
  <c r="D359" i="2"/>
  <c r="D624" i="2"/>
  <c r="D809" i="2"/>
  <c r="D285" i="2"/>
  <c r="E932" i="2"/>
  <c r="A183" i="5"/>
  <c r="D188" i="2"/>
  <c r="D895" i="2"/>
  <c r="D61" i="2"/>
  <c r="D287" i="2"/>
  <c r="D296" i="2"/>
  <c r="A8" i="5"/>
  <c r="D293" i="2"/>
  <c r="D976" i="2"/>
  <c r="D739" i="2"/>
  <c r="D741" i="2"/>
  <c r="A86" i="5"/>
  <c r="A203" i="5"/>
  <c r="D715" i="2"/>
  <c r="D472" i="2"/>
  <c r="E450" i="2"/>
  <c r="D195" i="2"/>
  <c r="D116" i="2"/>
  <c r="D543" i="2"/>
  <c r="D103" i="2"/>
  <c r="D102" i="2"/>
  <c r="D52" i="2"/>
  <c r="A884" i="5"/>
  <c r="D275" i="2"/>
  <c r="A400" i="5"/>
  <c r="D656" i="2"/>
  <c r="D658" i="2"/>
  <c r="D338" i="2"/>
  <c r="D48" i="2"/>
  <c r="D626" i="2"/>
  <c r="D920" i="2"/>
  <c r="D817" i="2"/>
  <c r="D705" i="2"/>
  <c r="D699" i="2"/>
  <c r="A108" i="5"/>
  <c r="A430" i="5"/>
  <c r="D621" i="2"/>
  <c r="A127" i="5"/>
  <c r="D848" i="2"/>
  <c r="A354" i="5"/>
  <c r="A546" i="5"/>
  <c r="D919" i="2"/>
  <c r="E54" i="2"/>
  <c r="D509" i="2"/>
  <c r="D171" i="2"/>
  <c r="D708" i="2"/>
  <c r="D983" i="2"/>
  <c r="D130" i="2"/>
  <c r="D788" i="2"/>
  <c r="A336" i="5"/>
  <c r="A825" i="5"/>
  <c r="D801" i="2"/>
  <c r="D536" i="2"/>
  <c r="A411" i="5"/>
  <c r="D671" i="2"/>
  <c r="D680" i="2"/>
  <c r="A614" i="5"/>
  <c r="D78" i="2"/>
  <c r="D382" i="2"/>
  <c r="E815" i="2"/>
  <c r="D557" i="2"/>
  <c r="D276" i="2"/>
  <c r="A131" i="5"/>
  <c r="D694" i="2"/>
  <c r="D371" i="2"/>
  <c r="D840" i="2"/>
  <c r="D305" i="2"/>
  <c r="A165" i="5"/>
  <c r="D165" i="2"/>
  <c r="D781" i="2"/>
  <c r="D402" i="2"/>
  <c r="D274" i="2"/>
  <c r="D833" i="2"/>
  <c r="D39" i="2"/>
  <c r="D959" i="2"/>
  <c r="A356" i="5"/>
  <c r="A130" i="5"/>
  <c r="D34" i="2"/>
  <c r="A69" i="5"/>
  <c r="D290" i="2"/>
  <c r="D821" i="2"/>
  <c r="D190" i="2"/>
  <c r="D733" i="2"/>
  <c r="D384" i="2"/>
  <c r="A244" i="5"/>
  <c r="D108" i="2"/>
  <c r="D377" i="2"/>
  <c r="D948" i="2"/>
  <c r="D941" i="2"/>
  <c r="D191" i="2"/>
  <c r="D196" i="2"/>
  <c r="E657" i="2"/>
  <c r="D411" i="2"/>
  <c r="D953" i="2"/>
  <c r="D109" i="2"/>
  <c r="A57" i="5"/>
  <c r="D378" i="2"/>
  <c r="D341" i="2"/>
  <c r="A850" i="5"/>
  <c r="D215" i="2"/>
  <c r="A150" i="5"/>
  <c r="E514" i="2"/>
  <c r="D416" i="2"/>
  <c r="D748" i="2"/>
  <c r="A670" i="5"/>
  <c r="A662" i="5"/>
  <c r="D913" i="2"/>
  <c r="E684" i="2"/>
  <c r="D59" i="2"/>
  <c r="A632" i="5"/>
  <c r="D669" i="2"/>
  <c r="D812" i="2"/>
  <c r="A521" i="5"/>
  <c r="D180" i="2"/>
  <c r="D655" i="2"/>
  <c r="D315" i="2"/>
  <c r="D265" i="2"/>
  <c r="D891" i="2"/>
  <c r="D125" i="2"/>
  <c r="A431" i="5"/>
  <c r="A250" i="5"/>
  <c r="D931" i="2"/>
  <c r="D513" i="2"/>
  <c r="A367" i="5"/>
  <c r="D163" i="2"/>
  <c r="D725" i="2"/>
  <c r="D410" i="2"/>
  <c r="D60" i="2"/>
  <c r="D987" i="2"/>
  <c r="E440" i="2"/>
  <c r="D838" i="2"/>
  <c r="D229" i="2"/>
  <c r="A427" i="5"/>
  <c r="D689" i="2"/>
  <c r="A594" i="5"/>
  <c r="D9" i="2"/>
  <c r="A62" i="5"/>
  <c r="A418" i="5"/>
  <c r="A295" i="5"/>
  <c r="D325" i="2"/>
  <c r="D181" i="2"/>
  <c r="D258" i="2"/>
  <c r="D569" i="2"/>
  <c r="D629" i="2"/>
  <c r="D522" i="2"/>
  <c r="D734" i="2"/>
  <c r="D224" i="2"/>
  <c r="D342" i="2"/>
  <c r="A970" i="5"/>
  <c r="D458" i="2"/>
  <c r="D786" i="2"/>
  <c r="A270" i="5"/>
  <c r="A98" i="5"/>
  <c r="D651" i="2"/>
  <c r="D228" i="2"/>
  <c r="D72" i="2"/>
  <c r="D768" i="2"/>
  <c r="A66" i="5"/>
  <c r="D887" i="2"/>
  <c r="D847" i="2"/>
  <c r="D198" i="2"/>
  <c r="D744" i="2"/>
  <c r="D761" i="2"/>
  <c r="D133" i="2"/>
  <c r="D674" i="2"/>
  <c r="D798" i="2"/>
  <c r="D295" i="2"/>
  <c r="D454" i="2"/>
  <c r="D648" i="2"/>
  <c r="D487" i="2"/>
  <c r="D836" i="2"/>
  <c r="D993" i="2"/>
  <c r="D266" i="2"/>
  <c r="D980" i="2"/>
  <c r="D357" i="2"/>
  <c r="D827" i="2"/>
  <c r="D301" i="2"/>
  <c r="D858" i="2"/>
  <c r="D843" i="2"/>
  <c r="E137" i="2"/>
  <c r="D871" i="2"/>
  <c r="D710" i="2"/>
  <c r="D92" i="2"/>
  <c r="A724" i="5"/>
  <c r="E896" i="2"/>
  <c r="A821" i="5"/>
  <c r="D202" i="2"/>
  <c r="D995" i="2"/>
  <c r="D136" i="2"/>
  <c r="D552" i="2"/>
  <c r="D819" i="2"/>
  <c r="D210" i="2"/>
  <c r="D327" i="2"/>
  <c r="D832" i="2"/>
  <c r="D575" i="2"/>
  <c r="D448" i="2"/>
  <c r="D539" i="2"/>
  <c r="A242" i="5"/>
  <c r="D6" i="2"/>
  <c r="D608" i="2"/>
  <c r="A285" i="5"/>
  <c r="D111" i="2"/>
  <c r="D556" i="2"/>
  <c r="D372" i="2"/>
  <c r="D609" i="2"/>
  <c r="D184" i="2"/>
  <c r="D349" i="2"/>
  <c r="A180" i="5"/>
  <c r="D766" i="2"/>
  <c r="A153" i="5"/>
  <c r="D218" i="2"/>
  <c r="D389" i="2"/>
  <c r="A97" i="5"/>
  <c r="D306" i="2"/>
  <c r="D716" i="2"/>
  <c r="A280" i="5"/>
  <c r="D471" i="2"/>
  <c r="D567" i="2"/>
  <c r="A149" i="5"/>
  <c r="D815" i="2"/>
  <c r="D213" i="2"/>
  <c r="D139" i="2"/>
  <c r="D846" i="2"/>
  <c r="A830" i="5"/>
  <c r="D794" i="2"/>
  <c r="D824" i="2"/>
  <c r="A118" i="5"/>
  <c r="D519" i="2"/>
  <c r="D81" i="2"/>
  <c r="D249" i="2"/>
  <c r="D461" i="2"/>
  <c r="D939" i="2"/>
  <c r="A792" i="5"/>
  <c r="A397" i="5"/>
  <c r="D158" i="2"/>
  <c r="E384" i="2"/>
  <c r="E96" i="2"/>
  <c r="E852" i="2"/>
  <c r="D179" i="2"/>
  <c r="D607" i="2"/>
  <c r="D731" i="2"/>
  <c r="D18" i="2"/>
  <c r="D967" i="2"/>
  <c r="D872" i="2"/>
  <c r="D527" i="2"/>
  <c r="D645" i="2"/>
  <c r="D870" i="2"/>
  <c r="A204" i="5"/>
  <c r="D676" i="2"/>
  <c r="D36" i="2"/>
  <c r="D558" i="2"/>
  <c r="D546" i="2"/>
  <c r="D63" i="2"/>
  <c r="A514" i="5"/>
  <c r="D432" i="2"/>
  <c r="D185" i="2"/>
  <c r="D690" i="2"/>
  <c r="A398" i="5"/>
  <c r="A232" i="5"/>
  <c r="D642" i="2"/>
  <c r="A362" i="5"/>
  <c r="D721" i="2"/>
  <c r="A531" i="5"/>
  <c r="D199" i="2"/>
  <c r="D830" i="2"/>
  <c r="A194" i="5"/>
  <c r="D374" i="2"/>
  <c r="A122" i="5"/>
  <c r="D518" i="2"/>
  <c r="A133" i="5"/>
  <c r="D672" i="2"/>
  <c r="D954" i="2"/>
  <c r="D654" i="2"/>
  <c r="D415" i="2"/>
  <c r="D743" i="2"/>
  <c r="D47" i="2"/>
  <c r="A83" i="5"/>
  <c r="D243" i="2"/>
  <c r="D707" i="2"/>
  <c r="D256" i="2"/>
  <c r="D498" i="2"/>
  <c r="E317" i="2"/>
  <c r="A712" i="5"/>
  <c r="D89" i="2"/>
  <c r="D610" i="2"/>
  <c r="D323" i="2"/>
  <c r="D704" i="2"/>
  <c r="D936" i="2"/>
  <c r="D201" i="2"/>
  <c r="D990" i="2"/>
  <c r="D312" i="2"/>
  <c r="D423" i="2"/>
  <c r="D1001" i="2"/>
  <c r="D73" i="2"/>
  <c r="D776" i="2"/>
  <c r="D277" i="2"/>
  <c r="D665" i="2"/>
  <c r="D914" i="2"/>
  <c r="A991" i="5"/>
  <c r="D222" i="2"/>
  <c r="A36" i="5"/>
  <c r="D134" i="2"/>
  <c r="D143" i="2"/>
  <c r="A146" i="5"/>
  <c r="D95" i="2"/>
  <c r="D19" i="2"/>
  <c r="D132" i="2"/>
  <c r="D640" i="2"/>
  <c r="D907" i="2"/>
  <c r="D962" i="2"/>
  <c r="D619" i="2"/>
  <c r="D23" i="2"/>
  <c r="D473" i="2"/>
  <c r="D124" i="2"/>
  <c r="E486" i="2"/>
  <c r="E717" i="2"/>
  <c r="A616" i="5"/>
  <c r="A894" i="5"/>
  <c r="D114" i="2"/>
  <c r="D414" i="2"/>
  <c r="D355" i="2"/>
  <c r="D157" i="2"/>
  <c r="D313" i="2"/>
  <c r="D87" i="2"/>
  <c r="D683" i="2"/>
  <c r="A465" i="5"/>
  <c r="A211" i="5"/>
  <c r="D881" i="2"/>
  <c r="D217" i="2"/>
  <c r="D515" i="2"/>
  <c r="D956" i="2"/>
  <c r="D636" i="2"/>
  <c r="D121" i="2"/>
  <c r="D547" i="2"/>
  <c r="D712" i="2"/>
  <c r="Q712" i="2" l="1"/>
  <c r="Q547" i="2"/>
  <c r="Q121" i="2"/>
  <c r="Q636" i="2"/>
  <c r="Q956" i="2"/>
  <c r="Q515" i="2"/>
  <c r="Q217" i="2"/>
  <c r="Q881" i="2"/>
  <c r="D211" i="5"/>
  <c r="B211" i="5"/>
  <c r="G211" i="5"/>
  <c r="C211" i="5"/>
  <c r="H211" i="5"/>
  <c r="G465" i="5"/>
  <c r="H465" i="5"/>
  <c r="D465" i="5"/>
  <c r="C465" i="5"/>
  <c r="B465" i="5"/>
  <c r="Q683" i="2"/>
  <c r="Q313" i="2"/>
  <c r="Q157" i="2"/>
  <c r="Q355" i="2"/>
  <c r="Q414" i="2"/>
  <c r="Q114" i="2"/>
  <c r="C894" i="5"/>
  <c r="D894" i="5"/>
  <c r="H894" i="5"/>
  <c r="G894" i="5"/>
  <c r="B894" i="5"/>
  <c r="C616" i="5"/>
  <c r="H616" i="5"/>
  <c r="G616" i="5"/>
  <c r="B616" i="5"/>
  <c r="D616" i="5"/>
  <c r="R717" i="2"/>
  <c r="H717" i="2"/>
  <c r="N717" i="2"/>
  <c r="O717" i="2"/>
  <c r="M717" i="2"/>
  <c r="F717" i="2"/>
  <c r="L717" i="2"/>
  <c r="I717" i="2"/>
  <c r="S717" i="2"/>
  <c r="G717" i="2"/>
  <c r="R486" i="2"/>
  <c r="N486" i="2"/>
  <c r="L486" i="2"/>
  <c r="G486" i="2"/>
  <c r="F486" i="2"/>
  <c r="O486" i="2"/>
  <c r="M486" i="2"/>
  <c r="I486" i="2"/>
  <c r="H486" i="2"/>
  <c r="S486" i="2"/>
  <c r="Q124" i="2"/>
  <c r="Q473" i="2"/>
  <c r="Q619" i="2"/>
  <c r="Q962" i="2"/>
  <c r="Q907" i="2"/>
  <c r="Q640" i="2"/>
  <c r="Q132" i="2"/>
  <c r="G146" i="5"/>
  <c r="H146" i="5"/>
  <c r="C146" i="5"/>
  <c r="D146" i="5"/>
  <c r="B146" i="5"/>
  <c r="Q143" i="2"/>
  <c r="Q134" i="2"/>
  <c r="B36" i="5"/>
  <c r="Q222" i="2"/>
  <c r="C991" i="5"/>
  <c r="B991" i="5"/>
  <c r="H991" i="5"/>
  <c r="G991" i="5"/>
  <c r="D991" i="5"/>
  <c r="Q914" i="2"/>
  <c r="Q665" i="2"/>
  <c r="Q277" i="2"/>
  <c r="Q776" i="2"/>
  <c r="Q1001" i="2"/>
  <c r="Q423" i="2"/>
  <c r="Q312" i="2"/>
  <c r="Q990" i="2"/>
  <c r="Q201" i="2"/>
  <c r="Q936" i="2"/>
  <c r="Q704" i="2"/>
  <c r="Q323" i="2"/>
  <c r="Q610" i="2"/>
  <c r="C712" i="5"/>
  <c r="D712" i="5"/>
  <c r="G712" i="5"/>
  <c r="B712" i="5"/>
  <c r="H712" i="5"/>
  <c r="R317" i="2"/>
  <c r="L317" i="2"/>
  <c r="O317" i="2"/>
  <c r="I317" i="2"/>
  <c r="H317" i="2"/>
  <c r="G317" i="2"/>
  <c r="S317" i="2"/>
  <c r="M317" i="2"/>
  <c r="F317" i="2"/>
  <c r="N317" i="2"/>
  <c r="Q498" i="2"/>
  <c r="Q256" i="2"/>
  <c r="Q707" i="2"/>
  <c r="Q243" i="2"/>
  <c r="B83" i="5"/>
  <c r="Q743" i="2"/>
  <c r="Q415" i="2"/>
  <c r="Q654" i="2"/>
  <c r="Q954" i="2"/>
  <c r="Q672" i="2"/>
  <c r="C133" i="5"/>
  <c r="G133" i="5"/>
  <c r="D133" i="5"/>
  <c r="H133" i="5"/>
  <c r="B133" i="5"/>
  <c r="Q518" i="2"/>
  <c r="C122" i="5"/>
  <c r="H122" i="5"/>
  <c r="B122" i="5"/>
  <c r="D122" i="5"/>
  <c r="G122" i="5"/>
  <c r="Q374" i="2"/>
  <c r="H194" i="5"/>
  <c r="C194" i="5"/>
  <c r="B194" i="5"/>
  <c r="G194" i="5"/>
  <c r="D194" i="5"/>
  <c r="Q830" i="2"/>
  <c r="Q199" i="2"/>
  <c r="H531" i="5"/>
  <c r="G531" i="5"/>
  <c r="C531" i="5"/>
  <c r="B531" i="5"/>
  <c r="D531" i="5"/>
  <c r="Q721" i="2"/>
  <c r="B362" i="5"/>
  <c r="C362" i="5"/>
  <c r="G362" i="5"/>
  <c r="D362" i="5"/>
  <c r="H362" i="5"/>
  <c r="Q642" i="2"/>
  <c r="C232" i="5"/>
  <c r="G232" i="5"/>
  <c r="H232" i="5"/>
  <c r="B232" i="5"/>
  <c r="D232" i="5"/>
  <c r="G398" i="5"/>
  <c r="D398" i="5"/>
  <c r="B398" i="5"/>
  <c r="H398" i="5"/>
  <c r="C398" i="5"/>
  <c r="Q690" i="2"/>
  <c r="Q185" i="2"/>
  <c r="Q432" i="2"/>
  <c r="B514" i="5"/>
  <c r="H514" i="5"/>
  <c r="G514" i="5"/>
  <c r="D514" i="5"/>
  <c r="C514" i="5"/>
  <c r="Q546" i="2"/>
  <c r="Q558" i="2"/>
  <c r="Q676" i="2"/>
  <c r="G204" i="5"/>
  <c r="H204" i="5"/>
  <c r="C204" i="5"/>
  <c r="D204" i="5"/>
  <c r="B204" i="5"/>
  <c r="Q870" i="2"/>
  <c r="Q645" i="2"/>
  <c r="Q527" i="2"/>
  <c r="Q872" i="2"/>
  <c r="Q967" i="2"/>
  <c r="Q731" i="2"/>
  <c r="Q607" i="2"/>
  <c r="Q179" i="2"/>
  <c r="R852" i="2"/>
  <c r="L852" i="2"/>
  <c r="S852" i="2"/>
  <c r="N852" i="2"/>
  <c r="M852" i="2"/>
  <c r="G852" i="2"/>
  <c r="I852" i="2"/>
  <c r="H852" i="2"/>
  <c r="O852" i="2"/>
  <c r="F852" i="2"/>
  <c r="L96" i="2"/>
  <c r="F96" i="2"/>
  <c r="S96" i="2"/>
  <c r="N96" i="2"/>
  <c r="M96" i="2"/>
  <c r="O96" i="2"/>
  <c r="R384" i="2"/>
  <c r="H384" i="2"/>
  <c r="O384" i="2"/>
  <c r="G384" i="2"/>
  <c r="M384" i="2"/>
  <c r="F384" i="2"/>
  <c r="I384" i="2"/>
  <c r="L384" i="2"/>
  <c r="S384" i="2"/>
  <c r="N384" i="2"/>
  <c r="Q158" i="2"/>
  <c r="G397" i="5"/>
  <c r="H397" i="5"/>
  <c r="C397" i="5"/>
  <c r="D397" i="5"/>
  <c r="B397" i="5"/>
  <c r="H792" i="5"/>
  <c r="D792" i="5"/>
  <c r="C792" i="5"/>
  <c r="B792" i="5"/>
  <c r="G792" i="5"/>
  <c r="Q939" i="2"/>
  <c r="Q461" i="2"/>
  <c r="Q249" i="2"/>
  <c r="Q519" i="2"/>
  <c r="C118" i="5"/>
  <c r="B118" i="5"/>
  <c r="H118" i="5"/>
  <c r="D118" i="5"/>
  <c r="G118" i="5"/>
  <c r="Q824" i="2"/>
  <c r="Q794" i="2"/>
  <c r="H830" i="5"/>
  <c r="C830" i="5"/>
  <c r="G830" i="5"/>
  <c r="B830" i="5"/>
  <c r="D830" i="5"/>
  <c r="Q846" i="2"/>
  <c r="Q139" i="2"/>
  <c r="Q213" i="2"/>
  <c r="Q815" i="2"/>
  <c r="B149" i="5"/>
  <c r="D149" i="5"/>
  <c r="H149" i="5"/>
  <c r="G149" i="5"/>
  <c r="C149" i="5"/>
  <c r="Q567" i="2"/>
  <c r="Q471" i="2"/>
  <c r="B280" i="5"/>
  <c r="D280" i="5"/>
  <c r="G280" i="5"/>
  <c r="C280" i="5"/>
  <c r="H280" i="5"/>
  <c r="Q716" i="2"/>
  <c r="Q306" i="2"/>
  <c r="B97" i="5"/>
  <c r="Q389" i="2"/>
  <c r="Q218" i="2"/>
  <c r="C153" i="5"/>
  <c r="H153" i="5"/>
  <c r="G153" i="5"/>
  <c r="D153" i="5"/>
  <c r="B153" i="5"/>
  <c r="Q766" i="2"/>
  <c r="D180" i="5"/>
  <c r="C180" i="5"/>
  <c r="B180" i="5"/>
  <c r="H180" i="5"/>
  <c r="G180" i="5"/>
  <c r="Q349" i="2"/>
  <c r="Q184" i="2"/>
  <c r="Q609" i="2"/>
  <c r="Q372" i="2"/>
  <c r="Q556" i="2"/>
  <c r="Q111" i="2"/>
  <c r="G285" i="5"/>
  <c r="H285" i="5"/>
  <c r="B285" i="5"/>
  <c r="D285" i="5"/>
  <c r="C285" i="5"/>
  <c r="Q608" i="2"/>
  <c r="C242" i="5"/>
  <c r="G242" i="5"/>
  <c r="D242" i="5"/>
  <c r="B242" i="5"/>
  <c r="H242" i="5"/>
  <c r="Q539" i="2"/>
  <c r="Q448" i="2"/>
  <c r="Q575" i="2"/>
  <c r="Q832" i="2"/>
  <c r="Q327" i="2"/>
  <c r="Q210" i="2"/>
  <c r="Q819" i="2"/>
  <c r="Q552" i="2"/>
  <c r="Q136" i="2"/>
  <c r="Q995" i="2"/>
  <c r="Q202" i="2"/>
  <c r="B821" i="5"/>
  <c r="C821" i="5"/>
  <c r="D821" i="5"/>
  <c r="G821" i="5"/>
  <c r="H821" i="5"/>
  <c r="R896" i="2"/>
  <c r="S896" i="2"/>
  <c r="N896" i="2"/>
  <c r="G896" i="2"/>
  <c r="F896" i="2"/>
  <c r="O896" i="2"/>
  <c r="L896" i="2"/>
  <c r="M896" i="2"/>
  <c r="H896" i="2"/>
  <c r="I896" i="2"/>
  <c r="H724" i="5"/>
  <c r="B724" i="5"/>
  <c r="D724" i="5"/>
  <c r="C724" i="5"/>
  <c r="G724" i="5"/>
  <c r="Q710" i="2"/>
  <c r="Q871" i="2"/>
  <c r="R137" i="2"/>
  <c r="H137" i="2"/>
  <c r="O137" i="2"/>
  <c r="M137" i="2"/>
  <c r="L137" i="2"/>
  <c r="F137" i="2"/>
  <c r="N137" i="2"/>
  <c r="G137" i="2"/>
  <c r="S137" i="2"/>
  <c r="I137" i="2"/>
  <c r="Q843" i="2"/>
  <c r="Q858" i="2"/>
  <c r="Q301" i="2"/>
  <c r="Q827" i="2"/>
  <c r="Q357" i="2"/>
  <c r="Q980" i="2"/>
  <c r="Q266" i="2"/>
  <c r="Q993" i="2"/>
  <c r="Q836" i="2"/>
  <c r="Q487" i="2"/>
  <c r="Q648" i="2"/>
  <c r="Q454" i="2"/>
  <c r="Q295" i="2"/>
  <c r="Q798" i="2"/>
  <c r="Q674" i="2"/>
  <c r="Q133" i="2"/>
  <c r="Q761" i="2"/>
  <c r="Q744" i="2"/>
  <c r="Q198" i="2"/>
  <c r="Q847" i="2"/>
  <c r="Q887" i="2"/>
  <c r="B66" i="5"/>
  <c r="Q768" i="2"/>
  <c r="Q228" i="2"/>
  <c r="Q651" i="2"/>
  <c r="B98" i="5"/>
  <c r="G270" i="5"/>
  <c r="C270" i="5"/>
  <c r="D270" i="5"/>
  <c r="H270" i="5"/>
  <c r="B270" i="5"/>
  <c r="Q786" i="2"/>
  <c r="Q458" i="2"/>
  <c r="D970" i="5"/>
  <c r="G970" i="5"/>
  <c r="H970" i="5"/>
  <c r="C970" i="5"/>
  <c r="B970" i="5"/>
  <c r="Q342" i="2"/>
  <c r="Q224" i="2"/>
  <c r="Q734" i="2"/>
  <c r="Q522" i="2"/>
  <c r="Q629" i="2"/>
  <c r="Q569" i="2"/>
  <c r="Q258" i="2"/>
  <c r="Q181" i="2"/>
  <c r="Q325" i="2"/>
  <c r="B295" i="5"/>
  <c r="H295" i="5"/>
  <c r="G295" i="5"/>
  <c r="D295" i="5"/>
  <c r="C295" i="5"/>
  <c r="C418" i="5"/>
  <c r="H418" i="5"/>
  <c r="B418" i="5"/>
  <c r="D418" i="5"/>
  <c r="G418" i="5"/>
  <c r="B62" i="5"/>
  <c r="C594" i="5"/>
  <c r="G594" i="5"/>
  <c r="D594" i="5"/>
  <c r="H594" i="5"/>
  <c r="B594" i="5"/>
  <c r="Q689" i="2"/>
  <c r="D427" i="5"/>
  <c r="G427" i="5"/>
  <c r="C427" i="5"/>
  <c r="B427" i="5"/>
  <c r="H427" i="5"/>
  <c r="Q229" i="2"/>
  <c r="Q838" i="2"/>
  <c r="R440" i="2"/>
  <c r="S440" i="2"/>
  <c r="N440" i="2"/>
  <c r="G440" i="2"/>
  <c r="I440" i="2"/>
  <c r="F440" i="2"/>
  <c r="O440" i="2"/>
  <c r="H440" i="2"/>
  <c r="L440" i="2"/>
  <c r="M440" i="2"/>
  <c r="Q987" i="2"/>
  <c r="Q410" i="2"/>
  <c r="Q725" i="2"/>
  <c r="Q163" i="2"/>
  <c r="C367" i="5"/>
  <c r="G367" i="5"/>
  <c r="H367" i="5"/>
  <c r="B367" i="5"/>
  <c r="D367" i="5"/>
  <c r="Q513" i="2"/>
  <c r="Q931" i="2"/>
  <c r="H250" i="5"/>
  <c r="B250" i="5"/>
  <c r="C250" i="5"/>
  <c r="G250" i="5"/>
  <c r="D250" i="5"/>
  <c r="G431" i="5"/>
  <c r="D431" i="5"/>
  <c r="C431" i="5"/>
  <c r="B431" i="5"/>
  <c r="H431" i="5"/>
  <c r="Q125" i="2"/>
  <c r="Q891" i="2"/>
  <c r="Q265" i="2"/>
  <c r="Q315" i="2"/>
  <c r="Q655" i="2"/>
  <c r="Q180" i="2"/>
  <c r="H521" i="5"/>
  <c r="D521" i="5"/>
  <c r="C521" i="5"/>
  <c r="G521" i="5"/>
  <c r="B521" i="5"/>
  <c r="Q812" i="2"/>
  <c r="Q669" i="2"/>
  <c r="D632" i="5"/>
  <c r="C632" i="5"/>
  <c r="H632" i="5"/>
  <c r="G632" i="5"/>
  <c r="B632" i="5"/>
  <c r="R684" i="2"/>
  <c r="N684" i="2"/>
  <c r="S684" i="2"/>
  <c r="H684" i="2"/>
  <c r="I684" i="2"/>
  <c r="O684" i="2"/>
  <c r="G684" i="2"/>
  <c r="F684" i="2"/>
  <c r="M684" i="2"/>
  <c r="L684" i="2"/>
  <c r="Q913" i="2"/>
  <c r="D662" i="5"/>
  <c r="C662" i="5"/>
  <c r="G662" i="5"/>
  <c r="B662" i="5"/>
  <c r="H662" i="5"/>
  <c r="C670" i="5"/>
  <c r="D670" i="5"/>
  <c r="B670" i="5"/>
  <c r="H670" i="5"/>
  <c r="G670" i="5"/>
  <c r="Q748" i="2"/>
  <c r="Q416" i="2"/>
  <c r="R514" i="2"/>
  <c r="F514" i="2"/>
  <c r="O514" i="2"/>
  <c r="L514" i="2"/>
  <c r="I514" i="2"/>
  <c r="N514" i="2"/>
  <c r="M514" i="2"/>
  <c r="G514" i="2"/>
  <c r="H514" i="2"/>
  <c r="S514" i="2"/>
  <c r="H150" i="5"/>
  <c r="C150" i="5"/>
  <c r="G150" i="5"/>
  <c r="D150" i="5"/>
  <c r="B150" i="5"/>
  <c r="Q215" i="2"/>
  <c r="D850" i="5"/>
  <c r="H850" i="5"/>
  <c r="G850" i="5"/>
  <c r="B850" i="5"/>
  <c r="C850" i="5"/>
  <c r="Q341" i="2"/>
  <c r="Q378" i="2"/>
  <c r="B57" i="5"/>
  <c r="Q109" i="2"/>
  <c r="Q953" i="2"/>
  <c r="Q411" i="2"/>
  <c r="R657" i="2"/>
  <c r="N657" i="2"/>
  <c r="I657" i="2"/>
  <c r="H657" i="2"/>
  <c r="M657" i="2"/>
  <c r="O657" i="2"/>
  <c r="L657" i="2"/>
  <c r="F657" i="2"/>
  <c r="S657" i="2"/>
  <c r="G657" i="2"/>
  <c r="Q196" i="2"/>
  <c r="Q191" i="2"/>
  <c r="Q941" i="2"/>
  <c r="Q948" i="2"/>
  <c r="Q377" i="2"/>
  <c r="Q108" i="2"/>
  <c r="D244" i="5"/>
  <c r="C244" i="5"/>
  <c r="H244" i="5"/>
  <c r="B244" i="5"/>
  <c r="G244" i="5"/>
  <c r="Q384" i="2"/>
  <c r="Q733" i="2"/>
  <c r="Q190" i="2"/>
  <c r="Q821" i="2"/>
  <c r="Q290" i="2"/>
  <c r="B69" i="5"/>
  <c r="C130" i="5"/>
  <c r="D130" i="5"/>
  <c r="G130" i="5"/>
  <c r="H130" i="5"/>
  <c r="B130" i="5"/>
  <c r="D356" i="5"/>
  <c r="H356" i="5"/>
  <c r="C356" i="5"/>
  <c r="B356" i="5"/>
  <c r="G356" i="5"/>
  <c r="Q959" i="2"/>
  <c r="Q833" i="2"/>
  <c r="Q274" i="2"/>
  <c r="Q402" i="2"/>
  <c r="Q781" i="2"/>
  <c r="Q165" i="2"/>
  <c r="G165" i="5"/>
  <c r="D165" i="5"/>
  <c r="C165" i="5"/>
  <c r="H165" i="5"/>
  <c r="B165" i="5"/>
  <c r="Q305" i="2"/>
  <c r="Q840" i="2"/>
  <c r="Q371" i="2"/>
  <c r="Q694" i="2"/>
  <c r="D131" i="5"/>
  <c r="B131" i="5"/>
  <c r="C131" i="5"/>
  <c r="H131" i="5"/>
  <c r="G131" i="5"/>
  <c r="Q276" i="2"/>
  <c r="Q557" i="2"/>
  <c r="R815" i="2"/>
  <c r="F815" i="2"/>
  <c r="G815" i="2"/>
  <c r="M815" i="2"/>
  <c r="I815" i="2"/>
  <c r="L815" i="2"/>
  <c r="N815" i="2"/>
  <c r="O815" i="2"/>
  <c r="H815" i="2"/>
  <c r="S815" i="2"/>
  <c r="Q382" i="2"/>
  <c r="C614" i="5"/>
  <c r="D614" i="5"/>
  <c r="H614" i="5"/>
  <c r="G614" i="5"/>
  <c r="B614" i="5"/>
  <c r="Q680" i="2"/>
  <c r="Q671" i="2"/>
  <c r="D411" i="5"/>
  <c r="G411" i="5"/>
  <c r="H411" i="5"/>
  <c r="C411" i="5"/>
  <c r="B411" i="5"/>
  <c r="Q536" i="2"/>
  <c r="Q801" i="2"/>
  <c r="H825" i="5"/>
  <c r="C825" i="5"/>
  <c r="B825" i="5"/>
  <c r="D825" i="5"/>
  <c r="G825" i="5"/>
  <c r="G336" i="5"/>
  <c r="H336" i="5"/>
  <c r="D336" i="5"/>
  <c r="C336" i="5"/>
  <c r="B336" i="5"/>
  <c r="Q788" i="2"/>
  <c r="Q130" i="2"/>
  <c r="Q983" i="2"/>
  <c r="Q708" i="2"/>
  <c r="Q171" i="2"/>
  <c r="Q509" i="2"/>
  <c r="S54" i="2"/>
  <c r="O54" i="2"/>
  <c r="L54" i="2"/>
  <c r="N54" i="2"/>
  <c r="F54" i="2"/>
  <c r="M54" i="2"/>
  <c r="Q919" i="2"/>
  <c r="B546" i="5"/>
  <c r="D546" i="5"/>
  <c r="G546" i="5"/>
  <c r="H546" i="5"/>
  <c r="C546" i="5"/>
  <c r="B354" i="5"/>
  <c r="G354" i="5"/>
  <c r="C354" i="5"/>
  <c r="H354" i="5"/>
  <c r="D354" i="5"/>
  <c r="Q848" i="2"/>
  <c r="G127" i="5"/>
  <c r="D127" i="5"/>
  <c r="H127" i="5"/>
  <c r="B127" i="5"/>
  <c r="C127" i="5"/>
  <c r="Q621" i="2"/>
  <c r="B430" i="5"/>
  <c r="H430" i="5"/>
  <c r="G430" i="5"/>
  <c r="D430" i="5"/>
  <c r="C430" i="5"/>
  <c r="G108" i="5"/>
  <c r="D108" i="5"/>
  <c r="C108" i="5"/>
  <c r="B108" i="5"/>
  <c r="H108" i="5"/>
  <c r="Q699" i="2"/>
  <c r="Q705" i="2"/>
  <c r="Q817" i="2"/>
  <c r="Q920" i="2"/>
  <c r="Q626" i="2"/>
  <c r="Q338" i="2"/>
  <c r="Q658" i="2"/>
  <c r="Q656" i="2"/>
  <c r="D400" i="5"/>
  <c r="B400" i="5"/>
  <c r="G400" i="5"/>
  <c r="C400" i="5"/>
  <c r="H400" i="5"/>
  <c r="Q275" i="2"/>
  <c r="H884" i="5"/>
  <c r="D884" i="5"/>
  <c r="C884" i="5"/>
  <c r="G884" i="5"/>
  <c r="B884" i="5"/>
  <c r="Q102" i="2"/>
  <c r="Q103" i="2"/>
  <c r="Q543" i="2"/>
  <c r="Q116" i="2"/>
  <c r="Q195" i="2"/>
  <c r="R450" i="2"/>
  <c r="M450" i="2"/>
  <c r="I450" i="2"/>
  <c r="H450" i="2"/>
  <c r="F450" i="2"/>
  <c r="S450" i="2"/>
  <c r="N450" i="2"/>
  <c r="O450" i="2"/>
  <c r="L450" i="2"/>
  <c r="G450" i="2"/>
  <c r="Q472" i="2"/>
  <c r="Q715" i="2"/>
  <c r="H203" i="5"/>
  <c r="D203" i="5"/>
  <c r="C203" i="5"/>
  <c r="B203" i="5"/>
  <c r="G203" i="5"/>
  <c r="B86" i="5"/>
  <c r="Q741" i="2"/>
  <c r="Q739" i="2"/>
  <c r="Q976" i="2"/>
  <c r="Q293" i="2"/>
  <c r="B8" i="5"/>
  <c r="Q296" i="2"/>
  <c r="Q287" i="2"/>
  <c r="Q895" i="2"/>
  <c r="Q188" i="2"/>
  <c r="D183" i="5"/>
  <c r="C183" i="5"/>
  <c r="G183" i="5"/>
  <c r="B183" i="5"/>
  <c r="H183" i="5"/>
  <c r="R932" i="2"/>
  <c r="N932" i="2"/>
  <c r="L932" i="2"/>
  <c r="O932" i="2"/>
  <c r="I932" i="2"/>
  <c r="H932" i="2"/>
  <c r="F932" i="2"/>
  <c r="M932" i="2"/>
  <c r="S932" i="2"/>
  <c r="G932" i="2"/>
  <c r="Q285" i="2"/>
  <c r="Q809" i="2"/>
  <c r="Q624" i="2"/>
  <c r="Q359" i="2"/>
  <c r="Q350" i="2"/>
  <c r="Q288" i="2"/>
  <c r="Q606" i="2"/>
  <c r="Q540" i="2"/>
  <c r="Q362" i="2"/>
  <c r="Q586" i="2"/>
  <c r="Q922" i="2"/>
  <c r="Q673" i="2"/>
  <c r="H126" i="5"/>
  <c r="D126" i="5"/>
  <c r="B126" i="5"/>
  <c r="G126" i="5"/>
  <c r="C126" i="5"/>
  <c r="B49" i="5"/>
  <c r="B15" i="5"/>
  <c r="B2" i="5"/>
  <c r="M2" i="5" s="1"/>
  <c r="Q900" i="2"/>
  <c r="Q697" i="2"/>
  <c r="Q912" i="2"/>
  <c r="D776" i="5"/>
  <c r="C776" i="5"/>
  <c r="B776" i="5"/>
  <c r="H776" i="5"/>
  <c r="G776" i="5"/>
  <c r="Q153" i="2"/>
  <c r="Q167" i="2"/>
  <c r="H808" i="5"/>
  <c r="C808" i="5"/>
  <c r="G808" i="5"/>
  <c r="B808" i="5"/>
  <c r="D808" i="5"/>
  <c r="Q535" i="2"/>
  <c r="C537" i="5"/>
  <c r="B537" i="5"/>
  <c r="G537" i="5"/>
  <c r="D537" i="5"/>
  <c r="H537" i="5"/>
  <c r="B45" i="5"/>
  <c r="C325" i="5"/>
  <c r="H325" i="5"/>
  <c r="G325" i="5"/>
  <c r="B325" i="5"/>
  <c r="D325" i="5"/>
  <c r="R242" i="2"/>
  <c r="I242" i="2"/>
  <c r="H242" i="2"/>
  <c r="S242" i="2"/>
  <c r="O242" i="2"/>
  <c r="L242" i="2"/>
  <c r="M242" i="2"/>
  <c r="N242" i="2"/>
  <c r="F242" i="2"/>
  <c r="G242" i="2"/>
  <c r="D1000" i="5"/>
  <c r="C1000" i="5"/>
  <c r="B1000" i="5"/>
  <c r="H1000" i="5"/>
  <c r="G1000" i="5"/>
  <c r="C249" i="5"/>
  <c r="D249" i="5"/>
  <c r="G249" i="5"/>
  <c r="B249" i="5"/>
  <c r="H249" i="5"/>
  <c r="Q961" i="2"/>
  <c r="Q711" i="2"/>
  <c r="Q646" i="2"/>
  <c r="D935" i="5"/>
  <c r="C935" i="5"/>
  <c r="H935" i="5"/>
  <c r="G935" i="5"/>
  <c r="B935" i="5"/>
  <c r="Q957" i="2"/>
  <c r="R738" i="2"/>
  <c r="L738" i="2"/>
  <c r="N738" i="2"/>
  <c r="H738" i="2"/>
  <c r="S738" i="2"/>
  <c r="O738" i="2"/>
  <c r="G738" i="2"/>
  <c r="M738" i="2"/>
  <c r="F738" i="2"/>
  <c r="I738" i="2"/>
  <c r="Q635" i="2"/>
  <c r="R872" i="2"/>
  <c r="H872" i="2"/>
  <c r="S872" i="2"/>
  <c r="N872" i="2"/>
  <c r="G872" i="2"/>
  <c r="I872" i="2"/>
  <c r="L872" i="2"/>
  <c r="F872" i="2"/>
  <c r="O872" i="2"/>
  <c r="M872" i="2"/>
  <c r="Q444" i="2"/>
  <c r="Q921" i="2"/>
  <c r="Q896" i="2"/>
  <c r="R970" i="2"/>
  <c r="N970" i="2"/>
  <c r="O970" i="2"/>
  <c r="M970" i="2"/>
  <c r="G970" i="2"/>
  <c r="F970" i="2"/>
  <c r="H970" i="2"/>
  <c r="I970" i="2"/>
  <c r="L970" i="2"/>
  <c r="S970" i="2"/>
  <c r="Q438" i="2"/>
  <c r="Q494" i="2"/>
  <c r="Q583" i="2"/>
  <c r="Q241" i="2"/>
  <c r="Q512" i="2"/>
  <c r="B694" i="5"/>
  <c r="H694" i="5"/>
  <c r="D694" i="5"/>
  <c r="G694" i="5"/>
  <c r="C694" i="5"/>
  <c r="G926" i="5"/>
  <c r="D926" i="5"/>
  <c r="H926" i="5"/>
  <c r="C926" i="5"/>
  <c r="B926" i="5"/>
  <c r="Q474" i="2"/>
  <c r="Q611" i="2"/>
  <c r="B76" i="5"/>
  <c r="Q490" i="2"/>
  <c r="Q127" i="2"/>
  <c r="Q977" i="2"/>
  <c r="D799" i="5"/>
  <c r="C799" i="5"/>
  <c r="B799" i="5"/>
  <c r="G799" i="5"/>
  <c r="H799" i="5"/>
  <c r="Q459" i="2"/>
  <c r="Q489" i="2"/>
  <c r="Q442" i="2"/>
  <c r="Q752" i="2"/>
  <c r="Q736" i="2"/>
  <c r="Q818" i="2"/>
  <c r="Q379" i="2"/>
  <c r="C210" i="5"/>
  <c r="B210" i="5"/>
  <c r="H210" i="5"/>
  <c r="D210" i="5"/>
  <c r="G210" i="5"/>
  <c r="B61" i="5"/>
  <c r="Q903" i="2"/>
  <c r="Q55" i="2"/>
  <c r="G831" i="5"/>
  <c r="H831" i="5"/>
  <c r="C831" i="5"/>
  <c r="D831" i="5"/>
  <c r="B831" i="5"/>
  <c r="B93" i="5"/>
  <c r="Q883" i="2"/>
  <c r="Q428" i="2"/>
  <c r="Q525" i="2"/>
  <c r="Q618" i="2"/>
  <c r="Q555" i="2"/>
  <c r="B10" i="5"/>
  <c r="Q358" i="2"/>
  <c r="Q851" i="2"/>
  <c r="Q889" i="2"/>
  <c r="Q440" i="2"/>
  <c r="Q493" i="2"/>
  <c r="Q361" i="2"/>
  <c r="B64" i="5"/>
  <c r="Q924" i="2"/>
  <c r="Q564" i="2"/>
  <c r="Q141" i="2"/>
  <c r="Q599" i="2"/>
  <c r="Q257" i="2"/>
  <c r="C195" i="5"/>
  <c r="B195" i="5"/>
  <c r="G195" i="5"/>
  <c r="H195" i="5"/>
  <c r="D195" i="5"/>
  <c r="Q797" i="2"/>
  <c r="Q425" i="2"/>
  <c r="C324" i="5"/>
  <c r="B324" i="5"/>
  <c r="D324" i="5"/>
  <c r="G324" i="5"/>
  <c r="H324" i="5"/>
  <c r="Q554" i="2"/>
  <c r="Q259" i="2"/>
  <c r="Q110" i="2"/>
  <c r="Q986" i="2"/>
  <c r="B52" i="5"/>
  <c r="R876" i="2"/>
  <c r="S876" i="2"/>
  <c r="I876" i="2"/>
  <c r="H876" i="2"/>
  <c r="N876" i="2"/>
  <c r="O876" i="2"/>
  <c r="L876" i="2"/>
  <c r="M876" i="2"/>
  <c r="F876" i="2"/>
  <c r="G876" i="2"/>
  <c r="Q408" i="2"/>
  <c r="Q386" i="2"/>
  <c r="Q155" i="2"/>
  <c r="Q991" i="2"/>
  <c r="B201" i="5"/>
  <c r="H201" i="5"/>
  <c r="C201" i="5"/>
  <c r="D201" i="5"/>
  <c r="G201" i="5"/>
  <c r="Q146" i="2"/>
  <c r="G729" i="5"/>
  <c r="H729" i="5"/>
  <c r="B729" i="5"/>
  <c r="D729" i="5"/>
  <c r="C729" i="5"/>
  <c r="B51" i="5"/>
  <c r="R989" i="2"/>
  <c r="G989" i="2"/>
  <c r="H989" i="2"/>
  <c r="L989" i="2"/>
  <c r="I989" i="2"/>
  <c r="O989" i="2"/>
  <c r="S989" i="2"/>
  <c r="N989" i="2"/>
  <c r="F989" i="2"/>
  <c r="M989" i="2"/>
  <c r="R102" i="2"/>
  <c r="M102" i="2"/>
  <c r="H102" i="2"/>
  <c r="O102" i="2"/>
  <c r="L102" i="2"/>
  <c r="N102" i="2"/>
  <c r="F102" i="2"/>
  <c r="S102" i="2"/>
  <c r="G102" i="2"/>
  <c r="I102" i="2"/>
  <c r="R269" i="2"/>
  <c r="O269" i="2"/>
  <c r="F269" i="2"/>
  <c r="S269" i="2"/>
  <c r="N269" i="2"/>
  <c r="M269" i="2"/>
  <c r="I269" i="2"/>
  <c r="G269" i="2"/>
  <c r="L269" i="2"/>
  <c r="H269" i="2"/>
  <c r="H727" i="5"/>
  <c r="G727" i="5"/>
  <c r="C727" i="5"/>
  <c r="B727" i="5"/>
  <c r="D727" i="5"/>
  <c r="Q882" i="2"/>
  <c r="Q628" i="2"/>
  <c r="Q813" i="2"/>
  <c r="B225" i="5"/>
  <c r="H225" i="5"/>
  <c r="G225" i="5"/>
  <c r="D225" i="5"/>
  <c r="C225" i="5"/>
  <c r="H909" i="5"/>
  <c r="G909" i="5"/>
  <c r="C909" i="5"/>
  <c r="B909" i="5"/>
  <c r="D909" i="5"/>
  <c r="Q398" i="2"/>
  <c r="G645" i="5"/>
  <c r="B645" i="5"/>
  <c r="C645" i="5"/>
  <c r="D645" i="5"/>
  <c r="H645" i="5"/>
  <c r="Q311" i="2"/>
  <c r="Q771" i="2"/>
  <c r="Q122" i="2"/>
  <c r="Q728" i="2"/>
  <c r="Q499" i="2"/>
  <c r="Q553" i="2"/>
  <c r="B147" i="5"/>
  <c r="H147" i="5"/>
  <c r="D147" i="5"/>
  <c r="G147" i="5"/>
  <c r="C147" i="5"/>
  <c r="C629" i="5"/>
  <c r="H629" i="5"/>
  <c r="B629" i="5"/>
  <c r="G629" i="5"/>
  <c r="D629" i="5"/>
  <c r="G803" i="5"/>
  <c r="B803" i="5"/>
  <c r="D803" i="5"/>
  <c r="C803" i="5"/>
  <c r="H803" i="5"/>
  <c r="Q170" i="2"/>
  <c r="Q511" i="2"/>
  <c r="Q175" i="2"/>
  <c r="Q878" i="2"/>
  <c r="Q523" i="2"/>
  <c r="Q451" i="2"/>
  <c r="Q135" i="2"/>
  <c r="Q579" i="2"/>
  <c r="Q951" i="2"/>
  <c r="H185" i="5"/>
  <c r="B185" i="5"/>
  <c r="G185" i="5"/>
  <c r="C185" i="5"/>
  <c r="D185" i="5"/>
  <c r="Q302" i="2"/>
  <c r="B13" i="5"/>
  <c r="Q376" i="2"/>
  <c r="R715" i="2"/>
  <c r="S715" i="2"/>
  <c r="I715" i="2"/>
  <c r="G715" i="2"/>
  <c r="H715" i="2"/>
  <c r="N715" i="2"/>
  <c r="L715" i="2"/>
  <c r="F715" i="2"/>
  <c r="M715" i="2"/>
  <c r="O715" i="2"/>
  <c r="Q930" i="2"/>
  <c r="Q140" i="2"/>
  <c r="Q652" i="2"/>
  <c r="Q106" i="2"/>
  <c r="Q131" i="2"/>
  <c r="D643" i="5"/>
  <c r="B643" i="5"/>
  <c r="C643" i="5"/>
  <c r="H643" i="5"/>
  <c r="G643" i="5"/>
  <c r="Q321" i="2"/>
  <c r="Q186" i="2"/>
  <c r="Q829" i="2"/>
  <c r="Q859" i="2"/>
  <c r="Q390" i="2"/>
  <c r="Q443" i="2"/>
  <c r="Q916" i="2"/>
  <c r="C377" i="5"/>
  <c r="B377" i="5"/>
  <c r="G377" i="5"/>
  <c r="D377" i="5"/>
  <c r="H377" i="5"/>
  <c r="B683" i="5"/>
  <c r="C683" i="5"/>
  <c r="G683" i="5"/>
  <c r="D683" i="5"/>
  <c r="H683" i="5"/>
  <c r="Q517" i="2"/>
  <c r="Q248" i="2"/>
  <c r="Q227" i="2"/>
  <c r="Q497" i="2"/>
  <c r="Q571" i="2"/>
  <c r="D310" i="5"/>
  <c r="G310" i="5"/>
  <c r="H310" i="5"/>
  <c r="B310" i="5"/>
  <c r="C310" i="5"/>
  <c r="Q216" i="2"/>
  <c r="Q631" i="2"/>
  <c r="H967" i="5"/>
  <c r="G967" i="5"/>
  <c r="D967" i="5"/>
  <c r="C967" i="5"/>
  <c r="B967" i="5"/>
  <c r="Q918" i="2"/>
  <c r="C987" i="5"/>
  <c r="H987" i="5"/>
  <c r="B987" i="5"/>
  <c r="G987" i="5"/>
  <c r="D987" i="5"/>
  <c r="H142" i="5"/>
  <c r="G142" i="5"/>
  <c r="C142" i="5"/>
  <c r="B142" i="5"/>
  <c r="D142" i="5"/>
  <c r="Q835" i="2"/>
  <c r="Q964" i="2"/>
  <c r="Q664" i="2"/>
  <c r="Q507" i="2"/>
  <c r="Q729" i="2"/>
  <c r="Q254" i="2"/>
  <c r="Q622" i="2"/>
  <c r="Q236" i="2"/>
  <c r="B89" i="5"/>
  <c r="Q530" i="2"/>
  <c r="Q873" i="2"/>
  <c r="R900" i="2"/>
  <c r="I900" i="2"/>
  <c r="M900" i="2"/>
  <c r="F900" i="2"/>
  <c r="H900" i="2"/>
  <c r="L900" i="2"/>
  <c r="S900" i="2"/>
  <c r="O900" i="2"/>
  <c r="N900" i="2"/>
  <c r="G900" i="2"/>
  <c r="Q719" i="2"/>
  <c r="D847" i="5"/>
  <c r="B847" i="5"/>
  <c r="H847" i="5"/>
  <c r="G847" i="5"/>
  <c r="C847" i="5"/>
  <c r="Q334" i="2"/>
  <c r="H148" i="5"/>
  <c r="D148" i="5"/>
  <c r="B148" i="5"/>
  <c r="C148" i="5"/>
  <c r="G148" i="5"/>
  <c r="Q211" i="2"/>
  <c r="H171" i="5"/>
  <c r="D171" i="5"/>
  <c r="B171" i="5"/>
  <c r="G171" i="5"/>
  <c r="C171" i="5"/>
  <c r="R699" i="2"/>
  <c r="L699" i="2"/>
  <c r="S699" i="2"/>
  <c r="M699" i="2"/>
  <c r="N699" i="2"/>
  <c r="O699" i="2"/>
  <c r="I699" i="2"/>
  <c r="G699" i="2"/>
  <c r="H699" i="2"/>
  <c r="F699" i="2"/>
  <c r="R836" i="2"/>
  <c r="S836" i="2"/>
  <c r="G836" i="2"/>
  <c r="L836" i="2"/>
  <c r="F836" i="2"/>
  <c r="M836" i="2"/>
  <c r="O836" i="2"/>
  <c r="I836" i="2"/>
  <c r="N836" i="2"/>
  <c r="H836" i="2"/>
  <c r="Q431" i="2"/>
  <c r="B654" i="5"/>
  <c r="G654" i="5"/>
  <c r="H654" i="5"/>
  <c r="D654" i="5"/>
  <c r="C654" i="5"/>
  <c r="R898" i="2"/>
  <c r="M898" i="2"/>
  <c r="H898" i="2"/>
  <c r="L898" i="2"/>
  <c r="F898" i="2"/>
  <c r="G898" i="2"/>
  <c r="S898" i="2"/>
  <c r="I898" i="2"/>
  <c r="O898" i="2"/>
  <c r="N898" i="2"/>
  <c r="G544" i="5"/>
  <c r="H544" i="5"/>
  <c r="D544" i="5"/>
  <c r="B544" i="5"/>
  <c r="C544" i="5"/>
  <c r="R605" i="2"/>
  <c r="N605" i="2"/>
  <c r="O605" i="2"/>
  <c r="F605" i="2"/>
  <c r="H605" i="2"/>
  <c r="M605" i="2"/>
  <c r="G605" i="2"/>
  <c r="S605" i="2"/>
  <c r="I605" i="2"/>
  <c r="L605" i="2"/>
  <c r="D383" i="5"/>
  <c r="B383" i="5"/>
  <c r="C383" i="5"/>
  <c r="H383" i="5"/>
  <c r="G383" i="5"/>
  <c r="R522" i="2"/>
  <c r="H522" i="2"/>
  <c r="F522" i="2"/>
  <c r="O522" i="2"/>
  <c r="I522" i="2"/>
  <c r="N522" i="2"/>
  <c r="S522" i="2"/>
  <c r="M522" i="2"/>
  <c r="G522" i="2"/>
  <c r="L522" i="2"/>
  <c r="Q905" i="2"/>
  <c r="Q270" i="2"/>
  <c r="Q436" i="2"/>
  <c r="Q972" i="2"/>
  <c r="Q246" i="2"/>
  <c r="Q839" i="2"/>
  <c r="C874" i="5"/>
  <c r="H874" i="5"/>
  <c r="B874" i="5"/>
  <c r="D874" i="5"/>
  <c r="G874" i="5"/>
  <c r="G655" i="5"/>
  <c r="H655" i="5"/>
  <c r="C655" i="5"/>
  <c r="B655" i="5"/>
  <c r="D655" i="5"/>
  <c r="G253" i="5"/>
  <c r="B253" i="5"/>
  <c r="D253" i="5"/>
  <c r="C253" i="5"/>
  <c r="H253" i="5"/>
  <c r="B832" i="5"/>
  <c r="C832" i="5"/>
  <c r="H832" i="5"/>
  <c r="G832" i="5"/>
  <c r="D832" i="5"/>
  <c r="R914" i="2"/>
  <c r="N914" i="2"/>
  <c r="H914" i="2"/>
  <c r="S914" i="2"/>
  <c r="L914" i="2"/>
  <c r="F914" i="2"/>
  <c r="M914" i="2"/>
  <c r="I914" i="2"/>
  <c r="G914" i="2"/>
  <c r="O914" i="2"/>
  <c r="F67" i="2"/>
  <c r="L67" i="2"/>
  <c r="O67" i="2"/>
  <c r="N67" i="2"/>
  <c r="M67" i="2"/>
  <c r="S67" i="2"/>
  <c r="D685" i="5"/>
  <c r="G685" i="5"/>
  <c r="B685" i="5"/>
  <c r="C685" i="5"/>
  <c r="H685" i="5"/>
  <c r="R157" i="2"/>
  <c r="L157" i="2"/>
  <c r="N157" i="2"/>
  <c r="I157" i="2"/>
  <c r="M157" i="2"/>
  <c r="O157" i="2"/>
  <c r="F157" i="2"/>
  <c r="S157" i="2"/>
  <c r="G157" i="2"/>
  <c r="H157" i="2"/>
  <c r="B619" i="5"/>
  <c r="G619" i="5"/>
  <c r="H619" i="5"/>
  <c r="C619" i="5"/>
  <c r="D619" i="5"/>
  <c r="Q927" i="2"/>
  <c r="Q385" i="2"/>
  <c r="B34" i="5"/>
  <c r="Q524" i="2"/>
  <c r="G308" i="5"/>
  <c r="B308" i="5"/>
  <c r="C308" i="5"/>
  <c r="D308" i="5"/>
  <c r="H308" i="5"/>
  <c r="Q113" i="2"/>
  <c r="Q767" i="2"/>
  <c r="R546" i="2"/>
  <c r="F546" i="2"/>
  <c r="S546" i="2"/>
  <c r="M546" i="2"/>
  <c r="I546" i="2"/>
  <c r="O546" i="2"/>
  <c r="L546" i="2"/>
  <c r="N546" i="2"/>
  <c r="G546" i="2"/>
  <c r="H546" i="2"/>
  <c r="Q123" i="2"/>
  <c r="Q616" i="2"/>
  <c r="B21" i="5"/>
  <c r="H390" i="5"/>
  <c r="C390" i="5"/>
  <c r="G390" i="5"/>
  <c r="B390" i="5"/>
  <c r="D390" i="5"/>
  <c r="N3" i="2"/>
  <c r="O3" i="2"/>
  <c r="L3" i="2"/>
  <c r="F3" i="2"/>
  <c r="M3" i="2"/>
  <c r="S3" i="2"/>
  <c r="H254" i="5"/>
  <c r="D254" i="5"/>
  <c r="B254" i="5"/>
  <c r="G254" i="5"/>
  <c r="C254" i="5"/>
  <c r="C625" i="5"/>
  <c r="G625" i="5"/>
  <c r="B625" i="5"/>
  <c r="H625" i="5"/>
  <c r="D625" i="5"/>
  <c r="Q328" i="2"/>
  <c r="D720" i="5"/>
  <c r="G720" i="5"/>
  <c r="C720" i="5"/>
  <c r="B720" i="5"/>
  <c r="H720" i="5"/>
  <c r="H278" i="5"/>
  <c r="B278" i="5"/>
  <c r="D278" i="5"/>
  <c r="G278" i="5"/>
  <c r="C278" i="5"/>
  <c r="R636" i="2"/>
  <c r="H636" i="2"/>
  <c r="I636" i="2"/>
  <c r="M636" i="2"/>
  <c r="L636" i="2"/>
  <c r="F636" i="2"/>
  <c r="S636" i="2"/>
  <c r="O636" i="2"/>
  <c r="G636" i="2"/>
  <c r="N636" i="2"/>
  <c r="R211" i="2"/>
  <c r="G211" i="2"/>
  <c r="M211" i="2"/>
  <c r="N211" i="2"/>
  <c r="F211" i="2"/>
  <c r="S211" i="2"/>
  <c r="L211" i="2"/>
  <c r="H211" i="2"/>
  <c r="I211" i="2"/>
  <c r="O211" i="2"/>
  <c r="R993" i="2"/>
  <c r="O993" i="2"/>
  <c r="F993" i="2"/>
  <c r="M993" i="2"/>
  <c r="H993" i="2"/>
  <c r="S993" i="2"/>
  <c r="G993" i="2"/>
  <c r="L993" i="2"/>
  <c r="I993" i="2"/>
  <c r="N993" i="2"/>
  <c r="R386" i="2"/>
  <c r="I386" i="2"/>
  <c r="S386" i="2"/>
  <c r="O386" i="2"/>
  <c r="N386" i="2"/>
  <c r="M386" i="2"/>
  <c r="H386" i="2"/>
  <c r="F386" i="2"/>
  <c r="G386" i="2"/>
  <c r="L386" i="2"/>
  <c r="R588" i="2"/>
  <c r="N588" i="2"/>
  <c r="H588" i="2"/>
  <c r="S588" i="2"/>
  <c r="L588" i="2"/>
  <c r="G588" i="2"/>
  <c r="F588" i="2"/>
  <c r="M588" i="2"/>
  <c r="O588" i="2"/>
  <c r="I588" i="2"/>
  <c r="Q661" i="2"/>
  <c r="H948" i="5"/>
  <c r="C948" i="5"/>
  <c r="B948" i="5"/>
  <c r="G948" i="5"/>
  <c r="D948" i="5"/>
  <c r="Q876" i="2"/>
  <c r="Q932" i="2"/>
  <c r="Q700" i="2"/>
  <c r="Q205" i="2"/>
  <c r="C634" i="5"/>
  <c r="G634" i="5"/>
  <c r="D634" i="5"/>
  <c r="B634" i="5"/>
  <c r="H634" i="5"/>
  <c r="Q403" i="2"/>
  <c r="Q742" i="2"/>
  <c r="Q805" i="2"/>
  <c r="Q560" i="2"/>
  <c r="Q279" i="2"/>
  <c r="B56" i="5"/>
  <c r="Q429" i="2"/>
  <c r="R957" i="2"/>
  <c r="O957" i="2"/>
  <c r="S957" i="2"/>
  <c r="G957" i="2"/>
  <c r="F957" i="2"/>
  <c r="L957" i="2"/>
  <c r="M957" i="2"/>
  <c r="N957" i="2"/>
  <c r="I957" i="2"/>
  <c r="H957" i="2"/>
  <c r="Q272" i="2"/>
  <c r="Q183" i="2"/>
  <c r="D99" i="5"/>
  <c r="C99" i="5"/>
  <c r="H99" i="5"/>
  <c r="G99" i="5"/>
  <c r="B99" i="5"/>
  <c r="Q911" i="2"/>
  <c r="Q99" i="2"/>
  <c r="Q162" i="2"/>
  <c r="B139" i="5"/>
  <c r="H139" i="5"/>
  <c r="G139" i="5"/>
  <c r="D139" i="5"/>
  <c r="C139" i="5"/>
  <c r="Q701" i="2"/>
  <c r="Q412" i="2"/>
  <c r="D466" i="5"/>
  <c r="C466" i="5"/>
  <c r="B466" i="5"/>
  <c r="H466" i="5"/>
  <c r="G466" i="5"/>
  <c r="Q854" i="2"/>
  <c r="G547" i="5"/>
  <c r="C547" i="5"/>
  <c r="D547" i="5"/>
  <c r="H547" i="5"/>
  <c r="B547" i="5"/>
  <c r="Q457" i="2"/>
  <c r="Q239" i="2"/>
  <c r="B6" i="5"/>
  <c r="Q958" i="2"/>
  <c r="Q777" i="2"/>
  <c r="Q495" i="2"/>
  <c r="Q973" i="2"/>
  <c r="Q757" i="2"/>
  <c r="Q804" i="2"/>
  <c r="Q154" i="2"/>
  <c r="Q468" i="2"/>
  <c r="Q424" i="2"/>
  <c r="Q240" i="2"/>
  <c r="Q578" i="2"/>
  <c r="Q845" i="2"/>
  <c r="Q643" i="2"/>
  <c r="G669" i="5"/>
  <c r="D669" i="5"/>
  <c r="H669" i="5"/>
  <c r="B669" i="5"/>
  <c r="C669" i="5"/>
  <c r="R248" i="2"/>
  <c r="N248" i="2"/>
  <c r="I248" i="2"/>
  <c r="G248" i="2"/>
  <c r="F248" i="2"/>
  <c r="L248" i="2"/>
  <c r="S248" i="2"/>
  <c r="M248" i="2"/>
  <c r="O248" i="2"/>
  <c r="H248" i="2"/>
  <c r="Q169" i="2"/>
  <c r="Q445" i="2"/>
  <c r="Q893" i="2"/>
  <c r="Q806" i="2"/>
  <c r="Q363" i="2"/>
  <c r="B72" i="5"/>
  <c r="R461" i="2"/>
  <c r="S461" i="2"/>
  <c r="N461" i="2"/>
  <c r="I461" i="2"/>
  <c r="O461" i="2"/>
  <c r="L461" i="2"/>
  <c r="F461" i="2"/>
  <c r="H461" i="2"/>
  <c r="M461" i="2"/>
  <c r="G461" i="2"/>
  <c r="Q718" i="2"/>
  <c r="Q282" i="2"/>
  <c r="G227" i="5"/>
  <c r="B227" i="5"/>
  <c r="D227" i="5"/>
  <c r="H227" i="5"/>
  <c r="C227" i="5"/>
  <c r="D297" i="5"/>
  <c r="C297" i="5"/>
  <c r="H297" i="5"/>
  <c r="B297" i="5"/>
  <c r="G297" i="5"/>
  <c r="C591" i="5"/>
  <c r="H591" i="5"/>
  <c r="G591" i="5"/>
  <c r="B591" i="5"/>
  <c r="D591" i="5"/>
  <c r="Q192" i="2"/>
  <c r="Q753" i="2"/>
  <c r="C534" i="5"/>
  <c r="H534" i="5"/>
  <c r="D534" i="5"/>
  <c r="B534" i="5"/>
  <c r="G534" i="5"/>
  <c r="Q516" i="2"/>
  <c r="Q126" i="2"/>
  <c r="Q397" i="2"/>
  <c r="Q356" i="2"/>
  <c r="Q668" i="2"/>
  <c r="Q814" i="2"/>
  <c r="C696" i="5"/>
  <c r="H696" i="5"/>
  <c r="G696" i="5"/>
  <c r="B696" i="5"/>
  <c r="D696" i="5"/>
  <c r="R962" i="2"/>
  <c r="H962" i="2"/>
  <c r="L962" i="2"/>
  <c r="M962" i="2"/>
  <c r="F962" i="2"/>
  <c r="O962" i="2"/>
  <c r="G962" i="2"/>
  <c r="I962" i="2"/>
  <c r="S962" i="2"/>
  <c r="N962" i="2"/>
  <c r="R880" i="2"/>
  <c r="H880" i="2"/>
  <c r="N880" i="2"/>
  <c r="M880" i="2"/>
  <c r="O880" i="2"/>
  <c r="L880" i="2"/>
  <c r="F880" i="2"/>
  <c r="G880" i="2"/>
  <c r="S880" i="2"/>
  <c r="I880" i="2"/>
  <c r="Q281" i="2"/>
  <c r="Q174" i="2"/>
  <c r="C407" i="5"/>
  <c r="B407" i="5"/>
  <c r="D407" i="5"/>
  <c r="H407" i="5"/>
  <c r="G407" i="5"/>
  <c r="Q703" i="2"/>
  <c r="Q580" i="2"/>
  <c r="Q343" i="2"/>
  <c r="C934" i="5"/>
  <c r="B934" i="5"/>
  <c r="D934" i="5"/>
  <c r="H934" i="5"/>
  <c r="G934" i="5"/>
  <c r="C589" i="5"/>
  <c r="B589" i="5"/>
  <c r="D589" i="5"/>
  <c r="H589" i="5"/>
  <c r="G589" i="5"/>
  <c r="G192" i="5"/>
  <c r="D192" i="5"/>
  <c r="H192" i="5"/>
  <c r="C192" i="5"/>
  <c r="B192" i="5"/>
  <c r="D650" i="5"/>
  <c r="H650" i="5"/>
  <c r="C650" i="5"/>
  <c r="B650" i="5"/>
  <c r="G650" i="5"/>
  <c r="R193" i="2"/>
  <c r="I193" i="2"/>
  <c r="O193" i="2"/>
  <c r="M193" i="2"/>
  <c r="G193" i="2"/>
  <c r="H193" i="2"/>
  <c r="S193" i="2"/>
  <c r="N193" i="2"/>
  <c r="F193" i="2"/>
  <c r="L193" i="2"/>
  <c r="R385" i="2"/>
  <c r="G385" i="2"/>
  <c r="F385" i="2"/>
  <c r="O385" i="2"/>
  <c r="L385" i="2"/>
  <c r="I385" i="2"/>
  <c r="N385" i="2"/>
  <c r="M385" i="2"/>
  <c r="S385" i="2"/>
  <c r="H385" i="2"/>
  <c r="C570" i="5"/>
  <c r="G570" i="5"/>
  <c r="H570" i="5"/>
  <c r="D570" i="5"/>
  <c r="B570" i="5"/>
  <c r="D796" i="5"/>
  <c r="G796" i="5"/>
  <c r="B796" i="5"/>
  <c r="C796" i="5"/>
  <c r="H796" i="5"/>
  <c r="B558" i="5"/>
  <c r="H558" i="5"/>
  <c r="D558" i="5"/>
  <c r="C558" i="5"/>
  <c r="G558" i="5"/>
  <c r="Q853" i="2"/>
  <c r="Q860" i="2"/>
  <c r="Q695" i="2"/>
  <c r="C144" i="5"/>
  <c r="D144" i="5"/>
  <c r="H144" i="5"/>
  <c r="B144" i="5"/>
  <c r="G144" i="5"/>
  <c r="Q681" i="2"/>
  <c r="D351" i="5"/>
  <c r="C351" i="5"/>
  <c r="H351" i="5"/>
  <c r="B351" i="5"/>
  <c r="G351" i="5"/>
  <c r="R278" i="2"/>
  <c r="O278" i="2"/>
  <c r="N278" i="2"/>
  <c r="H278" i="2"/>
  <c r="G278" i="2"/>
  <c r="M278" i="2"/>
  <c r="L278" i="2"/>
  <c r="F278" i="2"/>
  <c r="S278" i="2"/>
  <c r="I278" i="2"/>
  <c r="C699" i="5"/>
  <c r="G699" i="5"/>
  <c r="D699" i="5"/>
  <c r="B699" i="5"/>
  <c r="H699" i="5"/>
  <c r="Q585" i="2"/>
  <c r="H342" i="5"/>
  <c r="D342" i="5"/>
  <c r="G342" i="5"/>
  <c r="C342" i="5"/>
  <c r="B342" i="5"/>
  <c r="R593" i="2"/>
  <c r="I593" i="2"/>
  <c r="H593" i="2"/>
  <c r="O593" i="2"/>
  <c r="G593" i="2"/>
  <c r="N593" i="2"/>
  <c r="L593" i="2"/>
  <c r="S593" i="2"/>
  <c r="M593" i="2"/>
  <c r="F593" i="2"/>
  <c r="D585" i="5"/>
  <c r="G585" i="5"/>
  <c r="H585" i="5"/>
  <c r="B585" i="5"/>
  <c r="C585" i="5"/>
  <c r="G624" i="5"/>
  <c r="H624" i="5"/>
  <c r="D624" i="5"/>
  <c r="C624" i="5"/>
  <c r="B624" i="5"/>
  <c r="R590" i="2"/>
  <c r="N590" i="2"/>
  <c r="H590" i="2"/>
  <c r="M590" i="2"/>
  <c r="G590" i="2"/>
  <c r="I590" i="2"/>
  <c r="F590" i="2"/>
  <c r="O590" i="2"/>
  <c r="L590" i="2"/>
  <c r="S590" i="2"/>
  <c r="H815" i="5"/>
  <c r="B815" i="5"/>
  <c r="D815" i="5"/>
  <c r="G815" i="5"/>
  <c r="C815" i="5"/>
  <c r="Q508" i="2"/>
  <c r="Q754" i="2"/>
  <c r="C392" i="5"/>
  <c r="G392" i="5"/>
  <c r="H392" i="5"/>
  <c r="D392" i="5"/>
  <c r="B392" i="5"/>
  <c r="Q395" i="2"/>
  <c r="C993" i="5"/>
  <c r="H993" i="5"/>
  <c r="B993" i="5"/>
  <c r="G993" i="5"/>
  <c r="D993" i="5"/>
  <c r="R106" i="2"/>
  <c r="F106" i="2"/>
  <c r="G106" i="2"/>
  <c r="S106" i="2"/>
  <c r="L106" i="2"/>
  <c r="O106" i="2"/>
  <c r="I106" i="2"/>
  <c r="N106" i="2"/>
  <c r="M106" i="2"/>
  <c r="H106" i="2"/>
  <c r="Q353" i="2"/>
  <c r="R534" i="2"/>
  <c r="H534" i="2"/>
  <c r="N534" i="2"/>
  <c r="O534" i="2"/>
  <c r="S534" i="2"/>
  <c r="G534" i="2"/>
  <c r="M534" i="2"/>
  <c r="L534" i="2"/>
  <c r="F534" i="2"/>
  <c r="I534" i="2"/>
  <c r="Q678" i="2"/>
  <c r="Q861" i="2"/>
  <c r="R119" i="2"/>
  <c r="N119" i="2"/>
  <c r="F119" i="2"/>
  <c r="M119" i="2"/>
  <c r="H119" i="2"/>
  <c r="L119" i="2"/>
  <c r="O119" i="2"/>
  <c r="G119" i="2"/>
  <c r="I119" i="2"/>
  <c r="S119" i="2"/>
  <c r="Q831" i="2"/>
  <c r="N14" i="2"/>
  <c r="M14" i="2"/>
  <c r="L14" i="2"/>
  <c r="S14" i="2"/>
  <c r="F14" i="2"/>
  <c r="O14" i="2"/>
  <c r="Q380" i="2"/>
  <c r="R680" i="2"/>
  <c r="M680" i="2"/>
  <c r="H680" i="2"/>
  <c r="I680" i="2"/>
  <c r="N680" i="2"/>
  <c r="G680" i="2"/>
  <c r="O680" i="2"/>
  <c r="L680" i="2"/>
  <c r="F680" i="2"/>
  <c r="S680" i="2"/>
  <c r="H402" i="5"/>
  <c r="D402" i="5"/>
  <c r="B402" i="5"/>
  <c r="C402" i="5"/>
  <c r="G402" i="5"/>
  <c r="R391" i="2"/>
  <c r="G391" i="2"/>
  <c r="I391" i="2"/>
  <c r="S391" i="2"/>
  <c r="H391" i="2"/>
  <c r="L391" i="2"/>
  <c r="N391" i="2"/>
  <c r="M391" i="2"/>
  <c r="O391" i="2"/>
  <c r="F391" i="2"/>
  <c r="B695" i="5"/>
  <c r="D695" i="5"/>
  <c r="C695" i="5"/>
  <c r="H695" i="5"/>
  <c r="G695" i="5"/>
  <c r="B30" i="5"/>
  <c r="G395" i="5"/>
  <c r="D395" i="5"/>
  <c r="C395" i="5"/>
  <c r="B395" i="5"/>
  <c r="H395" i="5"/>
  <c r="R652" i="2"/>
  <c r="G652" i="2"/>
  <c r="L652" i="2"/>
  <c r="H652" i="2"/>
  <c r="M652" i="2"/>
  <c r="S652" i="2"/>
  <c r="I652" i="2"/>
  <c r="N652" i="2"/>
  <c r="F652" i="2"/>
  <c r="O652" i="2"/>
  <c r="C687" i="5"/>
  <c r="D687" i="5"/>
  <c r="H687" i="5"/>
  <c r="G687" i="5"/>
  <c r="B687" i="5"/>
  <c r="D787" i="5"/>
  <c r="G787" i="5"/>
  <c r="H787" i="5"/>
  <c r="C787" i="5"/>
  <c r="B787" i="5"/>
  <c r="R451" i="2"/>
  <c r="L451" i="2"/>
  <c r="N451" i="2"/>
  <c r="G451" i="2"/>
  <c r="O451" i="2"/>
  <c r="M451" i="2"/>
  <c r="S451" i="2"/>
  <c r="F451" i="2"/>
  <c r="H451" i="2"/>
  <c r="I451" i="2"/>
  <c r="Q138" i="2"/>
  <c r="D375" i="5"/>
  <c r="H375" i="5"/>
  <c r="C375" i="5"/>
  <c r="B375" i="5"/>
  <c r="G375" i="5"/>
  <c r="R516" i="2"/>
  <c r="M516" i="2"/>
  <c r="F516" i="2"/>
  <c r="S516" i="2"/>
  <c r="G516" i="2"/>
  <c r="L516" i="2"/>
  <c r="N516" i="2"/>
  <c r="I516" i="2"/>
  <c r="H516" i="2"/>
  <c r="O516" i="2"/>
  <c r="Q803" i="2"/>
  <c r="Q221" i="2"/>
  <c r="Q324" i="2"/>
  <c r="C346" i="5"/>
  <c r="G346" i="5"/>
  <c r="B346" i="5"/>
  <c r="H346" i="5"/>
  <c r="D346" i="5"/>
  <c r="Q755" i="2"/>
  <c r="Q659" i="2"/>
  <c r="Q685" i="2"/>
  <c r="B302" i="5"/>
  <c r="D302" i="5"/>
  <c r="G302" i="5"/>
  <c r="C302" i="5"/>
  <c r="H302" i="5"/>
  <c r="R530" i="2"/>
  <c r="N530" i="2"/>
  <c r="F530" i="2"/>
  <c r="L530" i="2"/>
  <c r="O530" i="2"/>
  <c r="H530" i="2"/>
  <c r="I530" i="2"/>
  <c r="G530" i="2"/>
  <c r="S530" i="2"/>
  <c r="M530" i="2"/>
  <c r="Q336" i="2"/>
  <c r="Q641" i="2"/>
  <c r="Q538" i="2"/>
  <c r="Q605" i="2"/>
  <c r="Q573" i="2"/>
  <c r="Q441" i="2"/>
  <c r="Q637" i="2"/>
  <c r="D839" i="5"/>
  <c r="B839" i="5"/>
  <c r="G839" i="5"/>
  <c r="C839" i="5"/>
  <c r="H839" i="5"/>
  <c r="G207" i="5"/>
  <c r="B207" i="5"/>
  <c r="H207" i="5"/>
  <c r="D207" i="5"/>
  <c r="C207" i="5"/>
  <c r="D166" i="5"/>
  <c r="G166" i="5"/>
  <c r="C166" i="5"/>
  <c r="H166" i="5"/>
  <c r="B166" i="5"/>
  <c r="Q926" i="2"/>
  <c r="D155" i="5"/>
  <c r="G155" i="5"/>
  <c r="B155" i="5"/>
  <c r="C155" i="5"/>
  <c r="H155" i="5"/>
  <c r="Q549" i="2"/>
  <c r="C841" i="5"/>
  <c r="D841" i="5"/>
  <c r="G841" i="5"/>
  <c r="B841" i="5"/>
  <c r="H841" i="5"/>
  <c r="H475" i="5"/>
  <c r="C475" i="5"/>
  <c r="D475" i="5"/>
  <c r="B475" i="5"/>
  <c r="G475" i="5"/>
  <c r="Q332" i="2"/>
  <c r="Q433" i="2"/>
  <c r="Q335" i="2"/>
  <c r="Q119" i="2"/>
  <c r="Q449" i="2"/>
  <c r="Q620" i="2"/>
  <c r="Q394" i="2"/>
  <c r="Q867" i="2"/>
  <c r="Q749" i="2"/>
  <c r="Q789" i="2"/>
  <c r="C237" i="5"/>
  <c r="H237" i="5"/>
  <c r="D237" i="5"/>
  <c r="B237" i="5"/>
  <c r="G237" i="5"/>
  <c r="Q985" i="2"/>
  <c r="G241" i="5"/>
  <c r="D241" i="5"/>
  <c r="H241" i="5"/>
  <c r="B241" i="5"/>
  <c r="C241" i="5"/>
  <c r="Q904" i="2"/>
  <c r="R584" i="2"/>
  <c r="H584" i="2"/>
  <c r="F584" i="2"/>
  <c r="G584" i="2"/>
  <c r="L584" i="2"/>
  <c r="I584" i="2"/>
  <c r="M584" i="2"/>
  <c r="S584" i="2"/>
  <c r="N584" i="2"/>
  <c r="O584" i="2"/>
  <c r="Q280" i="2"/>
  <c r="Q856" i="2"/>
  <c r="Q762" i="2"/>
  <c r="Q989" i="2"/>
  <c r="Q375" i="2"/>
  <c r="H458" i="5"/>
  <c r="D458" i="5"/>
  <c r="G458" i="5"/>
  <c r="C458" i="5"/>
  <c r="B458" i="5"/>
  <c r="Q942" i="2"/>
  <c r="Q799" i="2"/>
  <c r="Q915" i="2"/>
  <c r="Q483" i="2"/>
  <c r="Q392" i="2"/>
  <c r="Q339" i="2"/>
  <c r="D217" i="5"/>
  <c r="C217" i="5"/>
  <c r="H217" i="5"/>
  <c r="G217" i="5"/>
  <c r="B217" i="5"/>
  <c r="R379" i="2"/>
  <c r="F379" i="2"/>
  <c r="N379" i="2"/>
  <c r="I379" i="2"/>
  <c r="G379" i="2"/>
  <c r="L379" i="2"/>
  <c r="H379" i="2"/>
  <c r="S379" i="2"/>
  <c r="O379" i="2"/>
  <c r="M379" i="2"/>
  <c r="Q526" i="2"/>
  <c r="B29" i="5"/>
  <c r="Q161" i="2"/>
  <c r="Q465" i="2"/>
  <c r="Q152" i="2"/>
  <c r="Q935" i="2"/>
  <c r="Q118" i="2"/>
  <c r="C299" i="5"/>
  <c r="H299" i="5"/>
  <c r="D299" i="5"/>
  <c r="B299" i="5"/>
  <c r="G299" i="5"/>
  <c r="R354" i="2"/>
  <c r="O354" i="2"/>
  <c r="S354" i="2"/>
  <c r="H354" i="2"/>
  <c r="N354" i="2"/>
  <c r="F354" i="2"/>
  <c r="G354" i="2"/>
  <c r="I354" i="2"/>
  <c r="L354" i="2"/>
  <c r="M354" i="2"/>
  <c r="C672" i="5"/>
  <c r="G672" i="5"/>
  <c r="D672" i="5"/>
  <c r="H672" i="5"/>
  <c r="B672" i="5"/>
  <c r="B22" i="5"/>
  <c r="Q756" i="2"/>
  <c r="Q906" i="2"/>
  <c r="C129" i="5"/>
  <c r="H129" i="5"/>
  <c r="B129" i="5"/>
  <c r="G129" i="5"/>
  <c r="D129" i="5"/>
  <c r="H257" i="5"/>
  <c r="C257" i="5"/>
  <c r="B257" i="5"/>
  <c r="G257" i="5"/>
  <c r="D257" i="5"/>
  <c r="R995" i="2"/>
  <c r="S995" i="2"/>
  <c r="I995" i="2"/>
  <c r="G995" i="2"/>
  <c r="L995" i="2"/>
  <c r="O995" i="2"/>
  <c r="M995" i="2"/>
  <c r="H995" i="2"/>
  <c r="N995" i="2"/>
  <c r="F995" i="2"/>
  <c r="C388" i="5"/>
  <c r="B388" i="5"/>
  <c r="H388" i="5"/>
  <c r="G388" i="5"/>
  <c r="D388" i="5"/>
  <c r="Q404" i="2"/>
  <c r="G233" i="5"/>
  <c r="D233" i="5"/>
  <c r="C233" i="5"/>
  <c r="H233" i="5"/>
  <c r="B233" i="5"/>
  <c r="R319" i="2"/>
  <c r="G319" i="2"/>
  <c r="S319" i="2"/>
  <c r="L319" i="2"/>
  <c r="O319" i="2"/>
  <c r="M319" i="2"/>
  <c r="F319" i="2"/>
  <c r="N319" i="2"/>
  <c r="H319" i="2"/>
  <c r="I319" i="2"/>
  <c r="G263" i="5"/>
  <c r="D263" i="5"/>
  <c r="C263" i="5"/>
  <c r="H263" i="5"/>
  <c r="B263" i="5"/>
  <c r="H734" i="5"/>
  <c r="G734" i="5"/>
  <c r="B734" i="5"/>
  <c r="D734" i="5"/>
  <c r="C734" i="5"/>
  <c r="R655" i="2"/>
  <c r="H655" i="2"/>
  <c r="S655" i="2"/>
  <c r="I655" i="2"/>
  <c r="G655" i="2"/>
  <c r="O655" i="2"/>
  <c r="L655" i="2"/>
  <c r="N655" i="2"/>
  <c r="M655" i="2"/>
  <c r="F655" i="2"/>
  <c r="D364" i="5"/>
  <c r="B364" i="5"/>
  <c r="G364" i="5"/>
  <c r="C364" i="5"/>
  <c r="H364" i="5"/>
  <c r="Q230" i="2"/>
  <c r="Q988" i="2"/>
  <c r="D304" i="5"/>
  <c r="H304" i="5"/>
  <c r="B304" i="5"/>
  <c r="C304" i="5"/>
  <c r="G304" i="5"/>
  <c r="Q470" i="2"/>
  <c r="B493" i="5"/>
  <c r="C493" i="5"/>
  <c r="G493" i="5"/>
  <c r="H493" i="5"/>
  <c r="D493" i="5"/>
  <c r="Q364" i="2"/>
  <c r="Q901" i="2"/>
  <c r="H983" i="5"/>
  <c r="D983" i="5"/>
  <c r="C983" i="5"/>
  <c r="G983" i="5"/>
  <c r="B983" i="5"/>
  <c r="O35" i="2"/>
  <c r="F35" i="2"/>
  <c r="N35" i="2"/>
  <c r="L35" i="2"/>
  <c r="S35" i="2"/>
  <c r="M35" i="2"/>
  <c r="B63" i="5"/>
  <c r="B877" i="5"/>
  <c r="C877" i="5"/>
  <c r="G877" i="5"/>
  <c r="D877" i="5"/>
  <c r="H877" i="5"/>
  <c r="D154" i="5"/>
  <c r="B154" i="5"/>
  <c r="C154" i="5"/>
  <c r="H154" i="5"/>
  <c r="G154" i="5"/>
  <c r="R823" i="2"/>
  <c r="F823" i="2"/>
  <c r="L823" i="2"/>
  <c r="I823" i="2"/>
  <c r="H823" i="2"/>
  <c r="M823" i="2"/>
  <c r="O823" i="2"/>
  <c r="G823" i="2"/>
  <c r="N823" i="2"/>
  <c r="S823" i="2"/>
  <c r="R797" i="2"/>
  <c r="S797" i="2"/>
  <c r="F797" i="2"/>
  <c r="L797" i="2"/>
  <c r="H797" i="2"/>
  <c r="M797" i="2"/>
  <c r="G797" i="2"/>
  <c r="I797" i="2"/>
  <c r="O797" i="2"/>
  <c r="N797" i="2"/>
  <c r="Q317" i="2"/>
  <c r="G235" i="5"/>
  <c r="C235" i="5"/>
  <c r="B235" i="5"/>
  <c r="H235" i="5"/>
  <c r="D235" i="5"/>
  <c r="D239" i="5"/>
  <c r="H239" i="5"/>
  <c r="G239" i="5"/>
  <c r="B239" i="5"/>
  <c r="C239" i="5"/>
  <c r="B31" i="5"/>
  <c r="Q422" i="2"/>
  <c r="B522" i="5"/>
  <c r="G522" i="5"/>
  <c r="C522" i="5"/>
  <c r="H522" i="5"/>
  <c r="D522" i="5"/>
  <c r="Q773" i="2"/>
  <c r="G435" i="5"/>
  <c r="D435" i="5"/>
  <c r="C435" i="5"/>
  <c r="H435" i="5"/>
  <c r="B435" i="5"/>
  <c r="R928" i="2"/>
  <c r="L928" i="2"/>
  <c r="S928" i="2"/>
  <c r="I928" i="2"/>
  <c r="O928" i="2"/>
  <c r="H928" i="2"/>
  <c r="M928" i="2"/>
  <c r="F928" i="2"/>
  <c r="N928" i="2"/>
  <c r="G928" i="2"/>
  <c r="B653" i="5"/>
  <c r="G653" i="5"/>
  <c r="C653" i="5"/>
  <c r="H653" i="5"/>
  <c r="D653" i="5"/>
  <c r="H868" i="5"/>
  <c r="D868" i="5"/>
  <c r="B868" i="5"/>
  <c r="G868" i="5"/>
  <c r="C868" i="5"/>
  <c r="Q120" i="2"/>
  <c r="C109" i="5"/>
  <c r="D109" i="5"/>
  <c r="H109" i="5"/>
  <c r="G109" i="5"/>
  <c r="B109" i="5"/>
  <c r="Q955" i="2"/>
  <c r="H980" i="5"/>
  <c r="C980" i="5"/>
  <c r="G980" i="5"/>
  <c r="D980" i="5"/>
  <c r="B980" i="5"/>
  <c r="Q938" i="2"/>
  <c r="G535" i="5"/>
  <c r="C535" i="5"/>
  <c r="D535" i="5"/>
  <c r="H535" i="5"/>
  <c r="B535" i="5"/>
  <c r="C470" i="5"/>
  <c r="D470" i="5"/>
  <c r="H470" i="5"/>
  <c r="B470" i="5"/>
  <c r="G470" i="5"/>
  <c r="R265" i="2"/>
  <c r="L265" i="2"/>
  <c r="S265" i="2"/>
  <c r="N265" i="2"/>
  <c r="H265" i="2"/>
  <c r="G265" i="2"/>
  <c r="O265" i="2"/>
  <c r="F265" i="2"/>
  <c r="M265" i="2"/>
  <c r="I265" i="2"/>
  <c r="G301" i="5"/>
  <c r="C301" i="5"/>
  <c r="H301" i="5"/>
  <c r="B301" i="5"/>
  <c r="D301" i="5"/>
  <c r="R417" i="2"/>
  <c r="L417" i="2"/>
  <c r="I417" i="2"/>
  <c r="H417" i="2"/>
  <c r="G417" i="2"/>
  <c r="O417" i="2"/>
  <c r="M417" i="2"/>
  <c r="S417" i="2"/>
  <c r="F417" i="2"/>
  <c r="N417" i="2"/>
  <c r="R598" i="2"/>
  <c r="N598" i="2"/>
  <c r="F598" i="2"/>
  <c r="O598" i="2"/>
  <c r="H598" i="2"/>
  <c r="L598" i="2"/>
  <c r="I598" i="2"/>
  <c r="M598" i="2"/>
  <c r="G598" i="2"/>
  <c r="S598" i="2"/>
  <c r="R629" i="2"/>
  <c r="L629" i="2"/>
  <c r="H629" i="2"/>
  <c r="F629" i="2"/>
  <c r="I629" i="2"/>
  <c r="S629" i="2"/>
  <c r="N629" i="2"/>
  <c r="M629" i="2"/>
  <c r="O629" i="2"/>
  <c r="G629" i="2"/>
  <c r="R628" i="2"/>
  <c r="I628" i="2"/>
  <c r="L628" i="2"/>
  <c r="M628" i="2"/>
  <c r="F628" i="2"/>
  <c r="S628" i="2"/>
  <c r="O628" i="2"/>
  <c r="G628" i="2"/>
  <c r="H628" i="2"/>
  <c r="N628" i="2"/>
  <c r="Q691" i="2"/>
  <c r="R115" i="2"/>
  <c r="I115" i="2"/>
  <c r="F115" i="2"/>
  <c r="S115" i="2"/>
  <c r="N115" i="2"/>
  <c r="L115" i="2"/>
  <c r="G115" i="2"/>
  <c r="O115" i="2"/>
  <c r="H115" i="2"/>
  <c r="M115" i="2"/>
  <c r="Q219" i="2"/>
  <c r="Q164" i="2"/>
  <c r="D293" i="5"/>
  <c r="B293" i="5"/>
  <c r="H293" i="5"/>
  <c r="C293" i="5"/>
  <c r="G293" i="5"/>
  <c r="Q880" i="2"/>
  <c r="Q793" i="2"/>
  <c r="H100" i="5"/>
  <c r="B100" i="5"/>
  <c r="D100" i="5"/>
  <c r="G100" i="5"/>
  <c r="C100" i="5"/>
  <c r="Q406" i="2"/>
  <c r="B67" i="5"/>
  <c r="Q634" i="2"/>
  <c r="Q960" i="2"/>
  <c r="Q570" i="2"/>
  <c r="B496" i="5"/>
  <c r="C496" i="5"/>
  <c r="D496" i="5"/>
  <c r="H496" i="5"/>
  <c r="G496" i="5"/>
  <c r="H175" i="5"/>
  <c r="D175" i="5"/>
  <c r="G175" i="5"/>
  <c r="B175" i="5"/>
  <c r="C175" i="5"/>
  <c r="Q559" i="2"/>
  <c r="Q968" i="2"/>
  <c r="Q639" i="2"/>
  <c r="Q617" i="2"/>
  <c r="Q890" i="2"/>
  <c r="Q529" i="2"/>
  <c r="D742" i="5"/>
  <c r="B742" i="5"/>
  <c r="C742" i="5"/>
  <c r="H742" i="5"/>
  <c r="G742" i="5"/>
  <c r="D162" i="5"/>
  <c r="C162" i="5"/>
  <c r="H162" i="5"/>
  <c r="G162" i="5"/>
  <c r="B162" i="5"/>
  <c r="Q647" i="2"/>
  <c r="H378" i="5"/>
  <c r="C378" i="5"/>
  <c r="B378" i="5"/>
  <c r="G378" i="5"/>
  <c r="D378" i="5"/>
  <c r="Q393" i="2"/>
  <c r="G834" i="5"/>
  <c r="H834" i="5"/>
  <c r="D834" i="5"/>
  <c r="B834" i="5"/>
  <c r="C834" i="5"/>
  <c r="Q969" i="2"/>
  <c r="B345" i="5"/>
  <c r="G345" i="5"/>
  <c r="C345" i="5"/>
  <c r="D345" i="5"/>
  <c r="H345" i="5"/>
  <c r="Q802" i="2"/>
  <c r="Q897" i="2"/>
  <c r="Q970" i="2"/>
  <c r="Q782" i="2"/>
  <c r="Q452" i="2"/>
  <c r="B16" i="5"/>
  <c r="Q151" i="2"/>
  <c r="Q419" i="2"/>
  <c r="Q405" i="2"/>
  <c r="Q189" i="2"/>
  <c r="Q466" i="2"/>
  <c r="B88" i="5"/>
  <c r="R282" i="2"/>
  <c r="M282" i="2"/>
  <c r="H282" i="2"/>
  <c r="G282" i="2"/>
  <c r="F282" i="2"/>
  <c r="N282" i="2"/>
  <c r="O282" i="2"/>
  <c r="L282" i="2"/>
  <c r="I282" i="2"/>
  <c r="S282" i="2"/>
  <c r="Q550" i="2"/>
  <c r="Q574" i="2"/>
  <c r="Q724" i="2"/>
  <c r="B33" i="5"/>
  <c r="Q879" i="2"/>
  <c r="Q150" i="2"/>
  <c r="Q888" i="2"/>
  <c r="Q484" i="2"/>
  <c r="Q203" i="2"/>
  <c r="Q206" i="2"/>
  <c r="Q933" i="2"/>
  <c r="Q502" i="2"/>
  <c r="H924" i="5"/>
  <c r="B924" i="5"/>
  <c r="D924" i="5"/>
  <c r="G924" i="5"/>
  <c r="C924" i="5"/>
  <c r="Q232" i="2"/>
  <c r="Q997" i="2"/>
  <c r="D110" i="5"/>
  <c r="C110" i="5"/>
  <c r="G110" i="5"/>
  <c r="H110" i="5"/>
  <c r="B110" i="5"/>
  <c r="Q709" i="2"/>
  <c r="Q811" i="2"/>
  <c r="C161" i="5"/>
  <c r="B161" i="5"/>
  <c r="D161" i="5"/>
  <c r="H161" i="5"/>
  <c r="G161" i="5"/>
  <c r="Q944" i="2"/>
  <c r="G664" i="5"/>
  <c r="H664" i="5"/>
  <c r="D664" i="5"/>
  <c r="C664" i="5"/>
  <c r="B664" i="5"/>
  <c r="R793" i="2"/>
  <c r="G793" i="2"/>
  <c r="N793" i="2"/>
  <c r="M793" i="2"/>
  <c r="F793" i="2"/>
  <c r="O793" i="2"/>
  <c r="S793" i="2"/>
  <c r="L793" i="2"/>
  <c r="H793" i="2"/>
  <c r="I793" i="2"/>
  <c r="H287" i="5"/>
  <c r="D287" i="5"/>
  <c r="C287" i="5"/>
  <c r="G287" i="5"/>
  <c r="B287" i="5"/>
  <c r="Q791" i="2"/>
  <c r="Q337" i="2"/>
  <c r="B348" i="5"/>
  <c r="G348" i="5"/>
  <c r="H348" i="5"/>
  <c r="D348" i="5"/>
  <c r="C348" i="5"/>
  <c r="Q923" i="2"/>
  <c r="H963" i="5"/>
  <c r="B963" i="5"/>
  <c r="C963" i="5"/>
  <c r="G963" i="5"/>
  <c r="D963" i="5"/>
  <c r="Q826" i="2"/>
  <c r="Q488" i="2"/>
  <c r="H774" i="5"/>
  <c r="C774" i="5"/>
  <c r="G774" i="5"/>
  <c r="D774" i="5"/>
  <c r="B774" i="5"/>
  <c r="D964" i="5"/>
  <c r="H964" i="5"/>
  <c r="G964" i="5"/>
  <c r="C964" i="5"/>
  <c r="B964" i="5"/>
  <c r="Q426" i="2"/>
  <c r="B59" i="5"/>
  <c r="H462" i="5"/>
  <c r="C462" i="5"/>
  <c r="G462" i="5"/>
  <c r="D462" i="5"/>
  <c r="B462" i="5"/>
  <c r="R355" i="2"/>
  <c r="I355" i="2"/>
  <c r="F355" i="2"/>
  <c r="L355" i="2"/>
  <c r="N355" i="2"/>
  <c r="H355" i="2"/>
  <c r="O355" i="2"/>
  <c r="S355" i="2"/>
  <c r="G355" i="2"/>
  <c r="M355" i="2"/>
  <c r="R888" i="2"/>
  <c r="H888" i="2"/>
  <c r="L888" i="2"/>
  <c r="M888" i="2"/>
  <c r="F888" i="2"/>
  <c r="S888" i="2"/>
  <c r="I888" i="2"/>
  <c r="N888" i="2"/>
  <c r="G888" i="2"/>
  <c r="O888" i="2"/>
  <c r="D911" i="5"/>
  <c r="C911" i="5"/>
  <c r="H911" i="5"/>
  <c r="G911" i="5"/>
  <c r="B911" i="5"/>
  <c r="Q510" i="2"/>
  <c r="B18" i="5"/>
  <c r="C181" i="5"/>
  <c r="G181" i="5"/>
  <c r="H181" i="5"/>
  <c r="D181" i="5"/>
  <c r="B181" i="5"/>
  <c r="Q863" i="2"/>
  <c r="H956" i="5"/>
  <c r="G956" i="5"/>
  <c r="B956" i="5"/>
  <c r="D956" i="5"/>
  <c r="C956" i="5"/>
  <c r="D999" i="5"/>
  <c r="C999" i="5"/>
  <c r="G999" i="5"/>
  <c r="B999" i="5"/>
  <c r="H999" i="5"/>
  <c r="C438" i="5"/>
  <c r="D438" i="5"/>
  <c r="B438" i="5"/>
  <c r="G438" i="5"/>
  <c r="H438" i="5"/>
  <c r="B23" i="5"/>
  <c r="B562" i="5"/>
  <c r="H562" i="5"/>
  <c r="D562" i="5"/>
  <c r="C562" i="5"/>
  <c r="G562" i="5"/>
  <c r="Q747" i="2"/>
  <c r="R812" i="2"/>
  <c r="O812" i="2"/>
  <c r="M812" i="2"/>
  <c r="H812" i="2"/>
  <c r="L812" i="2"/>
  <c r="S812" i="2"/>
  <c r="N812" i="2"/>
  <c r="F812" i="2"/>
  <c r="I812" i="2"/>
  <c r="G812" i="2"/>
  <c r="C426" i="5"/>
  <c r="B426" i="5"/>
  <c r="G426" i="5"/>
  <c r="D426" i="5"/>
  <c r="H426" i="5"/>
  <c r="B922" i="5"/>
  <c r="C922" i="5"/>
  <c r="H922" i="5"/>
  <c r="D922" i="5"/>
  <c r="G922" i="5"/>
  <c r="H349" i="5"/>
  <c r="B349" i="5"/>
  <c r="C349" i="5"/>
  <c r="D349" i="5"/>
  <c r="G349" i="5"/>
  <c r="R215" i="2"/>
  <c r="L215" i="2"/>
  <c r="H215" i="2"/>
  <c r="O215" i="2"/>
  <c r="N215" i="2"/>
  <c r="G215" i="2"/>
  <c r="F215" i="2"/>
  <c r="M215" i="2"/>
  <c r="S215" i="2"/>
  <c r="I215" i="2"/>
  <c r="Q292" i="2"/>
  <c r="Q713" i="2"/>
  <c r="Q770" i="2"/>
  <c r="H751" i="5"/>
  <c r="C751" i="5"/>
  <c r="B751" i="5"/>
  <c r="D751" i="5"/>
  <c r="G751" i="5"/>
  <c r="Q764" i="2"/>
  <c r="H104" i="5"/>
  <c r="B104" i="5"/>
  <c r="D104" i="5"/>
  <c r="C104" i="5"/>
  <c r="G104" i="5"/>
  <c r="Q565" i="2"/>
  <c r="C997" i="5"/>
  <c r="H997" i="5"/>
  <c r="B997" i="5"/>
  <c r="D997" i="5"/>
  <c r="G997" i="5"/>
  <c r="L81" i="2"/>
  <c r="F81" i="2"/>
  <c r="N81" i="2"/>
  <c r="S81" i="2"/>
  <c r="M81" i="2"/>
  <c r="O81" i="2"/>
  <c r="Q978" i="2"/>
  <c r="C255" i="5"/>
  <c r="H255" i="5"/>
  <c r="B255" i="5"/>
  <c r="G255" i="5"/>
  <c r="D255" i="5"/>
  <c r="Q534" i="2"/>
  <c r="R428" i="2"/>
  <c r="I428" i="2"/>
  <c r="O428" i="2"/>
  <c r="F428" i="2"/>
  <c r="S428" i="2"/>
  <c r="H428" i="2"/>
  <c r="N428" i="2"/>
  <c r="M428" i="2"/>
  <c r="L428" i="2"/>
  <c r="G428" i="2"/>
  <c r="Q145" i="2"/>
  <c r="R376" i="2"/>
  <c r="F376" i="2"/>
  <c r="O376" i="2"/>
  <c r="I376" i="2"/>
  <c r="S376" i="2"/>
  <c r="H376" i="2"/>
  <c r="N376" i="2"/>
  <c r="M376" i="2"/>
  <c r="G376" i="2"/>
  <c r="L376" i="2"/>
  <c r="C608" i="5"/>
  <c r="B608" i="5"/>
  <c r="D608" i="5"/>
  <c r="G608" i="5"/>
  <c r="H608" i="5"/>
  <c r="R311" i="2"/>
  <c r="F311" i="2"/>
  <c r="G311" i="2"/>
  <c r="I311" i="2"/>
  <c r="L311" i="2"/>
  <c r="O311" i="2"/>
  <c r="S311" i="2"/>
  <c r="M311" i="2"/>
  <c r="N311" i="2"/>
  <c r="H311" i="2"/>
  <c r="R779" i="2"/>
  <c r="N779" i="2"/>
  <c r="S779" i="2"/>
  <c r="O779" i="2"/>
  <c r="F779" i="2"/>
  <c r="L779" i="2"/>
  <c r="G779" i="2"/>
  <c r="H779" i="2"/>
  <c r="I779" i="2"/>
  <c r="M779" i="2"/>
  <c r="B223" i="5"/>
  <c r="G223" i="5"/>
  <c r="H223" i="5"/>
  <c r="C223" i="5"/>
  <c r="D223" i="5"/>
  <c r="H206" i="5"/>
  <c r="G206" i="5"/>
  <c r="C206" i="5"/>
  <c r="D206" i="5"/>
  <c r="B206" i="5"/>
  <c r="R122" i="2"/>
  <c r="M122" i="2"/>
  <c r="F122" i="2"/>
  <c r="N122" i="2"/>
  <c r="H122" i="2"/>
  <c r="L122" i="2"/>
  <c r="G122" i="2"/>
  <c r="O122" i="2"/>
  <c r="S122" i="2"/>
  <c r="I122" i="2"/>
  <c r="B443" i="5"/>
  <c r="G443" i="5"/>
  <c r="D443" i="5"/>
  <c r="H443" i="5"/>
  <c r="C443" i="5"/>
  <c r="R573" i="2"/>
  <c r="M573" i="2"/>
  <c r="H573" i="2"/>
  <c r="L573" i="2"/>
  <c r="F573" i="2"/>
  <c r="G573" i="2"/>
  <c r="S573" i="2"/>
  <c r="O573" i="2"/>
  <c r="I573" i="2"/>
  <c r="N573" i="2"/>
  <c r="R554" i="2"/>
  <c r="H554" i="2"/>
  <c r="S554" i="2"/>
  <c r="M554" i="2"/>
  <c r="F554" i="2"/>
  <c r="N554" i="2"/>
  <c r="O554" i="2"/>
  <c r="G554" i="2"/>
  <c r="I554" i="2"/>
  <c r="L554" i="2"/>
  <c r="Q947" i="2"/>
  <c r="B19" i="5"/>
  <c r="Q238" i="2"/>
  <c r="B770" i="5"/>
  <c r="D770" i="5"/>
  <c r="C770" i="5"/>
  <c r="G770" i="5"/>
  <c r="H770" i="5"/>
  <c r="R762" i="2"/>
  <c r="O762" i="2"/>
  <c r="M762" i="2"/>
  <c r="H762" i="2"/>
  <c r="I762" i="2"/>
  <c r="S762" i="2"/>
  <c r="F762" i="2"/>
  <c r="N762" i="2"/>
  <c r="G762" i="2"/>
  <c r="L762" i="2"/>
  <c r="Q307" i="2"/>
  <c r="Q330" i="2"/>
  <c r="Q391" i="2"/>
  <c r="B746" i="5"/>
  <c r="C746" i="5"/>
  <c r="G746" i="5"/>
  <c r="H746" i="5"/>
  <c r="D746" i="5"/>
  <c r="Q714" i="2"/>
  <c r="B584" i="5"/>
  <c r="C584" i="5"/>
  <c r="D584" i="5"/>
  <c r="G584" i="5"/>
  <c r="H584" i="5"/>
  <c r="Q584" i="2"/>
  <c r="Q929" i="2"/>
  <c r="Q366" i="2"/>
  <c r="Q561" i="2"/>
  <c r="Q800" i="2"/>
  <c r="Q765" i="2"/>
  <c r="Q156" i="2"/>
  <c r="Q950" i="2"/>
  <c r="Q177" i="2"/>
  <c r="Q816" i="2"/>
  <c r="Q430" i="2"/>
  <c r="Q533" i="2"/>
  <c r="D381" i="5"/>
  <c r="C381" i="5"/>
  <c r="B381" i="5"/>
  <c r="H381" i="5"/>
  <c r="G381" i="5"/>
  <c r="Q283" i="2"/>
  <c r="G209" i="5"/>
  <c r="D209" i="5"/>
  <c r="H209" i="5"/>
  <c r="C209" i="5"/>
  <c r="B209" i="5"/>
  <c r="Q399" i="2"/>
  <c r="Q686" i="2"/>
  <c r="R449" i="2"/>
  <c r="O449" i="2"/>
  <c r="S449" i="2"/>
  <c r="I449" i="2"/>
  <c r="M449" i="2"/>
  <c r="F449" i="2"/>
  <c r="L449" i="2"/>
  <c r="N449" i="2"/>
  <c r="G449" i="2"/>
  <c r="H449" i="2"/>
  <c r="Q439" i="2"/>
  <c r="Q663" i="2"/>
  <c r="Q413" i="2"/>
  <c r="Q537" i="2"/>
  <c r="Q467" i="2"/>
  <c r="Q792" i="2"/>
  <c r="Q625" i="2"/>
  <c r="Q496" i="2"/>
  <c r="Q303" i="2"/>
  <c r="H160" i="5"/>
  <c r="D160" i="5"/>
  <c r="B160" i="5"/>
  <c r="G160" i="5"/>
  <c r="C160" i="5"/>
  <c r="Q506" i="2"/>
  <c r="Q576" i="2"/>
  <c r="D360" i="5"/>
  <c r="C360" i="5"/>
  <c r="B360" i="5"/>
  <c r="H360" i="5"/>
  <c r="G360" i="5"/>
  <c r="R961" i="2"/>
  <c r="I961" i="2"/>
  <c r="N961" i="2"/>
  <c r="G961" i="2"/>
  <c r="H961" i="2"/>
  <c r="S961" i="2"/>
  <c r="M961" i="2"/>
  <c r="L961" i="2"/>
  <c r="F961" i="2"/>
  <c r="O961" i="2"/>
  <c r="Q319" i="2"/>
  <c r="Q775" i="2"/>
  <c r="Q166" i="2"/>
  <c r="Q314" i="2"/>
  <c r="Q331" i="2"/>
  <c r="Q453" i="2"/>
  <c r="D156" i="5"/>
  <c r="G156" i="5"/>
  <c r="B156" i="5"/>
  <c r="H156" i="5"/>
  <c r="C156" i="5"/>
  <c r="Q572" i="2"/>
  <c r="H312" i="5"/>
  <c r="D312" i="5"/>
  <c r="G312" i="5"/>
  <c r="B312" i="5"/>
  <c r="C312" i="5"/>
  <c r="Q105" i="2"/>
  <c r="Q627" i="2"/>
  <c r="Q563" i="2"/>
  <c r="D352" i="5"/>
  <c r="B352" i="5"/>
  <c r="G352" i="5"/>
  <c r="C352" i="5"/>
  <c r="H352" i="5"/>
  <c r="Q613" i="2"/>
  <c r="Q427" i="2"/>
  <c r="Q706" i="2"/>
  <c r="C955" i="5"/>
  <c r="B955" i="5"/>
  <c r="H955" i="5"/>
  <c r="D955" i="5"/>
  <c r="G955" i="5"/>
  <c r="Q231" i="2"/>
  <c r="B611" i="5"/>
  <c r="D611" i="5"/>
  <c r="H611" i="5"/>
  <c r="G611" i="5"/>
  <c r="C611" i="5"/>
  <c r="Q684" i="2"/>
  <c r="Q291" i="2"/>
  <c r="H738" i="5"/>
  <c r="B738" i="5"/>
  <c r="G738" i="5"/>
  <c r="D738" i="5"/>
  <c r="C738" i="5"/>
  <c r="C500" i="5"/>
  <c r="H500" i="5"/>
  <c r="G500" i="5"/>
  <c r="D500" i="5"/>
  <c r="B500" i="5"/>
  <c r="Q269" i="2"/>
  <c r="Q650" i="2"/>
  <c r="R708" i="2"/>
  <c r="F708" i="2"/>
  <c r="L708" i="2"/>
  <c r="N708" i="2"/>
  <c r="M708" i="2"/>
  <c r="G708" i="2"/>
  <c r="I708" i="2"/>
  <c r="S708" i="2"/>
  <c r="H708" i="2"/>
  <c r="O708" i="2"/>
  <c r="Q850" i="2"/>
  <c r="B568" i="5"/>
  <c r="G568" i="5"/>
  <c r="H568" i="5"/>
  <c r="C568" i="5"/>
  <c r="D568" i="5"/>
  <c r="G693" i="5"/>
  <c r="H693" i="5"/>
  <c r="C693" i="5"/>
  <c r="B693" i="5"/>
  <c r="D693" i="5"/>
  <c r="Q128" i="2"/>
  <c r="R260" i="2"/>
  <c r="N260" i="2"/>
  <c r="G260" i="2"/>
  <c r="S260" i="2"/>
  <c r="H260" i="2"/>
  <c r="M260" i="2"/>
  <c r="F260" i="2"/>
  <c r="L260" i="2"/>
  <c r="I260" i="2"/>
  <c r="O260" i="2"/>
  <c r="G797" i="5"/>
  <c r="B797" i="5"/>
  <c r="H797" i="5"/>
  <c r="C797" i="5"/>
  <c r="D797" i="5"/>
  <c r="H873" i="5"/>
  <c r="C873" i="5"/>
  <c r="G873" i="5"/>
  <c r="D873" i="5"/>
  <c r="B873" i="5"/>
  <c r="C480" i="5"/>
  <c r="B480" i="5"/>
  <c r="G480" i="5"/>
  <c r="H480" i="5"/>
  <c r="D480" i="5"/>
  <c r="B50" i="5"/>
  <c r="B812" i="5"/>
  <c r="G812" i="5"/>
  <c r="C812" i="5"/>
  <c r="D812" i="5"/>
  <c r="H812" i="5"/>
  <c r="R344" i="2"/>
  <c r="H344" i="2"/>
  <c r="S344" i="2"/>
  <c r="L344" i="2"/>
  <c r="I344" i="2"/>
  <c r="M344" i="2"/>
  <c r="F344" i="2"/>
  <c r="G344" i="2"/>
  <c r="N344" i="2"/>
  <c r="O344" i="2"/>
  <c r="Q644" i="2"/>
  <c r="Q898" i="2"/>
  <c r="Q984" i="2"/>
  <c r="C306" i="5"/>
  <c r="B306" i="5"/>
  <c r="D306" i="5"/>
  <c r="G306" i="5"/>
  <c r="H306" i="5"/>
  <c r="B4" i="5"/>
  <c r="D786" i="5"/>
  <c r="G786" i="5"/>
  <c r="C786" i="5"/>
  <c r="H786" i="5"/>
  <c r="B786" i="5"/>
  <c r="Q732" i="2"/>
  <c r="H510" i="5"/>
  <c r="D510" i="5"/>
  <c r="G510" i="5"/>
  <c r="B510" i="5"/>
  <c r="C510" i="5"/>
  <c r="R285" i="2"/>
  <c r="I285" i="2"/>
  <c r="L285" i="2"/>
  <c r="N285" i="2"/>
  <c r="O285" i="2"/>
  <c r="H285" i="2"/>
  <c r="F285" i="2"/>
  <c r="M285" i="2"/>
  <c r="G285" i="2"/>
  <c r="S285" i="2"/>
  <c r="Q730" i="2"/>
  <c r="B900" i="5"/>
  <c r="D900" i="5"/>
  <c r="C900" i="5"/>
  <c r="H900" i="5"/>
  <c r="G900" i="5"/>
  <c r="D268" i="5"/>
  <c r="G268" i="5"/>
  <c r="H268" i="5"/>
  <c r="C268" i="5"/>
  <c r="B268" i="5"/>
  <c r="R503" i="2"/>
  <c r="F503" i="2"/>
  <c r="M503" i="2"/>
  <c r="H503" i="2"/>
  <c r="O503" i="2"/>
  <c r="G503" i="2"/>
  <c r="L503" i="2"/>
  <c r="I503" i="2"/>
  <c r="S503" i="2"/>
  <c r="N503" i="2"/>
  <c r="D844" i="5"/>
  <c r="G844" i="5"/>
  <c r="B844" i="5"/>
  <c r="C844" i="5"/>
  <c r="H844" i="5"/>
  <c r="R383" i="2"/>
  <c r="M383" i="2"/>
  <c r="L383" i="2"/>
  <c r="I383" i="2"/>
  <c r="G383" i="2"/>
  <c r="S383" i="2"/>
  <c r="H383" i="2"/>
  <c r="F383" i="2"/>
  <c r="N383" i="2"/>
  <c r="O383" i="2"/>
  <c r="Q902" i="2"/>
  <c r="B897" i="5"/>
  <c r="G897" i="5"/>
  <c r="H897" i="5"/>
  <c r="D897" i="5"/>
  <c r="C897" i="5"/>
  <c r="Q261" i="2"/>
  <c r="Q491" i="2"/>
  <c r="Q746" i="2"/>
  <c r="Q193" i="2"/>
  <c r="Q975" i="2"/>
  <c r="R775" i="2"/>
  <c r="H775" i="2"/>
  <c r="N775" i="2"/>
  <c r="M775" i="2"/>
  <c r="O775" i="2"/>
  <c r="I775" i="2"/>
  <c r="L775" i="2"/>
  <c r="G775" i="2"/>
  <c r="F775" i="2"/>
  <c r="S775" i="2"/>
  <c r="D736" i="5"/>
  <c r="B736" i="5"/>
  <c r="G736" i="5"/>
  <c r="H736" i="5"/>
  <c r="C736" i="5"/>
  <c r="Q531" i="2"/>
  <c r="G314" i="5"/>
  <c r="C314" i="5"/>
  <c r="B314" i="5"/>
  <c r="D314" i="5"/>
  <c r="H314" i="5"/>
  <c r="Q316" i="2"/>
  <c r="Q590" i="2"/>
  <c r="Q823" i="2"/>
  <c r="C533" i="5"/>
  <c r="H533" i="5"/>
  <c r="G533" i="5"/>
  <c r="D533" i="5"/>
  <c r="B533" i="5"/>
  <c r="C374" i="5"/>
  <c r="G374" i="5"/>
  <c r="H374" i="5"/>
  <c r="D374" i="5"/>
  <c r="B374" i="5"/>
  <c r="B596" i="5"/>
  <c r="H596" i="5"/>
  <c r="G596" i="5"/>
  <c r="D596" i="5"/>
  <c r="C596" i="5"/>
  <c r="H157" i="5"/>
  <c r="D157" i="5"/>
  <c r="C157" i="5"/>
  <c r="B157" i="5"/>
  <c r="G157" i="5"/>
  <c r="G819" i="5"/>
  <c r="C819" i="5"/>
  <c r="H819" i="5"/>
  <c r="B819" i="5"/>
  <c r="D819" i="5"/>
  <c r="D385" i="5"/>
  <c r="B385" i="5"/>
  <c r="C385" i="5"/>
  <c r="G385" i="5"/>
  <c r="H385" i="5"/>
  <c r="R225" i="2"/>
  <c r="O225" i="2"/>
  <c r="S225" i="2"/>
  <c r="I225" i="2"/>
  <c r="H225" i="2"/>
  <c r="L225" i="2"/>
  <c r="M225" i="2"/>
  <c r="G225" i="2"/>
  <c r="F225" i="2"/>
  <c r="N225" i="2"/>
  <c r="Q979" i="2"/>
  <c r="Q692" i="2"/>
  <c r="Q787" i="2"/>
  <c r="R303" i="2"/>
  <c r="H303" i="2"/>
  <c r="F303" i="2"/>
  <c r="M303" i="2"/>
  <c r="O303" i="2"/>
  <c r="N303" i="2"/>
  <c r="S303" i="2"/>
  <c r="L303" i="2"/>
  <c r="I303" i="2"/>
  <c r="G303" i="2"/>
  <c r="Q862" i="2"/>
  <c r="Q329" i="2"/>
  <c r="Q503" i="2"/>
  <c r="R291" i="2"/>
  <c r="G291" i="2"/>
  <c r="F291" i="2"/>
  <c r="S291" i="2"/>
  <c r="M291" i="2"/>
  <c r="L291" i="2"/>
  <c r="N291" i="2"/>
  <c r="I291" i="2"/>
  <c r="H291" i="2"/>
  <c r="O291" i="2"/>
  <c r="Q588" i="2"/>
  <c r="B372" i="5"/>
  <c r="G372" i="5"/>
  <c r="C372" i="5"/>
  <c r="D372" i="5"/>
  <c r="H372" i="5"/>
  <c r="Q740" i="2"/>
  <c r="R210" i="2"/>
  <c r="O210" i="2"/>
  <c r="I210" i="2"/>
  <c r="H210" i="2"/>
  <c r="F210" i="2"/>
  <c r="M210" i="2"/>
  <c r="G210" i="2"/>
  <c r="S210" i="2"/>
  <c r="N210" i="2"/>
  <c r="L210" i="2"/>
  <c r="B805" i="5"/>
  <c r="D805" i="5"/>
  <c r="G805" i="5"/>
  <c r="H805" i="5"/>
  <c r="C805" i="5"/>
  <c r="Q482" i="2"/>
  <c r="Q476" i="2"/>
  <c r="Q601" i="2"/>
  <c r="Q849" i="2"/>
  <c r="Q420" i="2"/>
  <c r="Q333" i="2"/>
  <c r="Q679" i="2"/>
  <c r="Q365" i="2"/>
  <c r="Q286" i="2"/>
  <c r="Q480" i="2"/>
  <c r="H178" i="5"/>
  <c r="B178" i="5"/>
  <c r="D178" i="5"/>
  <c r="G178" i="5"/>
  <c r="C178" i="5"/>
  <c r="Q566" i="2"/>
  <c r="Q373" i="2"/>
  <c r="D971" i="5"/>
  <c r="B971" i="5"/>
  <c r="C971" i="5"/>
  <c r="G971" i="5"/>
  <c r="H971" i="5"/>
  <c r="C117" i="5"/>
  <c r="G117" i="5"/>
  <c r="B117" i="5"/>
  <c r="H117" i="5"/>
  <c r="D117" i="5"/>
  <c r="G169" i="5"/>
  <c r="D169" i="5"/>
  <c r="B169" i="5"/>
  <c r="H169" i="5"/>
  <c r="C169" i="5"/>
  <c r="Q318" i="2"/>
  <c r="Q892" i="2"/>
  <c r="Q965" i="2"/>
  <c r="Q837" i="2"/>
  <c r="H274" i="5"/>
  <c r="B274" i="5"/>
  <c r="C274" i="5"/>
  <c r="D274" i="5"/>
  <c r="G274" i="5"/>
  <c r="Q604" i="2"/>
  <c r="Q434" i="2"/>
  <c r="D735" i="5"/>
  <c r="C735" i="5"/>
  <c r="G735" i="5"/>
  <c r="B735" i="5"/>
  <c r="H735" i="5"/>
  <c r="C446" i="5"/>
  <c r="B446" i="5"/>
  <c r="G446" i="5"/>
  <c r="D446" i="5"/>
  <c r="H446" i="5"/>
  <c r="Q602" i="2"/>
  <c r="Q759" i="2"/>
  <c r="Q875" i="2"/>
  <c r="Q322" i="2"/>
  <c r="Q504" i="2"/>
  <c r="B81" i="5"/>
  <c r="Q589" i="2"/>
  <c r="Q237" i="2"/>
  <c r="Q868" i="2"/>
  <c r="B46" i="5"/>
  <c r="Q310" i="2"/>
  <c r="Q778" i="2"/>
  <c r="H330" i="5"/>
  <c r="D330" i="5"/>
  <c r="G330" i="5"/>
  <c r="B330" i="5"/>
  <c r="C330" i="5"/>
  <c r="D167" i="5"/>
  <c r="C167" i="5"/>
  <c r="B167" i="5"/>
  <c r="G167" i="5"/>
  <c r="H167" i="5"/>
  <c r="R133" i="2"/>
  <c r="H133" i="2"/>
  <c r="M133" i="2"/>
  <c r="I133" i="2"/>
  <c r="F133" i="2"/>
  <c r="L133" i="2"/>
  <c r="S133" i="2"/>
  <c r="G133" i="2"/>
  <c r="O133" i="2"/>
  <c r="N133" i="2"/>
  <c r="Q940" i="2"/>
  <c r="B487" i="5"/>
  <c r="D487" i="5"/>
  <c r="G487" i="5"/>
  <c r="H487" i="5"/>
  <c r="C487" i="5"/>
  <c r="Q885" i="2"/>
  <c r="C226" i="5"/>
  <c r="D226" i="5"/>
  <c r="H226" i="5"/>
  <c r="G226" i="5"/>
  <c r="B226" i="5"/>
  <c r="B406" i="5"/>
  <c r="H406" i="5"/>
  <c r="C406" i="5"/>
  <c r="G406" i="5"/>
  <c r="D406" i="5"/>
  <c r="B517" i="5"/>
  <c r="H517" i="5"/>
  <c r="C517" i="5"/>
  <c r="D517" i="5"/>
  <c r="G517" i="5"/>
  <c r="Q532" i="2"/>
  <c r="B80" i="5"/>
  <c r="C927" i="5"/>
  <c r="G927" i="5"/>
  <c r="H927" i="5"/>
  <c r="D927" i="5"/>
  <c r="B927" i="5"/>
  <c r="Q144" i="2"/>
  <c r="Q600" i="2"/>
  <c r="R245" i="2"/>
  <c r="M245" i="2"/>
  <c r="S245" i="2"/>
  <c r="L245" i="2"/>
  <c r="G245" i="2"/>
  <c r="N245" i="2"/>
  <c r="H245" i="2"/>
  <c r="O245" i="2"/>
  <c r="I245" i="2"/>
  <c r="F245" i="2"/>
  <c r="Q779" i="2"/>
  <c r="Q780" i="2"/>
  <c r="B635" i="5"/>
  <c r="G635" i="5"/>
  <c r="C635" i="5"/>
  <c r="D635" i="5"/>
  <c r="H635" i="5"/>
  <c r="H451" i="5"/>
  <c r="G451" i="5"/>
  <c r="C451" i="5"/>
  <c r="B451" i="5"/>
  <c r="D451" i="5"/>
  <c r="R468" i="2"/>
  <c r="O468" i="2"/>
  <c r="L468" i="2"/>
  <c r="S468" i="2"/>
  <c r="H468" i="2"/>
  <c r="F468" i="2"/>
  <c r="G468" i="2"/>
  <c r="M468" i="2"/>
  <c r="I468" i="2"/>
  <c r="N468" i="2"/>
  <c r="Q807" i="2"/>
  <c r="C579" i="5"/>
  <c r="D579" i="5"/>
  <c r="H579" i="5"/>
  <c r="B579" i="5"/>
  <c r="G579" i="5"/>
  <c r="G389" i="5"/>
  <c r="C389" i="5"/>
  <c r="D389" i="5"/>
  <c r="B389" i="5"/>
  <c r="H389" i="5"/>
  <c r="R698" i="2"/>
  <c r="S698" i="2"/>
  <c r="G698" i="2"/>
  <c r="M698" i="2"/>
  <c r="H698" i="2"/>
  <c r="O698" i="2"/>
  <c r="F698" i="2"/>
  <c r="I698" i="2"/>
  <c r="L698" i="2"/>
  <c r="N698" i="2"/>
  <c r="C474" i="5"/>
  <c r="G474" i="5"/>
  <c r="B474" i="5"/>
  <c r="D474" i="5"/>
  <c r="H474" i="5"/>
  <c r="R396" i="2"/>
  <c r="H396" i="2"/>
  <c r="N396" i="2"/>
  <c r="G396" i="2"/>
  <c r="F396" i="2"/>
  <c r="L396" i="2"/>
  <c r="I396" i="2"/>
  <c r="S396" i="2"/>
  <c r="O396" i="2"/>
  <c r="M396" i="2"/>
  <c r="Q666" i="2"/>
  <c r="D361" i="5"/>
  <c r="B361" i="5"/>
  <c r="H361" i="5"/>
  <c r="C361" i="5"/>
  <c r="G361" i="5"/>
  <c r="Q594" i="2"/>
  <c r="Q943" i="2"/>
  <c r="Q101" i="2"/>
  <c r="Q795" i="2"/>
  <c r="H509" i="5"/>
  <c r="B509" i="5"/>
  <c r="G509" i="5"/>
  <c r="C509" i="5"/>
  <c r="D509" i="5"/>
  <c r="H692" i="5"/>
  <c r="B692" i="5"/>
  <c r="D692" i="5"/>
  <c r="G692" i="5"/>
  <c r="C692" i="5"/>
  <c r="H371" i="5"/>
  <c r="G371" i="5"/>
  <c r="B371" i="5"/>
  <c r="C371" i="5"/>
  <c r="D371" i="5"/>
  <c r="R339" i="2"/>
  <c r="L339" i="2"/>
  <c r="S339" i="2"/>
  <c r="F339" i="2"/>
  <c r="H339" i="2"/>
  <c r="M339" i="2"/>
  <c r="I339" i="2"/>
  <c r="G339" i="2"/>
  <c r="O339" i="2"/>
  <c r="N339" i="2"/>
  <c r="B835" i="5"/>
  <c r="G835" i="5"/>
  <c r="C835" i="5"/>
  <c r="H835" i="5"/>
  <c r="D835" i="5"/>
  <c r="B14" i="5"/>
  <c r="R565" i="2"/>
  <c r="O565" i="2"/>
  <c r="L565" i="2"/>
  <c r="H565" i="2"/>
  <c r="S565" i="2"/>
  <c r="G565" i="2"/>
  <c r="M565" i="2"/>
  <c r="N565" i="2"/>
  <c r="F565" i="2"/>
  <c r="I565" i="2"/>
  <c r="R640" i="2"/>
  <c r="L640" i="2"/>
  <c r="O640" i="2"/>
  <c r="G640" i="2"/>
  <c r="S640" i="2"/>
  <c r="H640" i="2"/>
  <c r="M640" i="2"/>
  <c r="F640" i="2"/>
  <c r="N640" i="2"/>
  <c r="I640" i="2"/>
  <c r="R975" i="2"/>
  <c r="G975" i="2"/>
  <c r="L975" i="2"/>
  <c r="S975" i="2"/>
  <c r="O975" i="2"/>
  <c r="F975" i="2"/>
  <c r="H975" i="2"/>
  <c r="M975" i="2"/>
  <c r="I975" i="2"/>
  <c r="N975" i="2"/>
  <c r="Q548" i="2"/>
  <c r="R882" i="2"/>
  <c r="G882" i="2"/>
  <c r="I882" i="2"/>
  <c r="N882" i="2"/>
  <c r="O882" i="2"/>
  <c r="F882" i="2"/>
  <c r="M882" i="2"/>
  <c r="S882" i="2"/>
  <c r="L882" i="2"/>
  <c r="H882" i="2"/>
  <c r="Q541" i="2"/>
  <c r="Q352" i="2"/>
  <c r="Q884" i="2"/>
  <c r="H885" i="5"/>
  <c r="C885" i="5"/>
  <c r="G885" i="5"/>
  <c r="D885" i="5"/>
  <c r="B885" i="5"/>
  <c r="H613" i="5"/>
  <c r="G613" i="5"/>
  <c r="B613" i="5"/>
  <c r="D613" i="5"/>
  <c r="C613" i="5"/>
  <c r="Q963" i="2"/>
  <c r="Q308" i="2"/>
  <c r="B647" i="5"/>
  <c r="G647" i="5"/>
  <c r="C647" i="5"/>
  <c r="H647" i="5"/>
  <c r="D647" i="5"/>
  <c r="B428" i="5"/>
  <c r="D428" i="5"/>
  <c r="C428" i="5"/>
  <c r="G428" i="5"/>
  <c r="H428" i="5"/>
  <c r="B284" i="5"/>
  <c r="D284" i="5"/>
  <c r="H284" i="5"/>
  <c r="G284" i="5"/>
  <c r="C284" i="5"/>
  <c r="Q612" i="2"/>
  <c r="G303" i="5"/>
  <c r="B303" i="5"/>
  <c r="D303" i="5"/>
  <c r="C303" i="5"/>
  <c r="H303" i="5"/>
  <c r="Q263" i="2"/>
  <c r="H221" i="5"/>
  <c r="G221" i="5"/>
  <c r="D221" i="5"/>
  <c r="B221" i="5"/>
  <c r="C221" i="5"/>
  <c r="R724" i="2"/>
  <c r="G724" i="2"/>
  <c r="L724" i="2"/>
  <c r="F724" i="2"/>
  <c r="O724" i="2"/>
  <c r="I724" i="2"/>
  <c r="S724" i="2"/>
  <c r="H724" i="2"/>
  <c r="N724" i="2"/>
  <c r="M724" i="2"/>
  <c r="R120" i="2"/>
  <c r="N120" i="2"/>
  <c r="M120" i="2"/>
  <c r="L120" i="2"/>
  <c r="H120" i="2"/>
  <c r="I120" i="2"/>
  <c r="G120" i="2"/>
  <c r="F120" i="2"/>
  <c r="O120" i="2"/>
  <c r="S120" i="2"/>
  <c r="R239" i="2"/>
  <c r="S239" i="2"/>
  <c r="L239" i="2"/>
  <c r="M239" i="2"/>
  <c r="N239" i="2"/>
  <c r="I239" i="2"/>
  <c r="F239" i="2"/>
  <c r="G239" i="2"/>
  <c r="O239" i="2"/>
  <c r="H239" i="2"/>
  <c r="C256" i="5"/>
  <c r="B256" i="5"/>
  <c r="G256" i="5"/>
  <c r="D256" i="5"/>
  <c r="H256" i="5"/>
  <c r="R786" i="2"/>
  <c r="H786" i="2"/>
  <c r="G786" i="2"/>
  <c r="M786" i="2"/>
  <c r="O786" i="2"/>
  <c r="I786" i="2"/>
  <c r="S786" i="2"/>
  <c r="N786" i="2"/>
  <c r="L786" i="2"/>
  <c r="F786" i="2"/>
  <c r="R942" i="2"/>
  <c r="L942" i="2"/>
  <c r="N942" i="2"/>
  <c r="M942" i="2"/>
  <c r="F942" i="2"/>
  <c r="H942" i="2"/>
  <c r="G942" i="2"/>
  <c r="I942" i="2"/>
  <c r="S942" i="2"/>
  <c r="O942" i="2"/>
  <c r="B567" i="5"/>
  <c r="H567" i="5"/>
  <c r="G567" i="5"/>
  <c r="C567" i="5"/>
  <c r="D567" i="5"/>
  <c r="D132" i="5"/>
  <c r="H132" i="5"/>
  <c r="B132" i="5"/>
  <c r="C132" i="5"/>
  <c r="G132" i="5"/>
  <c r="Q857" i="2"/>
  <c r="Q720" i="2"/>
  <c r="Q456" i="2"/>
  <c r="Q597" i="2"/>
  <c r="H798" i="5"/>
  <c r="B798" i="5"/>
  <c r="D798" i="5"/>
  <c r="C798" i="5"/>
  <c r="G798" i="5"/>
  <c r="Q160" i="2"/>
  <c r="Q945" i="2"/>
  <c r="Q603" i="2"/>
  <c r="R498" i="2"/>
  <c r="N498" i="2"/>
  <c r="S498" i="2"/>
  <c r="G498" i="2"/>
  <c r="O498" i="2"/>
  <c r="I498" i="2"/>
  <c r="L498" i="2"/>
  <c r="F498" i="2"/>
  <c r="M498" i="2"/>
  <c r="H498" i="2"/>
  <c r="Q528" i="2"/>
  <c r="C401" i="5"/>
  <c r="B401" i="5"/>
  <c r="G401" i="5"/>
  <c r="H401" i="5"/>
  <c r="D401" i="5"/>
  <c r="Q514" i="2"/>
  <c r="H266" i="5"/>
  <c r="B266" i="5"/>
  <c r="D266" i="5"/>
  <c r="C266" i="5"/>
  <c r="G266" i="5"/>
  <c r="B243" i="5"/>
  <c r="G243" i="5"/>
  <c r="D243" i="5"/>
  <c r="C243" i="5"/>
  <c r="H243" i="5"/>
  <c r="Q723" i="2"/>
  <c r="Q486" i="2"/>
  <c r="Q340" i="2"/>
  <c r="Q147" i="2"/>
  <c r="Q591" i="2"/>
  <c r="Q268" i="2"/>
  <c r="Q421" i="2"/>
  <c r="Q717" i="2"/>
  <c r="Q168" i="2"/>
  <c r="Q949" i="2"/>
  <c r="Q469" i="2"/>
  <c r="G429" i="5"/>
  <c r="D429" i="5"/>
  <c r="C429" i="5"/>
  <c r="H429" i="5"/>
  <c r="B429" i="5"/>
  <c r="B35" i="5"/>
  <c r="Q447" i="2"/>
  <c r="R616" i="2"/>
  <c r="H616" i="2"/>
  <c r="F616" i="2"/>
  <c r="N616" i="2"/>
  <c r="G616" i="2"/>
  <c r="L616" i="2"/>
  <c r="I616" i="2"/>
  <c r="S616" i="2"/>
  <c r="O616" i="2"/>
  <c r="M616" i="2"/>
  <c r="Q226" i="2"/>
  <c r="Q568" i="2"/>
  <c r="Q582" i="2"/>
  <c r="Q727" i="2"/>
  <c r="Q796" i="2"/>
  <c r="B28" i="5"/>
  <c r="R107" i="2"/>
  <c r="F107" i="2"/>
  <c r="S107" i="2"/>
  <c r="M107" i="2"/>
  <c r="G107" i="2"/>
  <c r="N107" i="2"/>
  <c r="I107" i="2"/>
  <c r="H107" i="2"/>
  <c r="O107" i="2"/>
  <c r="L107" i="2"/>
  <c r="Q220" i="2"/>
  <c r="D173" i="5"/>
  <c r="H173" i="5"/>
  <c r="G173" i="5"/>
  <c r="C173" i="5"/>
  <c r="B173" i="5"/>
  <c r="B27" i="5"/>
  <c r="Q204" i="2"/>
  <c r="B248" i="5"/>
  <c r="D248" i="5"/>
  <c r="C248" i="5"/>
  <c r="G248" i="5"/>
  <c r="H248" i="5"/>
  <c r="Q478" i="2"/>
  <c r="Q148" i="2"/>
  <c r="B42" i="5"/>
  <c r="Q418" i="2"/>
  <c r="Q383" i="2"/>
  <c r="C333" i="5"/>
  <c r="D333" i="5"/>
  <c r="B333" i="5"/>
  <c r="H333" i="5"/>
  <c r="G333" i="5"/>
  <c r="Q400" i="2"/>
  <c r="Q772" i="2"/>
  <c r="Q698" i="2"/>
  <c r="H240" i="5"/>
  <c r="C240" i="5"/>
  <c r="B240" i="5"/>
  <c r="D240" i="5"/>
  <c r="G240" i="5"/>
  <c r="Q388" i="2"/>
  <c r="Q387" i="2"/>
  <c r="Q551" i="2"/>
  <c r="Q581" i="2"/>
  <c r="Q197" i="2"/>
  <c r="Q675" i="2"/>
  <c r="Q864" i="2"/>
  <c r="D490" i="5"/>
  <c r="G490" i="5"/>
  <c r="C490" i="5"/>
  <c r="B490" i="5"/>
  <c r="H490" i="5"/>
  <c r="Q182" i="2"/>
  <c r="Q842" i="2"/>
  <c r="H128" i="5"/>
  <c r="D128" i="5"/>
  <c r="B128" i="5"/>
  <c r="G128" i="5"/>
  <c r="C128" i="5"/>
  <c r="Q107" i="2"/>
  <c r="Q137" i="2"/>
  <c r="Q825" i="2"/>
  <c r="Q996" i="2"/>
  <c r="Q370" i="2"/>
  <c r="Q998" i="2"/>
  <c r="Q271" i="2"/>
  <c r="C862" i="5"/>
  <c r="B862" i="5"/>
  <c r="G862" i="5"/>
  <c r="D862" i="5"/>
  <c r="H862" i="5"/>
  <c r="Q344" i="2"/>
  <c r="D328" i="5"/>
  <c r="B328" i="5"/>
  <c r="H328" i="5"/>
  <c r="C328" i="5"/>
  <c r="G328" i="5"/>
  <c r="B25" i="5"/>
  <c r="B48" i="5"/>
  <c r="Q289" i="2"/>
  <c r="Q284" i="2"/>
  <c r="D519" i="5"/>
  <c r="H519" i="5"/>
  <c r="B519" i="5"/>
  <c r="C519" i="5"/>
  <c r="G519" i="5"/>
  <c r="Q209" i="2"/>
  <c r="R556" i="2"/>
  <c r="O556" i="2"/>
  <c r="G556" i="2"/>
  <c r="N556" i="2"/>
  <c r="S556" i="2"/>
  <c r="L556" i="2"/>
  <c r="M556" i="2"/>
  <c r="H556" i="2"/>
  <c r="F556" i="2"/>
  <c r="I556" i="2"/>
  <c r="R402" i="2"/>
  <c r="I402" i="2"/>
  <c r="L402" i="2"/>
  <c r="S402" i="2"/>
  <c r="N402" i="2"/>
  <c r="F402" i="2"/>
  <c r="H402" i="2"/>
  <c r="M402" i="2"/>
  <c r="G402" i="2"/>
  <c r="O402" i="2"/>
  <c r="Q252" i="2"/>
  <c r="D733" i="5"/>
  <c r="C733" i="5"/>
  <c r="H733" i="5"/>
  <c r="G733" i="5"/>
  <c r="B733" i="5"/>
  <c r="R187" i="2"/>
  <c r="F187" i="2"/>
  <c r="L187" i="2"/>
  <c r="G187" i="2"/>
  <c r="I187" i="2"/>
  <c r="H187" i="2"/>
  <c r="N187" i="2"/>
  <c r="S187" i="2"/>
  <c r="O187" i="2"/>
  <c r="M187" i="2"/>
  <c r="H818" i="5"/>
  <c r="B818" i="5"/>
  <c r="D818" i="5"/>
  <c r="C818" i="5"/>
  <c r="G818" i="5"/>
  <c r="R705" i="2"/>
  <c r="O705" i="2"/>
  <c r="S705" i="2"/>
  <c r="L705" i="2"/>
  <c r="I705" i="2"/>
  <c r="M705" i="2"/>
  <c r="N705" i="2"/>
  <c r="F705" i="2"/>
  <c r="H705" i="2"/>
  <c r="G705" i="2"/>
  <c r="R190" i="2"/>
  <c r="L190" i="2"/>
  <c r="F190" i="2"/>
  <c r="N190" i="2"/>
  <c r="S190" i="2"/>
  <c r="O190" i="2"/>
  <c r="H190" i="2"/>
  <c r="M190" i="2"/>
  <c r="I190" i="2"/>
  <c r="G190" i="2"/>
  <c r="Q104" i="2"/>
  <c r="G881" i="5"/>
  <c r="H881" i="5"/>
  <c r="B881" i="5"/>
  <c r="D881" i="5"/>
  <c r="C881" i="5"/>
  <c r="Q368" i="2"/>
  <c r="Q974" i="2"/>
  <c r="Q262" i="2"/>
  <c r="Q417" i="2"/>
  <c r="Q354" i="2"/>
  <c r="G807" i="5"/>
  <c r="D807" i="5"/>
  <c r="C807" i="5"/>
  <c r="B807" i="5"/>
  <c r="H807" i="5"/>
  <c r="C587" i="5"/>
  <c r="G587" i="5"/>
  <c r="H587" i="5"/>
  <c r="B587" i="5"/>
  <c r="D587" i="5"/>
  <c r="R649" i="2"/>
  <c r="M649" i="2"/>
  <c r="G649" i="2"/>
  <c r="O649" i="2"/>
  <c r="F649" i="2"/>
  <c r="L649" i="2"/>
  <c r="N649" i="2"/>
  <c r="S649" i="2"/>
  <c r="H649" i="2"/>
  <c r="I649" i="2"/>
  <c r="G121" i="5"/>
  <c r="C121" i="5"/>
  <c r="H121" i="5"/>
  <c r="D121" i="5"/>
  <c r="B121" i="5"/>
  <c r="G621" i="5"/>
  <c r="C621" i="5"/>
  <c r="H621" i="5"/>
  <c r="B621" i="5"/>
  <c r="D621" i="5"/>
  <c r="H245" i="5"/>
  <c r="D245" i="5"/>
  <c r="G245" i="5"/>
  <c r="C245" i="5"/>
  <c r="B245" i="5"/>
  <c r="G107" i="5"/>
  <c r="D107" i="5"/>
  <c r="B107" i="5"/>
  <c r="C107" i="5"/>
  <c r="H107" i="5"/>
  <c r="B73" i="5"/>
  <c r="N88" i="2"/>
  <c r="O88" i="2"/>
  <c r="S88" i="2"/>
  <c r="M88" i="2"/>
  <c r="L88" i="2"/>
  <c r="F88" i="2"/>
  <c r="Q877" i="2"/>
  <c r="B732" i="5"/>
  <c r="G732" i="5"/>
  <c r="D732" i="5"/>
  <c r="H732" i="5"/>
  <c r="C732" i="5"/>
  <c r="Q894" i="2"/>
  <c r="Q745" i="2"/>
  <c r="Q593" i="2"/>
  <c r="G200" i="5"/>
  <c r="C200" i="5"/>
  <c r="H200" i="5"/>
  <c r="D200" i="5"/>
  <c r="B200" i="5"/>
  <c r="C592" i="5"/>
  <c r="H592" i="5"/>
  <c r="B592" i="5"/>
  <c r="G592" i="5"/>
  <c r="D592" i="5"/>
  <c r="Q267" i="2"/>
  <c r="S43" i="2"/>
  <c r="O43" i="2"/>
  <c r="N43" i="2"/>
  <c r="L43" i="2"/>
  <c r="M43" i="2"/>
  <c r="F43" i="2"/>
  <c r="G855" i="5"/>
  <c r="H855" i="5"/>
  <c r="D855" i="5"/>
  <c r="B855" i="5"/>
  <c r="C855" i="5"/>
  <c r="Q769" i="2"/>
  <c r="C769" i="5"/>
  <c r="G769" i="5"/>
  <c r="D769" i="5"/>
  <c r="H769" i="5"/>
  <c r="B769" i="5"/>
  <c r="Q299" i="2"/>
  <c r="B543" i="5"/>
  <c r="H543" i="5"/>
  <c r="C543" i="5"/>
  <c r="D543" i="5"/>
  <c r="G543" i="5"/>
  <c r="B85" i="5"/>
  <c r="R826" i="2"/>
  <c r="I826" i="2"/>
  <c r="N826" i="2"/>
  <c r="H826" i="2"/>
  <c r="S826" i="2"/>
  <c r="L826" i="2"/>
  <c r="O826" i="2"/>
  <c r="G826" i="2"/>
  <c r="M826" i="2"/>
  <c r="F826" i="2"/>
  <c r="H703" i="5"/>
  <c r="B703" i="5"/>
  <c r="G703" i="5"/>
  <c r="D703" i="5"/>
  <c r="C703" i="5"/>
  <c r="R760" i="2"/>
  <c r="G760" i="2"/>
  <c r="F760" i="2"/>
  <c r="L760" i="2"/>
  <c r="M760" i="2"/>
  <c r="S760" i="2"/>
  <c r="N760" i="2"/>
  <c r="O760" i="2"/>
  <c r="I760" i="2"/>
  <c r="H760" i="2"/>
  <c r="H262" i="5"/>
  <c r="G262" i="5"/>
  <c r="D262" i="5"/>
  <c r="C262" i="5"/>
  <c r="B262" i="5"/>
  <c r="G652" i="5"/>
  <c r="H652" i="5"/>
  <c r="B652" i="5"/>
  <c r="C652" i="5"/>
  <c r="D652" i="5"/>
  <c r="R707" i="2"/>
  <c r="I707" i="2"/>
  <c r="F707" i="2"/>
  <c r="L707" i="2"/>
  <c r="N707" i="2"/>
  <c r="M707" i="2"/>
  <c r="G707" i="2"/>
  <c r="O707" i="2"/>
  <c r="H707" i="2"/>
  <c r="S707" i="2"/>
  <c r="R221" i="2"/>
  <c r="F221" i="2"/>
  <c r="G221" i="2"/>
  <c r="L221" i="2"/>
  <c r="M221" i="2"/>
  <c r="N221" i="2"/>
  <c r="O221" i="2"/>
  <c r="S221" i="2"/>
  <c r="I221" i="2"/>
  <c r="H221" i="2"/>
  <c r="R572" i="2"/>
  <c r="M572" i="2"/>
  <c r="H572" i="2"/>
  <c r="S572" i="2"/>
  <c r="F572" i="2"/>
  <c r="I572" i="2"/>
  <c r="G572" i="2"/>
  <c r="N572" i="2"/>
  <c r="L572" i="2"/>
  <c r="O572" i="2"/>
  <c r="Q722" i="2"/>
  <c r="Q492" i="2"/>
  <c r="B957" i="5"/>
  <c r="G957" i="5"/>
  <c r="D957" i="5"/>
  <c r="H957" i="5"/>
  <c r="C957" i="5"/>
  <c r="R653" i="2"/>
  <c r="H653" i="2"/>
  <c r="N653" i="2"/>
  <c r="I653" i="2"/>
  <c r="L653" i="2"/>
  <c r="S653" i="2"/>
  <c r="M653" i="2"/>
  <c r="F653" i="2"/>
  <c r="G653" i="2"/>
  <c r="O653" i="2"/>
  <c r="Q653" i="2"/>
  <c r="B259" i="5"/>
  <c r="G259" i="5"/>
  <c r="C259" i="5"/>
  <c r="D259" i="5"/>
  <c r="H259" i="5"/>
  <c r="G995" i="5"/>
  <c r="C995" i="5"/>
  <c r="H995" i="5"/>
  <c r="D995" i="5"/>
  <c r="B995" i="5"/>
  <c r="G600" i="5"/>
  <c r="C600" i="5"/>
  <c r="D600" i="5"/>
  <c r="B600" i="5"/>
  <c r="H600" i="5"/>
  <c r="R512" i="2"/>
  <c r="L512" i="2"/>
  <c r="G512" i="2"/>
  <c r="I512" i="2"/>
  <c r="H512" i="2"/>
  <c r="F512" i="2"/>
  <c r="M512" i="2"/>
  <c r="N512" i="2"/>
  <c r="O512" i="2"/>
  <c r="S512" i="2"/>
  <c r="R184" i="2"/>
  <c r="F184" i="2"/>
  <c r="S184" i="2"/>
  <c r="G184" i="2"/>
  <c r="M184" i="2"/>
  <c r="N184" i="2"/>
  <c r="I184" i="2"/>
  <c r="L184" i="2"/>
  <c r="H184" i="2"/>
  <c r="O184" i="2"/>
  <c r="Q852" i="2"/>
  <c r="H276" i="5"/>
  <c r="G276" i="5"/>
  <c r="B276" i="5"/>
  <c r="C276" i="5"/>
  <c r="D276" i="5"/>
  <c r="D707" i="5"/>
  <c r="B707" i="5"/>
  <c r="G707" i="5"/>
  <c r="H707" i="5"/>
  <c r="C707" i="5"/>
  <c r="H432" i="5"/>
  <c r="D432" i="5"/>
  <c r="B432" i="5"/>
  <c r="G432" i="5"/>
  <c r="C432" i="5"/>
  <c r="Q351" i="2"/>
  <c r="G936" i="5"/>
  <c r="H936" i="5"/>
  <c r="C936" i="5"/>
  <c r="D936" i="5"/>
  <c r="B936" i="5"/>
  <c r="G865" i="5"/>
  <c r="H865" i="5"/>
  <c r="B865" i="5"/>
  <c r="D865" i="5"/>
  <c r="C865" i="5"/>
  <c r="Q173" i="2"/>
  <c r="B365" i="5"/>
  <c r="H365" i="5"/>
  <c r="C365" i="5"/>
  <c r="G365" i="5"/>
  <c r="D365" i="5"/>
  <c r="R562" i="2"/>
  <c r="M562" i="2"/>
  <c r="L562" i="2"/>
  <c r="F562" i="2"/>
  <c r="O562" i="2"/>
  <c r="H562" i="2"/>
  <c r="I562" i="2"/>
  <c r="S562" i="2"/>
  <c r="N562" i="2"/>
  <c r="G562" i="2"/>
  <c r="Q253" i="2"/>
  <c r="G174" i="5"/>
  <c r="C174" i="5"/>
  <c r="D174" i="5"/>
  <c r="H174" i="5"/>
  <c r="B174" i="5"/>
  <c r="G960" i="5"/>
  <c r="H960" i="5"/>
  <c r="D960" i="5"/>
  <c r="B960" i="5"/>
  <c r="C960" i="5"/>
  <c r="H455" i="5"/>
  <c r="G455" i="5"/>
  <c r="B455" i="5"/>
  <c r="D455" i="5"/>
  <c r="C455" i="5"/>
  <c r="B785" i="5"/>
  <c r="D785" i="5"/>
  <c r="G785" i="5"/>
  <c r="C785" i="5"/>
  <c r="H785" i="5"/>
  <c r="R734" i="2"/>
  <c r="M734" i="2"/>
  <c r="L734" i="2"/>
  <c r="N734" i="2"/>
  <c r="S734" i="2"/>
  <c r="F734" i="2"/>
  <c r="O734" i="2"/>
  <c r="H734" i="2"/>
  <c r="I734" i="2"/>
  <c r="G734" i="2"/>
  <c r="Q172" i="2"/>
  <c r="Q245" i="2"/>
  <c r="Q763" i="2"/>
  <c r="Q200" i="2"/>
  <c r="D164" i="5"/>
  <c r="B164" i="5"/>
  <c r="C164" i="5"/>
  <c r="G164" i="5"/>
  <c r="H164" i="5"/>
  <c r="Q587" i="2"/>
  <c r="D413" i="5"/>
  <c r="G413" i="5"/>
  <c r="B413" i="5"/>
  <c r="H413" i="5"/>
  <c r="C413" i="5"/>
  <c r="Q437" i="2"/>
  <c r="B882" i="5"/>
  <c r="C882" i="5"/>
  <c r="D882" i="5"/>
  <c r="H882" i="5"/>
  <c r="G882" i="5"/>
  <c r="R687" i="2"/>
  <c r="S687" i="2"/>
  <c r="M687" i="2"/>
  <c r="I687" i="2"/>
  <c r="G687" i="2"/>
  <c r="L687" i="2"/>
  <c r="O687" i="2"/>
  <c r="N687" i="2"/>
  <c r="F687" i="2"/>
  <c r="H687" i="2"/>
  <c r="Q396" i="2"/>
  <c r="B271" i="5"/>
  <c r="H271" i="5"/>
  <c r="D271" i="5"/>
  <c r="C271" i="5"/>
  <c r="G271" i="5"/>
  <c r="B573" i="5"/>
  <c r="D573" i="5"/>
  <c r="G573" i="5"/>
  <c r="C573" i="5"/>
  <c r="H573" i="5"/>
  <c r="R754" i="2"/>
  <c r="H754" i="2"/>
  <c r="S754" i="2"/>
  <c r="G754" i="2"/>
  <c r="N754" i="2"/>
  <c r="I754" i="2"/>
  <c r="M754" i="2"/>
  <c r="F754" i="2"/>
  <c r="O754" i="2"/>
  <c r="L754" i="2"/>
  <c r="R706" i="2"/>
  <c r="N706" i="2"/>
  <c r="G706" i="2"/>
  <c r="I706" i="2"/>
  <c r="F706" i="2"/>
  <c r="M706" i="2"/>
  <c r="O706" i="2"/>
  <c r="H706" i="2"/>
  <c r="S706" i="2"/>
  <c r="L706" i="2"/>
  <c r="L33" i="2"/>
  <c r="N33" i="2"/>
  <c r="S33" i="2"/>
  <c r="O33" i="2"/>
  <c r="F33" i="2"/>
  <c r="M33" i="2"/>
  <c r="Q112" i="2"/>
  <c r="H974" i="5"/>
  <c r="C974" i="5"/>
  <c r="D974" i="5"/>
  <c r="B974" i="5"/>
  <c r="G974" i="5"/>
  <c r="Q178" i="2"/>
  <c r="Q244" i="2"/>
  <c r="Q783" i="2"/>
  <c r="C723" i="5"/>
  <c r="B723" i="5"/>
  <c r="H723" i="5"/>
  <c r="D723" i="5"/>
  <c r="G723" i="5"/>
  <c r="H489" i="5"/>
  <c r="D489" i="5"/>
  <c r="B489" i="5"/>
  <c r="C489" i="5"/>
  <c r="G489" i="5"/>
  <c r="H168" i="5"/>
  <c r="D168" i="5"/>
  <c r="B168" i="5"/>
  <c r="G168" i="5"/>
  <c r="C168" i="5"/>
  <c r="R622" i="2"/>
  <c r="S622" i="2"/>
  <c r="O622" i="2"/>
  <c r="G622" i="2"/>
  <c r="F622" i="2"/>
  <c r="N622" i="2"/>
  <c r="M622" i="2"/>
  <c r="I622" i="2"/>
  <c r="L622" i="2"/>
  <c r="H622" i="2"/>
  <c r="B5" i="5"/>
  <c r="G708" i="5"/>
  <c r="H708" i="5"/>
  <c r="B708" i="5"/>
  <c r="D708" i="5"/>
  <c r="C708" i="5"/>
  <c r="R909" i="2"/>
  <c r="N909" i="2"/>
  <c r="I909" i="2"/>
  <c r="G909" i="2"/>
  <c r="S909" i="2"/>
  <c r="H909" i="2"/>
  <c r="L909" i="2"/>
  <c r="F909" i="2"/>
  <c r="M909" i="2"/>
  <c r="O909" i="2"/>
  <c r="H689" i="5"/>
  <c r="D689" i="5"/>
  <c r="B689" i="5"/>
  <c r="G689" i="5"/>
  <c r="C689" i="5"/>
  <c r="R849" i="2"/>
  <c r="L849" i="2"/>
  <c r="I849" i="2"/>
  <c r="S849" i="2"/>
  <c r="N849" i="2"/>
  <c r="F849" i="2"/>
  <c r="H849" i="2"/>
  <c r="G849" i="2"/>
  <c r="M849" i="2"/>
  <c r="O849" i="2"/>
  <c r="B20" i="5"/>
  <c r="D422" i="5"/>
  <c r="B422" i="5"/>
  <c r="G422" i="5"/>
  <c r="H422" i="5"/>
  <c r="C422" i="5"/>
  <c r="Q971" i="2"/>
  <c r="Q638" i="2"/>
  <c r="Q735" i="2"/>
  <c r="B41" i="5"/>
  <c r="D675" i="5"/>
  <c r="G675" i="5"/>
  <c r="H675" i="5"/>
  <c r="C675" i="5"/>
  <c r="B675" i="5"/>
  <c r="C822" i="5"/>
  <c r="H822" i="5"/>
  <c r="G822" i="5"/>
  <c r="B822" i="5"/>
  <c r="D822" i="5"/>
  <c r="R455" i="2"/>
  <c r="S455" i="2"/>
  <c r="M455" i="2"/>
  <c r="H455" i="2"/>
  <c r="F455" i="2"/>
  <c r="O455" i="2"/>
  <c r="N455" i="2"/>
  <c r="G455" i="2"/>
  <c r="L455" i="2"/>
  <c r="I455" i="2"/>
  <c r="C840" i="5"/>
  <c r="G840" i="5"/>
  <c r="H840" i="5"/>
  <c r="D840" i="5"/>
  <c r="B840" i="5"/>
  <c r="D261" i="5"/>
  <c r="B261" i="5"/>
  <c r="C261" i="5"/>
  <c r="G261" i="5"/>
  <c r="H261" i="5"/>
  <c r="H603" i="5"/>
  <c r="C603" i="5"/>
  <c r="D603" i="5"/>
  <c r="B603" i="5"/>
  <c r="G603" i="5"/>
  <c r="C476" i="5"/>
  <c r="G476" i="5"/>
  <c r="D476" i="5"/>
  <c r="B476" i="5"/>
  <c r="H476" i="5"/>
  <c r="R387" i="2"/>
  <c r="I387" i="2"/>
  <c r="S387" i="2"/>
  <c r="H387" i="2"/>
  <c r="G387" i="2"/>
  <c r="M387" i="2"/>
  <c r="N387" i="2"/>
  <c r="O387" i="2"/>
  <c r="L387" i="2"/>
  <c r="F387" i="2"/>
  <c r="M27" i="2"/>
  <c r="O27" i="2"/>
  <c r="F27" i="2"/>
  <c r="S27" i="2"/>
  <c r="L27" i="2"/>
  <c r="N27" i="2"/>
  <c r="S98" i="2"/>
  <c r="L98" i="2"/>
  <c r="O98" i="2"/>
  <c r="N98" i="2"/>
  <c r="F98" i="2"/>
  <c r="M98" i="2"/>
  <c r="B984" i="5"/>
  <c r="H984" i="5"/>
  <c r="C984" i="5"/>
  <c r="D984" i="5"/>
  <c r="G984" i="5"/>
  <c r="L53" i="2"/>
  <c r="F53" i="2"/>
  <c r="O53" i="2"/>
  <c r="N53" i="2"/>
  <c r="S53" i="2"/>
  <c r="M53" i="2"/>
  <c r="S42" i="2"/>
  <c r="O42" i="2"/>
  <c r="M42" i="2"/>
  <c r="N42" i="2"/>
  <c r="F42" i="2"/>
  <c r="L42" i="2"/>
  <c r="R589" i="2"/>
  <c r="F589" i="2"/>
  <c r="N589" i="2"/>
  <c r="G589" i="2"/>
  <c r="O589" i="2"/>
  <c r="H589" i="2"/>
  <c r="L589" i="2"/>
  <c r="S589" i="2"/>
  <c r="I589" i="2"/>
  <c r="M589" i="2"/>
  <c r="H555" i="5"/>
  <c r="C555" i="5"/>
  <c r="D555" i="5"/>
  <c r="G555" i="5"/>
  <c r="B555" i="5"/>
  <c r="H450" i="5"/>
  <c r="B450" i="5"/>
  <c r="D450" i="5"/>
  <c r="G450" i="5"/>
  <c r="C450" i="5"/>
  <c r="C644" i="5"/>
  <c r="B644" i="5"/>
  <c r="H644" i="5"/>
  <c r="G644" i="5"/>
  <c r="D644" i="5"/>
  <c r="C290" i="5"/>
  <c r="B290" i="5"/>
  <c r="H290" i="5"/>
  <c r="G290" i="5"/>
  <c r="D290" i="5"/>
  <c r="R644" i="2"/>
  <c r="G644" i="2"/>
  <c r="H644" i="2"/>
  <c r="I644" i="2"/>
  <c r="F644" i="2"/>
  <c r="O644" i="2"/>
  <c r="N644" i="2"/>
  <c r="M644" i="2"/>
  <c r="L644" i="2"/>
  <c r="S644" i="2"/>
  <c r="B191" i="5"/>
  <c r="C191" i="5"/>
  <c r="D191" i="5"/>
  <c r="G191" i="5"/>
  <c r="H191" i="5"/>
  <c r="R329" i="2"/>
  <c r="I329" i="2"/>
  <c r="S329" i="2"/>
  <c r="O329" i="2"/>
  <c r="H329" i="2"/>
  <c r="M329" i="2"/>
  <c r="N329" i="2"/>
  <c r="L329" i="2"/>
  <c r="F329" i="2"/>
  <c r="G329" i="2"/>
  <c r="R969" i="2"/>
  <c r="M969" i="2"/>
  <c r="G969" i="2"/>
  <c r="S969" i="2"/>
  <c r="I969" i="2"/>
  <c r="O969" i="2"/>
  <c r="L969" i="2"/>
  <c r="H969" i="2"/>
  <c r="N969" i="2"/>
  <c r="F969" i="2"/>
  <c r="R618" i="2"/>
  <c r="S618" i="2"/>
  <c r="I618" i="2"/>
  <c r="O618" i="2"/>
  <c r="F618" i="2"/>
  <c r="N618" i="2"/>
  <c r="M618" i="2"/>
  <c r="G618" i="2"/>
  <c r="H618" i="2"/>
  <c r="L618" i="2"/>
  <c r="R502" i="2"/>
  <c r="G502" i="2"/>
  <c r="N502" i="2"/>
  <c r="F502" i="2"/>
  <c r="L502" i="2"/>
  <c r="H502" i="2"/>
  <c r="I502" i="2"/>
  <c r="M502" i="2"/>
  <c r="O502" i="2"/>
  <c r="S502" i="2"/>
  <c r="G791" i="5"/>
  <c r="B791" i="5"/>
  <c r="D791" i="5"/>
  <c r="C791" i="5"/>
  <c r="H791" i="5"/>
  <c r="G553" i="5"/>
  <c r="H553" i="5"/>
  <c r="C553" i="5"/>
  <c r="B553" i="5"/>
  <c r="D553" i="5"/>
  <c r="R635" i="2"/>
  <c r="M635" i="2"/>
  <c r="I635" i="2"/>
  <c r="O635" i="2"/>
  <c r="G635" i="2"/>
  <c r="H635" i="2"/>
  <c r="N635" i="2"/>
  <c r="L635" i="2"/>
  <c r="S635" i="2"/>
  <c r="F635" i="2"/>
  <c r="B403" i="5"/>
  <c r="H403" i="5"/>
  <c r="D403" i="5"/>
  <c r="G403" i="5"/>
  <c r="C403" i="5"/>
  <c r="R357" i="2"/>
  <c r="S357" i="2"/>
  <c r="O357" i="2"/>
  <c r="F357" i="2"/>
  <c r="I357" i="2"/>
  <c r="N357" i="2"/>
  <c r="H357" i="2"/>
  <c r="G357" i="2"/>
  <c r="M357" i="2"/>
  <c r="L357" i="2"/>
  <c r="G137" i="5"/>
  <c r="H137" i="5"/>
  <c r="D137" i="5"/>
  <c r="B137" i="5"/>
  <c r="C137" i="5"/>
  <c r="H236" i="5"/>
  <c r="D236" i="5"/>
  <c r="C236" i="5"/>
  <c r="B236" i="5"/>
  <c r="G236" i="5"/>
  <c r="F36" i="2"/>
  <c r="L36" i="2"/>
  <c r="M36" i="2"/>
  <c r="N36" i="2"/>
  <c r="S36" i="2"/>
  <c r="O36" i="2"/>
  <c r="R275" i="2"/>
  <c r="I275" i="2"/>
  <c r="M275" i="2"/>
  <c r="H275" i="2"/>
  <c r="S275" i="2"/>
  <c r="G275" i="2"/>
  <c r="L275" i="2"/>
  <c r="N275" i="2"/>
  <c r="F275" i="2"/>
  <c r="O275" i="2"/>
  <c r="R287" i="2"/>
  <c r="F287" i="2"/>
  <c r="N287" i="2"/>
  <c r="I287" i="2"/>
  <c r="M287" i="2"/>
  <c r="G287" i="2"/>
  <c r="L287" i="2"/>
  <c r="O287" i="2"/>
  <c r="S287" i="2"/>
  <c r="H287" i="2"/>
  <c r="R663" i="2"/>
  <c r="F663" i="2"/>
  <c r="G663" i="2"/>
  <c r="O663" i="2"/>
  <c r="I663" i="2"/>
  <c r="N663" i="2"/>
  <c r="H663" i="2"/>
  <c r="M663" i="2"/>
  <c r="L663" i="2"/>
  <c r="S663" i="2"/>
  <c r="C595" i="5"/>
  <c r="H595" i="5"/>
  <c r="B595" i="5"/>
  <c r="D595" i="5"/>
  <c r="G595" i="5"/>
  <c r="B379" i="5"/>
  <c r="D379" i="5"/>
  <c r="H379" i="5"/>
  <c r="C379" i="5"/>
  <c r="G379" i="5"/>
  <c r="R943" i="2"/>
  <c r="O943" i="2"/>
  <c r="S943" i="2"/>
  <c r="N943" i="2"/>
  <c r="H943" i="2"/>
  <c r="L943" i="2"/>
  <c r="M943" i="2"/>
  <c r="G943" i="2"/>
  <c r="I943" i="2"/>
  <c r="F943" i="2"/>
  <c r="H483" i="5"/>
  <c r="C483" i="5"/>
  <c r="D483" i="5"/>
  <c r="G483" i="5"/>
  <c r="B483" i="5"/>
  <c r="D778" i="5"/>
  <c r="G778" i="5"/>
  <c r="B778" i="5"/>
  <c r="C778" i="5"/>
  <c r="H778" i="5"/>
  <c r="H942" i="5"/>
  <c r="G942" i="5"/>
  <c r="B942" i="5"/>
  <c r="D942" i="5"/>
  <c r="C942" i="5"/>
  <c r="R166" i="2"/>
  <c r="N166" i="2"/>
  <c r="O166" i="2"/>
  <c r="F166" i="2"/>
  <c r="M166" i="2"/>
  <c r="I166" i="2"/>
  <c r="L166" i="2"/>
  <c r="H166" i="2"/>
  <c r="G166" i="2"/>
  <c r="S166" i="2"/>
  <c r="B615" i="5"/>
  <c r="D615" i="5"/>
  <c r="G615" i="5"/>
  <c r="H615" i="5"/>
  <c r="C615" i="5"/>
  <c r="R878" i="2"/>
  <c r="O878" i="2"/>
  <c r="N878" i="2"/>
  <c r="L878" i="2"/>
  <c r="F878" i="2"/>
  <c r="G878" i="2"/>
  <c r="M878" i="2"/>
  <c r="I878" i="2"/>
  <c r="H878" i="2"/>
  <c r="S878" i="2"/>
  <c r="D681" i="5"/>
  <c r="C681" i="5"/>
  <c r="G681" i="5"/>
  <c r="H681" i="5"/>
  <c r="B681" i="5"/>
  <c r="H208" i="5"/>
  <c r="B208" i="5"/>
  <c r="D208" i="5"/>
  <c r="G208" i="5"/>
  <c r="C208" i="5"/>
  <c r="F73" i="2"/>
  <c r="L73" i="2"/>
  <c r="O73" i="2"/>
  <c r="M73" i="2"/>
  <c r="N73" i="2"/>
  <c r="S73" i="2"/>
  <c r="R266" i="2"/>
  <c r="N266" i="2"/>
  <c r="M266" i="2"/>
  <c r="G266" i="2"/>
  <c r="F266" i="2"/>
  <c r="L266" i="2"/>
  <c r="O266" i="2"/>
  <c r="I266" i="2"/>
  <c r="S266" i="2"/>
  <c r="H266" i="2"/>
  <c r="R763" i="2"/>
  <c r="N763" i="2"/>
  <c r="I763" i="2"/>
  <c r="G763" i="2"/>
  <c r="L763" i="2"/>
  <c r="O763" i="2"/>
  <c r="M763" i="2"/>
  <c r="H763" i="2"/>
  <c r="S763" i="2"/>
  <c r="F763" i="2"/>
  <c r="R566" i="2"/>
  <c r="I566" i="2"/>
  <c r="G566" i="2"/>
  <c r="M566" i="2"/>
  <c r="N566" i="2"/>
  <c r="S566" i="2"/>
  <c r="F566" i="2"/>
  <c r="O566" i="2"/>
  <c r="L566" i="2"/>
  <c r="H566" i="2"/>
  <c r="R950" i="2"/>
  <c r="M950" i="2"/>
  <c r="L950" i="2"/>
  <c r="N950" i="2"/>
  <c r="I950" i="2"/>
  <c r="O950" i="2"/>
  <c r="G950" i="2"/>
  <c r="F950" i="2"/>
  <c r="S950" i="2"/>
  <c r="H950" i="2"/>
  <c r="R362" i="2"/>
  <c r="H362" i="2"/>
  <c r="L362" i="2"/>
  <c r="I362" i="2"/>
  <c r="N362" i="2"/>
  <c r="G362" i="2"/>
  <c r="O362" i="2"/>
  <c r="F362" i="2"/>
  <c r="M362" i="2"/>
  <c r="S362" i="2"/>
  <c r="D368" i="5"/>
  <c r="G368" i="5"/>
  <c r="H368" i="5"/>
  <c r="C368" i="5"/>
  <c r="B368" i="5"/>
  <c r="G989" i="5"/>
  <c r="D989" i="5"/>
  <c r="C989" i="5"/>
  <c r="B989" i="5"/>
  <c r="H989" i="5"/>
  <c r="B54" i="5"/>
  <c r="R789" i="2"/>
  <c r="I789" i="2"/>
  <c r="S789" i="2"/>
  <c r="H789" i="2"/>
  <c r="L789" i="2"/>
  <c r="O789" i="2"/>
  <c r="F789" i="2"/>
  <c r="N789" i="2"/>
  <c r="G789" i="2"/>
  <c r="M789" i="2"/>
  <c r="R143" i="2"/>
  <c r="G143" i="2"/>
  <c r="N143" i="2"/>
  <c r="I143" i="2"/>
  <c r="L143" i="2"/>
  <c r="M143" i="2"/>
  <c r="H143" i="2"/>
  <c r="F143" i="2"/>
  <c r="O143" i="2"/>
  <c r="S143" i="2"/>
  <c r="B817" i="5"/>
  <c r="G817" i="5"/>
  <c r="C817" i="5"/>
  <c r="D817" i="5"/>
  <c r="H817" i="5"/>
  <c r="R316" i="2"/>
  <c r="S316" i="2"/>
  <c r="M316" i="2"/>
  <c r="L316" i="2"/>
  <c r="O316" i="2"/>
  <c r="G316" i="2"/>
  <c r="H316" i="2"/>
  <c r="F316" i="2"/>
  <c r="I316" i="2"/>
  <c r="N316" i="2"/>
  <c r="R959" i="2"/>
  <c r="I959" i="2"/>
  <c r="N959" i="2"/>
  <c r="O959" i="2"/>
  <c r="F959" i="2"/>
  <c r="L959" i="2"/>
  <c r="M959" i="2"/>
  <c r="S959" i="2"/>
  <c r="H959" i="2"/>
  <c r="G959" i="2"/>
  <c r="D176" i="5"/>
  <c r="C176" i="5"/>
  <c r="G176" i="5"/>
  <c r="B176" i="5"/>
  <c r="H176" i="5"/>
  <c r="R240" i="2"/>
  <c r="G240" i="2"/>
  <c r="O240" i="2"/>
  <c r="H240" i="2"/>
  <c r="S240" i="2"/>
  <c r="N240" i="2"/>
  <c r="L240" i="2"/>
  <c r="I240" i="2"/>
  <c r="M240" i="2"/>
  <c r="F240" i="2"/>
  <c r="H238" i="5"/>
  <c r="G238" i="5"/>
  <c r="D238" i="5"/>
  <c r="C238" i="5"/>
  <c r="B238" i="5"/>
  <c r="Q455" i="2"/>
  <c r="B92" i="5"/>
  <c r="C763" i="5"/>
  <c r="H763" i="5"/>
  <c r="B763" i="5"/>
  <c r="G763" i="5"/>
  <c r="D763" i="5"/>
  <c r="Q785" i="2"/>
  <c r="H186" i="5"/>
  <c r="B186" i="5"/>
  <c r="D186" i="5"/>
  <c r="C186" i="5"/>
  <c r="G186" i="5"/>
  <c r="G515" i="5"/>
  <c r="H515" i="5"/>
  <c r="C515" i="5"/>
  <c r="D515" i="5"/>
  <c r="B515" i="5"/>
  <c r="D660" i="5"/>
  <c r="C660" i="5"/>
  <c r="B660" i="5"/>
  <c r="H660" i="5"/>
  <c r="G660" i="5"/>
  <c r="G102" i="5"/>
  <c r="C102" i="5"/>
  <c r="B102" i="5"/>
  <c r="H102" i="5"/>
  <c r="D102" i="5"/>
  <c r="R553" i="2"/>
  <c r="I553" i="2"/>
  <c r="G553" i="2"/>
  <c r="O553" i="2"/>
  <c r="F553" i="2"/>
  <c r="L553" i="2"/>
  <c r="N553" i="2"/>
  <c r="S553" i="2"/>
  <c r="M553" i="2"/>
  <c r="H553" i="2"/>
  <c r="Q865" i="2"/>
  <c r="Q450" i="2"/>
  <c r="Q937" i="2"/>
  <c r="Q435" i="2"/>
  <c r="Q623" i="2"/>
  <c r="R205" i="2"/>
  <c r="G205" i="2"/>
  <c r="N205" i="2"/>
  <c r="H205" i="2"/>
  <c r="M205" i="2"/>
  <c r="O205" i="2"/>
  <c r="I205" i="2"/>
  <c r="S205" i="2"/>
  <c r="F205" i="2"/>
  <c r="L205" i="2"/>
  <c r="Q662" i="2"/>
  <c r="D905" i="5"/>
  <c r="B905" i="5"/>
  <c r="H905" i="5"/>
  <c r="C905" i="5"/>
  <c r="G905" i="5"/>
  <c r="R806" i="2"/>
  <c r="O806" i="2"/>
  <c r="F806" i="2"/>
  <c r="H806" i="2"/>
  <c r="S806" i="2"/>
  <c r="M806" i="2"/>
  <c r="G806" i="2"/>
  <c r="I806" i="2"/>
  <c r="L806" i="2"/>
  <c r="N806" i="2"/>
  <c r="B7" i="5"/>
  <c r="F77" i="2"/>
  <c r="M77" i="2"/>
  <c r="N77" i="2"/>
  <c r="O77" i="2"/>
  <c r="L77" i="2"/>
  <c r="S77" i="2"/>
  <c r="D593" i="5"/>
  <c r="C593" i="5"/>
  <c r="B593" i="5"/>
  <c r="G593" i="5"/>
  <c r="H593" i="5"/>
  <c r="R336" i="2"/>
  <c r="G336" i="2"/>
  <c r="H336" i="2"/>
  <c r="M336" i="2"/>
  <c r="F336" i="2"/>
  <c r="S336" i="2"/>
  <c r="I336" i="2"/>
  <c r="L336" i="2"/>
  <c r="N336" i="2"/>
  <c r="O336" i="2"/>
  <c r="C856" i="5"/>
  <c r="B856" i="5"/>
  <c r="G856" i="5"/>
  <c r="H856" i="5"/>
  <c r="D856" i="5"/>
  <c r="R774" i="2"/>
  <c r="G774" i="2"/>
  <c r="F774" i="2"/>
  <c r="N774" i="2"/>
  <c r="M774" i="2"/>
  <c r="S774" i="2"/>
  <c r="I774" i="2"/>
  <c r="H774" i="2"/>
  <c r="L774" i="2"/>
  <c r="O774" i="2"/>
  <c r="Q928" i="2"/>
  <c r="B90" i="5"/>
  <c r="Q696" i="2"/>
  <c r="Q726" i="2"/>
  <c r="Q250" i="2"/>
  <c r="Q981" i="2"/>
  <c r="B353" i="5"/>
  <c r="C353" i="5"/>
  <c r="H353" i="5"/>
  <c r="G353" i="5"/>
  <c r="D353" i="5"/>
  <c r="H457" i="5"/>
  <c r="B457" i="5"/>
  <c r="G457" i="5"/>
  <c r="C457" i="5"/>
  <c r="D457" i="5"/>
  <c r="B79" i="5"/>
  <c r="R677" i="2"/>
  <c r="H677" i="2"/>
  <c r="S677" i="2"/>
  <c r="O677" i="2"/>
  <c r="G677" i="2"/>
  <c r="M677" i="2"/>
  <c r="F677" i="2"/>
  <c r="L677" i="2"/>
  <c r="N677" i="2"/>
  <c r="I677" i="2"/>
  <c r="R364" i="2"/>
  <c r="N364" i="2"/>
  <c r="L364" i="2"/>
  <c r="M364" i="2"/>
  <c r="S364" i="2"/>
  <c r="G364" i="2"/>
  <c r="H364" i="2"/>
  <c r="F364" i="2"/>
  <c r="O364" i="2"/>
  <c r="I364" i="2"/>
  <c r="C914" i="5"/>
  <c r="G914" i="5"/>
  <c r="B914" i="5"/>
  <c r="D914" i="5"/>
  <c r="H914" i="5"/>
  <c r="H833" i="5"/>
  <c r="B833" i="5"/>
  <c r="G833" i="5"/>
  <c r="C833" i="5"/>
  <c r="D833" i="5"/>
  <c r="G265" i="5"/>
  <c r="C265" i="5"/>
  <c r="D265" i="5"/>
  <c r="B265" i="5"/>
  <c r="H265" i="5"/>
  <c r="R963" i="2"/>
  <c r="N963" i="2"/>
  <c r="O963" i="2"/>
  <c r="F963" i="2"/>
  <c r="I963" i="2"/>
  <c r="M963" i="2"/>
  <c r="G963" i="2"/>
  <c r="H963" i="2"/>
  <c r="S963" i="2"/>
  <c r="L963" i="2"/>
  <c r="Q544" i="2"/>
  <c r="B434" i="5"/>
  <c r="G434" i="5"/>
  <c r="C434" i="5"/>
  <c r="H434" i="5"/>
  <c r="D434" i="5"/>
  <c r="Q687" i="2"/>
  <c r="Q294" i="2"/>
  <c r="Q505" i="2"/>
  <c r="G425" i="5"/>
  <c r="H425" i="5"/>
  <c r="C425" i="5"/>
  <c r="B425" i="5"/>
  <c r="D425" i="5"/>
  <c r="B24" i="5"/>
  <c r="C706" i="5"/>
  <c r="G706" i="5"/>
  <c r="H706" i="5"/>
  <c r="B706" i="5"/>
  <c r="D706" i="5"/>
  <c r="D859" i="5"/>
  <c r="G859" i="5"/>
  <c r="H859" i="5"/>
  <c r="C859" i="5"/>
  <c r="B859" i="5"/>
  <c r="R337" i="2"/>
  <c r="S337" i="2"/>
  <c r="N337" i="2"/>
  <c r="M337" i="2"/>
  <c r="F337" i="2"/>
  <c r="H337" i="2"/>
  <c r="I337" i="2"/>
  <c r="L337" i="2"/>
  <c r="O337" i="2"/>
  <c r="G337" i="2"/>
  <c r="H188" i="5"/>
  <c r="B188" i="5"/>
  <c r="C188" i="5"/>
  <c r="D188" i="5"/>
  <c r="G188" i="5"/>
  <c r="D305" i="5"/>
  <c r="H305" i="5"/>
  <c r="G305" i="5"/>
  <c r="B305" i="5"/>
  <c r="C305" i="5"/>
  <c r="B9" i="5"/>
  <c r="C610" i="5"/>
  <c r="G610" i="5"/>
  <c r="D610" i="5"/>
  <c r="B610" i="5"/>
  <c r="H610" i="5"/>
  <c r="G893" i="5"/>
  <c r="D893" i="5"/>
  <c r="C893" i="5"/>
  <c r="B893" i="5"/>
  <c r="H893" i="5"/>
  <c r="R152" i="2"/>
  <c r="L152" i="2"/>
  <c r="N152" i="2"/>
  <c r="I152" i="2"/>
  <c r="S152" i="2"/>
  <c r="F152" i="2"/>
  <c r="G152" i="2"/>
  <c r="M152" i="2"/>
  <c r="H152" i="2"/>
  <c r="O152" i="2"/>
  <c r="Q632" i="2"/>
  <c r="Q702" i="2"/>
  <c r="G145" i="5"/>
  <c r="C145" i="5"/>
  <c r="H145" i="5"/>
  <c r="D145" i="5"/>
  <c r="B145" i="5"/>
  <c r="Q682" i="2"/>
  <c r="Q462" i="2"/>
  <c r="Q758" i="2"/>
  <c r="Q1000" i="2"/>
  <c r="G530" i="5"/>
  <c r="C530" i="5"/>
  <c r="B530" i="5"/>
  <c r="D530" i="5"/>
  <c r="H530" i="5"/>
  <c r="B794" i="5"/>
  <c r="G794" i="5"/>
  <c r="D794" i="5"/>
  <c r="C794" i="5"/>
  <c r="H794" i="5"/>
  <c r="Q657" i="2"/>
  <c r="D698" i="5"/>
  <c r="G698" i="5"/>
  <c r="B698" i="5"/>
  <c r="C698" i="5"/>
  <c r="H698" i="5"/>
  <c r="R751" i="2"/>
  <c r="H751" i="2"/>
  <c r="O751" i="2"/>
  <c r="N751" i="2"/>
  <c r="F751" i="2"/>
  <c r="L751" i="2"/>
  <c r="I751" i="2"/>
  <c r="G751" i="2"/>
  <c r="M751" i="2"/>
  <c r="S751" i="2"/>
  <c r="R843" i="2"/>
  <c r="I843" i="2"/>
  <c r="N843" i="2"/>
  <c r="F843" i="2"/>
  <c r="H843" i="2"/>
  <c r="L843" i="2"/>
  <c r="M843" i="2"/>
  <c r="G843" i="2"/>
  <c r="O843" i="2"/>
  <c r="S843" i="2"/>
  <c r="C560" i="5"/>
  <c r="G560" i="5"/>
  <c r="D560" i="5"/>
  <c r="H560" i="5"/>
  <c r="B560" i="5"/>
  <c r="B721" i="5"/>
  <c r="H721" i="5"/>
  <c r="C721" i="5"/>
  <c r="D721" i="5"/>
  <c r="G721" i="5"/>
  <c r="R709" i="2"/>
  <c r="O709" i="2"/>
  <c r="G709" i="2"/>
  <c r="F709" i="2"/>
  <c r="N709" i="2"/>
  <c r="L709" i="2"/>
  <c r="I709" i="2"/>
  <c r="S709" i="2"/>
  <c r="M709" i="2"/>
  <c r="H709" i="2"/>
  <c r="B740" i="5"/>
  <c r="C740" i="5"/>
  <c r="G740" i="5"/>
  <c r="D740" i="5"/>
  <c r="H740" i="5"/>
  <c r="R128" i="2"/>
  <c r="N128" i="2"/>
  <c r="L128" i="2"/>
  <c r="G128" i="2"/>
  <c r="H128" i="2"/>
  <c r="I128" i="2"/>
  <c r="F128" i="2"/>
  <c r="M128" i="2"/>
  <c r="O128" i="2"/>
  <c r="S128" i="2"/>
  <c r="B697" i="5"/>
  <c r="H697" i="5"/>
  <c r="G697" i="5"/>
  <c r="C697" i="5"/>
  <c r="D697" i="5"/>
  <c r="L9" i="2"/>
  <c r="F9" i="2"/>
  <c r="M9" i="2"/>
  <c r="O9" i="2"/>
  <c r="N9" i="2"/>
  <c r="S9" i="2"/>
  <c r="B863" i="5"/>
  <c r="H863" i="5"/>
  <c r="G863" i="5"/>
  <c r="D863" i="5"/>
  <c r="C863" i="5"/>
  <c r="B445" i="5"/>
  <c r="H445" i="5"/>
  <c r="D445" i="5"/>
  <c r="G445" i="5"/>
  <c r="C445" i="5"/>
  <c r="D586" i="5"/>
  <c r="G586" i="5"/>
  <c r="B586" i="5"/>
  <c r="C586" i="5"/>
  <c r="H586" i="5"/>
  <c r="D875" i="5"/>
  <c r="C875" i="5"/>
  <c r="H875" i="5"/>
  <c r="B875" i="5"/>
  <c r="G875" i="5"/>
  <c r="R483" i="2"/>
  <c r="L483" i="2"/>
  <c r="M483" i="2"/>
  <c r="O483" i="2"/>
  <c r="N483" i="2"/>
  <c r="H483" i="2"/>
  <c r="S483" i="2"/>
  <c r="F483" i="2"/>
  <c r="G483" i="2"/>
  <c r="I483" i="2"/>
  <c r="C968" i="5"/>
  <c r="D968" i="5"/>
  <c r="B968" i="5"/>
  <c r="H968" i="5"/>
  <c r="G968" i="5"/>
  <c r="B119" i="5"/>
  <c r="G119" i="5"/>
  <c r="C119" i="5"/>
  <c r="H119" i="5"/>
  <c r="D119" i="5"/>
  <c r="S7" i="2"/>
  <c r="F7" i="2"/>
  <c r="O7" i="2"/>
  <c r="M7" i="2"/>
  <c r="N7" i="2"/>
  <c r="L7" i="2"/>
  <c r="R711" i="2"/>
  <c r="G711" i="2"/>
  <c r="I711" i="2"/>
  <c r="N711" i="2"/>
  <c r="F711" i="2"/>
  <c r="O711" i="2"/>
  <c r="H711" i="2"/>
  <c r="M711" i="2"/>
  <c r="S711" i="2"/>
  <c r="L711" i="2"/>
  <c r="M85" i="2"/>
  <c r="S85" i="2"/>
  <c r="O85" i="2"/>
  <c r="N85" i="2"/>
  <c r="F85" i="2"/>
  <c r="L85" i="2"/>
  <c r="R764" i="2"/>
  <c r="M764" i="2"/>
  <c r="F764" i="2"/>
  <c r="G764" i="2"/>
  <c r="N764" i="2"/>
  <c r="S764" i="2"/>
  <c r="O764" i="2"/>
  <c r="I764" i="2"/>
  <c r="H764" i="2"/>
  <c r="L764" i="2"/>
  <c r="C111" i="5"/>
  <c r="B111" i="5"/>
  <c r="D111" i="5"/>
  <c r="G111" i="5"/>
  <c r="H111" i="5"/>
  <c r="B17" i="5"/>
  <c r="B618" i="5"/>
  <c r="H618" i="5"/>
  <c r="G618" i="5"/>
  <c r="D618" i="5"/>
  <c r="C618" i="5"/>
  <c r="D716" i="5"/>
  <c r="B716" i="5"/>
  <c r="H716" i="5"/>
  <c r="C716" i="5"/>
  <c r="G716" i="5"/>
  <c r="R813" i="2"/>
  <c r="H813" i="2"/>
  <c r="O813" i="2"/>
  <c r="M813" i="2"/>
  <c r="I813" i="2"/>
  <c r="G813" i="2"/>
  <c r="L813" i="2"/>
  <c r="S813" i="2"/>
  <c r="N813" i="2"/>
  <c r="F813" i="2"/>
  <c r="R388" i="2"/>
  <c r="G388" i="2"/>
  <c r="L388" i="2"/>
  <c r="N388" i="2"/>
  <c r="F388" i="2"/>
  <c r="S388" i="2"/>
  <c r="I388" i="2"/>
  <c r="H388" i="2"/>
  <c r="O388" i="2"/>
  <c r="M388" i="2"/>
  <c r="R406" i="2"/>
  <c r="M406" i="2"/>
  <c r="I406" i="2"/>
  <c r="H406" i="2"/>
  <c r="S406" i="2"/>
  <c r="L406" i="2"/>
  <c r="O406" i="2"/>
  <c r="F406" i="2"/>
  <c r="N406" i="2"/>
  <c r="G406" i="2"/>
  <c r="H631" i="5"/>
  <c r="B631" i="5"/>
  <c r="G631" i="5"/>
  <c r="C631" i="5"/>
  <c r="D631" i="5"/>
  <c r="B656" i="5"/>
  <c r="H656" i="5"/>
  <c r="G656" i="5"/>
  <c r="C656" i="5"/>
  <c r="D656" i="5"/>
  <c r="D816" i="5"/>
  <c r="G816" i="5"/>
  <c r="C816" i="5"/>
  <c r="B816" i="5"/>
  <c r="H816" i="5"/>
  <c r="R988" i="2"/>
  <c r="I988" i="2"/>
  <c r="H988" i="2"/>
  <c r="M988" i="2"/>
  <c r="F988" i="2"/>
  <c r="N988" i="2"/>
  <c r="S988" i="2"/>
  <c r="O988" i="2"/>
  <c r="L988" i="2"/>
  <c r="G988" i="2"/>
  <c r="D229" i="5"/>
  <c r="C229" i="5"/>
  <c r="G229" i="5"/>
  <c r="H229" i="5"/>
  <c r="B229" i="5"/>
  <c r="C410" i="5"/>
  <c r="B410" i="5"/>
  <c r="H410" i="5"/>
  <c r="D410" i="5"/>
  <c r="G410" i="5"/>
  <c r="R136" i="2"/>
  <c r="O136" i="2"/>
  <c r="I136" i="2"/>
  <c r="L136" i="2"/>
  <c r="F136" i="2"/>
  <c r="G136" i="2"/>
  <c r="H136" i="2"/>
  <c r="S136" i="2"/>
  <c r="M136" i="2"/>
  <c r="N136" i="2"/>
  <c r="R915" i="2"/>
  <c r="L915" i="2"/>
  <c r="H915" i="2"/>
  <c r="M915" i="2"/>
  <c r="F915" i="2"/>
  <c r="G915" i="2"/>
  <c r="I915" i="2"/>
  <c r="N915" i="2"/>
  <c r="S915" i="2"/>
  <c r="O915" i="2"/>
  <c r="R443" i="2"/>
  <c r="G443" i="2"/>
  <c r="N443" i="2"/>
  <c r="S443" i="2"/>
  <c r="H443" i="2"/>
  <c r="F443" i="2"/>
  <c r="O443" i="2"/>
  <c r="I443" i="2"/>
  <c r="M443" i="2"/>
  <c r="L443" i="2"/>
  <c r="R930" i="2"/>
  <c r="N930" i="2"/>
  <c r="M930" i="2"/>
  <c r="S930" i="2"/>
  <c r="I930" i="2"/>
  <c r="H930" i="2"/>
  <c r="O930" i="2"/>
  <c r="L930" i="2"/>
  <c r="G930" i="2"/>
  <c r="F930" i="2"/>
  <c r="C912" i="5"/>
  <c r="D912" i="5"/>
  <c r="G912" i="5"/>
  <c r="H912" i="5"/>
  <c r="B912" i="5"/>
  <c r="C663" i="5"/>
  <c r="D663" i="5"/>
  <c r="H663" i="5"/>
  <c r="B663" i="5"/>
  <c r="G663" i="5"/>
  <c r="R507" i="2"/>
  <c r="F507" i="2"/>
  <c r="N507" i="2"/>
  <c r="H507" i="2"/>
  <c r="M507" i="2"/>
  <c r="G507" i="2"/>
  <c r="O507" i="2"/>
  <c r="I507" i="2"/>
  <c r="S507" i="2"/>
  <c r="L507" i="2"/>
  <c r="R217" i="2"/>
  <c r="O217" i="2"/>
  <c r="L217" i="2"/>
  <c r="S217" i="2"/>
  <c r="F217" i="2"/>
  <c r="I217" i="2"/>
  <c r="M217" i="2"/>
  <c r="G217" i="2"/>
  <c r="H217" i="2"/>
  <c r="N217" i="2"/>
  <c r="R732" i="2"/>
  <c r="G732" i="2"/>
  <c r="L732" i="2"/>
  <c r="N732" i="2"/>
  <c r="F732" i="2"/>
  <c r="M732" i="2"/>
  <c r="O732" i="2"/>
  <c r="S732" i="2"/>
  <c r="I732" i="2"/>
  <c r="H732" i="2"/>
  <c r="S12" i="2"/>
  <c r="N12" i="2"/>
  <c r="F12" i="2"/>
  <c r="O12" i="2"/>
  <c r="L12" i="2"/>
  <c r="M12" i="2"/>
  <c r="G601" i="5"/>
  <c r="D601" i="5"/>
  <c r="C601" i="5"/>
  <c r="B601" i="5"/>
  <c r="H601" i="5"/>
  <c r="H748" i="5"/>
  <c r="D748" i="5"/>
  <c r="C748" i="5"/>
  <c r="B748" i="5"/>
  <c r="G748" i="5"/>
  <c r="R828" i="2"/>
  <c r="H828" i="2"/>
  <c r="N828" i="2"/>
  <c r="M828" i="2"/>
  <c r="O828" i="2"/>
  <c r="S828" i="2"/>
  <c r="I828" i="2"/>
  <c r="L828" i="2"/>
  <c r="G828" i="2"/>
  <c r="F828" i="2"/>
  <c r="R491" i="2"/>
  <c r="I491" i="2"/>
  <c r="M491" i="2"/>
  <c r="L491" i="2"/>
  <c r="O491" i="2"/>
  <c r="S491" i="2"/>
  <c r="N491" i="2"/>
  <c r="G491" i="2"/>
  <c r="H491" i="2"/>
  <c r="F491" i="2"/>
  <c r="R814" i="2"/>
  <c r="L814" i="2"/>
  <c r="H814" i="2"/>
  <c r="F814" i="2"/>
  <c r="G814" i="2"/>
  <c r="O814" i="2"/>
  <c r="N814" i="2"/>
  <c r="I814" i="2"/>
  <c r="M814" i="2"/>
  <c r="S814" i="2"/>
  <c r="C491" i="5"/>
  <c r="D491" i="5"/>
  <c r="H491" i="5"/>
  <c r="G491" i="5"/>
  <c r="B491" i="5"/>
  <c r="R996" i="2"/>
  <c r="S996" i="2"/>
  <c r="M996" i="2"/>
  <c r="O996" i="2"/>
  <c r="N996" i="2"/>
  <c r="L996" i="2"/>
  <c r="I996" i="2"/>
  <c r="F996" i="2"/>
  <c r="H996" i="2"/>
  <c r="G996" i="2"/>
  <c r="D536" i="5"/>
  <c r="B536" i="5"/>
  <c r="C536" i="5"/>
  <c r="H536" i="5"/>
  <c r="G536" i="5"/>
  <c r="N80" i="2"/>
  <c r="O80" i="2"/>
  <c r="S80" i="2"/>
  <c r="L80" i="2"/>
  <c r="F80" i="2"/>
  <c r="M80" i="2"/>
  <c r="R753" i="2"/>
  <c r="L753" i="2"/>
  <c r="M753" i="2"/>
  <c r="F753" i="2"/>
  <c r="I753" i="2"/>
  <c r="N753" i="2"/>
  <c r="G753" i="2"/>
  <c r="H753" i="2"/>
  <c r="O753" i="2"/>
  <c r="S753" i="2"/>
  <c r="B442" i="5"/>
  <c r="D442" i="5"/>
  <c r="H442" i="5"/>
  <c r="G442" i="5"/>
  <c r="C442" i="5"/>
  <c r="R496" i="2"/>
  <c r="G496" i="2"/>
  <c r="I496" i="2"/>
  <c r="H496" i="2"/>
  <c r="M496" i="2"/>
  <c r="O496" i="2"/>
  <c r="F496" i="2"/>
  <c r="S496" i="2"/>
  <c r="N496" i="2"/>
  <c r="L496" i="2"/>
  <c r="R145" i="2"/>
  <c r="G145" i="2"/>
  <c r="I145" i="2"/>
  <c r="L145" i="2"/>
  <c r="F145" i="2"/>
  <c r="M145" i="2"/>
  <c r="H145" i="2"/>
  <c r="N145" i="2"/>
  <c r="O145" i="2"/>
  <c r="S145" i="2"/>
  <c r="R127" i="2"/>
  <c r="L127" i="2"/>
  <c r="G127" i="2"/>
  <c r="N127" i="2"/>
  <c r="H127" i="2"/>
  <c r="O127" i="2"/>
  <c r="S127" i="2"/>
  <c r="I127" i="2"/>
  <c r="M127" i="2"/>
  <c r="F127" i="2"/>
  <c r="R304" i="2"/>
  <c r="S304" i="2"/>
  <c r="H304" i="2"/>
  <c r="F304" i="2"/>
  <c r="N304" i="2"/>
  <c r="O304" i="2"/>
  <c r="G304" i="2"/>
  <c r="I304" i="2"/>
  <c r="L304" i="2"/>
  <c r="M304" i="2"/>
  <c r="B37" i="5"/>
  <c r="G140" i="5"/>
  <c r="H140" i="5"/>
  <c r="B140" i="5"/>
  <c r="C140" i="5"/>
  <c r="D140" i="5"/>
  <c r="B75" i="5"/>
  <c r="R924" i="2"/>
  <c r="L924" i="2"/>
  <c r="N924" i="2"/>
  <c r="O924" i="2"/>
  <c r="F924" i="2"/>
  <c r="G924" i="2"/>
  <c r="I924" i="2"/>
  <c r="M924" i="2"/>
  <c r="S924" i="2"/>
  <c r="H924" i="2"/>
  <c r="S34" i="2"/>
  <c r="F34" i="2"/>
  <c r="O34" i="2"/>
  <c r="L34" i="2"/>
  <c r="M34" i="2"/>
  <c r="N34" i="2"/>
  <c r="B26" i="5"/>
  <c r="B827" i="5"/>
  <c r="D827" i="5"/>
  <c r="H827" i="5"/>
  <c r="C827" i="5"/>
  <c r="G827" i="5"/>
  <c r="R757" i="2"/>
  <c r="F757" i="2"/>
  <c r="S757" i="2"/>
  <c r="L757" i="2"/>
  <c r="H757" i="2"/>
  <c r="I757" i="2"/>
  <c r="G757" i="2"/>
  <c r="N757" i="2"/>
  <c r="O757" i="2"/>
  <c r="M757" i="2"/>
  <c r="R881" i="2"/>
  <c r="O881" i="2"/>
  <c r="G881" i="2"/>
  <c r="S881" i="2"/>
  <c r="F881" i="2"/>
  <c r="M881" i="2"/>
  <c r="I881" i="2"/>
  <c r="H881" i="2"/>
  <c r="L881" i="2"/>
  <c r="N881" i="2"/>
  <c r="Q822" i="2"/>
  <c r="G158" i="5"/>
  <c r="H158" i="5"/>
  <c r="B158" i="5"/>
  <c r="D158" i="5"/>
  <c r="C158" i="5"/>
  <c r="H196" i="5"/>
  <c r="D196" i="5"/>
  <c r="B196" i="5"/>
  <c r="C196" i="5"/>
  <c r="G196" i="5"/>
  <c r="B3" i="5"/>
  <c r="Q247" i="2"/>
  <c r="B40" i="5"/>
  <c r="Q633" i="2"/>
  <c r="D597" i="5"/>
  <c r="H597" i="5"/>
  <c r="B597" i="5"/>
  <c r="G597" i="5"/>
  <c r="C597" i="5"/>
  <c r="G945" i="5"/>
  <c r="C945" i="5"/>
  <c r="H945" i="5"/>
  <c r="D945" i="5"/>
  <c r="B945" i="5"/>
  <c r="F62" i="2"/>
  <c r="S62" i="2"/>
  <c r="M62" i="2"/>
  <c r="O62" i="2"/>
  <c r="L62" i="2"/>
  <c r="N62" i="2"/>
  <c r="B479" i="5"/>
  <c r="D479" i="5"/>
  <c r="G479" i="5"/>
  <c r="H479" i="5"/>
  <c r="C479" i="5"/>
  <c r="G606" i="5"/>
  <c r="B606" i="5"/>
  <c r="H606" i="5"/>
  <c r="D606" i="5"/>
  <c r="C606" i="5"/>
  <c r="R620" i="2"/>
  <c r="N620" i="2"/>
  <c r="M620" i="2"/>
  <c r="L620" i="2"/>
  <c r="H620" i="2"/>
  <c r="O620" i="2"/>
  <c r="G620" i="2"/>
  <c r="S620" i="2"/>
  <c r="F620" i="2"/>
  <c r="I620" i="2"/>
  <c r="R132" i="2"/>
  <c r="H132" i="2"/>
  <c r="S132" i="2"/>
  <c r="I132" i="2"/>
  <c r="L132" i="2"/>
  <c r="O132" i="2"/>
  <c r="G132" i="2"/>
  <c r="M132" i="2"/>
  <c r="F132" i="2"/>
  <c r="N132" i="2"/>
  <c r="G279" i="5"/>
  <c r="C279" i="5"/>
  <c r="B279" i="5"/>
  <c r="H279" i="5"/>
  <c r="D279" i="5"/>
  <c r="R740" i="2"/>
  <c r="L740" i="2"/>
  <c r="S740" i="2"/>
  <c r="H740" i="2"/>
  <c r="M740" i="2"/>
  <c r="I740" i="2"/>
  <c r="O740" i="2"/>
  <c r="F740" i="2"/>
  <c r="G740" i="2"/>
  <c r="N740" i="2"/>
  <c r="Q214" i="2"/>
  <c r="H626" i="5"/>
  <c r="B626" i="5"/>
  <c r="G626" i="5"/>
  <c r="C626" i="5"/>
  <c r="D626" i="5"/>
  <c r="Q367" i="2"/>
  <c r="Q595" i="2"/>
  <c r="Q129" i="2"/>
  <c r="Q298" i="2"/>
  <c r="D700" i="5"/>
  <c r="C700" i="5"/>
  <c r="G700" i="5"/>
  <c r="B700" i="5"/>
  <c r="H700" i="5"/>
  <c r="H300" i="5"/>
  <c r="B300" i="5"/>
  <c r="G300" i="5"/>
  <c r="C300" i="5"/>
  <c r="D300" i="5"/>
  <c r="Q207" i="2"/>
  <c r="G637" i="5"/>
  <c r="C637" i="5"/>
  <c r="H637" i="5"/>
  <c r="D637" i="5"/>
  <c r="B637" i="5"/>
  <c r="R870" i="2"/>
  <c r="O870" i="2"/>
  <c r="L870" i="2"/>
  <c r="H870" i="2"/>
  <c r="F870" i="2"/>
  <c r="G870" i="2"/>
  <c r="S870" i="2"/>
  <c r="I870" i="2"/>
  <c r="N870" i="2"/>
  <c r="M870" i="2"/>
  <c r="R139" i="2"/>
  <c r="H139" i="2"/>
  <c r="N139" i="2"/>
  <c r="G139" i="2"/>
  <c r="M139" i="2"/>
  <c r="L139" i="2"/>
  <c r="S139" i="2"/>
  <c r="O139" i="2"/>
  <c r="I139" i="2"/>
  <c r="F139" i="2"/>
  <c r="G577" i="5"/>
  <c r="H577" i="5"/>
  <c r="D577" i="5"/>
  <c r="B577" i="5"/>
  <c r="C577" i="5"/>
  <c r="B460" i="5"/>
  <c r="G460" i="5"/>
  <c r="H460" i="5"/>
  <c r="C460" i="5"/>
  <c r="D460" i="5"/>
  <c r="R179" i="2"/>
  <c r="M179" i="2"/>
  <c r="G179" i="2"/>
  <c r="I179" i="2"/>
  <c r="S179" i="2"/>
  <c r="L179" i="2"/>
  <c r="H179" i="2"/>
  <c r="F179" i="2"/>
  <c r="O179" i="2"/>
  <c r="N179" i="2"/>
  <c r="Q300" i="2"/>
  <c r="Q481" i="2"/>
  <c r="Q545" i="2"/>
  <c r="G433" i="5"/>
  <c r="H433" i="5"/>
  <c r="B433" i="5"/>
  <c r="D433" i="5"/>
  <c r="C433" i="5"/>
  <c r="Q260" i="2"/>
  <c r="Q750" i="2"/>
  <c r="G329" i="5"/>
  <c r="D329" i="5"/>
  <c r="B329" i="5"/>
  <c r="C329" i="5"/>
  <c r="H329" i="5"/>
  <c r="H667" i="5"/>
  <c r="G667" i="5"/>
  <c r="B667" i="5"/>
  <c r="D667" i="5"/>
  <c r="C667" i="5"/>
  <c r="R108" i="2"/>
  <c r="L108" i="2"/>
  <c r="H108" i="2"/>
  <c r="O108" i="2"/>
  <c r="F108" i="2"/>
  <c r="G108" i="2"/>
  <c r="I108" i="2"/>
  <c r="N108" i="2"/>
  <c r="M108" i="2"/>
  <c r="S108" i="2"/>
  <c r="Q841" i="2"/>
  <c r="G281" i="5"/>
  <c r="H281" i="5"/>
  <c r="C281" i="5"/>
  <c r="D281" i="5"/>
  <c r="B281" i="5"/>
  <c r="R960" i="2"/>
  <c r="M960" i="2"/>
  <c r="N960" i="2"/>
  <c r="I960" i="2"/>
  <c r="G960" i="2"/>
  <c r="L960" i="2"/>
  <c r="H960" i="2"/>
  <c r="O960" i="2"/>
  <c r="F960" i="2"/>
  <c r="S960" i="2"/>
  <c r="F16" i="2"/>
  <c r="O16" i="2"/>
  <c r="L16" i="2"/>
  <c r="M16" i="2"/>
  <c r="N16" i="2"/>
  <c r="S16" i="2"/>
  <c r="H702" i="5"/>
  <c r="B702" i="5"/>
  <c r="C702" i="5"/>
  <c r="G702" i="5"/>
  <c r="D702" i="5"/>
  <c r="R446" i="2"/>
  <c r="L446" i="2"/>
  <c r="O446" i="2"/>
  <c r="I446" i="2"/>
  <c r="G446" i="2"/>
  <c r="H446" i="2"/>
  <c r="M446" i="2"/>
  <c r="N446" i="2"/>
  <c r="F446" i="2"/>
  <c r="S446" i="2"/>
  <c r="R778" i="2"/>
  <c r="M778" i="2"/>
  <c r="I778" i="2"/>
  <c r="O778" i="2"/>
  <c r="F778" i="2"/>
  <c r="S778" i="2"/>
  <c r="L778" i="2"/>
  <c r="N778" i="2"/>
  <c r="G778" i="2"/>
  <c r="H778" i="2"/>
  <c r="R195" i="2"/>
  <c r="F195" i="2"/>
  <c r="N195" i="2"/>
  <c r="O195" i="2"/>
  <c r="M195" i="2"/>
  <c r="G195" i="2"/>
  <c r="I195" i="2"/>
  <c r="S195" i="2"/>
  <c r="L195" i="2"/>
  <c r="H195" i="2"/>
  <c r="C982" i="5"/>
  <c r="D982" i="5"/>
  <c r="G982" i="5"/>
  <c r="H982" i="5"/>
  <c r="B982" i="5"/>
  <c r="R333" i="2"/>
  <c r="F333" i="2"/>
  <c r="N333" i="2"/>
  <c r="O333" i="2"/>
  <c r="S333" i="2"/>
  <c r="H333" i="2"/>
  <c r="G333" i="2"/>
  <c r="L333" i="2"/>
  <c r="I333" i="2"/>
  <c r="M333" i="2"/>
  <c r="R748" i="2"/>
  <c r="L748" i="2"/>
  <c r="S748" i="2"/>
  <c r="G748" i="2"/>
  <c r="I748" i="2"/>
  <c r="N748" i="2"/>
  <c r="M748" i="2"/>
  <c r="F748" i="2"/>
  <c r="O748" i="2"/>
  <c r="H748" i="2"/>
  <c r="B399" i="5"/>
  <c r="C399" i="5"/>
  <c r="G399" i="5"/>
  <c r="D399" i="5"/>
  <c r="H399" i="5"/>
  <c r="B659" i="5"/>
  <c r="D659" i="5"/>
  <c r="G659" i="5"/>
  <c r="H659" i="5"/>
  <c r="C659" i="5"/>
  <c r="R550" i="2"/>
  <c r="I550" i="2"/>
  <c r="F550" i="2"/>
  <c r="G550" i="2"/>
  <c r="S550" i="2"/>
  <c r="O550" i="2"/>
  <c r="H550" i="2"/>
  <c r="L550" i="2"/>
  <c r="M550" i="2"/>
  <c r="N550" i="2"/>
  <c r="C756" i="5"/>
  <c r="H756" i="5"/>
  <c r="D756" i="5"/>
  <c r="B756" i="5"/>
  <c r="G756" i="5"/>
  <c r="C883" i="5"/>
  <c r="G883" i="5"/>
  <c r="D883" i="5"/>
  <c r="B883" i="5"/>
  <c r="H883" i="5"/>
  <c r="R746" i="2"/>
  <c r="G746" i="2"/>
  <c r="S746" i="2"/>
  <c r="N746" i="2"/>
  <c r="O746" i="2"/>
  <c r="L746" i="2"/>
  <c r="F746" i="2"/>
  <c r="I746" i="2"/>
  <c r="H746" i="2"/>
  <c r="M746" i="2"/>
  <c r="H498" i="5"/>
  <c r="B498" i="5"/>
  <c r="D498" i="5"/>
  <c r="G498" i="5"/>
  <c r="C498" i="5"/>
  <c r="R280" i="2"/>
  <c r="M280" i="2"/>
  <c r="F280" i="2"/>
  <c r="I280" i="2"/>
  <c r="L280" i="2"/>
  <c r="N280" i="2"/>
  <c r="O280" i="2"/>
  <c r="H280" i="2"/>
  <c r="S280" i="2"/>
  <c r="G280" i="2"/>
  <c r="R920" i="2"/>
  <c r="N920" i="2"/>
  <c r="F920" i="2"/>
  <c r="H920" i="2"/>
  <c r="M920" i="2"/>
  <c r="S920" i="2"/>
  <c r="L920" i="2"/>
  <c r="O920" i="2"/>
  <c r="G920" i="2"/>
  <c r="I920" i="2"/>
  <c r="R766" i="2"/>
  <c r="S766" i="2"/>
  <c r="O766" i="2"/>
  <c r="I766" i="2"/>
  <c r="H766" i="2"/>
  <c r="F766" i="2"/>
  <c r="M766" i="2"/>
  <c r="G766" i="2"/>
  <c r="L766" i="2"/>
  <c r="N766" i="2"/>
  <c r="B439" i="5"/>
  <c r="G439" i="5"/>
  <c r="H439" i="5"/>
  <c r="C439" i="5"/>
  <c r="D439" i="5"/>
  <c r="R419" i="2"/>
  <c r="S419" i="2"/>
  <c r="L419" i="2"/>
  <c r="F419" i="2"/>
  <c r="N419" i="2"/>
  <c r="G419" i="2"/>
  <c r="M419" i="2"/>
  <c r="O419" i="2"/>
  <c r="H419" i="2"/>
  <c r="I419" i="2"/>
  <c r="C666" i="5"/>
  <c r="G666" i="5"/>
  <c r="H666" i="5"/>
  <c r="B666" i="5"/>
  <c r="D666" i="5"/>
  <c r="R541" i="2"/>
  <c r="O541" i="2"/>
  <c r="I541" i="2"/>
  <c r="N541" i="2"/>
  <c r="H541" i="2"/>
  <c r="L541" i="2"/>
  <c r="G541" i="2"/>
  <c r="S541" i="2"/>
  <c r="M541" i="2"/>
  <c r="F541" i="2"/>
  <c r="C513" i="5"/>
  <c r="B513" i="5"/>
  <c r="G513" i="5"/>
  <c r="D513" i="5"/>
  <c r="H513" i="5"/>
  <c r="D424" i="5"/>
  <c r="G424" i="5"/>
  <c r="H424" i="5"/>
  <c r="B424" i="5"/>
  <c r="C424" i="5"/>
  <c r="R338" i="2"/>
  <c r="L338" i="2"/>
  <c r="N338" i="2"/>
  <c r="S338" i="2"/>
  <c r="F338" i="2"/>
  <c r="M338" i="2"/>
  <c r="I338" i="2"/>
  <c r="H338" i="2"/>
  <c r="G338" i="2"/>
  <c r="O338" i="2"/>
  <c r="C837" i="5"/>
  <c r="G837" i="5"/>
  <c r="B837" i="5"/>
  <c r="H837" i="5"/>
  <c r="D837" i="5"/>
  <c r="M4" i="2"/>
  <c r="N4" i="2"/>
  <c r="S4" i="2"/>
  <c r="L4" i="2"/>
  <c r="O4" i="2"/>
  <c r="F4" i="2"/>
  <c r="H682" i="5"/>
  <c r="C682" i="5"/>
  <c r="D682" i="5"/>
  <c r="B682" i="5"/>
  <c r="G682" i="5"/>
  <c r="R848" i="2"/>
  <c r="F848" i="2"/>
  <c r="S848" i="2"/>
  <c r="H848" i="2"/>
  <c r="I848" i="2"/>
  <c r="G848" i="2"/>
  <c r="N848" i="2"/>
  <c r="O848" i="2"/>
  <c r="L848" i="2"/>
  <c r="M848" i="2"/>
  <c r="R809" i="2"/>
  <c r="O809" i="2"/>
  <c r="S809" i="2"/>
  <c r="M809" i="2"/>
  <c r="F809" i="2"/>
  <c r="G809" i="2"/>
  <c r="I809" i="2"/>
  <c r="L809" i="2"/>
  <c r="H809" i="2"/>
  <c r="N809" i="2"/>
  <c r="G363" i="5"/>
  <c r="D363" i="5"/>
  <c r="C363" i="5"/>
  <c r="H363" i="5"/>
  <c r="B363" i="5"/>
  <c r="B477" i="5"/>
  <c r="C477" i="5"/>
  <c r="H477" i="5"/>
  <c r="D477" i="5"/>
  <c r="G477" i="5"/>
  <c r="D215" i="5"/>
  <c r="H215" i="5"/>
  <c r="B215" i="5"/>
  <c r="G215" i="5"/>
  <c r="C215" i="5"/>
  <c r="G220" i="5"/>
  <c r="H220" i="5"/>
  <c r="C220" i="5"/>
  <c r="B220" i="5"/>
  <c r="D220" i="5"/>
  <c r="N74" i="2"/>
  <c r="M74" i="2"/>
  <c r="L74" i="2"/>
  <c r="S74" i="2"/>
  <c r="O74" i="2"/>
  <c r="F74" i="2"/>
  <c r="Q348" i="2"/>
  <c r="H940" i="5"/>
  <c r="B940" i="5"/>
  <c r="D940" i="5"/>
  <c r="G940" i="5"/>
  <c r="C940" i="5"/>
  <c r="G152" i="5"/>
  <c r="H152" i="5"/>
  <c r="D152" i="5"/>
  <c r="B152" i="5"/>
  <c r="C152" i="5"/>
  <c r="R803" i="2"/>
  <c r="H803" i="2"/>
  <c r="M803" i="2"/>
  <c r="O803" i="2"/>
  <c r="L803" i="2"/>
  <c r="S803" i="2"/>
  <c r="F803" i="2"/>
  <c r="G803" i="2"/>
  <c r="N803" i="2"/>
  <c r="I803" i="2"/>
  <c r="H120" i="5"/>
  <c r="G120" i="5"/>
  <c r="D120" i="5"/>
  <c r="C120" i="5"/>
  <c r="B120" i="5"/>
  <c r="R332" i="2"/>
  <c r="I332" i="2"/>
  <c r="G332" i="2"/>
  <c r="S332" i="2"/>
  <c r="F332" i="2"/>
  <c r="N332" i="2"/>
  <c r="H332" i="2"/>
  <c r="L332" i="2"/>
  <c r="O332" i="2"/>
  <c r="M332" i="2"/>
  <c r="C347" i="5"/>
  <c r="G347" i="5"/>
  <c r="B347" i="5"/>
  <c r="D347" i="5"/>
  <c r="H347" i="5"/>
  <c r="R577" i="2"/>
  <c r="L577" i="2"/>
  <c r="M577" i="2"/>
  <c r="S577" i="2"/>
  <c r="I577" i="2"/>
  <c r="G577" i="2"/>
  <c r="F577" i="2"/>
  <c r="N577" i="2"/>
  <c r="H577" i="2"/>
  <c r="O577" i="2"/>
  <c r="H617" i="5"/>
  <c r="C617" i="5"/>
  <c r="G617" i="5"/>
  <c r="B617" i="5"/>
  <c r="D617" i="5"/>
  <c r="G454" i="5"/>
  <c r="H454" i="5"/>
  <c r="D454" i="5"/>
  <c r="C454" i="5"/>
  <c r="B454" i="5"/>
  <c r="S10" i="2"/>
  <c r="M10" i="2"/>
  <c r="N10" i="2"/>
  <c r="F10" i="2"/>
  <c r="L10" i="2"/>
  <c r="O10" i="2"/>
  <c r="R827" i="2"/>
  <c r="H827" i="2"/>
  <c r="S827" i="2"/>
  <c r="M827" i="2"/>
  <c r="G827" i="2"/>
  <c r="F827" i="2"/>
  <c r="L827" i="2"/>
  <c r="I827" i="2"/>
  <c r="N827" i="2"/>
  <c r="O827" i="2"/>
  <c r="B908" i="5"/>
  <c r="D908" i="5"/>
  <c r="H908" i="5"/>
  <c r="G908" i="5"/>
  <c r="C908" i="5"/>
  <c r="R511" i="2"/>
  <c r="O511" i="2"/>
  <c r="L511" i="2"/>
  <c r="S511" i="2"/>
  <c r="I511" i="2"/>
  <c r="G511" i="2"/>
  <c r="M511" i="2"/>
  <c r="F511" i="2"/>
  <c r="H511" i="2"/>
  <c r="N511" i="2"/>
  <c r="R893" i="2"/>
  <c r="I893" i="2"/>
  <c r="S893" i="2"/>
  <c r="H893" i="2"/>
  <c r="M893" i="2"/>
  <c r="L893" i="2"/>
  <c r="G893" i="2"/>
  <c r="N893" i="2"/>
  <c r="O893" i="2"/>
  <c r="F893" i="2"/>
  <c r="H754" i="5"/>
  <c r="C754" i="5"/>
  <c r="D754" i="5"/>
  <c r="G754" i="5"/>
  <c r="B754" i="5"/>
  <c r="R899" i="2"/>
  <c r="F899" i="2"/>
  <c r="H899" i="2"/>
  <c r="N899" i="2"/>
  <c r="M899" i="2"/>
  <c r="L899" i="2"/>
  <c r="O899" i="2"/>
  <c r="I899" i="2"/>
  <c r="S899" i="2"/>
  <c r="G899" i="2"/>
  <c r="D994" i="5"/>
  <c r="H994" i="5"/>
  <c r="G994" i="5"/>
  <c r="C994" i="5"/>
  <c r="B994" i="5"/>
  <c r="R185" i="2"/>
  <c r="I185" i="2"/>
  <c r="O185" i="2"/>
  <c r="F185" i="2"/>
  <c r="H185" i="2"/>
  <c r="M185" i="2"/>
  <c r="G185" i="2"/>
  <c r="S185" i="2"/>
  <c r="N185" i="2"/>
  <c r="L185" i="2"/>
  <c r="R254" i="2"/>
  <c r="L254" i="2"/>
  <c r="I254" i="2"/>
  <c r="M254" i="2"/>
  <c r="H254" i="2"/>
  <c r="S254" i="2"/>
  <c r="N254" i="2"/>
  <c r="F254" i="2"/>
  <c r="O254" i="2"/>
  <c r="G254" i="2"/>
  <c r="G103" i="5"/>
  <c r="B103" i="5"/>
  <c r="C103" i="5"/>
  <c r="D103" i="5"/>
  <c r="H103" i="5"/>
  <c r="R758" i="2"/>
  <c r="M758" i="2"/>
  <c r="L758" i="2"/>
  <c r="O758" i="2"/>
  <c r="S758" i="2"/>
  <c r="G758" i="2"/>
  <c r="F758" i="2"/>
  <c r="H758" i="2"/>
  <c r="I758" i="2"/>
  <c r="N758" i="2"/>
  <c r="R506" i="2"/>
  <c r="O506" i="2"/>
  <c r="M506" i="2"/>
  <c r="H506" i="2"/>
  <c r="F506" i="2"/>
  <c r="G506" i="2"/>
  <c r="I506" i="2"/>
  <c r="N506" i="2"/>
  <c r="L506" i="2"/>
  <c r="S506" i="2"/>
  <c r="G114" i="5"/>
  <c r="B114" i="5"/>
  <c r="H114" i="5"/>
  <c r="D114" i="5"/>
  <c r="C114" i="5"/>
  <c r="G159" i="5"/>
  <c r="D159" i="5"/>
  <c r="C159" i="5"/>
  <c r="B159" i="5"/>
  <c r="H159" i="5"/>
  <c r="R220" i="2"/>
  <c r="N220" i="2"/>
  <c r="H220" i="2"/>
  <c r="O220" i="2"/>
  <c r="L220" i="2"/>
  <c r="I220" i="2"/>
  <c r="F220" i="2"/>
  <c r="G220" i="2"/>
  <c r="S220" i="2"/>
  <c r="M220" i="2"/>
  <c r="Q464" i="2"/>
  <c r="D820" i="5"/>
  <c r="B820" i="5"/>
  <c r="G820" i="5"/>
  <c r="C820" i="5"/>
  <c r="H820" i="5"/>
  <c r="B343" i="5"/>
  <c r="C343" i="5"/>
  <c r="H343" i="5"/>
  <c r="G343" i="5"/>
  <c r="D343" i="5"/>
  <c r="G219" i="5"/>
  <c r="H219" i="5"/>
  <c r="D219" i="5"/>
  <c r="C219" i="5"/>
  <c r="B219" i="5"/>
  <c r="R457" i="2"/>
  <c r="L457" i="2"/>
  <c r="O457" i="2"/>
  <c r="G457" i="2"/>
  <c r="I457" i="2"/>
  <c r="N457" i="2"/>
  <c r="S457" i="2"/>
  <c r="H457" i="2"/>
  <c r="F457" i="2"/>
  <c r="M457" i="2"/>
  <c r="F11" i="2"/>
  <c r="O11" i="2"/>
  <c r="N11" i="2"/>
  <c r="L11" i="2"/>
  <c r="M11" i="2"/>
  <c r="S11" i="2"/>
  <c r="B82" i="5"/>
  <c r="R452" i="2"/>
  <c r="G452" i="2"/>
  <c r="F452" i="2"/>
  <c r="N452" i="2"/>
  <c r="S452" i="2"/>
  <c r="H452" i="2"/>
  <c r="O452" i="2"/>
  <c r="I452" i="2"/>
  <c r="L452" i="2"/>
  <c r="M452" i="2"/>
  <c r="Q952" i="2"/>
  <c r="Q273" i="2"/>
  <c r="Q992" i="2"/>
  <c r="Q297" i="2"/>
  <c r="Q886" i="2"/>
  <c r="C677" i="5"/>
  <c r="G677" i="5"/>
  <c r="H677" i="5"/>
  <c r="D677" i="5"/>
  <c r="B677" i="5"/>
  <c r="H961" i="5"/>
  <c r="D961" i="5"/>
  <c r="C961" i="5"/>
  <c r="G961" i="5"/>
  <c r="B961" i="5"/>
  <c r="R612" i="2"/>
  <c r="H612" i="2"/>
  <c r="M612" i="2"/>
  <c r="S612" i="2"/>
  <c r="I612" i="2"/>
  <c r="N612" i="2"/>
  <c r="L612" i="2"/>
  <c r="G612" i="2"/>
  <c r="F612" i="2"/>
  <c r="O612" i="2"/>
  <c r="C528" i="5"/>
  <c r="D528" i="5"/>
  <c r="B528" i="5"/>
  <c r="H528" i="5"/>
  <c r="G528" i="5"/>
  <c r="G313" i="5"/>
  <c r="H313" i="5"/>
  <c r="C313" i="5"/>
  <c r="B313" i="5"/>
  <c r="D313" i="5"/>
  <c r="G933" i="5"/>
  <c r="H933" i="5"/>
  <c r="B933" i="5"/>
  <c r="C933" i="5"/>
  <c r="D933" i="5"/>
  <c r="R298" i="2"/>
  <c r="I298" i="2"/>
  <c r="O298" i="2"/>
  <c r="H298" i="2"/>
  <c r="M298" i="2"/>
  <c r="L298" i="2"/>
  <c r="N298" i="2"/>
  <c r="F298" i="2"/>
  <c r="G298" i="2"/>
  <c r="S298" i="2"/>
  <c r="R474" i="2"/>
  <c r="I474" i="2"/>
  <c r="H474" i="2"/>
  <c r="G474" i="2"/>
  <c r="S474" i="2"/>
  <c r="F474" i="2"/>
  <c r="N474" i="2"/>
  <c r="O474" i="2"/>
  <c r="M474" i="2"/>
  <c r="L474" i="2"/>
  <c r="R816" i="2"/>
  <c r="H816" i="2"/>
  <c r="N816" i="2"/>
  <c r="F816" i="2"/>
  <c r="L816" i="2"/>
  <c r="O816" i="2"/>
  <c r="M816" i="2"/>
  <c r="I816" i="2"/>
  <c r="S816" i="2"/>
  <c r="G816" i="2"/>
  <c r="Q688" i="2"/>
  <c r="B319" i="5"/>
  <c r="G319" i="5"/>
  <c r="D319" i="5"/>
  <c r="C319" i="5"/>
  <c r="H319" i="5"/>
  <c r="Q500" i="2"/>
  <c r="Q908" i="2"/>
  <c r="B65" i="5"/>
  <c r="Q381" i="2"/>
  <c r="Q251" i="2"/>
  <c r="B563" i="5"/>
  <c r="G563" i="5"/>
  <c r="H563" i="5"/>
  <c r="D563" i="5"/>
  <c r="C563" i="5"/>
  <c r="H190" i="5"/>
  <c r="G190" i="5"/>
  <c r="C190" i="5"/>
  <c r="D190" i="5"/>
  <c r="B190" i="5"/>
  <c r="Q520" i="2"/>
  <c r="G182" i="5"/>
  <c r="C182" i="5"/>
  <c r="B182" i="5"/>
  <c r="H182" i="5"/>
  <c r="D182" i="5"/>
  <c r="R532" i="2"/>
  <c r="H532" i="2"/>
  <c r="S532" i="2"/>
  <c r="F532" i="2"/>
  <c r="L532" i="2"/>
  <c r="O532" i="2"/>
  <c r="M532" i="2"/>
  <c r="I532" i="2"/>
  <c r="G532" i="2"/>
  <c r="N532" i="2"/>
  <c r="R940" i="2"/>
  <c r="L940" i="2"/>
  <c r="S940" i="2"/>
  <c r="G940" i="2"/>
  <c r="H940" i="2"/>
  <c r="N940" i="2"/>
  <c r="M940" i="2"/>
  <c r="I940" i="2"/>
  <c r="F940" i="2"/>
  <c r="O940" i="2"/>
  <c r="F19" i="2"/>
  <c r="N19" i="2"/>
  <c r="O19" i="2"/>
  <c r="L19" i="2"/>
  <c r="M19" i="2"/>
  <c r="S19" i="2"/>
  <c r="R199" i="2"/>
  <c r="F199" i="2"/>
  <c r="N199" i="2"/>
  <c r="G199" i="2"/>
  <c r="M199" i="2"/>
  <c r="I199" i="2"/>
  <c r="O199" i="2"/>
  <c r="H199" i="2"/>
  <c r="L199" i="2"/>
  <c r="S199" i="2"/>
  <c r="R785" i="2"/>
  <c r="F785" i="2"/>
  <c r="G785" i="2"/>
  <c r="S785" i="2"/>
  <c r="M785" i="2"/>
  <c r="N785" i="2"/>
  <c r="L785" i="2"/>
  <c r="I785" i="2"/>
  <c r="H785" i="2"/>
  <c r="O785" i="2"/>
  <c r="Q187" i="2"/>
  <c r="Q751" i="2"/>
  <c r="Q115" i="2"/>
  <c r="B44" i="5"/>
  <c r="Q460" i="2"/>
  <c r="Q934" i="2"/>
  <c r="Q477" i="2"/>
  <c r="B768" i="5"/>
  <c r="G768" i="5"/>
  <c r="D768" i="5"/>
  <c r="H768" i="5"/>
  <c r="C768" i="5"/>
  <c r="S2" i="2"/>
  <c r="L2" i="2"/>
  <c r="N2" i="2"/>
  <c r="O2" i="2"/>
  <c r="M2" i="2"/>
  <c r="F2" i="2"/>
  <c r="Q820" i="2"/>
  <c r="R236" i="2"/>
  <c r="S236" i="2"/>
  <c r="M236" i="2"/>
  <c r="F236" i="2"/>
  <c r="I236" i="2"/>
  <c r="O236" i="2"/>
  <c r="H236" i="2"/>
  <c r="G236" i="2"/>
  <c r="N236" i="2"/>
  <c r="L236" i="2"/>
  <c r="R375" i="2"/>
  <c r="H375" i="2"/>
  <c r="F375" i="2"/>
  <c r="I375" i="2"/>
  <c r="L375" i="2"/>
  <c r="N375" i="2"/>
  <c r="M375" i="2"/>
  <c r="S375" i="2"/>
  <c r="G375" i="2"/>
  <c r="O375" i="2"/>
  <c r="R575" i="2"/>
  <c r="H575" i="2"/>
  <c r="F575" i="2"/>
  <c r="S575" i="2"/>
  <c r="G575" i="2"/>
  <c r="M575" i="2"/>
  <c r="L575" i="2"/>
  <c r="N575" i="2"/>
  <c r="O575" i="2"/>
  <c r="I575" i="2"/>
  <c r="H795" i="5"/>
  <c r="B795" i="5"/>
  <c r="D795" i="5"/>
  <c r="C795" i="5"/>
  <c r="G795" i="5"/>
  <c r="R328" i="2"/>
  <c r="L328" i="2"/>
  <c r="N328" i="2"/>
  <c r="I328" i="2"/>
  <c r="F328" i="2"/>
  <c r="H328" i="2"/>
  <c r="O328" i="2"/>
  <c r="S328" i="2"/>
  <c r="M328" i="2"/>
  <c r="G328" i="2"/>
  <c r="R196" i="2"/>
  <c r="L196" i="2"/>
  <c r="F196" i="2"/>
  <c r="G196" i="2"/>
  <c r="O196" i="2"/>
  <c r="N196" i="2"/>
  <c r="M196" i="2"/>
  <c r="S196" i="2"/>
  <c r="H196" i="2"/>
  <c r="I196" i="2"/>
  <c r="Q346" i="2"/>
  <c r="Q917" i="2"/>
  <c r="H327" i="5"/>
  <c r="B327" i="5"/>
  <c r="C327" i="5"/>
  <c r="G327" i="5"/>
  <c r="D327" i="5"/>
  <c r="Q670" i="2"/>
  <c r="B532" i="5"/>
  <c r="H532" i="5"/>
  <c r="C532" i="5"/>
  <c r="G532" i="5"/>
  <c r="D532" i="5"/>
  <c r="Q485" i="2"/>
  <c r="D335" i="5"/>
  <c r="C335" i="5"/>
  <c r="B335" i="5"/>
  <c r="G335" i="5"/>
  <c r="H335" i="5"/>
  <c r="B576" i="5"/>
  <c r="H576" i="5"/>
  <c r="G576" i="5"/>
  <c r="C576" i="5"/>
  <c r="D576" i="5"/>
  <c r="Q475" i="2"/>
  <c r="D871" i="5"/>
  <c r="H871" i="5"/>
  <c r="C871" i="5"/>
  <c r="G871" i="5"/>
  <c r="B871" i="5"/>
  <c r="H326" i="5"/>
  <c r="C326" i="5"/>
  <c r="B326" i="5"/>
  <c r="G326" i="5"/>
  <c r="D326" i="5"/>
  <c r="H920" i="5"/>
  <c r="C920" i="5"/>
  <c r="G920" i="5"/>
  <c r="B920" i="5"/>
  <c r="D920" i="5"/>
  <c r="G580" i="5"/>
  <c r="C580" i="5"/>
  <c r="B580" i="5"/>
  <c r="H580" i="5"/>
  <c r="D580" i="5"/>
  <c r="D917" i="5"/>
  <c r="B917" i="5"/>
  <c r="H917" i="5"/>
  <c r="C917" i="5"/>
  <c r="G917" i="5"/>
  <c r="G320" i="5"/>
  <c r="H320" i="5"/>
  <c r="D320" i="5"/>
  <c r="C320" i="5"/>
  <c r="B320" i="5"/>
  <c r="C396" i="5"/>
  <c r="H396" i="5"/>
  <c r="G396" i="5"/>
  <c r="B396" i="5"/>
  <c r="D396" i="5"/>
  <c r="H419" i="5"/>
  <c r="D419" i="5"/>
  <c r="B419" i="5"/>
  <c r="G419" i="5"/>
  <c r="C419" i="5"/>
  <c r="H739" i="5"/>
  <c r="G739" i="5"/>
  <c r="C739" i="5"/>
  <c r="B739" i="5"/>
  <c r="D739" i="5"/>
  <c r="B497" i="5"/>
  <c r="C497" i="5"/>
  <c r="D497" i="5"/>
  <c r="H497" i="5"/>
  <c r="G497" i="5"/>
  <c r="H809" i="5"/>
  <c r="B809" i="5"/>
  <c r="G809" i="5"/>
  <c r="D809" i="5"/>
  <c r="C809" i="5"/>
  <c r="B84" i="5"/>
  <c r="R540" i="2"/>
  <c r="M540" i="2"/>
  <c r="S540" i="2"/>
  <c r="H540" i="2"/>
  <c r="N540" i="2"/>
  <c r="L540" i="2"/>
  <c r="I540" i="2"/>
  <c r="F540" i="2"/>
  <c r="G540" i="2"/>
  <c r="O540" i="2"/>
  <c r="R373" i="2"/>
  <c r="N373" i="2"/>
  <c r="H373" i="2"/>
  <c r="O373" i="2"/>
  <c r="G373" i="2"/>
  <c r="I373" i="2"/>
  <c r="S373" i="2"/>
  <c r="L373" i="2"/>
  <c r="F373" i="2"/>
  <c r="M373" i="2"/>
  <c r="H623" i="5"/>
  <c r="B623" i="5"/>
  <c r="C623" i="5"/>
  <c r="D623" i="5"/>
  <c r="G623" i="5"/>
  <c r="R378" i="2"/>
  <c r="F378" i="2"/>
  <c r="N378" i="2"/>
  <c r="I378" i="2"/>
  <c r="S378" i="2"/>
  <c r="G378" i="2"/>
  <c r="H378" i="2"/>
  <c r="L378" i="2"/>
  <c r="O378" i="2"/>
  <c r="M378" i="2"/>
  <c r="R769" i="2"/>
  <c r="F769" i="2"/>
  <c r="H769" i="2"/>
  <c r="S769" i="2"/>
  <c r="O769" i="2"/>
  <c r="G769" i="2"/>
  <c r="M769" i="2"/>
  <c r="L769" i="2"/>
  <c r="N769" i="2"/>
  <c r="I769" i="2"/>
  <c r="R489" i="2"/>
  <c r="O489" i="2"/>
  <c r="S489" i="2"/>
  <c r="I489" i="2"/>
  <c r="M489" i="2"/>
  <c r="H489" i="2"/>
  <c r="F489" i="2"/>
  <c r="N489" i="2"/>
  <c r="G489" i="2"/>
  <c r="L489" i="2"/>
  <c r="R790" i="2"/>
  <c r="N790" i="2"/>
  <c r="S790" i="2"/>
  <c r="M790" i="2"/>
  <c r="G790" i="2"/>
  <c r="L790" i="2"/>
  <c r="I790" i="2"/>
  <c r="H790" i="2"/>
  <c r="F790" i="2"/>
  <c r="O790" i="2"/>
  <c r="R947" i="2"/>
  <c r="G947" i="2"/>
  <c r="N947" i="2"/>
  <c r="L947" i="2"/>
  <c r="M947" i="2"/>
  <c r="S947" i="2"/>
  <c r="I947" i="2"/>
  <c r="F947" i="2"/>
  <c r="O947" i="2"/>
  <c r="H947" i="2"/>
  <c r="R650" i="2"/>
  <c r="G650" i="2"/>
  <c r="H650" i="2"/>
  <c r="F650" i="2"/>
  <c r="N650" i="2"/>
  <c r="S650" i="2"/>
  <c r="M650" i="2"/>
  <c r="L650" i="2"/>
  <c r="I650" i="2"/>
  <c r="O650" i="2"/>
  <c r="D561" i="5"/>
  <c r="H561" i="5"/>
  <c r="B561" i="5"/>
  <c r="C561" i="5"/>
  <c r="G561" i="5"/>
  <c r="H113" i="5"/>
  <c r="C113" i="5"/>
  <c r="G113" i="5"/>
  <c r="B113" i="5"/>
  <c r="D113" i="5"/>
  <c r="R723" i="2"/>
  <c r="O723" i="2"/>
  <c r="H723" i="2"/>
  <c r="F723" i="2"/>
  <c r="L723" i="2"/>
  <c r="G723" i="2"/>
  <c r="I723" i="2"/>
  <c r="S723" i="2"/>
  <c r="M723" i="2"/>
  <c r="N723" i="2"/>
  <c r="H671" i="5"/>
  <c r="G671" i="5"/>
  <c r="D671" i="5"/>
  <c r="B671" i="5"/>
  <c r="C671" i="5"/>
  <c r="B486" i="5"/>
  <c r="G486" i="5"/>
  <c r="C486" i="5"/>
  <c r="H486" i="5"/>
  <c r="D486" i="5"/>
  <c r="R322" i="2"/>
  <c r="M322" i="2"/>
  <c r="L322" i="2"/>
  <c r="N322" i="2"/>
  <c r="I322" i="2"/>
  <c r="G322" i="2"/>
  <c r="H322" i="2"/>
  <c r="F322" i="2"/>
  <c r="O322" i="2"/>
  <c r="S322" i="2"/>
  <c r="D357" i="5"/>
  <c r="G357" i="5"/>
  <c r="B357" i="5"/>
  <c r="C357" i="5"/>
  <c r="H357" i="5"/>
  <c r="G775" i="5"/>
  <c r="D775" i="5"/>
  <c r="B775" i="5"/>
  <c r="H775" i="5"/>
  <c r="C775" i="5"/>
  <c r="H752" i="5"/>
  <c r="C752" i="5"/>
  <c r="D752" i="5"/>
  <c r="G752" i="5"/>
  <c r="B752" i="5"/>
  <c r="R927" i="2"/>
  <c r="S927" i="2"/>
  <c r="H927" i="2"/>
  <c r="I927" i="2"/>
  <c r="F927" i="2"/>
  <c r="G927" i="2"/>
  <c r="L927" i="2"/>
  <c r="M927" i="2"/>
  <c r="N927" i="2"/>
  <c r="O927" i="2"/>
  <c r="R214" i="2"/>
  <c r="F214" i="2"/>
  <c r="I214" i="2"/>
  <c r="O214" i="2"/>
  <c r="H214" i="2"/>
  <c r="S214" i="2"/>
  <c r="G214" i="2"/>
  <c r="N214" i="2"/>
  <c r="M214" i="2"/>
  <c r="L214" i="2"/>
  <c r="G485" i="5"/>
  <c r="C485" i="5"/>
  <c r="D485" i="5"/>
  <c r="B485" i="5"/>
  <c r="H485" i="5"/>
  <c r="B969" i="5"/>
  <c r="C969" i="5"/>
  <c r="D969" i="5"/>
  <c r="H969" i="5"/>
  <c r="G969" i="5"/>
  <c r="C384" i="5"/>
  <c r="G384" i="5"/>
  <c r="H384" i="5"/>
  <c r="D384" i="5"/>
  <c r="B384" i="5"/>
  <c r="H765" i="5"/>
  <c r="G765" i="5"/>
  <c r="D765" i="5"/>
  <c r="B765" i="5"/>
  <c r="C765" i="5"/>
  <c r="O70" i="2"/>
  <c r="N70" i="2"/>
  <c r="S70" i="2"/>
  <c r="M70" i="2"/>
  <c r="L70" i="2"/>
  <c r="F70" i="2"/>
  <c r="B972" i="5"/>
  <c r="C972" i="5"/>
  <c r="D972" i="5"/>
  <c r="H972" i="5"/>
  <c r="G972" i="5"/>
  <c r="D459" i="5"/>
  <c r="B459" i="5"/>
  <c r="H459" i="5"/>
  <c r="G459" i="5"/>
  <c r="C459" i="5"/>
  <c r="R175" i="2"/>
  <c r="M175" i="2"/>
  <c r="G175" i="2"/>
  <c r="O175" i="2"/>
  <c r="H175" i="2"/>
  <c r="I175" i="2"/>
  <c r="N175" i="2"/>
  <c r="F175" i="2"/>
  <c r="L175" i="2"/>
  <c r="S175" i="2"/>
  <c r="G370" i="5"/>
  <c r="H370" i="5"/>
  <c r="B370" i="5"/>
  <c r="D370" i="5"/>
  <c r="C370" i="5"/>
  <c r="D853" i="5"/>
  <c r="C853" i="5"/>
  <c r="G853" i="5"/>
  <c r="B853" i="5"/>
  <c r="H853" i="5"/>
  <c r="R617" i="2"/>
  <c r="F617" i="2"/>
  <c r="S617" i="2"/>
  <c r="I617" i="2"/>
  <c r="N617" i="2"/>
  <c r="O617" i="2"/>
  <c r="H617" i="2"/>
  <c r="L617" i="2"/>
  <c r="G617" i="2"/>
  <c r="M617" i="2"/>
  <c r="H554" i="5"/>
  <c r="C554" i="5"/>
  <c r="G554" i="5"/>
  <c r="D554" i="5"/>
  <c r="B554" i="5"/>
  <c r="R592" i="2"/>
  <c r="G592" i="2"/>
  <c r="N592" i="2"/>
  <c r="O592" i="2"/>
  <c r="L592" i="2"/>
  <c r="S592" i="2"/>
  <c r="M592" i="2"/>
  <c r="H592" i="2"/>
  <c r="I592" i="2"/>
  <c r="F592" i="2"/>
  <c r="R302" i="2"/>
  <c r="I302" i="2"/>
  <c r="G302" i="2"/>
  <c r="N302" i="2"/>
  <c r="S302" i="2"/>
  <c r="O302" i="2"/>
  <c r="H302" i="2"/>
  <c r="M302" i="2"/>
  <c r="F302" i="2"/>
  <c r="L302" i="2"/>
  <c r="R191" i="2"/>
  <c r="G191" i="2"/>
  <c r="I191" i="2"/>
  <c r="O191" i="2"/>
  <c r="H191" i="2"/>
  <c r="L191" i="2"/>
  <c r="F191" i="2"/>
  <c r="N191" i="2"/>
  <c r="S191" i="2"/>
  <c r="M191" i="2"/>
  <c r="R207" i="2"/>
  <c r="I207" i="2"/>
  <c r="G207" i="2"/>
  <c r="O207" i="2"/>
  <c r="S207" i="2"/>
  <c r="L207" i="2"/>
  <c r="F207" i="2"/>
  <c r="M207" i="2"/>
  <c r="H207" i="2"/>
  <c r="N207" i="2"/>
  <c r="B96" i="5"/>
  <c r="B55" i="5"/>
  <c r="H55" i="5"/>
  <c r="D55" i="5"/>
  <c r="C55" i="5"/>
  <c r="G55" i="5"/>
  <c r="R390" i="2"/>
  <c r="I390" i="2"/>
  <c r="O390" i="2"/>
  <c r="H390" i="2"/>
  <c r="M390" i="2"/>
  <c r="G390" i="2"/>
  <c r="L390" i="2"/>
  <c r="F390" i="2"/>
  <c r="N390" i="2"/>
  <c r="S390" i="2"/>
  <c r="B499" i="5"/>
  <c r="H499" i="5"/>
  <c r="D499" i="5"/>
  <c r="G499" i="5"/>
  <c r="C499" i="5"/>
  <c r="R116" i="2"/>
  <c r="O116" i="2"/>
  <c r="F116" i="2"/>
  <c r="H116" i="2"/>
  <c r="I116" i="2"/>
  <c r="L116" i="2"/>
  <c r="M116" i="2"/>
  <c r="S116" i="2"/>
  <c r="G116" i="2"/>
  <c r="N116" i="2"/>
  <c r="R149" i="2"/>
  <c r="L149" i="2"/>
  <c r="G149" i="2"/>
  <c r="F149" i="2"/>
  <c r="I149" i="2"/>
  <c r="S149" i="2"/>
  <c r="H149" i="2"/>
  <c r="O149" i="2"/>
  <c r="M149" i="2"/>
  <c r="N149" i="2"/>
  <c r="H715" i="5"/>
  <c r="C715" i="5"/>
  <c r="D715" i="5"/>
  <c r="B715" i="5"/>
  <c r="G715" i="5"/>
  <c r="R548" i="2"/>
  <c r="H548" i="2"/>
  <c r="L548" i="2"/>
  <c r="O548" i="2"/>
  <c r="F548" i="2"/>
  <c r="N548" i="2"/>
  <c r="I548" i="2"/>
  <c r="G548" i="2"/>
  <c r="M548" i="2"/>
  <c r="S548" i="2"/>
  <c r="R499" i="2"/>
  <c r="F499" i="2"/>
  <c r="O499" i="2"/>
  <c r="M499" i="2"/>
  <c r="I499" i="2"/>
  <c r="N499" i="2"/>
  <c r="G499" i="2"/>
  <c r="S499" i="2"/>
  <c r="H499" i="2"/>
  <c r="L499" i="2"/>
  <c r="R831" i="2"/>
  <c r="S831" i="2"/>
  <c r="F831" i="2"/>
  <c r="O831" i="2"/>
  <c r="G831" i="2"/>
  <c r="M831" i="2"/>
  <c r="L831" i="2"/>
  <c r="H831" i="2"/>
  <c r="I831" i="2"/>
  <c r="N831" i="2"/>
  <c r="R121" i="2"/>
  <c r="I121" i="2"/>
  <c r="G121" i="2"/>
  <c r="S121" i="2"/>
  <c r="L121" i="2"/>
  <c r="M121" i="2"/>
  <c r="O121" i="2"/>
  <c r="F121" i="2"/>
  <c r="N121" i="2"/>
  <c r="H121" i="2"/>
  <c r="Q562" i="2"/>
  <c r="D813" i="5"/>
  <c r="H813" i="5"/>
  <c r="G813" i="5"/>
  <c r="C813" i="5"/>
  <c r="B813" i="5"/>
  <c r="C921" i="5"/>
  <c r="D921" i="5"/>
  <c r="B921" i="5"/>
  <c r="H921" i="5"/>
  <c r="G921" i="5"/>
  <c r="R730" i="2"/>
  <c r="H730" i="2"/>
  <c r="O730" i="2"/>
  <c r="S730" i="2"/>
  <c r="F730" i="2"/>
  <c r="G730" i="2"/>
  <c r="M730" i="2"/>
  <c r="L730" i="2"/>
  <c r="N730" i="2"/>
  <c r="I730" i="2"/>
  <c r="C511" i="5"/>
  <c r="H511" i="5"/>
  <c r="D511" i="5"/>
  <c r="G511" i="5"/>
  <c r="B511" i="5"/>
  <c r="D488" i="5"/>
  <c r="C488" i="5"/>
  <c r="H488" i="5"/>
  <c r="B488" i="5"/>
  <c r="G488" i="5"/>
  <c r="G501" i="5"/>
  <c r="H501" i="5"/>
  <c r="D501" i="5"/>
  <c r="B501" i="5"/>
  <c r="C501" i="5"/>
  <c r="C421" i="5"/>
  <c r="D421" i="5"/>
  <c r="H421" i="5"/>
  <c r="G421" i="5"/>
  <c r="B421" i="5"/>
  <c r="C125" i="5"/>
  <c r="G125" i="5"/>
  <c r="D125" i="5"/>
  <c r="B125" i="5"/>
  <c r="H125" i="5"/>
  <c r="R922" i="2"/>
  <c r="M922" i="2"/>
  <c r="S922" i="2"/>
  <c r="G922" i="2"/>
  <c r="I922" i="2"/>
  <c r="L922" i="2"/>
  <c r="H922" i="2"/>
  <c r="F922" i="2"/>
  <c r="O922" i="2"/>
  <c r="N922" i="2"/>
  <c r="Q828" i="2"/>
  <c r="O83" i="2"/>
  <c r="F83" i="2"/>
  <c r="N83" i="2"/>
  <c r="L83" i="2"/>
  <c r="M83" i="2"/>
  <c r="S83" i="2"/>
  <c r="Q501" i="2"/>
  <c r="Q347" i="2"/>
  <c r="Q401" i="2"/>
  <c r="Q326" i="2"/>
  <c r="Q521" i="2"/>
  <c r="C205" i="5"/>
  <c r="H205" i="5"/>
  <c r="B205" i="5"/>
  <c r="G205" i="5"/>
  <c r="D205" i="5"/>
  <c r="H202" i="5"/>
  <c r="G202" i="5"/>
  <c r="C202" i="5"/>
  <c r="D202" i="5"/>
  <c r="B202" i="5"/>
  <c r="Q784" i="2"/>
  <c r="R955" i="2"/>
  <c r="M955" i="2"/>
  <c r="F955" i="2"/>
  <c r="H955" i="2"/>
  <c r="S955" i="2"/>
  <c r="L955" i="2"/>
  <c r="N955" i="2"/>
  <c r="I955" i="2"/>
  <c r="G955" i="2"/>
  <c r="O955" i="2"/>
  <c r="R674" i="2"/>
  <c r="I674" i="2"/>
  <c r="G674" i="2"/>
  <c r="H674" i="2"/>
  <c r="M674" i="2"/>
  <c r="L674" i="2"/>
  <c r="F674" i="2"/>
  <c r="S674" i="2"/>
  <c r="N674" i="2"/>
  <c r="O674" i="2"/>
  <c r="H880" i="5"/>
  <c r="G880" i="5"/>
  <c r="C880" i="5"/>
  <c r="D880" i="5"/>
  <c r="B880" i="5"/>
  <c r="R201" i="2"/>
  <c r="M201" i="2"/>
  <c r="F201" i="2"/>
  <c r="H201" i="2"/>
  <c r="L201" i="2"/>
  <c r="O201" i="2"/>
  <c r="G201" i="2"/>
  <c r="N201" i="2"/>
  <c r="S201" i="2"/>
  <c r="I201" i="2"/>
  <c r="R218" i="2"/>
  <c r="N218" i="2"/>
  <c r="I218" i="2"/>
  <c r="O218" i="2"/>
  <c r="H218" i="2"/>
  <c r="M218" i="2"/>
  <c r="S218" i="2"/>
  <c r="G218" i="2"/>
  <c r="L218" i="2"/>
  <c r="F218" i="2"/>
  <c r="R255" i="2"/>
  <c r="S255" i="2"/>
  <c r="N255" i="2"/>
  <c r="M255" i="2"/>
  <c r="L255" i="2"/>
  <c r="I255" i="2"/>
  <c r="H255" i="2"/>
  <c r="F255" i="2"/>
  <c r="G255" i="2"/>
  <c r="O255" i="2"/>
  <c r="Q233" i="2"/>
  <c r="Q304" i="2"/>
  <c r="Q176" i="2"/>
  <c r="Q649" i="2"/>
  <c r="Q899" i="2"/>
  <c r="Q790" i="2"/>
  <c r="G744" i="5"/>
  <c r="D744" i="5"/>
  <c r="H744" i="5"/>
  <c r="B744" i="5"/>
  <c r="C744" i="5"/>
  <c r="B985" i="5"/>
  <c r="D985" i="5"/>
  <c r="H985" i="5"/>
  <c r="C985" i="5"/>
  <c r="G985" i="5"/>
  <c r="Q667" i="2"/>
  <c r="D757" i="5"/>
  <c r="C757" i="5"/>
  <c r="G757" i="5"/>
  <c r="B757" i="5"/>
  <c r="H757" i="5"/>
  <c r="R686" i="2"/>
  <c r="N686" i="2"/>
  <c r="F686" i="2"/>
  <c r="I686" i="2"/>
  <c r="G686" i="2"/>
  <c r="S686" i="2"/>
  <c r="O686" i="2"/>
  <c r="L686" i="2"/>
  <c r="M686" i="2"/>
  <c r="H686" i="2"/>
  <c r="R320" i="2"/>
  <c r="H320" i="2"/>
  <c r="S320" i="2"/>
  <c r="M320" i="2"/>
  <c r="N320" i="2"/>
  <c r="I320" i="2"/>
  <c r="F320" i="2"/>
  <c r="G320" i="2"/>
  <c r="O320" i="2"/>
  <c r="L320" i="2"/>
  <c r="C609" i="5"/>
  <c r="B609" i="5"/>
  <c r="D609" i="5"/>
  <c r="G609" i="5"/>
  <c r="H609" i="5"/>
  <c r="R768" i="2"/>
  <c r="F768" i="2"/>
  <c r="S768" i="2"/>
  <c r="M768" i="2"/>
  <c r="O768" i="2"/>
  <c r="H768" i="2"/>
  <c r="N768" i="2"/>
  <c r="I768" i="2"/>
  <c r="L768" i="2"/>
  <c r="G768" i="2"/>
  <c r="R626" i="2"/>
  <c r="M626" i="2"/>
  <c r="O626" i="2"/>
  <c r="F626" i="2"/>
  <c r="L626" i="2"/>
  <c r="N626" i="2"/>
  <c r="I626" i="2"/>
  <c r="G626" i="2"/>
  <c r="H626" i="2"/>
  <c r="S626" i="2"/>
  <c r="Q596" i="2"/>
  <c r="Q615" i="2"/>
  <c r="D574" i="5"/>
  <c r="H574" i="5"/>
  <c r="C574" i="5"/>
  <c r="B574" i="5"/>
  <c r="G574" i="5"/>
  <c r="Q982" i="2"/>
  <c r="D277" i="5"/>
  <c r="H277" i="5"/>
  <c r="C277" i="5"/>
  <c r="G277" i="5"/>
  <c r="B277" i="5"/>
  <c r="Q844" i="2"/>
  <c r="Q855" i="2"/>
  <c r="B749" i="5"/>
  <c r="G749" i="5"/>
  <c r="H749" i="5"/>
  <c r="D749" i="5"/>
  <c r="C749" i="5"/>
  <c r="B516" i="5"/>
  <c r="G516" i="5"/>
  <c r="H516" i="5"/>
  <c r="D516" i="5"/>
  <c r="C516" i="5"/>
  <c r="Q223" i="2"/>
  <c r="B944" i="5"/>
  <c r="H944" i="5"/>
  <c r="C944" i="5"/>
  <c r="D944" i="5"/>
  <c r="G944" i="5"/>
  <c r="H213" i="5"/>
  <c r="D213" i="5"/>
  <c r="C213" i="5"/>
  <c r="B213" i="5"/>
  <c r="G213" i="5"/>
  <c r="H193" i="5"/>
  <c r="C193" i="5"/>
  <c r="G193" i="5"/>
  <c r="B193" i="5"/>
  <c r="D193" i="5"/>
  <c r="C657" i="5"/>
  <c r="B657" i="5"/>
  <c r="H657" i="5"/>
  <c r="D657" i="5"/>
  <c r="G657" i="5"/>
  <c r="H649" i="5"/>
  <c r="B649" i="5"/>
  <c r="D649" i="5"/>
  <c r="G649" i="5"/>
  <c r="C649" i="5"/>
  <c r="R315" i="2"/>
  <c r="H315" i="2"/>
  <c r="F315" i="2"/>
  <c r="L315" i="2"/>
  <c r="N315" i="2"/>
  <c r="O315" i="2"/>
  <c r="S315" i="2"/>
  <c r="G315" i="2"/>
  <c r="M315" i="2"/>
  <c r="I315" i="2"/>
  <c r="Q542" i="2"/>
  <c r="Q966" i="2"/>
  <c r="H930" i="5"/>
  <c r="B930" i="5"/>
  <c r="G930" i="5"/>
  <c r="C930" i="5"/>
  <c r="D930" i="5"/>
  <c r="Q407" i="2"/>
  <c r="H177" i="5"/>
  <c r="G177" i="5"/>
  <c r="B177" i="5"/>
  <c r="C177" i="5"/>
  <c r="D177" i="5"/>
  <c r="Q925" i="2"/>
  <c r="H758" i="5"/>
  <c r="D758" i="5"/>
  <c r="C758" i="5"/>
  <c r="B758" i="5"/>
  <c r="G758" i="5"/>
  <c r="B172" i="5"/>
  <c r="G172" i="5"/>
  <c r="D172" i="5"/>
  <c r="C172" i="5"/>
  <c r="H172" i="5"/>
  <c r="Q369" i="2"/>
  <c r="G996" i="5"/>
  <c r="B996" i="5"/>
  <c r="H996" i="5"/>
  <c r="C996" i="5"/>
  <c r="D996" i="5"/>
  <c r="B47" i="5"/>
  <c r="H747" i="5"/>
  <c r="D747" i="5"/>
  <c r="C747" i="5"/>
  <c r="G747" i="5"/>
  <c r="B747" i="5"/>
  <c r="R130" i="2"/>
  <c r="O130" i="2"/>
  <c r="N130" i="2"/>
  <c r="S130" i="2"/>
  <c r="H130" i="2"/>
  <c r="G130" i="2"/>
  <c r="M130" i="2"/>
  <c r="I130" i="2"/>
  <c r="L130" i="2"/>
  <c r="F130" i="2"/>
  <c r="O71" i="2"/>
  <c r="L71" i="2"/>
  <c r="N71" i="2"/>
  <c r="F71" i="2"/>
  <c r="S71" i="2"/>
  <c r="M71" i="2"/>
  <c r="R274" i="2"/>
  <c r="L274" i="2"/>
  <c r="I274" i="2"/>
  <c r="O274" i="2"/>
  <c r="F274" i="2"/>
  <c r="S274" i="2"/>
  <c r="H274" i="2"/>
  <c r="N274" i="2"/>
  <c r="M274" i="2"/>
  <c r="G274" i="2"/>
  <c r="B394" i="5"/>
  <c r="D394" i="5"/>
  <c r="H394" i="5"/>
  <c r="C394" i="5"/>
  <c r="G394" i="5"/>
  <c r="R492" i="2"/>
  <c r="L492" i="2"/>
  <c r="N492" i="2"/>
  <c r="G492" i="2"/>
  <c r="F492" i="2"/>
  <c r="M492" i="2"/>
  <c r="O492" i="2"/>
  <c r="S492" i="2"/>
  <c r="H492" i="2"/>
  <c r="I492" i="2"/>
  <c r="H224" i="5"/>
  <c r="B224" i="5"/>
  <c r="G224" i="5"/>
  <c r="D224" i="5"/>
  <c r="C224" i="5"/>
  <c r="N13" i="2"/>
  <c r="S13" i="2"/>
  <c r="O13" i="2"/>
  <c r="M13" i="2"/>
  <c r="L13" i="2"/>
  <c r="F13" i="2"/>
  <c r="B651" i="5"/>
  <c r="H651" i="5"/>
  <c r="D651" i="5"/>
  <c r="G651" i="5"/>
  <c r="C651" i="5"/>
  <c r="B705" i="5"/>
  <c r="G705" i="5"/>
  <c r="D705" i="5"/>
  <c r="H705" i="5"/>
  <c r="C705" i="5"/>
  <c r="R475" i="2"/>
  <c r="G475" i="2"/>
  <c r="M475" i="2"/>
  <c r="F475" i="2"/>
  <c r="N475" i="2"/>
  <c r="H475" i="2"/>
  <c r="S475" i="2"/>
  <c r="I475" i="2"/>
  <c r="O475" i="2"/>
  <c r="L475" i="2"/>
  <c r="R426" i="2"/>
  <c r="H426" i="2"/>
  <c r="O426" i="2"/>
  <c r="G426" i="2"/>
  <c r="N426" i="2"/>
  <c r="F426" i="2"/>
  <c r="I426" i="2"/>
  <c r="L426" i="2"/>
  <c r="M426" i="2"/>
  <c r="S426" i="2"/>
  <c r="N44" i="2"/>
  <c r="F44" i="2"/>
  <c r="S44" i="2"/>
  <c r="O44" i="2"/>
  <c r="L44" i="2"/>
  <c r="M44" i="2"/>
  <c r="G512" i="5"/>
  <c r="D512" i="5"/>
  <c r="B512" i="5"/>
  <c r="C512" i="5"/>
  <c r="H512" i="5"/>
  <c r="R473" i="2"/>
  <c r="O473" i="2"/>
  <c r="G473" i="2"/>
  <c r="I473" i="2"/>
  <c r="S473" i="2"/>
  <c r="L473" i="2"/>
  <c r="N473" i="2"/>
  <c r="F473" i="2"/>
  <c r="H473" i="2"/>
  <c r="M473" i="2"/>
  <c r="R944" i="2"/>
  <c r="L944" i="2"/>
  <c r="O944" i="2"/>
  <c r="H944" i="2"/>
  <c r="I944" i="2"/>
  <c r="G944" i="2"/>
  <c r="F944" i="2"/>
  <c r="S944" i="2"/>
  <c r="N944" i="2"/>
  <c r="M944" i="2"/>
  <c r="R308" i="2"/>
  <c r="O308" i="2"/>
  <c r="M308" i="2"/>
  <c r="F308" i="2"/>
  <c r="N308" i="2"/>
  <c r="I308" i="2"/>
  <c r="G308" i="2"/>
  <c r="L308" i="2"/>
  <c r="H308" i="2"/>
  <c r="S308" i="2"/>
  <c r="R350" i="2"/>
  <c r="S350" i="2"/>
  <c r="F350" i="2"/>
  <c r="I350" i="2"/>
  <c r="G350" i="2"/>
  <c r="H350" i="2"/>
  <c r="N350" i="2"/>
  <c r="L350" i="2"/>
  <c r="M350" i="2"/>
  <c r="O350" i="2"/>
  <c r="R135" i="2"/>
  <c r="F135" i="2"/>
  <c r="G135" i="2"/>
  <c r="M135" i="2"/>
  <c r="N135" i="2"/>
  <c r="I135" i="2"/>
  <c r="H135" i="2"/>
  <c r="L135" i="2"/>
  <c r="O135" i="2"/>
  <c r="S135" i="2"/>
  <c r="R477" i="2"/>
  <c r="G477" i="2"/>
  <c r="L477" i="2"/>
  <c r="S477" i="2"/>
  <c r="M477" i="2"/>
  <c r="H477" i="2"/>
  <c r="F477" i="2"/>
  <c r="O477" i="2"/>
  <c r="I477" i="2"/>
  <c r="N477" i="2"/>
  <c r="D771" i="5"/>
  <c r="B771" i="5"/>
  <c r="G771" i="5"/>
  <c r="H771" i="5"/>
  <c r="C771" i="5"/>
  <c r="R841" i="2"/>
  <c r="G841" i="2"/>
  <c r="S841" i="2"/>
  <c r="F841" i="2"/>
  <c r="H841" i="2"/>
  <c r="I841" i="2"/>
  <c r="L841" i="2"/>
  <c r="N841" i="2"/>
  <c r="O841" i="2"/>
  <c r="M841" i="2"/>
  <c r="G423" i="5"/>
  <c r="B423" i="5"/>
  <c r="D423" i="5"/>
  <c r="C423" i="5"/>
  <c r="H423" i="5"/>
  <c r="G524" i="5"/>
  <c r="D524" i="5"/>
  <c r="C524" i="5"/>
  <c r="H524" i="5"/>
  <c r="B524" i="5"/>
  <c r="R978" i="2"/>
  <c r="I978" i="2"/>
  <c r="G978" i="2"/>
  <c r="L978" i="2"/>
  <c r="M978" i="2"/>
  <c r="S978" i="2"/>
  <c r="O978" i="2"/>
  <c r="N978" i="2"/>
  <c r="F978" i="2"/>
  <c r="H978" i="2"/>
  <c r="G449" i="5"/>
  <c r="D449" i="5"/>
  <c r="C449" i="5"/>
  <c r="H449" i="5"/>
  <c r="B449" i="5"/>
  <c r="G341" i="5"/>
  <c r="C341" i="5"/>
  <c r="B341" i="5"/>
  <c r="D341" i="5"/>
  <c r="H341" i="5"/>
  <c r="R257" i="2"/>
  <c r="M257" i="2"/>
  <c r="H257" i="2"/>
  <c r="F257" i="2"/>
  <c r="O257" i="2"/>
  <c r="I257" i="2"/>
  <c r="S257" i="2"/>
  <c r="L257" i="2"/>
  <c r="G257" i="2"/>
  <c r="N257" i="2"/>
  <c r="R718" i="2"/>
  <c r="S718" i="2"/>
  <c r="G718" i="2"/>
  <c r="F718" i="2"/>
  <c r="L718" i="2"/>
  <c r="H718" i="2"/>
  <c r="I718" i="2"/>
  <c r="N718" i="2"/>
  <c r="O718" i="2"/>
  <c r="M718" i="2"/>
  <c r="D134" i="5"/>
  <c r="G134" i="5"/>
  <c r="C134" i="5"/>
  <c r="H134" i="5"/>
  <c r="B134" i="5"/>
  <c r="C463" i="5"/>
  <c r="D463" i="5"/>
  <c r="H463" i="5"/>
  <c r="B463" i="5"/>
  <c r="G463" i="5"/>
  <c r="R412" i="2"/>
  <c r="M412" i="2"/>
  <c r="N412" i="2"/>
  <c r="I412" i="2"/>
  <c r="S412" i="2"/>
  <c r="H412" i="2"/>
  <c r="O412" i="2"/>
  <c r="G412" i="2"/>
  <c r="L412" i="2"/>
  <c r="F412" i="2"/>
  <c r="H123" i="5"/>
  <c r="G123" i="5"/>
  <c r="B123" i="5"/>
  <c r="D123" i="5"/>
  <c r="C123" i="5"/>
  <c r="C686" i="5"/>
  <c r="G686" i="5"/>
  <c r="B686" i="5"/>
  <c r="D686" i="5"/>
  <c r="H686" i="5"/>
  <c r="R798" i="2"/>
  <c r="O798" i="2"/>
  <c r="I798" i="2"/>
  <c r="F798" i="2"/>
  <c r="N798" i="2"/>
  <c r="M798" i="2"/>
  <c r="S798" i="2"/>
  <c r="G798" i="2"/>
  <c r="H798" i="2"/>
  <c r="L798" i="2"/>
  <c r="G848" i="5"/>
  <c r="D848" i="5"/>
  <c r="C848" i="5"/>
  <c r="B848" i="5"/>
  <c r="H848" i="5"/>
  <c r="G889" i="5"/>
  <c r="H889" i="5"/>
  <c r="C889" i="5"/>
  <c r="B889" i="5"/>
  <c r="D889" i="5"/>
  <c r="R493" i="2"/>
  <c r="G493" i="2"/>
  <c r="I493" i="2"/>
  <c r="F493" i="2"/>
  <c r="L493" i="2"/>
  <c r="O493" i="2"/>
  <c r="N493" i="2"/>
  <c r="S493" i="2"/>
  <c r="H493" i="2"/>
  <c r="M493" i="2"/>
  <c r="R212" i="2"/>
  <c r="M212" i="2"/>
  <c r="O212" i="2"/>
  <c r="H212" i="2"/>
  <c r="L212" i="2"/>
  <c r="N212" i="2"/>
  <c r="F212" i="2"/>
  <c r="S212" i="2"/>
  <c r="G212" i="2"/>
  <c r="I212" i="2"/>
  <c r="R247" i="2"/>
  <c r="M247" i="2"/>
  <c r="I247" i="2"/>
  <c r="G247" i="2"/>
  <c r="N247" i="2"/>
  <c r="S247" i="2"/>
  <c r="O247" i="2"/>
  <c r="H247" i="2"/>
  <c r="F247" i="2"/>
  <c r="L247" i="2"/>
  <c r="H1001" i="5"/>
  <c r="B1001" i="5"/>
  <c r="G1001" i="5"/>
  <c r="C1001" i="5"/>
  <c r="D1001" i="5"/>
  <c r="D612" i="5"/>
  <c r="G612" i="5"/>
  <c r="H612" i="5"/>
  <c r="C612" i="5"/>
  <c r="B612" i="5"/>
  <c r="B904" i="5"/>
  <c r="G904" i="5"/>
  <c r="D904" i="5"/>
  <c r="C904" i="5"/>
  <c r="H904" i="5"/>
  <c r="B923" i="5"/>
  <c r="C923" i="5"/>
  <c r="G923" i="5"/>
  <c r="H923" i="5"/>
  <c r="D923" i="5"/>
  <c r="R453" i="2"/>
  <c r="I453" i="2"/>
  <c r="L453" i="2"/>
  <c r="F453" i="2"/>
  <c r="O453" i="2"/>
  <c r="G453" i="2"/>
  <c r="M453" i="2"/>
  <c r="N453" i="2"/>
  <c r="S453" i="2"/>
  <c r="H453" i="2"/>
  <c r="H737" i="5"/>
  <c r="D737" i="5"/>
  <c r="B737" i="5"/>
  <c r="C737" i="5"/>
  <c r="G737" i="5"/>
  <c r="R346" i="2"/>
  <c r="F346" i="2"/>
  <c r="M346" i="2"/>
  <c r="L346" i="2"/>
  <c r="H346" i="2"/>
  <c r="G346" i="2"/>
  <c r="N346" i="2"/>
  <c r="O346" i="2"/>
  <c r="S346" i="2"/>
  <c r="I346" i="2"/>
  <c r="D124" i="5"/>
  <c r="B124" i="5"/>
  <c r="G124" i="5"/>
  <c r="C124" i="5"/>
  <c r="H124" i="5"/>
  <c r="D981" i="5"/>
  <c r="C981" i="5"/>
  <c r="B981" i="5"/>
  <c r="H981" i="5"/>
  <c r="G981" i="5"/>
  <c r="R582" i="2"/>
  <c r="L582" i="2"/>
  <c r="H582" i="2"/>
  <c r="O582" i="2"/>
  <c r="N582" i="2"/>
  <c r="F582" i="2"/>
  <c r="S582" i="2"/>
  <c r="G582" i="2"/>
  <c r="M582" i="2"/>
  <c r="I582" i="2"/>
  <c r="C469" i="5"/>
  <c r="B469" i="5"/>
  <c r="H469" i="5"/>
  <c r="D469" i="5"/>
  <c r="G469" i="5"/>
  <c r="R414" i="2"/>
  <c r="I414" i="2"/>
  <c r="M414" i="2"/>
  <c r="L414" i="2"/>
  <c r="F414" i="2"/>
  <c r="O414" i="2"/>
  <c r="G414" i="2"/>
  <c r="N414" i="2"/>
  <c r="S414" i="2"/>
  <c r="H414" i="2"/>
  <c r="R938" i="2"/>
  <c r="H938" i="2"/>
  <c r="S938" i="2"/>
  <c r="I938" i="2"/>
  <c r="L938" i="2"/>
  <c r="N938" i="2"/>
  <c r="O938" i="2"/>
  <c r="M938" i="2"/>
  <c r="G938" i="2"/>
  <c r="F938" i="2"/>
  <c r="R765" i="2"/>
  <c r="H765" i="2"/>
  <c r="G765" i="2"/>
  <c r="M765" i="2"/>
  <c r="O765" i="2"/>
  <c r="F765" i="2"/>
  <c r="N765" i="2"/>
  <c r="L765" i="2"/>
  <c r="I765" i="2"/>
  <c r="S765" i="2"/>
  <c r="R563" i="2"/>
  <c r="F563" i="2"/>
  <c r="H563" i="2"/>
  <c r="I563" i="2"/>
  <c r="G563" i="2"/>
  <c r="L563" i="2"/>
  <c r="O563" i="2"/>
  <c r="S563" i="2"/>
  <c r="N563" i="2"/>
  <c r="M563" i="2"/>
  <c r="R545" i="2"/>
  <c r="I545" i="2"/>
  <c r="S545" i="2"/>
  <c r="H545" i="2"/>
  <c r="O545" i="2"/>
  <c r="G545" i="2"/>
  <c r="F545" i="2"/>
  <c r="L545" i="2"/>
  <c r="M545" i="2"/>
  <c r="N545" i="2"/>
  <c r="R99" i="2"/>
  <c r="G99" i="2"/>
  <c r="N99" i="2"/>
  <c r="O99" i="2"/>
  <c r="L99" i="2"/>
  <c r="F99" i="2"/>
  <c r="I99" i="2"/>
  <c r="H99" i="2"/>
  <c r="S99" i="2"/>
  <c r="M99" i="2"/>
  <c r="Q117" i="2"/>
  <c r="B376" i="5"/>
  <c r="C376" i="5"/>
  <c r="G376" i="5"/>
  <c r="D376" i="5"/>
  <c r="H376" i="5"/>
  <c r="H340" i="5"/>
  <c r="B340" i="5"/>
  <c r="C340" i="5"/>
  <c r="D340" i="5"/>
  <c r="G340" i="5"/>
  <c r="G604" i="5"/>
  <c r="H604" i="5"/>
  <c r="D604" i="5"/>
  <c r="C604" i="5"/>
  <c r="B604" i="5"/>
  <c r="R874" i="2"/>
  <c r="S874" i="2"/>
  <c r="F874" i="2"/>
  <c r="H874" i="2"/>
  <c r="I874" i="2"/>
  <c r="M874" i="2"/>
  <c r="N874" i="2"/>
  <c r="L874" i="2"/>
  <c r="O874" i="2"/>
  <c r="G874" i="2"/>
  <c r="H518" i="5"/>
  <c r="G518" i="5"/>
  <c r="D518" i="5"/>
  <c r="C518" i="5"/>
  <c r="B518" i="5"/>
  <c r="R787" i="2"/>
  <c r="O787" i="2"/>
  <c r="H787" i="2"/>
  <c r="L787" i="2"/>
  <c r="F787" i="2"/>
  <c r="N787" i="2"/>
  <c r="M787" i="2"/>
  <c r="G787" i="2"/>
  <c r="I787" i="2"/>
  <c r="S787" i="2"/>
  <c r="N65" i="2"/>
  <c r="O65" i="2"/>
  <c r="L65" i="2"/>
  <c r="M65" i="2"/>
  <c r="F65" i="2"/>
  <c r="S65" i="2"/>
  <c r="S46" i="2"/>
  <c r="F46" i="2"/>
  <c r="N46" i="2"/>
  <c r="M46" i="2"/>
  <c r="L46" i="2"/>
  <c r="O46" i="2"/>
  <c r="Q446" i="2"/>
  <c r="Q598" i="2"/>
  <c r="Q994" i="2"/>
  <c r="Q278" i="2"/>
  <c r="Q409" i="2"/>
  <c r="Q100" i="2"/>
  <c r="Q255" i="2"/>
  <c r="H691" i="5"/>
  <c r="D691" i="5"/>
  <c r="G691" i="5"/>
  <c r="C691" i="5"/>
  <c r="B691" i="5"/>
  <c r="C722" i="5"/>
  <c r="G722" i="5"/>
  <c r="D722" i="5"/>
  <c r="H722" i="5"/>
  <c r="B722" i="5"/>
  <c r="G258" i="5"/>
  <c r="H258" i="5"/>
  <c r="C258" i="5"/>
  <c r="D258" i="5"/>
  <c r="B258" i="5"/>
  <c r="B866" i="5"/>
  <c r="H866" i="5"/>
  <c r="G866" i="5"/>
  <c r="C866" i="5"/>
  <c r="D866" i="5"/>
  <c r="R741" i="2"/>
  <c r="L741" i="2"/>
  <c r="H741" i="2"/>
  <c r="M741" i="2"/>
  <c r="F741" i="2"/>
  <c r="G741" i="2"/>
  <c r="N741" i="2"/>
  <c r="I741" i="2"/>
  <c r="S741" i="2"/>
  <c r="O741" i="2"/>
  <c r="R439" i="2"/>
  <c r="O439" i="2"/>
  <c r="F439" i="2"/>
  <c r="I439" i="2"/>
  <c r="L439" i="2"/>
  <c r="S439" i="2"/>
  <c r="N439" i="2"/>
  <c r="G439" i="2"/>
  <c r="M439" i="2"/>
  <c r="H439" i="2"/>
  <c r="B39" i="5"/>
  <c r="R430" i="2"/>
  <c r="O430" i="2"/>
  <c r="N430" i="2"/>
  <c r="F430" i="2"/>
  <c r="M430" i="2"/>
  <c r="L430" i="2"/>
  <c r="S430" i="2"/>
  <c r="I430" i="2"/>
  <c r="H430" i="2"/>
  <c r="G430" i="2"/>
  <c r="G772" i="5"/>
  <c r="H772" i="5"/>
  <c r="D772" i="5"/>
  <c r="B772" i="5"/>
  <c r="C772" i="5"/>
  <c r="Q999" i="2"/>
  <c r="B60" i="5"/>
  <c r="D810" i="5"/>
  <c r="H810" i="5"/>
  <c r="B810" i="5"/>
  <c r="G810" i="5"/>
  <c r="C810" i="5"/>
  <c r="Q264" i="2"/>
  <c r="H321" i="5"/>
  <c r="C321" i="5"/>
  <c r="B321" i="5"/>
  <c r="G321" i="5"/>
  <c r="D321" i="5"/>
  <c r="Q320" i="2"/>
  <c r="D704" i="5"/>
  <c r="B704" i="5"/>
  <c r="C704" i="5"/>
  <c r="H704" i="5"/>
  <c r="G704" i="5"/>
  <c r="C767" i="5"/>
  <c r="H767" i="5"/>
  <c r="G767" i="5"/>
  <c r="D767" i="5"/>
  <c r="B767" i="5"/>
  <c r="Q208" i="2"/>
  <c r="G846" i="5"/>
  <c r="B846" i="5"/>
  <c r="D846" i="5"/>
  <c r="C846" i="5"/>
  <c r="H846" i="5"/>
  <c r="B77" i="5"/>
  <c r="R163" i="2"/>
  <c r="H163" i="2"/>
  <c r="F163" i="2"/>
  <c r="L163" i="2"/>
  <c r="N163" i="2"/>
  <c r="S163" i="2"/>
  <c r="I163" i="2"/>
  <c r="M163" i="2"/>
  <c r="O163" i="2"/>
  <c r="G163" i="2"/>
  <c r="D872" i="5"/>
  <c r="C872" i="5"/>
  <c r="B872" i="5"/>
  <c r="H872" i="5"/>
  <c r="G872" i="5"/>
  <c r="R368" i="2"/>
  <c r="G368" i="2"/>
  <c r="S368" i="2"/>
  <c r="L368" i="2"/>
  <c r="O368" i="2"/>
  <c r="I368" i="2"/>
  <c r="M368" i="2"/>
  <c r="F368" i="2"/>
  <c r="H368" i="2"/>
  <c r="N368" i="2"/>
  <c r="C959" i="5"/>
  <c r="H959" i="5"/>
  <c r="G959" i="5"/>
  <c r="B959" i="5"/>
  <c r="D959" i="5"/>
  <c r="Q810" i="2"/>
  <c r="Q149" i="2"/>
  <c r="C906" i="5"/>
  <c r="G906" i="5"/>
  <c r="D906" i="5"/>
  <c r="B906" i="5"/>
  <c r="H906" i="5"/>
  <c r="G228" i="5"/>
  <c r="H228" i="5"/>
  <c r="C228" i="5"/>
  <c r="D228" i="5"/>
  <c r="B228" i="5"/>
  <c r="C212" i="5"/>
  <c r="H212" i="5"/>
  <c r="D212" i="5"/>
  <c r="G212" i="5"/>
  <c r="B212" i="5"/>
  <c r="Q693" i="2"/>
  <c r="Q577" i="2"/>
  <c r="D986" i="5"/>
  <c r="G986" i="5"/>
  <c r="H986" i="5"/>
  <c r="C986" i="5"/>
  <c r="B986" i="5"/>
  <c r="B332" i="5"/>
  <c r="D332" i="5"/>
  <c r="H332" i="5"/>
  <c r="C332" i="5"/>
  <c r="G332" i="5"/>
  <c r="Q946" i="2"/>
  <c r="C976" i="5"/>
  <c r="B976" i="5"/>
  <c r="G976" i="5"/>
  <c r="H976" i="5"/>
  <c r="D976" i="5"/>
  <c r="B198" i="5"/>
  <c r="G198" i="5"/>
  <c r="C198" i="5"/>
  <c r="H198" i="5"/>
  <c r="D198" i="5"/>
  <c r="D247" i="5"/>
  <c r="C247" i="5"/>
  <c r="B247" i="5"/>
  <c r="H247" i="5"/>
  <c r="G247" i="5"/>
  <c r="H680" i="5"/>
  <c r="B680" i="5"/>
  <c r="D680" i="5"/>
  <c r="C680" i="5"/>
  <c r="G680" i="5"/>
  <c r="R968" i="2"/>
  <c r="N968" i="2"/>
  <c r="G968" i="2"/>
  <c r="F968" i="2"/>
  <c r="M968" i="2"/>
  <c r="H968" i="2"/>
  <c r="I968" i="2"/>
  <c r="L968" i="2"/>
  <c r="S968" i="2"/>
  <c r="O968" i="2"/>
  <c r="Q737" i="2"/>
  <c r="Q242" i="2"/>
  <c r="B975" i="5"/>
  <c r="G975" i="5"/>
  <c r="C975" i="5"/>
  <c r="D975" i="5"/>
  <c r="H975" i="5"/>
  <c r="Q834" i="2"/>
  <c r="B630" i="5"/>
  <c r="H630" i="5"/>
  <c r="G630" i="5"/>
  <c r="C630" i="5"/>
  <c r="D630" i="5"/>
  <c r="C998" i="5"/>
  <c r="H998" i="5"/>
  <c r="B998" i="5"/>
  <c r="D998" i="5"/>
  <c r="G998" i="5"/>
  <c r="Q874" i="2"/>
  <c r="D358" i="5"/>
  <c r="H358" i="5"/>
  <c r="G358" i="5"/>
  <c r="C358" i="5"/>
  <c r="B358" i="5"/>
  <c r="R162" i="2"/>
  <c r="L162" i="2"/>
  <c r="M162" i="2"/>
  <c r="F162" i="2"/>
  <c r="S162" i="2"/>
  <c r="I162" i="2"/>
  <c r="G162" i="2"/>
  <c r="N162" i="2"/>
  <c r="H162" i="2"/>
  <c r="O162" i="2"/>
  <c r="B569" i="5"/>
  <c r="H569" i="5"/>
  <c r="G569" i="5"/>
  <c r="C569" i="5"/>
  <c r="D569" i="5"/>
  <c r="L59" i="2"/>
  <c r="F59" i="2"/>
  <c r="S59" i="2"/>
  <c r="O59" i="2"/>
  <c r="N59" i="2"/>
  <c r="M59" i="2"/>
  <c r="R971" i="2"/>
  <c r="N971" i="2"/>
  <c r="M971" i="2"/>
  <c r="G971" i="2"/>
  <c r="L971" i="2"/>
  <c r="O971" i="2"/>
  <c r="H971" i="2"/>
  <c r="I971" i="2"/>
  <c r="F971" i="2"/>
  <c r="S971" i="2"/>
  <c r="B937" i="5"/>
  <c r="H937" i="5"/>
  <c r="D937" i="5"/>
  <c r="G937" i="5"/>
  <c r="C937" i="5"/>
  <c r="R956" i="2"/>
  <c r="I956" i="2"/>
  <c r="L956" i="2"/>
  <c r="G956" i="2"/>
  <c r="M956" i="2"/>
  <c r="O956" i="2"/>
  <c r="S956" i="2"/>
  <c r="H956" i="2"/>
  <c r="N956" i="2"/>
  <c r="F956" i="2"/>
  <c r="H309" i="5"/>
  <c r="B309" i="5"/>
  <c r="G309" i="5"/>
  <c r="D309" i="5"/>
  <c r="C309" i="5"/>
  <c r="C420" i="5"/>
  <c r="D420" i="5"/>
  <c r="H420" i="5"/>
  <c r="G420" i="5"/>
  <c r="B420" i="5"/>
  <c r="D464" i="5"/>
  <c r="B464" i="5"/>
  <c r="G464" i="5"/>
  <c r="C464" i="5"/>
  <c r="H464" i="5"/>
  <c r="H668" i="5"/>
  <c r="G668" i="5"/>
  <c r="B668" i="5"/>
  <c r="C668" i="5"/>
  <c r="D668" i="5"/>
  <c r="C646" i="5"/>
  <c r="B646" i="5"/>
  <c r="D646" i="5"/>
  <c r="G646" i="5"/>
  <c r="H646" i="5"/>
  <c r="R788" i="2"/>
  <c r="N788" i="2"/>
  <c r="M788" i="2"/>
  <c r="S788" i="2"/>
  <c r="G788" i="2"/>
  <c r="F788" i="2"/>
  <c r="H788" i="2"/>
  <c r="O788" i="2"/>
  <c r="L788" i="2"/>
  <c r="I788" i="2"/>
  <c r="B71" i="5"/>
  <c r="B638" i="5"/>
  <c r="G638" i="5"/>
  <c r="D638" i="5"/>
  <c r="H638" i="5"/>
  <c r="C638" i="5"/>
  <c r="R866" i="2"/>
  <c r="G866" i="2"/>
  <c r="O866" i="2"/>
  <c r="I866" i="2"/>
  <c r="S866" i="2"/>
  <c r="H866" i="2"/>
  <c r="M866" i="2"/>
  <c r="N866" i="2"/>
  <c r="L866" i="2"/>
  <c r="F866" i="2"/>
  <c r="B811" i="5"/>
  <c r="C811" i="5"/>
  <c r="G811" i="5"/>
  <c r="D811" i="5"/>
  <c r="H811" i="5"/>
  <c r="M66" i="2"/>
  <c r="F66" i="2"/>
  <c r="L66" i="2"/>
  <c r="S66" i="2"/>
  <c r="O66" i="2"/>
  <c r="N66" i="2"/>
  <c r="C824" i="5"/>
  <c r="G824" i="5"/>
  <c r="D824" i="5"/>
  <c r="B824" i="5"/>
  <c r="H824" i="5"/>
  <c r="H918" i="5"/>
  <c r="C918" i="5"/>
  <c r="G918" i="5"/>
  <c r="B918" i="5"/>
  <c r="D918" i="5"/>
  <c r="R517" i="2"/>
  <c r="S517" i="2"/>
  <c r="O517" i="2"/>
  <c r="F517" i="2"/>
  <c r="H517" i="2"/>
  <c r="G517" i="2"/>
  <c r="L517" i="2"/>
  <c r="I517" i="2"/>
  <c r="M517" i="2"/>
  <c r="N517" i="2"/>
  <c r="R967" i="2"/>
  <c r="I967" i="2"/>
  <c r="S967" i="2"/>
  <c r="O967" i="2"/>
  <c r="M967" i="2"/>
  <c r="H967" i="2"/>
  <c r="L967" i="2"/>
  <c r="G967" i="2"/>
  <c r="F967" i="2"/>
  <c r="N967" i="2"/>
  <c r="R279" i="2"/>
  <c r="N279" i="2"/>
  <c r="I279" i="2"/>
  <c r="F279" i="2"/>
  <c r="S279" i="2"/>
  <c r="O279" i="2"/>
  <c r="M279" i="2"/>
  <c r="L279" i="2"/>
  <c r="H279" i="2"/>
  <c r="G279" i="2"/>
  <c r="R659" i="2"/>
  <c r="M659" i="2"/>
  <c r="G659" i="2"/>
  <c r="O659" i="2"/>
  <c r="N659" i="2"/>
  <c r="L659" i="2"/>
  <c r="S659" i="2"/>
  <c r="F659" i="2"/>
  <c r="H659" i="2"/>
  <c r="I659" i="2"/>
  <c r="H251" i="5"/>
  <c r="C251" i="5"/>
  <c r="B251" i="5"/>
  <c r="D251" i="5"/>
  <c r="G251" i="5"/>
  <c r="B492" i="5"/>
  <c r="D492" i="5"/>
  <c r="G492" i="5"/>
  <c r="H492" i="5"/>
  <c r="C492" i="5"/>
  <c r="D471" i="5"/>
  <c r="G471" i="5"/>
  <c r="H471" i="5"/>
  <c r="C471" i="5"/>
  <c r="B471" i="5"/>
  <c r="H678" i="5"/>
  <c r="G678" i="5"/>
  <c r="B678" i="5"/>
  <c r="D678" i="5"/>
  <c r="C678" i="5"/>
  <c r="D106" i="5"/>
  <c r="B106" i="5"/>
  <c r="H106" i="5"/>
  <c r="G106" i="5"/>
  <c r="C106" i="5"/>
  <c r="B11" i="5"/>
  <c r="B95" i="5"/>
  <c r="R290" i="2"/>
  <c r="O290" i="2"/>
  <c r="M290" i="2"/>
  <c r="N290" i="2"/>
  <c r="I290" i="2"/>
  <c r="G290" i="2"/>
  <c r="F290" i="2"/>
  <c r="L290" i="2"/>
  <c r="S290" i="2"/>
  <c r="H290" i="2"/>
  <c r="R862" i="2"/>
  <c r="N862" i="2"/>
  <c r="I862" i="2"/>
  <c r="G862" i="2"/>
  <c r="H862" i="2"/>
  <c r="F862" i="2"/>
  <c r="S862" i="2"/>
  <c r="M862" i="2"/>
  <c r="L862" i="2"/>
  <c r="O862" i="2"/>
  <c r="H230" i="5"/>
  <c r="B230" i="5"/>
  <c r="C230" i="5"/>
  <c r="D230" i="5"/>
  <c r="G230" i="5"/>
  <c r="B289" i="5"/>
  <c r="C289" i="5"/>
  <c r="H289" i="5"/>
  <c r="D289" i="5"/>
  <c r="G289" i="5"/>
  <c r="H674" i="5"/>
  <c r="C674" i="5"/>
  <c r="B674" i="5"/>
  <c r="G674" i="5"/>
  <c r="D674" i="5"/>
  <c r="R147" i="2"/>
  <c r="F147" i="2"/>
  <c r="H147" i="2"/>
  <c r="M147" i="2"/>
  <c r="G147" i="2"/>
  <c r="I147" i="2"/>
  <c r="N147" i="2"/>
  <c r="L147" i="2"/>
  <c r="S147" i="2"/>
  <c r="O147" i="2"/>
  <c r="B505" i="5"/>
  <c r="H505" i="5"/>
  <c r="G505" i="5"/>
  <c r="D505" i="5"/>
  <c r="C505" i="5"/>
  <c r="R490" i="2"/>
  <c r="L490" i="2"/>
  <c r="S490" i="2"/>
  <c r="G490" i="2"/>
  <c r="H490" i="2"/>
  <c r="N490" i="2"/>
  <c r="F490" i="2"/>
  <c r="M490" i="2"/>
  <c r="O490" i="2"/>
  <c r="I490" i="2"/>
  <c r="D990" i="5"/>
  <c r="B990" i="5"/>
  <c r="H990" i="5"/>
  <c r="G990" i="5"/>
  <c r="C990" i="5"/>
  <c r="H317" i="5"/>
  <c r="D317" i="5"/>
  <c r="C317" i="5"/>
  <c r="B317" i="5"/>
  <c r="G317" i="5"/>
  <c r="G590" i="5"/>
  <c r="B590" i="5"/>
  <c r="C590" i="5"/>
  <c r="H590" i="5"/>
  <c r="D590" i="5"/>
  <c r="R574" i="2"/>
  <c r="G574" i="2"/>
  <c r="M574" i="2"/>
  <c r="F574" i="2"/>
  <c r="N574" i="2"/>
  <c r="L574" i="2"/>
  <c r="I574" i="2"/>
  <c r="H574" i="2"/>
  <c r="O574" i="2"/>
  <c r="S574" i="2"/>
  <c r="R141" i="2"/>
  <c r="N141" i="2"/>
  <c r="M141" i="2"/>
  <c r="I141" i="2"/>
  <c r="O141" i="2"/>
  <c r="L141" i="2"/>
  <c r="S141" i="2"/>
  <c r="F141" i="2"/>
  <c r="H141" i="2"/>
  <c r="G141" i="2"/>
  <c r="R608" i="2"/>
  <c r="G608" i="2"/>
  <c r="H608" i="2"/>
  <c r="S608" i="2"/>
  <c r="O608" i="2"/>
  <c r="F608" i="2"/>
  <c r="M608" i="2"/>
  <c r="N608" i="2"/>
  <c r="I608" i="2"/>
  <c r="L608" i="2"/>
  <c r="R181" i="2"/>
  <c r="N181" i="2"/>
  <c r="M181" i="2"/>
  <c r="L181" i="2"/>
  <c r="G181" i="2"/>
  <c r="I181" i="2"/>
  <c r="F181" i="2"/>
  <c r="H181" i="2"/>
  <c r="O181" i="2"/>
  <c r="S181" i="2"/>
  <c r="B973" i="5"/>
  <c r="G973" i="5"/>
  <c r="H973" i="5"/>
  <c r="C973" i="5"/>
  <c r="D973" i="5"/>
  <c r="D607" i="5"/>
  <c r="C607" i="5"/>
  <c r="B607" i="5"/>
  <c r="H607" i="5"/>
  <c r="G607" i="5"/>
  <c r="R984" i="2"/>
  <c r="G984" i="2"/>
  <c r="M984" i="2"/>
  <c r="S984" i="2"/>
  <c r="F984" i="2"/>
  <c r="H984" i="2"/>
  <c r="O984" i="2"/>
  <c r="L984" i="2"/>
  <c r="I984" i="2"/>
  <c r="N984" i="2"/>
  <c r="R586" i="2"/>
  <c r="O586" i="2"/>
  <c r="H586" i="2"/>
  <c r="S586" i="2"/>
  <c r="N586" i="2"/>
  <c r="G586" i="2"/>
  <c r="M586" i="2"/>
  <c r="I586" i="2"/>
  <c r="F586" i="2"/>
  <c r="L586" i="2"/>
  <c r="G864" i="5"/>
  <c r="B864" i="5"/>
  <c r="C864" i="5"/>
  <c r="D864" i="5"/>
  <c r="H864" i="5"/>
  <c r="R596" i="2"/>
  <c r="L596" i="2"/>
  <c r="M596" i="2"/>
  <c r="S596" i="2"/>
  <c r="F596" i="2"/>
  <c r="O596" i="2"/>
  <c r="H596" i="2"/>
  <c r="I596" i="2"/>
  <c r="N596" i="2"/>
  <c r="G596" i="2"/>
  <c r="H504" i="5"/>
  <c r="B504" i="5"/>
  <c r="G504" i="5"/>
  <c r="C504" i="5"/>
  <c r="D504" i="5"/>
  <c r="R177" i="2"/>
  <c r="S177" i="2"/>
  <c r="N177" i="2"/>
  <c r="I177" i="2"/>
  <c r="M177" i="2"/>
  <c r="L177" i="2"/>
  <c r="G177" i="2"/>
  <c r="H177" i="2"/>
  <c r="F177" i="2"/>
  <c r="O177" i="2"/>
  <c r="H755" i="5"/>
  <c r="G755" i="5"/>
  <c r="C755" i="5"/>
  <c r="D755" i="5"/>
  <c r="B755" i="5"/>
  <c r="R720" i="2"/>
  <c r="F720" i="2"/>
  <c r="N720" i="2"/>
  <c r="L720" i="2"/>
  <c r="O720" i="2"/>
  <c r="H720" i="2"/>
  <c r="S720" i="2"/>
  <c r="I720" i="2"/>
  <c r="G720" i="2"/>
  <c r="M720" i="2"/>
  <c r="R258" i="2"/>
  <c r="H258" i="2"/>
  <c r="M258" i="2"/>
  <c r="I258" i="2"/>
  <c r="S258" i="2"/>
  <c r="F258" i="2"/>
  <c r="N258" i="2"/>
  <c r="G258" i="2"/>
  <c r="L258" i="2"/>
  <c r="O258" i="2"/>
  <c r="R829" i="2"/>
  <c r="H829" i="2"/>
  <c r="I829" i="2"/>
  <c r="M829" i="2"/>
  <c r="O829" i="2"/>
  <c r="F829" i="2"/>
  <c r="S829" i="2"/>
  <c r="L829" i="2"/>
  <c r="N829" i="2"/>
  <c r="G829" i="2"/>
  <c r="R513" i="2"/>
  <c r="N513" i="2"/>
  <c r="O513" i="2"/>
  <c r="H513" i="2"/>
  <c r="I513" i="2"/>
  <c r="M513" i="2"/>
  <c r="G513" i="2"/>
  <c r="S513" i="2"/>
  <c r="L513" i="2"/>
  <c r="F513" i="2"/>
  <c r="R442" i="2"/>
  <c r="N442" i="2"/>
  <c r="S442" i="2"/>
  <c r="L442" i="2"/>
  <c r="F442" i="2"/>
  <c r="G442" i="2"/>
  <c r="O442" i="2"/>
  <c r="I442" i="2"/>
  <c r="M442" i="2"/>
  <c r="H442" i="2"/>
  <c r="M52" i="2"/>
  <c r="O52" i="2"/>
  <c r="S52" i="2"/>
  <c r="F52" i="2"/>
  <c r="N52" i="2"/>
  <c r="L52" i="2"/>
  <c r="Q808" i="2"/>
  <c r="D888" i="5"/>
  <c r="G888" i="5"/>
  <c r="C888" i="5"/>
  <c r="H888" i="5"/>
  <c r="B888" i="5"/>
  <c r="G416" i="5"/>
  <c r="B416" i="5"/>
  <c r="C416" i="5"/>
  <c r="H416" i="5"/>
  <c r="D416" i="5"/>
  <c r="Q194" i="2"/>
  <c r="C784" i="5"/>
  <c r="D784" i="5"/>
  <c r="H784" i="5"/>
  <c r="B784" i="5"/>
  <c r="G784" i="5"/>
  <c r="N37" i="2"/>
  <c r="L37" i="2"/>
  <c r="F37" i="2"/>
  <c r="S37" i="2"/>
  <c r="M37" i="2"/>
  <c r="O37" i="2"/>
  <c r="R933" i="2"/>
  <c r="F933" i="2"/>
  <c r="I933" i="2"/>
  <c r="S933" i="2"/>
  <c r="M933" i="2"/>
  <c r="O933" i="2"/>
  <c r="N933" i="2"/>
  <c r="L933" i="2"/>
  <c r="H933" i="2"/>
  <c r="G933" i="2"/>
  <c r="B676" i="5"/>
  <c r="D676" i="5"/>
  <c r="C676" i="5"/>
  <c r="H676" i="5"/>
  <c r="G676" i="5"/>
  <c r="R559" i="2"/>
  <c r="S559" i="2"/>
  <c r="H559" i="2"/>
  <c r="G559" i="2"/>
  <c r="O559" i="2"/>
  <c r="I559" i="2"/>
  <c r="M559" i="2"/>
  <c r="F559" i="2"/>
  <c r="L559" i="2"/>
  <c r="N559" i="2"/>
  <c r="D779" i="5"/>
  <c r="C779" i="5"/>
  <c r="B779" i="5"/>
  <c r="G779" i="5"/>
  <c r="H779" i="5"/>
  <c r="Q660" i="2"/>
  <c r="C116" i="5"/>
  <c r="B116" i="5"/>
  <c r="H116" i="5"/>
  <c r="G116" i="5"/>
  <c r="D116" i="5"/>
  <c r="C105" i="5"/>
  <c r="D105" i="5"/>
  <c r="G105" i="5"/>
  <c r="H105" i="5"/>
  <c r="B105" i="5"/>
  <c r="Q910" i="2"/>
  <c r="B143" i="5"/>
  <c r="H143" i="5"/>
  <c r="D143" i="5"/>
  <c r="C143" i="5"/>
  <c r="G143" i="5"/>
  <c r="H115" i="5"/>
  <c r="G115" i="5"/>
  <c r="C115" i="5"/>
  <c r="B115" i="5"/>
  <c r="D115" i="5"/>
  <c r="Q142" i="2"/>
  <c r="H214" i="5"/>
  <c r="B214" i="5"/>
  <c r="G214" i="5"/>
  <c r="D214" i="5"/>
  <c r="C214" i="5"/>
  <c r="B58" i="5"/>
  <c r="Q614" i="2"/>
  <c r="D946" i="5"/>
  <c r="C946" i="5"/>
  <c r="H946" i="5"/>
  <c r="G946" i="5"/>
  <c r="B946" i="5"/>
  <c r="B70" i="5"/>
  <c r="G952" i="5"/>
  <c r="H952" i="5"/>
  <c r="D952" i="5"/>
  <c r="B952" i="5"/>
  <c r="C952" i="5"/>
  <c r="H598" i="5"/>
  <c r="C598" i="5"/>
  <c r="D598" i="5"/>
  <c r="B598" i="5"/>
  <c r="G598" i="5"/>
  <c r="R981" i="2"/>
  <c r="O981" i="2"/>
  <c r="F981" i="2"/>
  <c r="S981" i="2"/>
  <c r="G981" i="2"/>
  <c r="M981" i="2"/>
  <c r="I981" i="2"/>
  <c r="L981" i="2"/>
  <c r="N981" i="2"/>
  <c r="H981" i="2"/>
  <c r="G436" i="5"/>
  <c r="H436" i="5"/>
  <c r="C436" i="5"/>
  <c r="D436" i="5"/>
  <c r="B436" i="5"/>
  <c r="Q234" i="2"/>
  <c r="Q479" i="2"/>
  <c r="H851" i="5"/>
  <c r="G851" i="5"/>
  <c r="D851" i="5"/>
  <c r="B851" i="5"/>
  <c r="C851" i="5"/>
  <c r="Q360" i="2"/>
  <c r="R964" i="2"/>
  <c r="G964" i="2"/>
  <c r="L964" i="2"/>
  <c r="I964" i="2"/>
  <c r="M964" i="2"/>
  <c r="O964" i="2"/>
  <c r="H964" i="2"/>
  <c r="S964" i="2"/>
  <c r="F964" i="2"/>
  <c r="N964" i="2"/>
  <c r="B78" i="5"/>
  <c r="Q235" i="2"/>
  <c r="B804" i="5"/>
  <c r="G804" i="5"/>
  <c r="C804" i="5"/>
  <c r="H804" i="5"/>
  <c r="D804" i="5"/>
  <c r="D382" i="5"/>
  <c r="H382" i="5"/>
  <c r="B382" i="5"/>
  <c r="G382" i="5"/>
  <c r="C382" i="5"/>
  <c r="Q463" i="2"/>
  <c r="B495" i="5"/>
  <c r="G495" i="5"/>
  <c r="H495" i="5"/>
  <c r="D495" i="5"/>
  <c r="C495" i="5"/>
  <c r="F26" i="2"/>
  <c r="S26" i="2"/>
  <c r="L26" i="2"/>
  <c r="M26" i="2"/>
  <c r="N26" i="2"/>
  <c r="O26" i="2"/>
  <c r="R571" i="2"/>
  <c r="G571" i="2"/>
  <c r="F571" i="2"/>
  <c r="N571" i="2"/>
  <c r="L571" i="2"/>
  <c r="H571" i="2"/>
  <c r="M571" i="2"/>
  <c r="S571" i="2"/>
  <c r="I571" i="2"/>
  <c r="O571" i="2"/>
  <c r="H437" i="5"/>
  <c r="D437" i="5"/>
  <c r="G437" i="5"/>
  <c r="B437" i="5"/>
  <c r="C437" i="5"/>
  <c r="R393" i="2"/>
  <c r="M393" i="2"/>
  <c r="I393" i="2"/>
  <c r="F393" i="2"/>
  <c r="H393" i="2"/>
  <c r="G393" i="2"/>
  <c r="S393" i="2"/>
  <c r="N393" i="2"/>
  <c r="O393" i="2"/>
  <c r="L393" i="2"/>
  <c r="Q630" i="2"/>
  <c r="Q309" i="2"/>
  <c r="Q866" i="2"/>
  <c r="B892" i="5"/>
  <c r="H892" i="5"/>
  <c r="C892" i="5"/>
  <c r="D892" i="5"/>
  <c r="G892" i="5"/>
  <c r="Q225" i="2"/>
  <c r="B380" i="5"/>
  <c r="D380" i="5"/>
  <c r="C380" i="5"/>
  <c r="G380" i="5"/>
  <c r="H380" i="5"/>
  <c r="H633" i="5"/>
  <c r="D633" i="5"/>
  <c r="B633" i="5"/>
  <c r="G633" i="5"/>
  <c r="C633" i="5"/>
  <c r="Q677" i="2"/>
  <c r="G189" i="5"/>
  <c r="D189" i="5"/>
  <c r="C189" i="5"/>
  <c r="B189" i="5"/>
  <c r="H189" i="5"/>
  <c r="R634" i="2"/>
  <c r="M634" i="2"/>
  <c r="I634" i="2"/>
  <c r="O634" i="2"/>
  <c r="S634" i="2"/>
  <c r="F634" i="2"/>
  <c r="G634" i="2"/>
  <c r="H634" i="2"/>
  <c r="N634" i="2"/>
  <c r="L634" i="2"/>
  <c r="Q738" i="2"/>
  <c r="D665" i="5"/>
  <c r="B665" i="5"/>
  <c r="C665" i="5"/>
  <c r="G665" i="5"/>
  <c r="H665" i="5"/>
  <c r="G857" i="5"/>
  <c r="D857" i="5"/>
  <c r="B857" i="5"/>
  <c r="C857" i="5"/>
  <c r="H857" i="5"/>
  <c r="R203" i="2"/>
  <c r="L203" i="2"/>
  <c r="I203" i="2"/>
  <c r="N203" i="2"/>
  <c r="F203" i="2"/>
  <c r="S203" i="2"/>
  <c r="O203" i="2"/>
  <c r="G203" i="2"/>
  <c r="M203" i="2"/>
  <c r="H203" i="2"/>
  <c r="G814" i="5"/>
  <c r="C814" i="5"/>
  <c r="B814" i="5"/>
  <c r="H814" i="5"/>
  <c r="D814" i="5"/>
  <c r="R146" i="2"/>
  <c r="M146" i="2"/>
  <c r="H146" i="2"/>
  <c r="N146" i="2"/>
  <c r="S146" i="2"/>
  <c r="L146" i="2"/>
  <c r="I146" i="2"/>
  <c r="O146" i="2"/>
  <c r="F146" i="2"/>
  <c r="G146" i="2"/>
  <c r="Q909" i="2"/>
  <c r="G502" i="5"/>
  <c r="H502" i="5"/>
  <c r="D502" i="5"/>
  <c r="B502" i="5"/>
  <c r="C502" i="5"/>
  <c r="Q212" i="2"/>
  <c r="Q774" i="2"/>
  <c r="Q760" i="2"/>
  <c r="Q869" i="2"/>
  <c r="D879" i="5"/>
  <c r="C879" i="5"/>
  <c r="G879" i="5"/>
  <c r="B879" i="5"/>
  <c r="H879" i="5"/>
  <c r="Q345" i="2"/>
  <c r="G895" i="5"/>
  <c r="D895" i="5"/>
  <c r="H895" i="5"/>
  <c r="B895" i="5"/>
  <c r="C895" i="5"/>
  <c r="R129" i="2"/>
  <c r="H129" i="2"/>
  <c r="N129" i="2"/>
  <c r="G129" i="2"/>
  <c r="I129" i="2"/>
  <c r="M129" i="2"/>
  <c r="O129" i="2"/>
  <c r="F129" i="2"/>
  <c r="L129" i="2"/>
  <c r="S129" i="2"/>
  <c r="Q592" i="2"/>
  <c r="H273" i="5"/>
  <c r="G273" i="5"/>
  <c r="C273" i="5"/>
  <c r="B273" i="5"/>
  <c r="D273" i="5"/>
  <c r="B939" i="5"/>
  <c r="G939" i="5"/>
  <c r="H939" i="5"/>
  <c r="C939" i="5"/>
  <c r="D939" i="5"/>
  <c r="B53" i="5"/>
  <c r="D823" i="5"/>
  <c r="G823" i="5"/>
  <c r="H823" i="5"/>
  <c r="C823" i="5"/>
  <c r="B823" i="5"/>
  <c r="R241" i="2"/>
  <c r="M241" i="2"/>
  <c r="F241" i="2"/>
  <c r="L241" i="2"/>
  <c r="G241" i="2"/>
  <c r="I241" i="2"/>
  <c r="N241" i="2"/>
  <c r="H241" i="2"/>
  <c r="S241" i="2"/>
  <c r="O241" i="2"/>
  <c r="F58" i="2"/>
  <c r="N58" i="2"/>
  <c r="L58" i="2"/>
  <c r="S58" i="2"/>
  <c r="O58" i="2"/>
  <c r="M58" i="2"/>
  <c r="H648" i="5"/>
  <c r="D648" i="5"/>
  <c r="B648" i="5"/>
  <c r="C648" i="5"/>
  <c r="G648" i="5"/>
  <c r="R772" i="2"/>
  <c r="H772" i="2"/>
  <c r="F772" i="2"/>
  <c r="G772" i="2"/>
  <c r="O772" i="2"/>
  <c r="I772" i="2"/>
  <c r="M772" i="2"/>
  <c r="N772" i="2"/>
  <c r="S772" i="2"/>
  <c r="L772" i="2"/>
  <c r="G902" i="5"/>
  <c r="H902" i="5"/>
  <c r="D902" i="5"/>
  <c r="B902" i="5"/>
  <c r="C902" i="5"/>
  <c r="R309" i="2"/>
  <c r="H309" i="2"/>
  <c r="O309" i="2"/>
  <c r="N309" i="2"/>
  <c r="L309" i="2"/>
  <c r="S309" i="2"/>
  <c r="F309" i="2"/>
  <c r="G309" i="2"/>
  <c r="I309" i="2"/>
  <c r="M309" i="2"/>
  <c r="R154" i="2"/>
  <c r="O154" i="2"/>
  <c r="G154" i="2"/>
  <c r="L154" i="2"/>
  <c r="M154" i="2"/>
  <c r="N154" i="2"/>
  <c r="I154" i="2"/>
  <c r="H154" i="2"/>
  <c r="S154" i="2"/>
  <c r="F154" i="2"/>
  <c r="C886" i="5"/>
  <c r="D886" i="5"/>
  <c r="G886" i="5"/>
  <c r="H886" i="5"/>
  <c r="B886" i="5"/>
  <c r="H494" i="5"/>
  <c r="D494" i="5"/>
  <c r="C494" i="5"/>
  <c r="B494" i="5"/>
  <c r="G494" i="5"/>
  <c r="R641" i="2"/>
  <c r="I641" i="2"/>
  <c r="G641" i="2"/>
  <c r="H641" i="2"/>
  <c r="O641" i="2"/>
  <c r="M641" i="2"/>
  <c r="S641" i="2"/>
  <c r="L641" i="2"/>
  <c r="N641" i="2"/>
  <c r="F641" i="2"/>
  <c r="C163" i="5"/>
  <c r="G163" i="5"/>
  <c r="H163" i="5"/>
  <c r="D163" i="5"/>
  <c r="B163" i="5"/>
  <c r="C988" i="5"/>
  <c r="G988" i="5"/>
  <c r="D988" i="5"/>
  <c r="H988" i="5"/>
  <c r="B988" i="5"/>
  <c r="G718" i="5"/>
  <c r="D718" i="5"/>
  <c r="C718" i="5"/>
  <c r="B718" i="5"/>
  <c r="H718" i="5"/>
  <c r="D951" i="5"/>
  <c r="B951" i="5"/>
  <c r="H951" i="5"/>
  <c r="G951" i="5"/>
  <c r="C951" i="5"/>
  <c r="R972" i="2"/>
  <c r="N972" i="2"/>
  <c r="H972" i="2"/>
  <c r="L972" i="2"/>
  <c r="G972" i="2"/>
  <c r="S972" i="2"/>
  <c r="M972" i="2"/>
  <c r="O972" i="2"/>
  <c r="F972" i="2"/>
  <c r="I972" i="2"/>
  <c r="R873" i="2"/>
  <c r="I873" i="2"/>
  <c r="N873" i="2"/>
  <c r="S873" i="2"/>
  <c r="O873" i="2"/>
  <c r="H873" i="2"/>
  <c r="G873" i="2"/>
  <c r="F873" i="2"/>
  <c r="M873" i="2"/>
  <c r="L873" i="2"/>
  <c r="B806" i="5"/>
  <c r="D806" i="5"/>
  <c r="G806" i="5"/>
  <c r="C806" i="5"/>
  <c r="H806" i="5"/>
  <c r="R777" i="2"/>
  <c r="L777" i="2"/>
  <c r="N777" i="2"/>
  <c r="O777" i="2"/>
  <c r="G777" i="2"/>
  <c r="H777" i="2"/>
  <c r="I777" i="2"/>
  <c r="F777" i="2"/>
  <c r="M777" i="2"/>
  <c r="S777" i="2"/>
  <c r="C869" i="5"/>
  <c r="D869" i="5"/>
  <c r="G869" i="5"/>
  <c r="B869" i="5"/>
  <c r="H869" i="5"/>
  <c r="B318" i="5"/>
  <c r="C318" i="5"/>
  <c r="G318" i="5"/>
  <c r="H318" i="5"/>
  <c r="D318" i="5"/>
  <c r="R986" i="2"/>
  <c r="G986" i="2"/>
  <c r="S986" i="2"/>
  <c r="M986" i="2"/>
  <c r="I986" i="2"/>
  <c r="L986" i="2"/>
  <c r="N986" i="2"/>
  <c r="F986" i="2"/>
  <c r="O986" i="2"/>
  <c r="H986" i="2"/>
  <c r="D636" i="5"/>
  <c r="C636" i="5"/>
  <c r="H636" i="5"/>
  <c r="B636" i="5"/>
  <c r="G636" i="5"/>
  <c r="R501" i="2"/>
  <c r="I501" i="2"/>
  <c r="F501" i="2"/>
  <c r="O501" i="2"/>
  <c r="M501" i="2"/>
  <c r="N501" i="2"/>
  <c r="G501" i="2"/>
  <c r="L501" i="2"/>
  <c r="H501" i="2"/>
  <c r="S501" i="2"/>
  <c r="R587" i="2"/>
  <c r="H587" i="2"/>
  <c r="F587" i="2"/>
  <c r="N587" i="2"/>
  <c r="G587" i="2"/>
  <c r="L587" i="2"/>
  <c r="O587" i="2"/>
  <c r="I587" i="2"/>
  <c r="S587" i="2"/>
  <c r="M587" i="2"/>
  <c r="G366" i="5"/>
  <c r="H366" i="5"/>
  <c r="D366" i="5"/>
  <c r="B366" i="5"/>
  <c r="C366" i="5"/>
  <c r="R208" i="2"/>
  <c r="N208" i="2"/>
  <c r="L208" i="2"/>
  <c r="F208" i="2"/>
  <c r="S208" i="2"/>
  <c r="G208" i="2"/>
  <c r="M208" i="2"/>
  <c r="I208" i="2"/>
  <c r="H208" i="2"/>
  <c r="O208" i="2"/>
  <c r="R508" i="2"/>
  <c r="I508" i="2"/>
  <c r="G508" i="2"/>
  <c r="H508" i="2"/>
  <c r="S508" i="2"/>
  <c r="O508" i="2"/>
  <c r="N508" i="2"/>
  <c r="L508" i="2"/>
  <c r="F508" i="2"/>
  <c r="M508" i="2"/>
  <c r="D112" i="5"/>
  <c r="C112" i="5"/>
  <c r="B112" i="5"/>
  <c r="G112" i="5"/>
  <c r="H112" i="5"/>
  <c r="H913" i="5"/>
  <c r="C913" i="5"/>
  <c r="B913" i="5"/>
  <c r="G913" i="5"/>
  <c r="D913" i="5"/>
  <c r="D731" i="5"/>
  <c r="B731" i="5"/>
  <c r="H731" i="5"/>
  <c r="C731" i="5"/>
  <c r="G731" i="5"/>
  <c r="D790" i="5"/>
  <c r="H790" i="5"/>
  <c r="C790" i="5"/>
  <c r="G790" i="5"/>
  <c r="B790" i="5"/>
  <c r="H915" i="5"/>
  <c r="D915" i="5"/>
  <c r="C915" i="5"/>
  <c r="B915" i="5"/>
  <c r="G915" i="5"/>
  <c r="R688" i="2"/>
  <c r="M688" i="2"/>
  <c r="G688" i="2"/>
  <c r="L688" i="2"/>
  <c r="F688" i="2"/>
  <c r="O688" i="2"/>
  <c r="I688" i="2"/>
  <c r="S688" i="2"/>
  <c r="N688" i="2"/>
  <c r="H688" i="2"/>
  <c r="C520" i="5"/>
  <c r="H520" i="5"/>
  <c r="D520" i="5"/>
  <c r="B520" i="5"/>
  <c r="G520" i="5"/>
  <c r="R111" i="2"/>
  <c r="L111" i="2"/>
  <c r="S111" i="2"/>
  <c r="G111" i="2"/>
  <c r="N111" i="2"/>
  <c r="M111" i="2"/>
  <c r="H111" i="2"/>
  <c r="F111" i="2"/>
  <c r="O111" i="2"/>
  <c r="I111" i="2"/>
  <c r="B701" i="5"/>
  <c r="H701" i="5"/>
  <c r="D701" i="5"/>
  <c r="C701" i="5"/>
  <c r="G701" i="5"/>
  <c r="D947" i="5"/>
  <c r="C947" i="5"/>
  <c r="B947" i="5"/>
  <c r="G947" i="5"/>
  <c r="H947" i="5"/>
  <c r="M92" i="2"/>
  <c r="O92" i="2"/>
  <c r="L92" i="2"/>
  <c r="F92" i="2"/>
  <c r="N92" i="2"/>
  <c r="S92" i="2"/>
  <c r="R902" i="2"/>
  <c r="L902" i="2"/>
  <c r="G902" i="2"/>
  <c r="N902" i="2"/>
  <c r="M902" i="2"/>
  <c r="H902" i="2"/>
  <c r="O902" i="2"/>
  <c r="S902" i="2"/>
  <c r="I902" i="2"/>
  <c r="F902" i="2"/>
  <c r="R570" i="2"/>
  <c r="N570" i="2"/>
  <c r="L570" i="2"/>
  <c r="M570" i="2"/>
  <c r="F570" i="2"/>
  <c r="O570" i="2"/>
  <c r="G570" i="2"/>
  <c r="H570" i="2"/>
  <c r="S570" i="2"/>
  <c r="I570" i="2"/>
  <c r="G726" i="5"/>
  <c r="C726" i="5"/>
  <c r="D726" i="5"/>
  <c r="H726" i="5"/>
  <c r="B726" i="5"/>
  <c r="R651" i="2"/>
  <c r="S651" i="2"/>
  <c r="G651" i="2"/>
  <c r="O651" i="2"/>
  <c r="H651" i="2"/>
  <c r="L651" i="2"/>
  <c r="I651" i="2"/>
  <c r="F651" i="2"/>
  <c r="N651" i="2"/>
  <c r="M651" i="2"/>
  <c r="R983" i="2"/>
  <c r="I983" i="2"/>
  <c r="O983" i="2"/>
  <c r="H983" i="2"/>
  <c r="L983" i="2"/>
  <c r="G983" i="2"/>
  <c r="F983" i="2"/>
  <c r="M983" i="2"/>
  <c r="N983" i="2"/>
  <c r="S983" i="2"/>
  <c r="H441" i="5"/>
  <c r="G441" i="5"/>
  <c r="C441" i="5"/>
  <c r="D441" i="5"/>
  <c r="B441" i="5"/>
  <c r="D552" i="5"/>
  <c r="C552" i="5"/>
  <c r="B552" i="5"/>
  <c r="G552" i="5"/>
  <c r="H552" i="5"/>
  <c r="C565" i="5"/>
  <c r="D565" i="5"/>
  <c r="G565" i="5"/>
  <c r="H565" i="5"/>
  <c r="B565" i="5"/>
  <c r="H836" i="5"/>
  <c r="D836" i="5"/>
  <c r="B836" i="5"/>
  <c r="G836" i="5"/>
  <c r="C836" i="5"/>
  <c r="R817" i="2"/>
  <c r="F817" i="2"/>
  <c r="I817" i="2"/>
  <c r="G817" i="2"/>
  <c r="O817" i="2"/>
  <c r="M817" i="2"/>
  <c r="H817" i="2"/>
  <c r="S817" i="2"/>
  <c r="N817" i="2"/>
  <c r="L817" i="2"/>
  <c r="R518" i="2"/>
  <c r="N518" i="2"/>
  <c r="G518" i="2"/>
  <c r="O518" i="2"/>
  <c r="M518" i="2"/>
  <c r="L518" i="2"/>
  <c r="H518" i="2"/>
  <c r="I518" i="2"/>
  <c r="S518" i="2"/>
  <c r="F518" i="2"/>
  <c r="H861" i="5"/>
  <c r="G861" i="5"/>
  <c r="D861" i="5"/>
  <c r="B861" i="5"/>
  <c r="C861" i="5"/>
  <c r="R627" i="2"/>
  <c r="I627" i="2"/>
  <c r="G627" i="2"/>
  <c r="L627" i="2"/>
  <c r="F627" i="2"/>
  <c r="O627" i="2"/>
  <c r="H627" i="2"/>
  <c r="N627" i="2"/>
  <c r="M627" i="2"/>
  <c r="S627" i="2"/>
  <c r="R404" i="2"/>
  <c r="L404" i="2"/>
  <c r="N404" i="2"/>
  <c r="F404" i="2"/>
  <c r="H404" i="2"/>
  <c r="M404" i="2"/>
  <c r="G404" i="2"/>
  <c r="O404" i="2"/>
  <c r="I404" i="2"/>
  <c r="S404" i="2"/>
  <c r="R270" i="2"/>
  <c r="H270" i="2"/>
  <c r="O270" i="2"/>
  <c r="L270" i="2"/>
  <c r="G270" i="2"/>
  <c r="S270" i="2"/>
  <c r="I270" i="2"/>
  <c r="F270" i="2"/>
  <c r="M270" i="2"/>
  <c r="N270" i="2"/>
  <c r="R371" i="2"/>
  <c r="S371" i="2"/>
  <c r="F371" i="2"/>
  <c r="O371" i="2"/>
  <c r="N371" i="2"/>
  <c r="G371" i="2"/>
  <c r="H371" i="2"/>
  <c r="M371" i="2"/>
  <c r="L371" i="2"/>
  <c r="I371" i="2"/>
  <c r="R602" i="2"/>
  <c r="G602" i="2"/>
  <c r="M602" i="2"/>
  <c r="O602" i="2"/>
  <c r="L602" i="2"/>
  <c r="S602" i="2"/>
  <c r="I602" i="2"/>
  <c r="F602" i="2"/>
  <c r="H602" i="2"/>
  <c r="N602" i="2"/>
  <c r="R719" i="2"/>
  <c r="N719" i="2"/>
  <c r="O719" i="2"/>
  <c r="I719" i="2"/>
  <c r="F719" i="2"/>
  <c r="M719" i="2"/>
  <c r="S719" i="2"/>
  <c r="G719" i="2"/>
  <c r="L719" i="2"/>
  <c r="H719" i="2"/>
  <c r="R306" i="2"/>
  <c r="G306" i="2"/>
  <c r="L306" i="2"/>
  <c r="N306" i="2"/>
  <c r="M306" i="2"/>
  <c r="F306" i="2"/>
  <c r="I306" i="2"/>
  <c r="O306" i="2"/>
  <c r="H306" i="2"/>
  <c r="S306" i="2"/>
  <c r="R222" i="2"/>
  <c r="G222" i="2"/>
  <c r="L222" i="2"/>
  <c r="H222" i="2"/>
  <c r="N222" i="2"/>
  <c r="I222" i="2"/>
  <c r="M222" i="2"/>
  <c r="F222" i="2"/>
  <c r="S222" i="2"/>
  <c r="O222" i="2"/>
  <c r="R369" i="2"/>
  <c r="O369" i="2"/>
  <c r="F369" i="2"/>
  <c r="G369" i="2"/>
  <c r="H369" i="2"/>
  <c r="N369" i="2"/>
  <c r="M369" i="2"/>
  <c r="S369" i="2"/>
  <c r="L369" i="2"/>
  <c r="I369" i="2"/>
  <c r="Q159" i="2"/>
  <c r="C551" i="5"/>
  <c r="H551" i="5"/>
  <c r="B551" i="5"/>
  <c r="G551" i="5"/>
  <c r="D551" i="5"/>
  <c r="R349" i="2"/>
  <c r="N349" i="2"/>
  <c r="F349" i="2"/>
  <c r="S349" i="2"/>
  <c r="L349" i="2"/>
  <c r="G349" i="2"/>
  <c r="O349" i="2"/>
  <c r="I349" i="2"/>
  <c r="M349" i="2"/>
  <c r="H349" i="2"/>
  <c r="B941" i="5"/>
  <c r="C941" i="5"/>
  <c r="H941" i="5"/>
  <c r="D941" i="5"/>
  <c r="G941" i="5"/>
  <c r="R230" i="2"/>
  <c r="F230" i="2"/>
  <c r="M230" i="2"/>
  <c r="G230" i="2"/>
  <c r="I230" i="2"/>
  <c r="O230" i="2"/>
  <c r="N230" i="2"/>
  <c r="L230" i="2"/>
  <c r="H230" i="2"/>
  <c r="S230" i="2"/>
  <c r="H688" i="5"/>
  <c r="B688" i="5"/>
  <c r="G688" i="5"/>
  <c r="D688" i="5"/>
  <c r="C688" i="5"/>
  <c r="R411" i="2"/>
  <c r="H411" i="2"/>
  <c r="F411" i="2"/>
  <c r="M411" i="2"/>
  <c r="O411" i="2"/>
  <c r="L411" i="2"/>
  <c r="G411" i="2"/>
  <c r="N411" i="2"/>
  <c r="I411" i="2"/>
  <c r="S411" i="2"/>
  <c r="D762" i="5"/>
  <c r="C762" i="5"/>
  <c r="B762" i="5"/>
  <c r="G762" i="5"/>
  <c r="H762" i="5"/>
  <c r="F82" i="2"/>
  <c r="S82" i="2"/>
  <c r="O82" i="2"/>
  <c r="L82" i="2"/>
  <c r="N82" i="2"/>
  <c r="M82" i="2"/>
  <c r="R118" i="2"/>
  <c r="L118" i="2"/>
  <c r="N118" i="2"/>
  <c r="F118" i="2"/>
  <c r="O118" i="2"/>
  <c r="I118" i="2"/>
  <c r="S118" i="2"/>
  <c r="H118" i="2"/>
  <c r="M118" i="2"/>
  <c r="G118" i="2"/>
  <c r="D843" i="5"/>
  <c r="B843" i="5"/>
  <c r="C843" i="5"/>
  <c r="H843" i="5"/>
  <c r="G843" i="5"/>
  <c r="G679" i="5"/>
  <c r="D679" i="5"/>
  <c r="C679" i="5"/>
  <c r="B679" i="5"/>
  <c r="H679" i="5"/>
  <c r="R833" i="2"/>
  <c r="N833" i="2"/>
  <c r="O833" i="2"/>
  <c r="G833" i="2"/>
  <c r="F833" i="2"/>
  <c r="M833" i="2"/>
  <c r="L833" i="2"/>
  <c r="S833" i="2"/>
  <c r="I833" i="2"/>
  <c r="H833" i="2"/>
  <c r="R250" i="2"/>
  <c r="S250" i="2"/>
  <c r="L250" i="2"/>
  <c r="G250" i="2"/>
  <c r="I250" i="2"/>
  <c r="F250" i="2"/>
  <c r="N250" i="2"/>
  <c r="M250" i="2"/>
  <c r="H250" i="2"/>
  <c r="O250" i="2"/>
  <c r="R537" i="2"/>
  <c r="G537" i="2"/>
  <c r="H537" i="2"/>
  <c r="M537" i="2"/>
  <c r="F537" i="2"/>
  <c r="O537" i="2"/>
  <c r="N537" i="2"/>
  <c r="S537" i="2"/>
  <c r="I537" i="2"/>
  <c r="L537" i="2"/>
  <c r="R361" i="2"/>
  <c r="N361" i="2"/>
  <c r="H361" i="2"/>
  <c r="L361" i="2"/>
  <c r="O361" i="2"/>
  <c r="F361" i="2"/>
  <c r="I361" i="2"/>
  <c r="G361" i="2"/>
  <c r="M361" i="2"/>
  <c r="S361" i="2"/>
  <c r="D292" i="5"/>
  <c r="H292" i="5"/>
  <c r="G292" i="5"/>
  <c r="C292" i="5"/>
  <c r="B292" i="5"/>
  <c r="G296" i="5"/>
  <c r="H296" i="5"/>
  <c r="B296" i="5"/>
  <c r="D296" i="5"/>
  <c r="C296" i="5"/>
  <c r="R284" i="2"/>
  <c r="M284" i="2"/>
  <c r="S284" i="2"/>
  <c r="I284" i="2"/>
  <c r="H284" i="2"/>
  <c r="L284" i="2"/>
  <c r="O284" i="2"/>
  <c r="G284" i="2"/>
  <c r="F284" i="2"/>
  <c r="N284" i="2"/>
  <c r="G311" i="5"/>
  <c r="H311" i="5"/>
  <c r="D311" i="5"/>
  <c r="C311" i="5"/>
  <c r="B311" i="5"/>
  <c r="R101" i="2"/>
  <c r="I101" i="2"/>
  <c r="L101" i="2"/>
  <c r="G101" i="2"/>
  <c r="M101" i="2"/>
  <c r="F101" i="2"/>
  <c r="H101" i="2"/>
  <c r="S101" i="2"/>
  <c r="N101" i="2"/>
  <c r="O101" i="2"/>
  <c r="G566" i="5"/>
  <c r="C566" i="5"/>
  <c r="H566" i="5"/>
  <c r="B566" i="5"/>
  <c r="D566" i="5"/>
  <c r="B910" i="5"/>
  <c r="D910" i="5"/>
  <c r="G910" i="5"/>
  <c r="C910" i="5"/>
  <c r="H910" i="5"/>
  <c r="H294" i="5"/>
  <c r="B294" i="5"/>
  <c r="D294" i="5"/>
  <c r="G294" i="5"/>
  <c r="C294" i="5"/>
  <c r="B526" i="5"/>
  <c r="G526" i="5"/>
  <c r="H526" i="5"/>
  <c r="C526" i="5"/>
  <c r="D526" i="5"/>
  <c r="B730" i="5"/>
  <c r="D730" i="5"/>
  <c r="C730" i="5"/>
  <c r="G730" i="5"/>
  <c r="H730" i="5"/>
  <c r="C789" i="5"/>
  <c r="G789" i="5"/>
  <c r="D789" i="5"/>
  <c r="H789" i="5"/>
  <c r="B789" i="5"/>
  <c r="B506" i="5"/>
  <c r="H506" i="5"/>
  <c r="C506" i="5"/>
  <c r="D506" i="5"/>
  <c r="G506" i="5"/>
  <c r="R941" i="2"/>
  <c r="N941" i="2"/>
  <c r="H941" i="2"/>
  <c r="G941" i="2"/>
  <c r="S941" i="2"/>
  <c r="M941" i="2"/>
  <c r="F941" i="2"/>
  <c r="L941" i="2"/>
  <c r="I941" i="2"/>
  <c r="O941" i="2"/>
  <c r="R630" i="2"/>
  <c r="S630" i="2"/>
  <c r="O630" i="2"/>
  <c r="G630" i="2"/>
  <c r="M630" i="2"/>
  <c r="N630" i="2"/>
  <c r="I630" i="2"/>
  <c r="H630" i="2"/>
  <c r="L630" i="2"/>
  <c r="F630" i="2"/>
  <c r="R407" i="2"/>
  <c r="M407" i="2"/>
  <c r="O407" i="2"/>
  <c r="S407" i="2"/>
  <c r="L407" i="2"/>
  <c r="N407" i="2"/>
  <c r="I407" i="2"/>
  <c r="H407" i="2"/>
  <c r="G407" i="2"/>
  <c r="F407" i="2"/>
  <c r="R857" i="2"/>
  <c r="M857" i="2"/>
  <c r="L857" i="2"/>
  <c r="I857" i="2"/>
  <c r="H857" i="2"/>
  <c r="O857" i="2"/>
  <c r="G857" i="2"/>
  <c r="N857" i="2"/>
  <c r="F857" i="2"/>
  <c r="S857" i="2"/>
  <c r="C581" i="5"/>
  <c r="B581" i="5"/>
  <c r="D581" i="5"/>
  <c r="H581" i="5"/>
  <c r="G581" i="5"/>
  <c r="R879" i="2"/>
  <c r="N879" i="2"/>
  <c r="F879" i="2"/>
  <c r="S879" i="2"/>
  <c r="G879" i="2"/>
  <c r="L879" i="2"/>
  <c r="H879" i="2"/>
  <c r="I879" i="2"/>
  <c r="O879" i="2"/>
  <c r="M879" i="2"/>
  <c r="B339" i="5"/>
  <c r="G339" i="5"/>
  <c r="D339" i="5"/>
  <c r="H339" i="5"/>
  <c r="C339" i="5"/>
  <c r="R525" i="2"/>
  <c r="G525" i="2"/>
  <c r="F525" i="2"/>
  <c r="S525" i="2"/>
  <c r="N525" i="2"/>
  <c r="H525" i="2"/>
  <c r="M525" i="2"/>
  <c r="I525" i="2"/>
  <c r="O525" i="2"/>
  <c r="L525" i="2"/>
  <c r="R980" i="2"/>
  <c r="N980" i="2"/>
  <c r="M980" i="2"/>
  <c r="S980" i="2"/>
  <c r="H980" i="2"/>
  <c r="L980" i="2"/>
  <c r="O980" i="2"/>
  <c r="G980" i="2"/>
  <c r="F980" i="2"/>
  <c r="I980" i="2"/>
  <c r="R324" i="2"/>
  <c r="H324" i="2"/>
  <c r="S324" i="2"/>
  <c r="N324" i="2"/>
  <c r="M324" i="2"/>
  <c r="G324" i="2"/>
  <c r="L324" i="2"/>
  <c r="O324" i="2"/>
  <c r="I324" i="2"/>
  <c r="F324" i="2"/>
  <c r="D658" i="5"/>
  <c r="G658" i="5"/>
  <c r="C658" i="5"/>
  <c r="H658" i="5"/>
  <c r="B658" i="5"/>
  <c r="B94" i="5"/>
  <c r="D264" i="5"/>
  <c r="H264" i="5"/>
  <c r="C264" i="5"/>
  <c r="G264" i="5"/>
  <c r="B264" i="5"/>
  <c r="R854" i="2"/>
  <c r="I854" i="2"/>
  <c r="F854" i="2"/>
  <c r="L854" i="2"/>
  <c r="O854" i="2"/>
  <c r="S854" i="2"/>
  <c r="M854" i="2"/>
  <c r="G854" i="2"/>
  <c r="H854" i="2"/>
  <c r="N854" i="2"/>
  <c r="R600" i="2"/>
  <c r="N600" i="2"/>
  <c r="L600" i="2"/>
  <c r="O600" i="2"/>
  <c r="F600" i="2"/>
  <c r="H600" i="2"/>
  <c r="S600" i="2"/>
  <c r="G600" i="2"/>
  <c r="M600" i="2"/>
  <c r="I600" i="2"/>
  <c r="R533" i="2"/>
  <c r="M533" i="2"/>
  <c r="F533" i="2"/>
  <c r="N533" i="2"/>
  <c r="O533" i="2"/>
  <c r="G533" i="2"/>
  <c r="S533" i="2"/>
  <c r="L533" i="2"/>
  <c r="I533" i="2"/>
  <c r="H533" i="2"/>
  <c r="R568" i="2"/>
  <c r="F568" i="2"/>
  <c r="S568" i="2"/>
  <c r="M568" i="2"/>
  <c r="H568" i="2"/>
  <c r="N568" i="2"/>
  <c r="G568" i="2"/>
  <c r="O568" i="2"/>
  <c r="I568" i="2"/>
  <c r="L568" i="2"/>
  <c r="G456" i="5"/>
  <c r="B456" i="5"/>
  <c r="C456" i="5"/>
  <c r="D456" i="5"/>
  <c r="H456" i="5"/>
  <c r="R949" i="2"/>
  <c r="O949" i="2"/>
  <c r="M949" i="2"/>
  <c r="I949" i="2"/>
  <c r="F949" i="2"/>
  <c r="S949" i="2"/>
  <c r="N949" i="2"/>
  <c r="H949" i="2"/>
  <c r="G949" i="2"/>
  <c r="L949" i="2"/>
  <c r="D753" i="5"/>
  <c r="C753" i="5"/>
  <c r="G753" i="5"/>
  <c r="B753" i="5"/>
  <c r="H753" i="5"/>
  <c r="H282" i="5"/>
  <c r="C282" i="5"/>
  <c r="B282" i="5"/>
  <c r="G282" i="5"/>
  <c r="D282" i="5"/>
  <c r="R171" i="2"/>
  <c r="O171" i="2"/>
  <c r="L171" i="2"/>
  <c r="F171" i="2"/>
  <c r="N171" i="2"/>
  <c r="M171" i="2"/>
  <c r="G171" i="2"/>
  <c r="H171" i="2"/>
  <c r="S171" i="2"/>
  <c r="I171" i="2"/>
  <c r="H559" i="5"/>
  <c r="B559" i="5"/>
  <c r="C559" i="5"/>
  <c r="G559" i="5"/>
  <c r="D559" i="5"/>
  <c r="D828" i="5"/>
  <c r="H828" i="5"/>
  <c r="B828" i="5"/>
  <c r="C828" i="5"/>
  <c r="G828" i="5"/>
  <c r="R805" i="2"/>
  <c r="G805" i="2"/>
  <c r="N805" i="2"/>
  <c r="I805" i="2"/>
  <c r="M805" i="2"/>
  <c r="S805" i="2"/>
  <c r="L805" i="2"/>
  <c r="H805" i="2"/>
  <c r="O805" i="2"/>
  <c r="F805" i="2"/>
  <c r="R494" i="2"/>
  <c r="H494" i="2"/>
  <c r="N494" i="2"/>
  <c r="G494" i="2"/>
  <c r="L494" i="2"/>
  <c r="I494" i="2"/>
  <c r="S494" i="2"/>
  <c r="F494" i="2"/>
  <c r="O494" i="2"/>
  <c r="M494" i="2"/>
  <c r="R134" i="2"/>
  <c r="I134" i="2"/>
  <c r="G134" i="2"/>
  <c r="L134" i="2"/>
  <c r="H134" i="2"/>
  <c r="F134" i="2"/>
  <c r="O134" i="2"/>
  <c r="N134" i="2"/>
  <c r="S134" i="2"/>
  <c r="M134" i="2"/>
  <c r="M39" i="2"/>
  <c r="N39" i="2"/>
  <c r="O39" i="2"/>
  <c r="L39" i="2"/>
  <c r="S39" i="2"/>
  <c r="F39" i="2"/>
  <c r="B550" i="5"/>
  <c r="G550" i="5"/>
  <c r="H550" i="5"/>
  <c r="C550" i="5"/>
  <c r="D550" i="5"/>
  <c r="D542" i="5"/>
  <c r="B542" i="5"/>
  <c r="C542" i="5"/>
  <c r="H542" i="5"/>
  <c r="G542" i="5"/>
  <c r="G444" i="5"/>
  <c r="D444" i="5"/>
  <c r="C444" i="5"/>
  <c r="B444" i="5"/>
  <c r="H444" i="5"/>
  <c r="G246" i="5"/>
  <c r="D246" i="5"/>
  <c r="C246" i="5"/>
  <c r="B246" i="5"/>
  <c r="H246" i="5"/>
  <c r="H876" i="5"/>
  <c r="C876" i="5"/>
  <c r="G876" i="5"/>
  <c r="D876" i="5"/>
  <c r="B876" i="5"/>
  <c r="R259" i="2"/>
  <c r="O259" i="2"/>
  <c r="M259" i="2"/>
  <c r="N259" i="2"/>
  <c r="F259" i="2"/>
  <c r="H259" i="2"/>
  <c r="I259" i="2"/>
  <c r="L259" i="2"/>
  <c r="S259" i="2"/>
  <c r="G259" i="2"/>
  <c r="R906" i="2"/>
  <c r="F906" i="2"/>
  <c r="H906" i="2"/>
  <c r="I906" i="2"/>
  <c r="G906" i="2"/>
  <c r="O906" i="2"/>
  <c r="L906" i="2"/>
  <c r="M906" i="2"/>
  <c r="S906" i="2"/>
  <c r="N906" i="2"/>
  <c r="R693" i="2"/>
  <c r="F693" i="2"/>
  <c r="H693" i="2"/>
  <c r="S693" i="2"/>
  <c r="I693" i="2"/>
  <c r="M693" i="2"/>
  <c r="O693" i="2"/>
  <c r="G693" i="2"/>
  <c r="L693" i="2"/>
  <c r="N693" i="2"/>
  <c r="R994" i="2"/>
  <c r="N994" i="2"/>
  <c r="G994" i="2"/>
  <c r="S994" i="2"/>
  <c r="F994" i="2"/>
  <c r="I994" i="2"/>
  <c r="M994" i="2"/>
  <c r="O994" i="2"/>
  <c r="L994" i="2"/>
  <c r="H994" i="2"/>
  <c r="R359" i="2"/>
  <c r="S359" i="2"/>
  <c r="N359" i="2"/>
  <c r="M359" i="2"/>
  <c r="H359" i="2"/>
  <c r="G359" i="2"/>
  <c r="F359" i="2"/>
  <c r="I359" i="2"/>
  <c r="L359" i="2"/>
  <c r="O359" i="2"/>
  <c r="R999" i="2"/>
  <c r="N999" i="2"/>
  <c r="F999" i="2"/>
  <c r="L999" i="2"/>
  <c r="M999" i="2"/>
  <c r="G999" i="2"/>
  <c r="O999" i="2"/>
  <c r="I999" i="2"/>
  <c r="S999" i="2"/>
  <c r="H999" i="2"/>
  <c r="R249" i="2"/>
  <c r="F249" i="2"/>
  <c r="S249" i="2"/>
  <c r="H249" i="2"/>
  <c r="I249" i="2"/>
  <c r="L249" i="2"/>
  <c r="N249" i="2"/>
  <c r="O249" i="2"/>
  <c r="G249" i="2"/>
  <c r="M249" i="2"/>
  <c r="R564" i="2"/>
  <c r="F564" i="2"/>
  <c r="G564" i="2"/>
  <c r="O564" i="2"/>
  <c r="L564" i="2"/>
  <c r="N564" i="2"/>
  <c r="M564" i="2"/>
  <c r="I564" i="2"/>
  <c r="S564" i="2"/>
  <c r="H564" i="2"/>
  <c r="R692" i="2"/>
  <c r="S692" i="2"/>
  <c r="G692" i="2"/>
  <c r="N692" i="2"/>
  <c r="I692" i="2"/>
  <c r="O692" i="2"/>
  <c r="F692" i="2"/>
  <c r="L692" i="2"/>
  <c r="H692" i="2"/>
  <c r="M692" i="2"/>
  <c r="R395" i="2"/>
  <c r="I395" i="2"/>
  <c r="H395" i="2"/>
  <c r="L395" i="2"/>
  <c r="F395" i="2"/>
  <c r="N395" i="2"/>
  <c r="S395" i="2"/>
  <c r="G395" i="2"/>
  <c r="O395" i="2"/>
  <c r="M395" i="2"/>
  <c r="R216" i="2"/>
  <c r="H216" i="2"/>
  <c r="O216" i="2"/>
  <c r="S216" i="2"/>
  <c r="I216" i="2"/>
  <c r="N216" i="2"/>
  <c r="L216" i="2"/>
  <c r="F216" i="2"/>
  <c r="G216" i="2"/>
  <c r="M216" i="2"/>
  <c r="R931" i="2"/>
  <c r="G931" i="2"/>
  <c r="F931" i="2"/>
  <c r="N931" i="2"/>
  <c r="O931" i="2"/>
  <c r="M931" i="2"/>
  <c r="S931" i="2"/>
  <c r="L931" i="2"/>
  <c r="I931" i="2"/>
  <c r="H931" i="2"/>
  <c r="R437" i="2"/>
  <c r="O437" i="2"/>
  <c r="N437" i="2"/>
  <c r="I437" i="2"/>
  <c r="S437" i="2"/>
  <c r="M437" i="2"/>
  <c r="F437" i="2"/>
  <c r="L437" i="2"/>
  <c r="H437" i="2"/>
  <c r="G437" i="2"/>
  <c r="R482" i="2"/>
  <c r="L482" i="2"/>
  <c r="G482" i="2"/>
  <c r="F482" i="2"/>
  <c r="O482" i="2"/>
  <c r="M482" i="2"/>
  <c r="I482" i="2"/>
  <c r="N482" i="2"/>
  <c r="S482" i="2"/>
  <c r="H482" i="2"/>
  <c r="R770" i="2"/>
  <c r="G770" i="2"/>
  <c r="S770" i="2"/>
  <c r="O770" i="2"/>
  <c r="N770" i="2"/>
  <c r="I770" i="2"/>
  <c r="F770" i="2"/>
  <c r="L770" i="2"/>
  <c r="M770" i="2"/>
  <c r="H770" i="2"/>
  <c r="R755" i="2"/>
  <c r="M755" i="2"/>
  <c r="H755" i="2"/>
  <c r="G755" i="2"/>
  <c r="S755" i="2"/>
  <c r="N755" i="2"/>
  <c r="F755" i="2"/>
  <c r="I755" i="2"/>
  <c r="L755" i="2"/>
  <c r="O755" i="2"/>
  <c r="R935" i="2"/>
  <c r="H935" i="2"/>
  <c r="S935" i="2"/>
  <c r="O935" i="2"/>
  <c r="I935" i="2"/>
  <c r="F935" i="2"/>
  <c r="L935" i="2"/>
  <c r="N935" i="2"/>
  <c r="M935" i="2"/>
  <c r="G935" i="2"/>
  <c r="R560" i="2"/>
  <c r="H560" i="2"/>
  <c r="M560" i="2"/>
  <c r="N560" i="2"/>
  <c r="F560" i="2"/>
  <c r="L560" i="2"/>
  <c r="G560" i="2"/>
  <c r="S560" i="2"/>
  <c r="O560" i="2"/>
  <c r="I560" i="2"/>
  <c r="R987" i="2"/>
  <c r="O987" i="2"/>
  <c r="F987" i="2"/>
  <c r="M987" i="2"/>
  <c r="L987" i="2"/>
  <c r="N987" i="2"/>
  <c r="G987" i="2"/>
  <c r="I987" i="2"/>
  <c r="S987" i="2"/>
  <c r="H987" i="2"/>
  <c r="R189" i="2"/>
  <c r="M189" i="2"/>
  <c r="L189" i="2"/>
  <c r="I189" i="2"/>
  <c r="O189" i="2"/>
  <c r="H189" i="2"/>
  <c r="S189" i="2"/>
  <c r="F189" i="2"/>
  <c r="N189" i="2"/>
  <c r="G189" i="2"/>
  <c r="R253" i="2"/>
  <c r="O253" i="2"/>
  <c r="I253" i="2"/>
  <c r="M253" i="2"/>
  <c r="S253" i="2"/>
  <c r="L253" i="2"/>
  <c r="H253" i="2"/>
  <c r="F253" i="2"/>
  <c r="N253" i="2"/>
  <c r="G253" i="2"/>
  <c r="R907" i="2"/>
  <c r="M907" i="2"/>
  <c r="G907" i="2"/>
  <c r="L907" i="2"/>
  <c r="N907" i="2"/>
  <c r="S907" i="2"/>
  <c r="O907" i="2"/>
  <c r="I907" i="2"/>
  <c r="F907" i="2"/>
  <c r="H907" i="2"/>
  <c r="R728" i="2"/>
  <c r="M728" i="2"/>
  <c r="S728" i="2"/>
  <c r="I728" i="2"/>
  <c r="O728" i="2"/>
  <c r="N728" i="2"/>
  <c r="G728" i="2"/>
  <c r="L728" i="2"/>
  <c r="H728" i="2"/>
  <c r="F728" i="2"/>
  <c r="B386" i="5"/>
  <c r="G386" i="5"/>
  <c r="H386" i="5"/>
  <c r="C386" i="5"/>
  <c r="D386" i="5"/>
  <c r="D508" i="5"/>
  <c r="B508" i="5"/>
  <c r="H508" i="5"/>
  <c r="G508" i="5"/>
  <c r="C508" i="5"/>
  <c r="B74" i="5"/>
  <c r="C916" i="5"/>
  <c r="B916" i="5"/>
  <c r="H916" i="5"/>
  <c r="G916" i="5"/>
  <c r="D916" i="5"/>
  <c r="R312" i="2"/>
  <c r="G312" i="2"/>
  <c r="L312" i="2"/>
  <c r="H312" i="2"/>
  <c r="I312" i="2"/>
  <c r="M312" i="2"/>
  <c r="O312" i="2"/>
  <c r="N312" i="2"/>
  <c r="F312" i="2"/>
  <c r="S312" i="2"/>
  <c r="R934" i="2"/>
  <c r="O934" i="2"/>
  <c r="G934" i="2"/>
  <c r="I934" i="2"/>
  <c r="M934" i="2"/>
  <c r="N934" i="2"/>
  <c r="S934" i="2"/>
  <c r="H934" i="2"/>
  <c r="F934" i="2"/>
  <c r="L934" i="2"/>
  <c r="R352" i="2"/>
  <c r="S352" i="2"/>
  <c r="N352" i="2"/>
  <c r="I352" i="2"/>
  <c r="L352" i="2"/>
  <c r="H352" i="2"/>
  <c r="O352" i="2"/>
  <c r="G352" i="2"/>
  <c r="M352" i="2"/>
  <c r="F352" i="2"/>
  <c r="R623" i="2"/>
  <c r="H623" i="2"/>
  <c r="S623" i="2"/>
  <c r="I623" i="2"/>
  <c r="N623" i="2"/>
  <c r="O623" i="2"/>
  <c r="M623" i="2"/>
  <c r="F623" i="2"/>
  <c r="G623" i="2"/>
  <c r="L623" i="2"/>
  <c r="R992" i="2"/>
  <c r="M992" i="2"/>
  <c r="G992" i="2"/>
  <c r="L992" i="2"/>
  <c r="H992" i="2"/>
  <c r="S992" i="2"/>
  <c r="N992" i="2"/>
  <c r="O992" i="2"/>
  <c r="I992" i="2"/>
  <c r="F992" i="2"/>
  <c r="R822" i="2"/>
  <c r="N822" i="2"/>
  <c r="F822" i="2"/>
  <c r="M822" i="2"/>
  <c r="I822" i="2"/>
  <c r="H822" i="2"/>
  <c r="G822" i="2"/>
  <c r="S822" i="2"/>
  <c r="L822" i="2"/>
  <c r="O822" i="2"/>
  <c r="N8" i="2"/>
  <c r="O8" i="2"/>
  <c r="M8" i="2"/>
  <c r="L8" i="2"/>
  <c r="S8" i="2"/>
  <c r="F8" i="2"/>
  <c r="R209" i="2"/>
  <c r="S209" i="2"/>
  <c r="I209" i="2"/>
  <c r="H209" i="2"/>
  <c r="L209" i="2"/>
  <c r="G209" i="2"/>
  <c r="N209" i="2"/>
  <c r="O209" i="2"/>
  <c r="F209" i="2"/>
  <c r="M209" i="2"/>
  <c r="R682" i="2"/>
  <c r="F682" i="2"/>
  <c r="G682" i="2"/>
  <c r="M682" i="2"/>
  <c r="N682" i="2"/>
  <c r="I682" i="2"/>
  <c r="H682" i="2"/>
  <c r="L682" i="2"/>
  <c r="O682" i="2"/>
  <c r="S682" i="2"/>
  <c r="R394" i="2"/>
  <c r="G394" i="2"/>
  <c r="I394" i="2"/>
  <c r="M394" i="2"/>
  <c r="O394" i="2"/>
  <c r="S394" i="2"/>
  <c r="L394" i="2"/>
  <c r="F394" i="2"/>
  <c r="N394" i="2"/>
  <c r="H394" i="2"/>
  <c r="R504" i="2"/>
  <c r="O504" i="2"/>
  <c r="M504" i="2"/>
  <c r="G504" i="2"/>
  <c r="L504" i="2"/>
  <c r="N504" i="2"/>
  <c r="H504" i="2"/>
  <c r="I504" i="2"/>
  <c r="S504" i="2"/>
  <c r="F504" i="2"/>
  <c r="R197" i="2"/>
  <c r="M197" i="2"/>
  <c r="G197" i="2"/>
  <c r="H197" i="2"/>
  <c r="N197" i="2"/>
  <c r="S197" i="2"/>
  <c r="L197" i="2"/>
  <c r="F197" i="2"/>
  <c r="O197" i="2"/>
  <c r="I197" i="2"/>
  <c r="R400" i="2"/>
  <c r="H400" i="2"/>
  <c r="I400" i="2"/>
  <c r="G400" i="2"/>
  <c r="M400" i="2"/>
  <c r="N400" i="2"/>
  <c r="L400" i="2"/>
  <c r="F400" i="2"/>
  <c r="O400" i="2"/>
  <c r="S400" i="2"/>
  <c r="R601" i="2"/>
  <c r="H601" i="2"/>
  <c r="L601" i="2"/>
  <c r="S601" i="2"/>
  <c r="N601" i="2"/>
  <c r="F601" i="2"/>
  <c r="M601" i="2"/>
  <c r="I601" i="2"/>
  <c r="O601" i="2"/>
  <c r="G601" i="2"/>
  <c r="S18" i="2"/>
  <c r="F18" i="2"/>
  <c r="M18" i="2"/>
  <c r="O18" i="2"/>
  <c r="N18" i="2"/>
  <c r="L18" i="2"/>
  <c r="R160" i="2"/>
  <c r="G160" i="2"/>
  <c r="O160" i="2"/>
  <c r="I160" i="2"/>
  <c r="M160" i="2"/>
  <c r="N160" i="2"/>
  <c r="L160" i="2"/>
  <c r="F160" i="2"/>
  <c r="H160" i="2"/>
  <c r="S160" i="2"/>
  <c r="R224" i="2"/>
  <c r="L224" i="2"/>
  <c r="H224" i="2"/>
  <c r="S224" i="2"/>
  <c r="O224" i="2"/>
  <c r="I224" i="2"/>
  <c r="N224" i="2"/>
  <c r="F224" i="2"/>
  <c r="M224" i="2"/>
  <c r="G224" i="2"/>
  <c r="R485" i="2"/>
  <c r="S485" i="2"/>
  <c r="N485" i="2"/>
  <c r="I485" i="2"/>
  <c r="G485" i="2"/>
  <c r="M485" i="2"/>
  <c r="H485" i="2"/>
  <c r="L485" i="2"/>
  <c r="F485" i="2"/>
  <c r="O485" i="2"/>
  <c r="R982" i="2"/>
  <c r="O982" i="2"/>
  <c r="N982" i="2"/>
  <c r="S982" i="2"/>
  <c r="I982" i="2"/>
  <c r="L982" i="2"/>
  <c r="F982" i="2"/>
  <c r="G982" i="2"/>
  <c r="M982" i="2"/>
  <c r="H982" i="2"/>
  <c r="G269" i="5"/>
  <c r="D269" i="5"/>
  <c r="C269" i="5"/>
  <c r="H269" i="5"/>
  <c r="B269" i="5"/>
  <c r="G899" i="5"/>
  <c r="B899" i="5"/>
  <c r="C899" i="5"/>
  <c r="D899" i="5"/>
  <c r="H899" i="5"/>
  <c r="R583" i="2"/>
  <c r="O583" i="2"/>
  <c r="L583" i="2"/>
  <c r="S583" i="2"/>
  <c r="I583" i="2"/>
  <c r="F583" i="2"/>
  <c r="M583" i="2"/>
  <c r="G583" i="2"/>
  <c r="N583" i="2"/>
  <c r="H583" i="2"/>
  <c r="G800" i="5"/>
  <c r="D800" i="5"/>
  <c r="C800" i="5"/>
  <c r="H800" i="5"/>
  <c r="B800" i="5"/>
  <c r="R272" i="2"/>
  <c r="S272" i="2"/>
  <c r="N272" i="2"/>
  <c r="I272" i="2"/>
  <c r="O272" i="2"/>
  <c r="L272" i="2"/>
  <c r="F272" i="2"/>
  <c r="G272" i="2"/>
  <c r="H272" i="2"/>
  <c r="M272" i="2"/>
  <c r="R142" i="2"/>
  <c r="O142" i="2"/>
  <c r="L142" i="2"/>
  <c r="H142" i="2"/>
  <c r="I142" i="2"/>
  <c r="S142" i="2"/>
  <c r="F142" i="2"/>
  <c r="G142" i="2"/>
  <c r="N142" i="2"/>
  <c r="M142" i="2"/>
  <c r="R846" i="2"/>
  <c r="M846" i="2"/>
  <c r="S846" i="2"/>
  <c r="N846" i="2"/>
  <c r="H846" i="2"/>
  <c r="O846" i="2"/>
  <c r="F846" i="2"/>
  <c r="I846" i="2"/>
  <c r="L846" i="2"/>
  <c r="G846" i="2"/>
  <c r="N32" i="2"/>
  <c r="F32" i="2"/>
  <c r="O32" i="2"/>
  <c r="M32" i="2"/>
  <c r="S32" i="2"/>
  <c r="L32" i="2"/>
  <c r="R233" i="2"/>
  <c r="N233" i="2"/>
  <c r="F233" i="2"/>
  <c r="S233" i="2"/>
  <c r="O233" i="2"/>
  <c r="H233" i="2"/>
  <c r="L233" i="2"/>
  <c r="G233" i="2"/>
  <c r="I233" i="2"/>
  <c r="M233" i="2"/>
  <c r="R877" i="2"/>
  <c r="M877" i="2"/>
  <c r="G877" i="2"/>
  <c r="S877" i="2"/>
  <c r="H877" i="2"/>
  <c r="N877" i="2"/>
  <c r="F877" i="2"/>
  <c r="I877" i="2"/>
  <c r="O877" i="2"/>
  <c r="L877" i="2"/>
  <c r="F86" i="2"/>
  <c r="S86" i="2"/>
  <c r="O86" i="2"/>
  <c r="N86" i="2"/>
  <c r="M86" i="2"/>
  <c r="L86" i="2"/>
  <c r="R638" i="2"/>
  <c r="M638" i="2"/>
  <c r="O638" i="2"/>
  <c r="S638" i="2"/>
  <c r="I638" i="2"/>
  <c r="N638" i="2"/>
  <c r="L638" i="2"/>
  <c r="G638" i="2"/>
  <c r="F638" i="2"/>
  <c r="H638" i="2"/>
  <c r="R569" i="2"/>
  <c r="N569" i="2"/>
  <c r="G569" i="2"/>
  <c r="L569" i="2"/>
  <c r="S569" i="2"/>
  <c r="I569" i="2"/>
  <c r="O569" i="2"/>
  <c r="M569" i="2"/>
  <c r="H569" i="2"/>
  <c r="F569" i="2"/>
  <c r="R664" i="2"/>
  <c r="I664" i="2"/>
  <c r="G664" i="2"/>
  <c r="N664" i="2"/>
  <c r="F664" i="2"/>
  <c r="H664" i="2"/>
  <c r="S664" i="2"/>
  <c r="O664" i="2"/>
  <c r="M664" i="2"/>
  <c r="L664" i="2"/>
  <c r="R792" i="2"/>
  <c r="N792" i="2"/>
  <c r="I792" i="2"/>
  <c r="M792" i="2"/>
  <c r="S792" i="2"/>
  <c r="O792" i="2"/>
  <c r="F792" i="2"/>
  <c r="G792" i="2"/>
  <c r="L792" i="2"/>
  <c r="H792" i="2"/>
  <c r="R998" i="2"/>
  <c r="L998" i="2"/>
  <c r="N998" i="2"/>
  <c r="M998" i="2"/>
  <c r="F998" i="2"/>
  <c r="G998" i="2"/>
  <c r="S998" i="2"/>
  <c r="O998" i="2"/>
  <c r="I998" i="2"/>
  <c r="H998" i="2"/>
  <c r="R691" i="2"/>
  <c r="O691" i="2"/>
  <c r="G691" i="2"/>
  <c r="L691" i="2"/>
  <c r="M691" i="2"/>
  <c r="S691" i="2"/>
  <c r="F691" i="2"/>
  <c r="H691" i="2"/>
  <c r="N691" i="2"/>
  <c r="I691" i="2"/>
  <c r="R897" i="2"/>
  <c r="G897" i="2"/>
  <c r="S897" i="2"/>
  <c r="O897" i="2"/>
  <c r="L897" i="2"/>
  <c r="I897" i="2"/>
  <c r="M897" i="2"/>
  <c r="N897" i="2"/>
  <c r="F897" i="2"/>
  <c r="H897" i="2"/>
  <c r="R839" i="2"/>
  <c r="S839" i="2"/>
  <c r="L839" i="2"/>
  <c r="O839" i="2"/>
  <c r="I839" i="2"/>
  <c r="N839" i="2"/>
  <c r="G839" i="2"/>
  <c r="M839" i="2"/>
  <c r="F839" i="2"/>
  <c r="H839" i="2"/>
  <c r="R599" i="2"/>
  <c r="L599" i="2"/>
  <c r="H599" i="2"/>
  <c r="N599" i="2"/>
  <c r="M599" i="2"/>
  <c r="I599" i="2"/>
  <c r="S599" i="2"/>
  <c r="G599" i="2"/>
  <c r="O599" i="2"/>
  <c r="F599" i="2"/>
  <c r="B32" i="5"/>
  <c r="B417" i="5"/>
  <c r="D417" i="5"/>
  <c r="C417" i="5"/>
  <c r="G417" i="5"/>
  <c r="H417" i="5"/>
  <c r="R403" i="2"/>
  <c r="G403" i="2"/>
  <c r="L403" i="2"/>
  <c r="O403" i="2"/>
  <c r="S403" i="2"/>
  <c r="M403" i="2"/>
  <c r="I403" i="2"/>
  <c r="N403" i="2"/>
  <c r="F403" i="2"/>
  <c r="H403" i="2"/>
  <c r="H275" i="5"/>
  <c r="G275" i="5"/>
  <c r="D275" i="5"/>
  <c r="B275" i="5"/>
  <c r="C275" i="5"/>
  <c r="R348" i="2"/>
  <c r="M348" i="2"/>
  <c r="I348" i="2"/>
  <c r="G348" i="2"/>
  <c r="S348" i="2"/>
  <c r="L348" i="2"/>
  <c r="O348" i="2"/>
  <c r="N348" i="2"/>
  <c r="F348" i="2"/>
  <c r="H348" i="2"/>
  <c r="D331" i="5"/>
  <c r="B331" i="5"/>
  <c r="H331" i="5"/>
  <c r="G331" i="5"/>
  <c r="C331" i="5"/>
  <c r="D545" i="5"/>
  <c r="H545" i="5"/>
  <c r="G545" i="5"/>
  <c r="C545" i="5"/>
  <c r="B545" i="5"/>
  <c r="B481" i="5"/>
  <c r="G481" i="5"/>
  <c r="H481" i="5"/>
  <c r="D481" i="5"/>
  <c r="C481" i="5"/>
  <c r="C252" i="5"/>
  <c r="B252" i="5"/>
  <c r="D252" i="5"/>
  <c r="H252" i="5"/>
  <c r="G252" i="5"/>
  <c r="B599" i="5"/>
  <c r="H599" i="5"/>
  <c r="G599" i="5"/>
  <c r="C599" i="5"/>
  <c r="D599" i="5"/>
  <c r="B571" i="5"/>
  <c r="D571" i="5"/>
  <c r="C571" i="5"/>
  <c r="G571" i="5"/>
  <c r="H571" i="5"/>
  <c r="D583" i="5"/>
  <c r="C583" i="5"/>
  <c r="B583" i="5"/>
  <c r="G583" i="5"/>
  <c r="H583" i="5"/>
  <c r="R603" i="2"/>
  <c r="H603" i="2"/>
  <c r="G603" i="2"/>
  <c r="F603" i="2"/>
  <c r="I603" i="2"/>
  <c r="N603" i="2"/>
  <c r="S603" i="2"/>
  <c r="O603" i="2"/>
  <c r="M603" i="2"/>
  <c r="L603" i="2"/>
  <c r="R292" i="2"/>
  <c r="L292" i="2"/>
  <c r="I292" i="2"/>
  <c r="G292" i="2"/>
  <c r="F292" i="2"/>
  <c r="O292" i="2"/>
  <c r="M292" i="2"/>
  <c r="S292" i="2"/>
  <c r="N292" i="2"/>
  <c r="H292" i="2"/>
  <c r="R581" i="2"/>
  <c r="G581" i="2"/>
  <c r="M581" i="2"/>
  <c r="H581" i="2"/>
  <c r="O581" i="2"/>
  <c r="F581" i="2"/>
  <c r="L581" i="2"/>
  <c r="S581" i="2"/>
  <c r="N581" i="2"/>
  <c r="I581" i="2"/>
  <c r="R958" i="2"/>
  <c r="S958" i="2"/>
  <c r="O958" i="2"/>
  <c r="L958" i="2"/>
  <c r="F958" i="2"/>
  <c r="I958" i="2"/>
  <c r="G958" i="2"/>
  <c r="H958" i="2"/>
  <c r="M958" i="2"/>
  <c r="N958" i="2"/>
  <c r="B907" i="5"/>
  <c r="C907" i="5"/>
  <c r="H907" i="5"/>
  <c r="D907" i="5"/>
  <c r="G907" i="5"/>
  <c r="H977" i="5"/>
  <c r="D977" i="5"/>
  <c r="C977" i="5"/>
  <c r="B977" i="5"/>
  <c r="G977" i="5"/>
  <c r="R219" i="2"/>
  <c r="O219" i="2"/>
  <c r="L219" i="2"/>
  <c r="F219" i="2"/>
  <c r="M219" i="2"/>
  <c r="I219" i="2"/>
  <c r="N219" i="2"/>
  <c r="H219" i="2"/>
  <c r="G219" i="2"/>
  <c r="S219" i="2"/>
  <c r="D503" i="5"/>
  <c r="C503" i="5"/>
  <c r="B503" i="5"/>
  <c r="G503" i="5"/>
  <c r="H503" i="5"/>
  <c r="R237" i="2"/>
  <c r="I237" i="2"/>
  <c r="H237" i="2"/>
  <c r="N237" i="2"/>
  <c r="S237" i="2"/>
  <c r="O237" i="2"/>
  <c r="M237" i="2"/>
  <c r="G237" i="2"/>
  <c r="L237" i="2"/>
  <c r="F237" i="2"/>
  <c r="H965" i="5"/>
  <c r="C965" i="5"/>
  <c r="G965" i="5"/>
  <c r="D965" i="5"/>
  <c r="B965" i="5"/>
  <c r="B369" i="5"/>
  <c r="C369" i="5"/>
  <c r="D369" i="5"/>
  <c r="H369" i="5"/>
  <c r="G369" i="5"/>
  <c r="M50" i="2"/>
  <c r="L50" i="2"/>
  <c r="N50" i="2"/>
  <c r="O50" i="2"/>
  <c r="S50" i="2"/>
  <c r="F50" i="2"/>
  <c r="L68" i="2"/>
  <c r="M68" i="2"/>
  <c r="N68" i="2"/>
  <c r="O68" i="2"/>
  <c r="S68" i="2"/>
  <c r="F68" i="2"/>
  <c r="B68" i="5"/>
  <c r="S29" i="2"/>
  <c r="N29" i="2"/>
  <c r="F29" i="2"/>
  <c r="L29" i="2"/>
  <c r="O29" i="2"/>
  <c r="M29" i="2"/>
  <c r="D452" i="5"/>
  <c r="B452" i="5"/>
  <c r="C452" i="5"/>
  <c r="G452" i="5"/>
  <c r="H452" i="5"/>
  <c r="R946" i="2"/>
  <c r="S946" i="2"/>
  <c r="O946" i="2"/>
  <c r="L946" i="2"/>
  <c r="N946" i="2"/>
  <c r="M946" i="2"/>
  <c r="G946" i="2"/>
  <c r="F946" i="2"/>
  <c r="I946" i="2"/>
  <c r="H946" i="2"/>
  <c r="R683" i="2"/>
  <c r="N683" i="2"/>
  <c r="F683" i="2"/>
  <c r="H683" i="2"/>
  <c r="S683" i="2"/>
  <c r="O683" i="2"/>
  <c r="I683" i="2"/>
  <c r="G683" i="2"/>
  <c r="M683" i="2"/>
  <c r="L683" i="2"/>
  <c r="R923" i="2"/>
  <c r="G923" i="2"/>
  <c r="H923" i="2"/>
  <c r="S923" i="2"/>
  <c r="I923" i="2"/>
  <c r="L923" i="2"/>
  <c r="O923" i="2"/>
  <c r="N923" i="2"/>
  <c r="F923" i="2"/>
  <c r="M923" i="2"/>
  <c r="R936" i="2"/>
  <c r="L936" i="2"/>
  <c r="I936" i="2"/>
  <c r="F936" i="2"/>
  <c r="S936" i="2"/>
  <c r="H936" i="2"/>
  <c r="M936" i="2"/>
  <c r="N936" i="2"/>
  <c r="O936" i="2"/>
  <c r="G936" i="2"/>
  <c r="G338" i="5"/>
  <c r="C338" i="5"/>
  <c r="H338" i="5"/>
  <c r="D338" i="5"/>
  <c r="B338" i="5"/>
  <c r="R110" i="2"/>
  <c r="S110" i="2"/>
  <c r="L110" i="2"/>
  <c r="F110" i="2"/>
  <c r="M110" i="2"/>
  <c r="H110" i="2"/>
  <c r="O110" i="2"/>
  <c r="G110" i="2"/>
  <c r="N110" i="2"/>
  <c r="I110" i="2"/>
  <c r="R117" i="2"/>
  <c r="L117" i="2"/>
  <c r="I117" i="2"/>
  <c r="F117" i="2"/>
  <c r="H117" i="2"/>
  <c r="M117" i="2"/>
  <c r="S117" i="2"/>
  <c r="G117" i="2"/>
  <c r="N117" i="2"/>
  <c r="O117" i="2"/>
  <c r="B773" i="5"/>
  <c r="D773" i="5"/>
  <c r="C773" i="5"/>
  <c r="G773" i="5"/>
  <c r="H773" i="5"/>
  <c r="R421" i="2"/>
  <c r="G421" i="2"/>
  <c r="O421" i="2"/>
  <c r="I421" i="2"/>
  <c r="N421" i="2"/>
  <c r="L421" i="2"/>
  <c r="H421" i="2"/>
  <c r="F421" i="2"/>
  <c r="M421" i="2"/>
  <c r="S421" i="2"/>
  <c r="D842" i="5"/>
  <c r="H842" i="5"/>
  <c r="G842" i="5"/>
  <c r="B842" i="5"/>
  <c r="C842" i="5"/>
  <c r="R722" i="2"/>
  <c r="F722" i="2"/>
  <c r="S722" i="2"/>
  <c r="N722" i="2"/>
  <c r="H722" i="2"/>
  <c r="L722" i="2"/>
  <c r="O722" i="2"/>
  <c r="M722" i="2"/>
  <c r="G722" i="2"/>
  <c r="I722" i="2"/>
  <c r="R459" i="2"/>
  <c r="O459" i="2"/>
  <c r="F459" i="2"/>
  <c r="G459" i="2"/>
  <c r="L459" i="2"/>
  <c r="I459" i="2"/>
  <c r="N459" i="2"/>
  <c r="S459" i="2"/>
  <c r="H459" i="2"/>
  <c r="M459" i="2"/>
  <c r="O84" i="2"/>
  <c r="M84" i="2"/>
  <c r="L84" i="2"/>
  <c r="N84" i="2"/>
  <c r="F84" i="2"/>
  <c r="S84" i="2"/>
  <c r="R420" i="2"/>
  <c r="S420" i="2"/>
  <c r="M420" i="2"/>
  <c r="G420" i="2"/>
  <c r="O420" i="2"/>
  <c r="H420" i="2"/>
  <c r="F420" i="2"/>
  <c r="I420" i="2"/>
  <c r="L420" i="2"/>
  <c r="N420" i="2"/>
  <c r="R313" i="2"/>
  <c r="I313" i="2"/>
  <c r="G313" i="2"/>
  <c r="S313" i="2"/>
  <c r="O313" i="2"/>
  <c r="H313" i="2"/>
  <c r="F313" i="2"/>
  <c r="M313" i="2"/>
  <c r="N313" i="2"/>
  <c r="L313" i="2"/>
  <c r="G461" i="5"/>
  <c r="B461" i="5"/>
  <c r="H461" i="5"/>
  <c r="D461" i="5"/>
  <c r="C461" i="5"/>
  <c r="R750" i="2"/>
  <c r="O750" i="2"/>
  <c r="F750" i="2"/>
  <c r="L750" i="2"/>
  <c r="I750" i="2"/>
  <c r="N750" i="2"/>
  <c r="S750" i="2"/>
  <c r="G750" i="2"/>
  <c r="M750" i="2"/>
  <c r="H750" i="2"/>
  <c r="H391" i="5"/>
  <c r="C391" i="5"/>
  <c r="G391" i="5"/>
  <c r="B391" i="5"/>
  <c r="D391" i="5"/>
  <c r="R323" i="2"/>
  <c r="H323" i="2"/>
  <c r="I323" i="2"/>
  <c r="O323" i="2"/>
  <c r="M323" i="2"/>
  <c r="S323" i="2"/>
  <c r="F323" i="2"/>
  <c r="G323" i="2"/>
  <c r="L323" i="2"/>
  <c r="N323" i="2"/>
  <c r="C484" i="5"/>
  <c r="D484" i="5"/>
  <c r="H484" i="5"/>
  <c r="G484" i="5"/>
  <c r="B484" i="5"/>
  <c r="H901" i="5"/>
  <c r="G901" i="5"/>
  <c r="B901" i="5"/>
  <c r="D901" i="5"/>
  <c r="C901" i="5"/>
  <c r="H541" i="5"/>
  <c r="B541" i="5"/>
  <c r="G541" i="5"/>
  <c r="C541" i="5"/>
  <c r="D541" i="5"/>
  <c r="B950" i="5"/>
  <c r="G950" i="5"/>
  <c r="H950" i="5"/>
  <c r="D950" i="5"/>
  <c r="C950" i="5"/>
  <c r="D943" i="5"/>
  <c r="H943" i="5"/>
  <c r="C943" i="5"/>
  <c r="B943" i="5"/>
  <c r="G943" i="5"/>
  <c r="R703" i="2"/>
  <c r="H703" i="2"/>
  <c r="L703" i="2"/>
  <c r="I703" i="2"/>
  <c r="M703" i="2"/>
  <c r="F703" i="2"/>
  <c r="O703" i="2"/>
  <c r="S703" i="2"/>
  <c r="N703" i="2"/>
  <c r="G703" i="2"/>
  <c r="R392" i="2"/>
  <c r="I392" i="2"/>
  <c r="N392" i="2"/>
  <c r="H392" i="2"/>
  <c r="L392" i="2"/>
  <c r="F392" i="2"/>
  <c r="O392" i="2"/>
  <c r="M392" i="2"/>
  <c r="S392" i="2"/>
  <c r="G392" i="2"/>
  <c r="R918" i="2"/>
  <c r="L918" i="2"/>
  <c r="S918" i="2"/>
  <c r="G918" i="2"/>
  <c r="O918" i="2"/>
  <c r="I918" i="2"/>
  <c r="M918" i="2"/>
  <c r="N918" i="2"/>
  <c r="H918" i="2"/>
  <c r="F918" i="2"/>
  <c r="R454" i="2"/>
  <c r="L454" i="2"/>
  <c r="H454" i="2"/>
  <c r="S454" i="2"/>
  <c r="I454" i="2"/>
  <c r="M454" i="2"/>
  <c r="G454" i="2"/>
  <c r="N454" i="2"/>
  <c r="F454" i="2"/>
  <c r="O454" i="2"/>
  <c r="B12" i="5"/>
  <c r="C640" i="5"/>
  <c r="H640" i="5"/>
  <c r="B640" i="5"/>
  <c r="D640" i="5"/>
  <c r="G640" i="5"/>
  <c r="B234" i="5"/>
  <c r="G234" i="5"/>
  <c r="H234" i="5"/>
  <c r="C234" i="5"/>
  <c r="D234" i="5"/>
  <c r="H891" i="5"/>
  <c r="G891" i="5"/>
  <c r="C891" i="5"/>
  <c r="B891" i="5"/>
  <c r="D891" i="5"/>
  <c r="R742" i="2"/>
  <c r="I742" i="2"/>
  <c r="H742" i="2"/>
  <c r="O742" i="2"/>
  <c r="L742" i="2"/>
  <c r="G742" i="2"/>
  <c r="M742" i="2"/>
  <c r="N742" i="2"/>
  <c r="S742" i="2"/>
  <c r="F742" i="2"/>
  <c r="R733" i="2"/>
  <c r="L733" i="2"/>
  <c r="G733" i="2"/>
  <c r="I733" i="2"/>
  <c r="F733" i="2"/>
  <c r="N733" i="2"/>
  <c r="M733" i="2"/>
  <c r="H733" i="2"/>
  <c r="O733" i="2"/>
  <c r="S733" i="2"/>
  <c r="R151" i="2"/>
  <c r="I151" i="2"/>
  <c r="O151" i="2"/>
  <c r="H151" i="2"/>
  <c r="L151" i="2"/>
  <c r="G151" i="2"/>
  <c r="S151" i="2"/>
  <c r="M151" i="2"/>
  <c r="N151" i="2"/>
  <c r="F151" i="2"/>
  <c r="R422" i="2"/>
  <c r="O422" i="2"/>
  <c r="L422" i="2"/>
  <c r="G422" i="2"/>
  <c r="S422" i="2"/>
  <c r="F422" i="2"/>
  <c r="H422" i="2"/>
  <c r="N422" i="2"/>
  <c r="I422" i="2"/>
  <c r="M422" i="2"/>
  <c r="R855" i="2"/>
  <c r="S855" i="2"/>
  <c r="F855" i="2"/>
  <c r="G855" i="2"/>
  <c r="H855" i="2"/>
  <c r="O855" i="2"/>
  <c r="N855" i="2"/>
  <c r="L855" i="2"/>
  <c r="M855" i="2"/>
  <c r="I855" i="2"/>
  <c r="R557" i="2"/>
  <c r="L557" i="2"/>
  <c r="S557" i="2"/>
  <c r="I557" i="2"/>
  <c r="G557" i="2"/>
  <c r="F557" i="2"/>
  <c r="N557" i="2"/>
  <c r="O557" i="2"/>
  <c r="H557" i="2"/>
  <c r="M557" i="2"/>
  <c r="R886" i="2"/>
  <c r="G886" i="2"/>
  <c r="N886" i="2"/>
  <c r="I886" i="2"/>
  <c r="H886" i="2"/>
  <c r="F886" i="2"/>
  <c r="L886" i="2"/>
  <c r="O886" i="2"/>
  <c r="S886" i="2"/>
  <c r="M886" i="2"/>
  <c r="F72" i="2"/>
  <c r="N72" i="2"/>
  <c r="O72" i="2"/>
  <c r="S72" i="2"/>
  <c r="L72" i="2"/>
  <c r="M72" i="2"/>
  <c r="R289" i="2"/>
  <c r="I289" i="2"/>
  <c r="N289" i="2"/>
  <c r="M289" i="2"/>
  <c r="F289" i="2"/>
  <c r="S289" i="2"/>
  <c r="G289" i="2"/>
  <c r="L289" i="2"/>
  <c r="H289" i="2"/>
  <c r="O289" i="2"/>
  <c r="R353" i="2"/>
  <c r="L353" i="2"/>
  <c r="S353" i="2"/>
  <c r="O353" i="2"/>
  <c r="I353" i="2"/>
  <c r="M353" i="2"/>
  <c r="H353" i="2"/>
  <c r="F353" i="2"/>
  <c r="N353" i="2"/>
  <c r="G353" i="2"/>
  <c r="R495" i="2"/>
  <c r="O495" i="2"/>
  <c r="N495" i="2"/>
  <c r="L495" i="2"/>
  <c r="S495" i="2"/>
  <c r="I495" i="2"/>
  <c r="F495" i="2"/>
  <c r="M495" i="2"/>
  <c r="G495" i="2"/>
  <c r="H495" i="2"/>
  <c r="R188" i="2"/>
  <c r="O188" i="2"/>
  <c r="F188" i="2"/>
  <c r="N188" i="2"/>
  <c r="H188" i="2"/>
  <c r="S188" i="2"/>
  <c r="G188" i="2"/>
  <c r="L188" i="2"/>
  <c r="I188" i="2"/>
  <c r="M188" i="2"/>
  <c r="R431" i="2"/>
  <c r="O431" i="2"/>
  <c r="S431" i="2"/>
  <c r="F431" i="2"/>
  <c r="M431" i="2"/>
  <c r="H431" i="2"/>
  <c r="N431" i="2"/>
  <c r="I431" i="2"/>
  <c r="G431" i="2"/>
  <c r="L431" i="2"/>
  <c r="R358" i="2"/>
  <c r="M358" i="2"/>
  <c r="O358" i="2"/>
  <c r="G358" i="2"/>
  <c r="N358" i="2"/>
  <c r="H358" i="2"/>
  <c r="F358" i="2"/>
  <c r="I358" i="2"/>
  <c r="L358" i="2"/>
  <c r="S358" i="2"/>
  <c r="R727" i="2"/>
  <c r="H727" i="2"/>
  <c r="O727" i="2"/>
  <c r="I727" i="2"/>
  <c r="L727" i="2"/>
  <c r="N727" i="2"/>
  <c r="M727" i="2"/>
  <c r="F727" i="2"/>
  <c r="G727" i="2"/>
  <c r="S727" i="2"/>
  <c r="O47" i="2"/>
  <c r="S47" i="2"/>
  <c r="F47" i="2"/>
  <c r="M47" i="2"/>
  <c r="L47" i="2"/>
  <c r="N47" i="2"/>
  <c r="R416" i="2"/>
  <c r="H416" i="2"/>
  <c r="I416" i="2"/>
  <c r="S416" i="2"/>
  <c r="F416" i="2"/>
  <c r="L416" i="2"/>
  <c r="N416" i="2"/>
  <c r="M416" i="2"/>
  <c r="G416" i="2"/>
  <c r="O416" i="2"/>
  <c r="R182" i="2"/>
  <c r="O182" i="2"/>
  <c r="H182" i="2"/>
  <c r="G182" i="2"/>
  <c r="M182" i="2"/>
  <c r="L182" i="2"/>
  <c r="I182" i="2"/>
  <c r="N182" i="2"/>
  <c r="F182" i="2"/>
  <c r="S182" i="2"/>
  <c r="R447" i="2"/>
  <c r="I447" i="2"/>
  <c r="H447" i="2"/>
  <c r="S447" i="2"/>
  <c r="O447" i="2"/>
  <c r="N447" i="2"/>
  <c r="L447" i="2"/>
  <c r="F447" i="2"/>
  <c r="G447" i="2"/>
  <c r="M447" i="2"/>
  <c r="R648" i="2"/>
  <c r="S648" i="2"/>
  <c r="H648" i="2"/>
  <c r="O648" i="2"/>
  <c r="L648" i="2"/>
  <c r="M648" i="2"/>
  <c r="N648" i="2"/>
  <c r="I648" i="2"/>
  <c r="G648" i="2"/>
  <c r="F648" i="2"/>
  <c r="R865" i="2"/>
  <c r="F865" i="2"/>
  <c r="N865" i="2"/>
  <c r="M865" i="2"/>
  <c r="L865" i="2"/>
  <c r="H865" i="2"/>
  <c r="I865" i="2"/>
  <c r="O865" i="2"/>
  <c r="S865" i="2"/>
  <c r="G865" i="2"/>
  <c r="R929" i="2"/>
  <c r="F929" i="2"/>
  <c r="O929" i="2"/>
  <c r="I929" i="2"/>
  <c r="M929" i="2"/>
  <c r="L929" i="2"/>
  <c r="G929" i="2"/>
  <c r="N929" i="2"/>
  <c r="H929" i="2"/>
  <c r="S929" i="2"/>
  <c r="N30" i="2"/>
  <c r="O30" i="2"/>
  <c r="F30" i="2"/>
  <c r="S30" i="2"/>
  <c r="L30" i="2"/>
  <c r="M30" i="2"/>
  <c r="R700" i="2"/>
  <c r="G700" i="2"/>
  <c r="S700" i="2"/>
  <c r="F700" i="2"/>
  <c r="M700" i="2"/>
  <c r="N700" i="2"/>
  <c r="I700" i="2"/>
  <c r="O700" i="2"/>
  <c r="H700" i="2"/>
  <c r="L700" i="2"/>
  <c r="C870" i="5"/>
  <c r="D870" i="5"/>
  <c r="H870" i="5"/>
  <c r="G870" i="5"/>
  <c r="B870" i="5"/>
  <c r="C750" i="5"/>
  <c r="B750" i="5"/>
  <c r="H750" i="5"/>
  <c r="D750" i="5"/>
  <c r="G750" i="5"/>
  <c r="R850" i="2"/>
  <c r="S850" i="2"/>
  <c r="L850" i="2"/>
  <c r="N850" i="2"/>
  <c r="M850" i="2"/>
  <c r="G850" i="2"/>
  <c r="O850" i="2"/>
  <c r="I850" i="2"/>
  <c r="H850" i="2"/>
  <c r="F850" i="2"/>
  <c r="D355" i="5"/>
  <c r="C355" i="5"/>
  <c r="B355" i="5"/>
  <c r="G355" i="5"/>
  <c r="H355" i="5"/>
  <c r="R366" i="2"/>
  <c r="G366" i="2"/>
  <c r="S366" i="2"/>
  <c r="O366" i="2"/>
  <c r="M366" i="2"/>
  <c r="F366" i="2"/>
  <c r="H366" i="2"/>
  <c r="L366" i="2"/>
  <c r="I366" i="2"/>
  <c r="N366" i="2"/>
  <c r="R531" i="2"/>
  <c r="H531" i="2"/>
  <c r="N531" i="2"/>
  <c r="G531" i="2"/>
  <c r="I531" i="2"/>
  <c r="L531" i="2"/>
  <c r="O531" i="2"/>
  <c r="S531" i="2"/>
  <c r="F531" i="2"/>
  <c r="M531" i="2"/>
  <c r="R625" i="2"/>
  <c r="O625" i="2"/>
  <c r="S625" i="2"/>
  <c r="F625" i="2"/>
  <c r="H625" i="2"/>
  <c r="L625" i="2"/>
  <c r="I625" i="2"/>
  <c r="N625" i="2"/>
  <c r="G625" i="2"/>
  <c r="M625" i="2"/>
  <c r="R156" i="2"/>
  <c r="H156" i="2"/>
  <c r="F156" i="2"/>
  <c r="N156" i="2"/>
  <c r="S156" i="2"/>
  <c r="L156" i="2"/>
  <c r="M156" i="2"/>
  <c r="I156" i="2"/>
  <c r="G156" i="2"/>
  <c r="O156" i="2"/>
  <c r="R771" i="2"/>
  <c r="S771" i="2"/>
  <c r="L771" i="2"/>
  <c r="F771" i="2"/>
  <c r="G771" i="2"/>
  <c r="I771" i="2"/>
  <c r="O771" i="2"/>
  <c r="N771" i="2"/>
  <c r="M771" i="2"/>
  <c r="H771" i="2"/>
  <c r="R263" i="2"/>
  <c r="L263" i="2"/>
  <c r="G263" i="2"/>
  <c r="S263" i="2"/>
  <c r="H263" i="2"/>
  <c r="I263" i="2"/>
  <c r="F263" i="2"/>
  <c r="M263" i="2"/>
  <c r="N263" i="2"/>
  <c r="O263" i="2"/>
  <c r="R464" i="2"/>
  <c r="O464" i="2"/>
  <c r="M464" i="2"/>
  <c r="F464" i="2"/>
  <c r="I464" i="2"/>
  <c r="N464" i="2"/>
  <c r="L464" i="2"/>
  <c r="S464" i="2"/>
  <c r="H464" i="2"/>
  <c r="G464" i="2"/>
  <c r="R729" i="2"/>
  <c r="O729" i="2"/>
  <c r="L729" i="2"/>
  <c r="S729" i="2"/>
  <c r="M729" i="2"/>
  <c r="G729" i="2"/>
  <c r="F729" i="2"/>
  <c r="I729" i="2"/>
  <c r="H729" i="2"/>
  <c r="N729" i="2"/>
  <c r="M23" i="2"/>
  <c r="S23" i="2"/>
  <c r="O23" i="2"/>
  <c r="N23" i="2"/>
  <c r="L23" i="2"/>
  <c r="F23" i="2"/>
  <c r="N87" i="2"/>
  <c r="O87" i="2"/>
  <c r="L87" i="2"/>
  <c r="S87" i="2"/>
  <c r="M87" i="2"/>
  <c r="F87" i="2"/>
  <c r="R476" i="2"/>
  <c r="H476" i="2"/>
  <c r="G476" i="2"/>
  <c r="L476" i="2"/>
  <c r="N476" i="2"/>
  <c r="S476" i="2"/>
  <c r="M476" i="2"/>
  <c r="F476" i="2"/>
  <c r="I476" i="2"/>
  <c r="O476" i="2"/>
  <c r="R297" i="2"/>
  <c r="O297" i="2"/>
  <c r="L297" i="2"/>
  <c r="S297" i="2"/>
  <c r="I297" i="2"/>
  <c r="N297" i="2"/>
  <c r="G297" i="2"/>
  <c r="M297" i="2"/>
  <c r="H297" i="2"/>
  <c r="F297" i="2"/>
  <c r="R948" i="2"/>
  <c r="F948" i="2"/>
  <c r="G948" i="2"/>
  <c r="S948" i="2"/>
  <c r="O948" i="2"/>
  <c r="H948" i="2"/>
  <c r="I948" i="2"/>
  <c r="L948" i="2"/>
  <c r="N948" i="2"/>
  <c r="M948" i="2"/>
  <c r="R262" i="2"/>
  <c r="G262" i="2"/>
  <c r="F262" i="2"/>
  <c r="H262" i="2"/>
  <c r="O262" i="2"/>
  <c r="M262" i="2"/>
  <c r="S262" i="2"/>
  <c r="N262" i="2"/>
  <c r="I262" i="2"/>
  <c r="L262" i="2"/>
  <c r="R463" i="2"/>
  <c r="H463" i="2"/>
  <c r="I463" i="2"/>
  <c r="G463" i="2"/>
  <c r="M463" i="2"/>
  <c r="F463" i="2"/>
  <c r="O463" i="2"/>
  <c r="S463" i="2"/>
  <c r="N463" i="2"/>
  <c r="L463" i="2"/>
  <c r="R433" i="2"/>
  <c r="L433" i="2"/>
  <c r="M433" i="2"/>
  <c r="G433" i="2"/>
  <c r="N433" i="2"/>
  <c r="F433" i="2"/>
  <c r="H433" i="2"/>
  <c r="I433" i="2"/>
  <c r="S433" i="2"/>
  <c r="O433" i="2"/>
  <c r="R561" i="2"/>
  <c r="N561" i="2"/>
  <c r="I561" i="2"/>
  <c r="H561" i="2"/>
  <c r="M561" i="2"/>
  <c r="L561" i="2"/>
  <c r="F561" i="2"/>
  <c r="O561" i="2"/>
  <c r="G561" i="2"/>
  <c r="S561" i="2"/>
  <c r="R585" i="2"/>
  <c r="N585" i="2"/>
  <c r="I585" i="2"/>
  <c r="O585" i="2"/>
  <c r="M585" i="2"/>
  <c r="G585" i="2"/>
  <c r="F585" i="2"/>
  <c r="L585" i="2"/>
  <c r="S585" i="2"/>
  <c r="H585" i="2"/>
  <c r="R524" i="2"/>
  <c r="S524" i="2"/>
  <c r="L524" i="2"/>
  <c r="I524" i="2"/>
  <c r="O524" i="2"/>
  <c r="H524" i="2"/>
  <c r="N524" i="2"/>
  <c r="F524" i="2"/>
  <c r="M524" i="2"/>
  <c r="G524" i="2"/>
  <c r="B962" i="5"/>
  <c r="G962" i="5"/>
  <c r="C962" i="5"/>
  <c r="D962" i="5"/>
  <c r="H962" i="5"/>
  <c r="H101" i="5"/>
  <c r="C101" i="5"/>
  <c r="B101" i="5"/>
  <c r="D101" i="5"/>
  <c r="G101" i="5"/>
  <c r="R180" i="2"/>
  <c r="O180" i="2"/>
  <c r="M180" i="2"/>
  <c r="H180" i="2"/>
  <c r="N180" i="2"/>
  <c r="S180" i="2"/>
  <c r="G180" i="2"/>
  <c r="L180" i="2"/>
  <c r="I180" i="2"/>
  <c r="F180" i="2"/>
  <c r="H267" i="5"/>
  <c r="C267" i="5"/>
  <c r="B267" i="5"/>
  <c r="D267" i="5"/>
  <c r="G267" i="5"/>
  <c r="R820" i="2"/>
  <c r="N820" i="2"/>
  <c r="H820" i="2"/>
  <c r="G820" i="2"/>
  <c r="S820" i="2"/>
  <c r="O820" i="2"/>
  <c r="I820" i="2"/>
  <c r="F820" i="2"/>
  <c r="L820" i="2"/>
  <c r="M820" i="2"/>
  <c r="R415" i="2"/>
  <c r="L415" i="2"/>
  <c r="G415" i="2"/>
  <c r="H415" i="2"/>
  <c r="M415" i="2"/>
  <c r="F415" i="2"/>
  <c r="I415" i="2"/>
  <c r="O415" i="2"/>
  <c r="N415" i="2"/>
  <c r="S415" i="2"/>
  <c r="R104" i="2"/>
  <c r="G104" i="2"/>
  <c r="S104" i="2"/>
  <c r="N104" i="2"/>
  <c r="H104" i="2"/>
  <c r="F104" i="2"/>
  <c r="O104" i="2"/>
  <c r="I104" i="2"/>
  <c r="M104" i="2"/>
  <c r="L104" i="2"/>
  <c r="R305" i="2"/>
  <c r="I305" i="2"/>
  <c r="M305" i="2"/>
  <c r="F305" i="2"/>
  <c r="O305" i="2"/>
  <c r="L305" i="2"/>
  <c r="G305" i="2"/>
  <c r="N305" i="2"/>
  <c r="S305" i="2"/>
  <c r="H305" i="2"/>
  <c r="O76" i="2"/>
  <c r="L76" i="2"/>
  <c r="S76" i="2"/>
  <c r="N76" i="2"/>
  <c r="F76" i="2"/>
  <c r="M76" i="2"/>
  <c r="R382" i="2"/>
  <c r="S382" i="2"/>
  <c r="H382" i="2"/>
  <c r="G382" i="2"/>
  <c r="I382" i="2"/>
  <c r="N382" i="2"/>
  <c r="F382" i="2"/>
  <c r="M382" i="2"/>
  <c r="O382" i="2"/>
  <c r="L382" i="2"/>
  <c r="D932" i="5"/>
  <c r="H932" i="5"/>
  <c r="B932" i="5"/>
  <c r="G932" i="5"/>
  <c r="C932" i="5"/>
  <c r="S90" i="2"/>
  <c r="N90" i="2"/>
  <c r="F90" i="2"/>
  <c r="O90" i="2"/>
  <c r="M90" i="2"/>
  <c r="L90" i="2"/>
  <c r="R633" i="2"/>
  <c r="I633" i="2"/>
  <c r="H633" i="2"/>
  <c r="O633" i="2"/>
  <c r="G633" i="2"/>
  <c r="N633" i="2"/>
  <c r="S633" i="2"/>
  <c r="L633" i="2"/>
  <c r="M633" i="2"/>
  <c r="F633" i="2"/>
  <c r="R261" i="2"/>
  <c r="N261" i="2"/>
  <c r="G261" i="2"/>
  <c r="M261" i="2"/>
  <c r="O261" i="2"/>
  <c r="F261" i="2"/>
  <c r="H261" i="2"/>
  <c r="L261" i="2"/>
  <c r="I261" i="2"/>
  <c r="S261" i="2"/>
  <c r="R325" i="2"/>
  <c r="M325" i="2"/>
  <c r="F325" i="2"/>
  <c r="S325" i="2"/>
  <c r="G325" i="2"/>
  <c r="H325" i="2"/>
  <c r="O325" i="2"/>
  <c r="L325" i="2"/>
  <c r="N325" i="2"/>
  <c r="I325" i="2"/>
  <c r="R810" i="2"/>
  <c r="F810" i="2"/>
  <c r="L810" i="2"/>
  <c r="O810" i="2"/>
  <c r="I810" i="2"/>
  <c r="N810" i="2"/>
  <c r="M810" i="2"/>
  <c r="G810" i="2"/>
  <c r="H810" i="2"/>
  <c r="S810" i="2"/>
  <c r="R791" i="2"/>
  <c r="O791" i="2"/>
  <c r="L791" i="2"/>
  <c r="F791" i="2"/>
  <c r="G791" i="2"/>
  <c r="S791" i="2"/>
  <c r="I791" i="2"/>
  <c r="H791" i="2"/>
  <c r="M791" i="2"/>
  <c r="N791" i="2"/>
  <c r="R731" i="2"/>
  <c r="L731" i="2"/>
  <c r="N731" i="2"/>
  <c r="I731" i="2"/>
  <c r="O731" i="2"/>
  <c r="S731" i="2"/>
  <c r="M731" i="2"/>
  <c r="F731" i="2"/>
  <c r="G731" i="2"/>
  <c r="H731" i="2"/>
  <c r="R307" i="2"/>
  <c r="H307" i="2"/>
  <c r="M307" i="2"/>
  <c r="L307" i="2"/>
  <c r="O307" i="2"/>
  <c r="I307" i="2"/>
  <c r="N307" i="2"/>
  <c r="S307" i="2"/>
  <c r="F307" i="2"/>
  <c r="G307" i="2"/>
  <c r="R401" i="2"/>
  <c r="N401" i="2"/>
  <c r="M401" i="2"/>
  <c r="S401" i="2"/>
  <c r="F401" i="2"/>
  <c r="H401" i="2"/>
  <c r="O401" i="2"/>
  <c r="G401" i="2"/>
  <c r="L401" i="2"/>
  <c r="I401" i="2"/>
  <c r="B849" i="5"/>
  <c r="D849" i="5"/>
  <c r="C849" i="5"/>
  <c r="G849" i="5"/>
  <c r="H849" i="5"/>
  <c r="D627" i="5"/>
  <c r="G627" i="5"/>
  <c r="H627" i="5"/>
  <c r="B627" i="5"/>
  <c r="C627" i="5"/>
  <c r="R713" i="2"/>
  <c r="O713" i="2"/>
  <c r="I713" i="2"/>
  <c r="S713" i="2"/>
  <c r="H713" i="2"/>
  <c r="M713" i="2"/>
  <c r="N713" i="2"/>
  <c r="L713" i="2"/>
  <c r="G713" i="2"/>
  <c r="F713" i="2"/>
  <c r="C639" i="5"/>
  <c r="D639" i="5"/>
  <c r="G639" i="5"/>
  <c r="H639" i="5"/>
  <c r="B639" i="5"/>
  <c r="R347" i="2"/>
  <c r="I347" i="2"/>
  <c r="H347" i="2"/>
  <c r="N347" i="2"/>
  <c r="O347" i="2"/>
  <c r="G347" i="2"/>
  <c r="F347" i="2"/>
  <c r="S347" i="2"/>
  <c r="M347" i="2"/>
  <c r="L347" i="2"/>
  <c r="G826" i="5"/>
  <c r="B826" i="5"/>
  <c r="D826" i="5"/>
  <c r="C826" i="5"/>
  <c r="H826" i="5"/>
  <c r="D322" i="5"/>
  <c r="B322" i="5"/>
  <c r="H322" i="5"/>
  <c r="G322" i="5"/>
  <c r="C322" i="5"/>
  <c r="R150" i="2"/>
  <c r="N150" i="2"/>
  <c r="F150" i="2"/>
  <c r="M150" i="2"/>
  <c r="I150" i="2"/>
  <c r="G150" i="2"/>
  <c r="L150" i="2"/>
  <c r="S150" i="2"/>
  <c r="O150" i="2"/>
  <c r="H150" i="2"/>
  <c r="R370" i="2"/>
  <c r="S370" i="2"/>
  <c r="L370" i="2"/>
  <c r="M370" i="2"/>
  <c r="O370" i="2"/>
  <c r="I370" i="2"/>
  <c r="H370" i="2"/>
  <c r="G370" i="2"/>
  <c r="N370" i="2"/>
  <c r="F370" i="2"/>
  <c r="G291" i="5"/>
  <c r="H291" i="5"/>
  <c r="D291" i="5"/>
  <c r="C291" i="5"/>
  <c r="B291" i="5"/>
  <c r="R276" i="2"/>
  <c r="G276" i="2"/>
  <c r="H276" i="2"/>
  <c r="I276" i="2"/>
  <c r="N276" i="2"/>
  <c r="M276" i="2"/>
  <c r="L276" i="2"/>
  <c r="O276" i="2"/>
  <c r="F276" i="2"/>
  <c r="S276" i="2"/>
  <c r="G179" i="5"/>
  <c r="B179" i="5"/>
  <c r="D179" i="5"/>
  <c r="C179" i="5"/>
  <c r="H179" i="5"/>
  <c r="R784" i="2"/>
  <c r="S784" i="2"/>
  <c r="L784" i="2"/>
  <c r="H784" i="2"/>
  <c r="I784" i="2"/>
  <c r="G784" i="2"/>
  <c r="O784" i="2"/>
  <c r="N784" i="2"/>
  <c r="F784" i="2"/>
  <c r="M784" i="2"/>
  <c r="R409" i="2"/>
  <c r="F409" i="2"/>
  <c r="H409" i="2"/>
  <c r="S409" i="2"/>
  <c r="L409" i="2"/>
  <c r="G409" i="2"/>
  <c r="O409" i="2"/>
  <c r="M409" i="2"/>
  <c r="N409" i="2"/>
  <c r="I409" i="2"/>
  <c r="R423" i="2"/>
  <c r="O423" i="2"/>
  <c r="S423" i="2"/>
  <c r="G423" i="2"/>
  <c r="N423" i="2"/>
  <c r="H423" i="2"/>
  <c r="F423" i="2"/>
  <c r="M423" i="2"/>
  <c r="L423" i="2"/>
  <c r="I423" i="2"/>
  <c r="R425" i="2"/>
  <c r="L425" i="2"/>
  <c r="S425" i="2"/>
  <c r="I425" i="2"/>
  <c r="F425" i="2"/>
  <c r="M425" i="2"/>
  <c r="H425" i="2"/>
  <c r="O425" i="2"/>
  <c r="N425" i="2"/>
  <c r="G425" i="2"/>
  <c r="D829" i="5"/>
  <c r="H829" i="5"/>
  <c r="C829" i="5"/>
  <c r="B829" i="5"/>
  <c r="G829" i="5"/>
  <c r="B344" i="5"/>
  <c r="G344" i="5"/>
  <c r="D344" i="5"/>
  <c r="C344" i="5"/>
  <c r="H344" i="5"/>
  <c r="G409" i="5"/>
  <c r="D409" i="5"/>
  <c r="H409" i="5"/>
  <c r="B409" i="5"/>
  <c r="C409" i="5"/>
  <c r="C350" i="5"/>
  <c r="H350" i="5"/>
  <c r="G350" i="5"/>
  <c r="D350" i="5"/>
  <c r="B350" i="5"/>
  <c r="C359" i="5"/>
  <c r="G359" i="5"/>
  <c r="D359" i="5"/>
  <c r="B359" i="5"/>
  <c r="H359" i="5"/>
  <c r="B373" i="5"/>
  <c r="H373" i="5"/>
  <c r="D373" i="5"/>
  <c r="C373" i="5"/>
  <c r="G373" i="5"/>
  <c r="B440" i="5"/>
  <c r="C440" i="5"/>
  <c r="H440" i="5"/>
  <c r="G440" i="5"/>
  <c r="D440" i="5"/>
  <c r="R824" i="2"/>
  <c r="G824" i="2"/>
  <c r="I824" i="2"/>
  <c r="N824" i="2"/>
  <c r="L824" i="2"/>
  <c r="S824" i="2"/>
  <c r="O824" i="2"/>
  <c r="F824" i="2"/>
  <c r="H824" i="2"/>
  <c r="M824" i="2"/>
  <c r="C743" i="5"/>
  <c r="H743" i="5"/>
  <c r="G743" i="5"/>
  <c r="D743" i="5"/>
  <c r="B743" i="5"/>
  <c r="R690" i="2"/>
  <c r="L690" i="2"/>
  <c r="S690" i="2"/>
  <c r="F690" i="2"/>
  <c r="G690" i="2"/>
  <c r="N690" i="2"/>
  <c r="I690" i="2"/>
  <c r="O690" i="2"/>
  <c r="M690" i="2"/>
  <c r="H690" i="2"/>
  <c r="R796" i="2"/>
  <c r="S796" i="2"/>
  <c r="N796" i="2"/>
  <c r="I796" i="2"/>
  <c r="L796" i="2"/>
  <c r="F796" i="2"/>
  <c r="H796" i="2"/>
  <c r="M796" i="2"/>
  <c r="O796" i="2"/>
  <c r="G796" i="2"/>
  <c r="R818" i="2"/>
  <c r="I818" i="2"/>
  <c r="O818" i="2"/>
  <c r="M818" i="2"/>
  <c r="N818" i="2"/>
  <c r="S818" i="2"/>
  <c r="F818" i="2"/>
  <c r="H818" i="2"/>
  <c r="L818" i="2"/>
  <c r="G818" i="2"/>
  <c r="R252" i="2"/>
  <c r="H252" i="2"/>
  <c r="S252" i="2"/>
  <c r="F252" i="2"/>
  <c r="L252" i="2"/>
  <c r="N252" i="2"/>
  <c r="I252" i="2"/>
  <c r="G252" i="2"/>
  <c r="M252" i="2"/>
  <c r="O252" i="2"/>
  <c r="R892" i="2"/>
  <c r="G892" i="2"/>
  <c r="I892" i="2"/>
  <c r="S892" i="2"/>
  <c r="O892" i="2"/>
  <c r="H892" i="2"/>
  <c r="M892" i="2"/>
  <c r="L892" i="2"/>
  <c r="F892" i="2"/>
  <c r="N892" i="2"/>
  <c r="R299" i="2"/>
  <c r="L299" i="2"/>
  <c r="S299" i="2"/>
  <c r="O299" i="2"/>
  <c r="H299" i="2"/>
  <c r="I299" i="2"/>
  <c r="G299" i="2"/>
  <c r="M299" i="2"/>
  <c r="F299" i="2"/>
  <c r="N299" i="2"/>
  <c r="S51" i="2"/>
  <c r="M51" i="2"/>
  <c r="L51" i="2"/>
  <c r="F51" i="2"/>
  <c r="O51" i="2"/>
  <c r="N51" i="2"/>
  <c r="G709" i="5"/>
  <c r="C709" i="5"/>
  <c r="H709" i="5"/>
  <c r="B709" i="5"/>
  <c r="D709" i="5"/>
  <c r="R895" i="2"/>
  <c r="H895" i="2"/>
  <c r="I895" i="2"/>
  <c r="L895" i="2"/>
  <c r="G895" i="2"/>
  <c r="O895" i="2"/>
  <c r="N895" i="2"/>
  <c r="M895" i="2"/>
  <c r="F895" i="2"/>
  <c r="S895" i="2"/>
  <c r="D538" i="5"/>
  <c r="B538" i="5"/>
  <c r="G538" i="5"/>
  <c r="C538" i="5"/>
  <c r="H538" i="5"/>
  <c r="R845" i="2"/>
  <c r="H845" i="2"/>
  <c r="N845" i="2"/>
  <c r="G845" i="2"/>
  <c r="F845" i="2"/>
  <c r="O845" i="2"/>
  <c r="M845" i="2"/>
  <c r="I845" i="2"/>
  <c r="L845" i="2"/>
  <c r="S845" i="2"/>
  <c r="R912" i="2"/>
  <c r="G912" i="2"/>
  <c r="F912" i="2"/>
  <c r="N912" i="2"/>
  <c r="I912" i="2"/>
  <c r="L912" i="2"/>
  <c r="O912" i="2"/>
  <c r="M912" i="2"/>
  <c r="H912" i="2"/>
  <c r="S912" i="2"/>
  <c r="B414" i="5"/>
  <c r="H414" i="5"/>
  <c r="D414" i="5"/>
  <c r="C414" i="5"/>
  <c r="G414" i="5"/>
  <c r="H896" i="5"/>
  <c r="C896" i="5"/>
  <c r="D896" i="5"/>
  <c r="G896" i="5"/>
  <c r="B896" i="5"/>
  <c r="R668" i="2"/>
  <c r="O668" i="2"/>
  <c r="M668" i="2"/>
  <c r="L668" i="2"/>
  <c r="S668" i="2"/>
  <c r="G668" i="2"/>
  <c r="H668" i="2"/>
  <c r="I668" i="2"/>
  <c r="N668" i="2"/>
  <c r="F668" i="2"/>
  <c r="R293" i="2"/>
  <c r="M293" i="2"/>
  <c r="S293" i="2"/>
  <c r="F293" i="2"/>
  <c r="H293" i="2"/>
  <c r="O293" i="2"/>
  <c r="I293" i="2"/>
  <c r="G293" i="2"/>
  <c r="N293" i="2"/>
  <c r="L293" i="2"/>
  <c r="R372" i="2"/>
  <c r="G372" i="2"/>
  <c r="L372" i="2"/>
  <c r="I372" i="2"/>
  <c r="O372" i="2"/>
  <c r="S372" i="2"/>
  <c r="M372" i="2"/>
  <c r="F372" i="2"/>
  <c r="H372" i="2"/>
  <c r="N372" i="2"/>
  <c r="R140" i="2"/>
  <c r="H140" i="2"/>
  <c r="S140" i="2"/>
  <c r="M140" i="2"/>
  <c r="L140" i="2"/>
  <c r="I140" i="2"/>
  <c r="O140" i="2"/>
  <c r="N140" i="2"/>
  <c r="F140" i="2"/>
  <c r="G140" i="2"/>
  <c r="C966" i="5"/>
  <c r="H966" i="5"/>
  <c r="D966" i="5"/>
  <c r="G966" i="5"/>
  <c r="B966" i="5"/>
  <c r="R913" i="2"/>
  <c r="M913" i="2"/>
  <c r="G913" i="2"/>
  <c r="I913" i="2"/>
  <c r="H913" i="2"/>
  <c r="F913" i="2"/>
  <c r="O913" i="2"/>
  <c r="L913" i="2"/>
  <c r="S913" i="2"/>
  <c r="N913" i="2"/>
  <c r="R170" i="2"/>
  <c r="L170" i="2"/>
  <c r="N170" i="2"/>
  <c r="I170" i="2"/>
  <c r="H170" i="2"/>
  <c r="G170" i="2"/>
  <c r="F170" i="2"/>
  <c r="O170" i="2"/>
  <c r="M170" i="2"/>
  <c r="S170" i="2"/>
  <c r="G548" i="5"/>
  <c r="D548" i="5"/>
  <c r="C548" i="5"/>
  <c r="B548" i="5"/>
  <c r="H548" i="5"/>
  <c r="R148" i="2"/>
  <c r="M148" i="2"/>
  <c r="N148" i="2"/>
  <c r="H148" i="2"/>
  <c r="F148" i="2"/>
  <c r="I148" i="2"/>
  <c r="L148" i="2"/>
  <c r="G148" i="2"/>
  <c r="O148" i="2"/>
  <c r="S148" i="2"/>
  <c r="C197" i="5"/>
  <c r="H197" i="5"/>
  <c r="B197" i="5"/>
  <c r="G197" i="5"/>
  <c r="D197" i="5"/>
  <c r="D199" i="5"/>
  <c r="C199" i="5"/>
  <c r="H199" i="5"/>
  <c r="G199" i="5"/>
  <c r="B199" i="5"/>
  <c r="R678" i="2"/>
  <c r="S678" i="2"/>
  <c r="M678" i="2"/>
  <c r="L678" i="2"/>
  <c r="N678" i="2"/>
  <c r="F678" i="2"/>
  <c r="O678" i="2"/>
  <c r="I678" i="2"/>
  <c r="H678" i="2"/>
  <c r="G678" i="2"/>
  <c r="O75" i="2"/>
  <c r="M75" i="2"/>
  <c r="N75" i="2"/>
  <c r="F75" i="2"/>
  <c r="L75" i="2"/>
  <c r="S75" i="2"/>
  <c r="R756" i="2"/>
  <c r="O756" i="2"/>
  <c r="L756" i="2"/>
  <c r="S756" i="2"/>
  <c r="F756" i="2"/>
  <c r="G756" i="2"/>
  <c r="N756" i="2"/>
  <c r="H756" i="2"/>
  <c r="I756" i="2"/>
  <c r="M756" i="2"/>
  <c r="R381" i="2"/>
  <c r="M381" i="2"/>
  <c r="L381" i="2"/>
  <c r="S381" i="2"/>
  <c r="I381" i="2"/>
  <c r="N381" i="2"/>
  <c r="F381" i="2"/>
  <c r="O381" i="2"/>
  <c r="H381" i="2"/>
  <c r="G381" i="2"/>
  <c r="R310" i="2"/>
  <c r="O310" i="2"/>
  <c r="I310" i="2"/>
  <c r="L310" i="2"/>
  <c r="H310" i="2"/>
  <c r="S310" i="2"/>
  <c r="M310" i="2"/>
  <c r="F310" i="2"/>
  <c r="G310" i="2"/>
  <c r="N310" i="2"/>
  <c r="R167" i="2"/>
  <c r="O167" i="2"/>
  <c r="M167" i="2"/>
  <c r="H167" i="2"/>
  <c r="I167" i="2"/>
  <c r="L167" i="2"/>
  <c r="S167" i="2"/>
  <c r="G167" i="2"/>
  <c r="F167" i="2"/>
  <c r="N167" i="2"/>
  <c r="B588" i="5"/>
  <c r="G588" i="5"/>
  <c r="C588" i="5"/>
  <c r="D588" i="5"/>
  <c r="H588" i="5"/>
  <c r="B564" i="5"/>
  <c r="H564" i="5"/>
  <c r="D564" i="5"/>
  <c r="C564" i="5"/>
  <c r="G564" i="5"/>
  <c r="R675" i="2"/>
  <c r="N675" i="2"/>
  <c r="I675" i="2"/>
  <c r="G675" i="2"/>
  <c r="H675" i="2"/>
  <c r="L675" i="2"/>
  <c r="F675" i="2"/>
  <c r="O675" i="2"/>
  <c r="S675" i="2"/>
  <c r="M675" i="2"/>
  <c r="G298" i="5"/>
  <c r="B298" i="5"/>
  <c r="H298" i="5"/>
  <c r="D298" i="5"/>
  <c r="C298" i="5"/>
  <c r="R860" i="2"/>
  <c r="F860" i="2"/>
  <c r="M860" i="2"/>
  <c r="G860" i="2"/>
  <c r="N860" i="2"/>
  <c r="I860" i="2"/>
  <c r="H860" i="2"/>
  <c r="L860" i="2"/>
  <c r="S860" i="2"/>
  <c r="O860" i="2"/>
  <c r="R834" i="2"/>
  <c r="N834" i="2"/>
  <c r="M834" i="2"/>
  <c r="H834" i="2"/>
  <c r="F834" i="2"/>
  <c r="I834" i="2"/>
  <c r="G834" i="2"/>
  <c r="L834" i="2"/>
  <c r="S834" i="2"/>
  <c r="O834" i="2"/>
  <c r="R424" i="2"/>
  <c r="G424" i="2"/>
  <c r="S424" i="2"/>
  <c r="N424" i="2"/>
  <c r="O424" i="2"/>
  <c r="I424" i="2"/>
  <c r="H424" i="2"/>
  <c r="L424" i="2"/>
  <c r="M424" i="2"/>
  <c r="F424" i="2"/>
  <c r="R226" i="2"/>
  <c r="O226" i="2"/>
  <c r="N226" i="2"/>
  <c r="S226" i="2"/>
  <c r="L226" i="2"/>
  <c r="G226" i="2"/>
  <c r="I226" i="2"/>
  <c r="M226" i="2"/>
  <c r="F226" i="2"/>
  <c r="H226" i="2"/>
  <c r="R113" i="2"/>
  <c r="F113" i="2"/>
  <c r="M113" i="2"/>
  <c r="G113" i="2"/>
  <c r="L113" i="2"/>
  <c r="I113" i="2"/>
  <c r="S113" i="2"/>
  <c r="H113" i="2"/>
  <c r="N113" i="2"/>
  <c r="O113" i="2"/>
  <c r="M38" i="2"/>
  <c r="L38" i="2"/>
  <c r="S38" i="2"/>
  <c r="N38" i="2"/>
  <c r="F38" i="2"/>
  <c r="O38" i="2"/>
  <c r="R327" i="2"/>
  <c r="O327" i="2"/>
  <c r="G327" i="2"/>
  <c r="F327" i="2"/>
  <c r="S327" i="2"/>
  <c r="H327" i="2"/>
  <c r="N327" i="2"/>
  <c r="I327" i="2"/>
  <c r="L327" i="2"/>
  <c r="M327" i="2"/>
  <c r="R528" i="2"/>
  <c r="I528" i="2"/>
  <c r="L528" i="2"/>
  <c r="N528" i="2"/>
  <c r="H528" i="2"/>
  <c r="S528" i="2"/>
  <c r="F528" i="2"/>
  <c r="O528" i="2"/>
  <c r="M528" i="2"/>
  <c r="G528" i="2"/>
  <c r="R837" i="2"/>
  <c r="M837" i="2"/>
  <c r="O837" i="2"/>
  <c r="L837" i="2"/>
  <c r="F837" i="2"/>
  <c r="G837" i="2"/>
  <c r="S837" i="2"/>
  <c r="I837" i="2"/>
  <c r="N837" i="2"/>
  <c r="H837" i="2"/>
  <c r="R901" i="2"/>
  <c r="S901" i="2"/>
  <c r="I901" i="2"/>
  <c r="L901" i="2"/>
  <c r="H901" i="2"/>
  <c r="O901" i="2"/>
  <c r="G901" i="2"/>
  <c r="F901" i="2"/>
  <c r="N901" i="2"/>
  <c r="M901" i="2"/>
  <c r="R467" i="2"/>
  <c r="M467" i="2"/>
  <c r="G467" i="2"/>
  <c r="F467" i="2"/>
  <c r="S467" i="2"/>
  <c r="O467" i="2"/>
  <c r="I467" i="2"/>
  <c r="H467" i="2"/>
  <c r="N467" i="2"/>
  <c r="L467" i="2"/>
  <c r="R288" i="2"/>
  <c r="G288" i="2"/>
  <c r="O288" i="2"/>
  <c r="F288" i="2"/>
  <c r="M288" i="2"/>
  <c r="H288" i="2"/>
  <c r="I288" i="2"/>
  <c r="N288" i="2"/>
  <c r="S288" i="2"/>
  <c r="L288" i="2"/>
  <c r="R613" i="2"/>
  <c r="N613" i="2"/>
  <c r="H613" i="2"/>
  <c r="G613" i="2"/>
  <c r="M613" i="2"/>
  <c r="S613" i="2"/>
  <c r="I613" i="2"/>
  <c r="O613" i="2"/>
  <c r="F613" i="2"/>
  <c r="L613" i="2"/>
  <c r="R666" i="2"/>
  <c r="M666" i="2"/>
  <c r="H666" i="2"/>
  <c r="L666" i="2"/>
  <c r="I666" i="2"/>
  <c r="S666" i="2"/>
  <c r="O666" i="2"/>
  <c r="N666" i="2"/>
  <c r="F666" i="2"/>
  <c r="G666" i="2"/>
  <c r="S49" i="2"/>
  <c r="N49" i="2"/>
  <c r="O49" i="2"/>
  <c r="M49" i="2"/>
  <c r="L49" i="2"/>
  <c r="F49" i="2"/>
  <c r="R595" i="2"/>
  <c r="S595" i="2"/>
  <c r="I595" i="2"/>
  <c r="O595" i="2"/>
  <c r="L595" i="2"/>
  <c r="F595" i="2"/>
  <c r="H595" i="2"/>
  <c r="M595" i="2"/>
  <c r="N595" i="2"/>
  <c r="G595" i="2"/>
  <c r="R689" i="2"/>
  <c r="S689" i="2"/>
  <c r="H689" i="2"/>
  <c r="M689" i="2"/>
  <c r="I689" i="2"/>
  <c r="F689" i="2"/>
  <c r="G689" i="2"/>
  <c r="N689" i="2"/>
  <c r="O689" i="2"/>
  <c r="L689" i="2"/>
  <c r="R702" i="2"/>
  <c r="S702" i="2"/>
  <c r="L702" i="2"/>
  <c r="G702" i="2"/>
  <c r="I702" i="2"/>
  <c r="O702" i="2"/>
  <c r="F702" i="2"/>
  <c r="M702" i="2"/>
  <c r="N702" i="2"/>
  <c r="H702" i="2"/>
  <c r="R903" i="2"/>
  <c r="S903" i="2"/>
  <c r="L903" i="2"/>
  <c r="I903" i="2"/>
  <c r="N903" i="2"/>
  <c r="O903" i="2"/>
  <c r="G903" i="2"/>
  <c r="F903" i="2"/>
  <c r="M903" i="2"/>
  <c r="H903" i="2"/>
  <c r="L89" i="2"/>
  <c r="F89" i="2"/>
  <c r="O89" i="2"/>
  <c r="M89" i="2"/>
  <c r="S89" i="2"/>
  <c r="N89" i="2"/>
  <c r="R462" i="2"/>
  <c r="G462" i="2"/>
  <c r="S462" i="2"/>
  <c r="I462" i="2"/>
  <c r="M462" i="2"/>
  <c r="O462" i="2"/>
  <c r="H462" i="2"/>
  <c r="F462" i="2"/>
  <c r="N462" i="2"/>
  <c r="L462" i="2"/>
  <c r="R526" i="2"/>
  <c r="L526" i="2"/>
  <c r="G526" i="2"/>
  <c r="S526" i="2"/>
  <c r="I526" i="2"/>
  <c r="O526" i="2"/>
  <c r="H526" i="2"/>
  <c r="M526" i="2"/>
  <c r="F526" i="2"/>
  <c r="N526" i="2"/>
  <c r="R979" i="2"/>
  <c r="N979" i="2"/>
  <c r="S979" i="2"/>
  <c r="G979" i="2"/>
  <c r="M979" i="2"/>
  <c r="F979" i="2"/>
  <c r="I979" i="2"/>
  <c r="O979" i="2"/>
  <c r="H979" i="2"/>
  <c r="L979" i="2"/>
  <c r="R800" i="2"/>
  <c r="L800" i="2"/>
  <c r="N800" i="2"/>
  <c r="I800" i="2"/>
  <c r="H800" i="2"/>
  <c r="F800" i="2"/>
  <c r="M800" i="2"/>
  <c r="G800" i="2"/>
  <c r="O800" i="2"/>
  <c r="S800" i="2"/>
  <c r="S56" i="2"/>
  <c r="F56" i="2"/>
  <c r="M56" i="2"/>
  <c r="N56" i="2"/>
  <c r="O56" i="2"/>
  <c r="L56" i="2"/>
  <c r="B620" i="5"/>
  <c r="D620" i="5"/>
  <c r="C620" i="5"/>
  <c r="G620" i="5"/>
  <c r="H620" i="5"/>
  <c r="R952" i="2"/>
  <c r="S952" i="2"/>
  <c r="F952" i="2"/>
  <c r="N952" i="2"/>
  <c r="H952" i="2"/>
  <c r="G952" i="2"/>
  <c r="I952" i="2"/>
  <c r="O952" i="2"/>
  <c r="M952" i="2"/>
  <c r="L952" i="2"/>
  <c r="H949" i="5"/>
  <c r="G949" i="5"/>
  <c r="D949" i="5"/>
  <c r="B949" i="5"/>
  <c r="C949" i="5"/>
  <c r="O17" i="2"/>
  <c r="M17" i="2"/>
  <c r="L17" i="2"/>
  <c r="F17" i="2"/>
  <c r="N17" i="2"/>
  <c r="S17" i="2"/>
  <c r="R192" i="2"/>
  <c r="H192" i="2"/>
  <c r="S192" i="2"/>
  <c r="G192" i="2"/>
  <c r="I192" i="2"/>
  <c r="F192" i="2"/>
  <c r="M192" i="2"/>
  <c r="O192" i="2"/>
  <c r="N192" i="2"/>
  <c r="L192" i="2"/>
  <c r="R807" i="2"/>
  <c r="I807" i="2"/>
  <c r="S807" i="2"/>
  <c r="M807" i="2"/>
  <c r="H807" i="2"/>
  <c r="L807" i="2"/>
  <c r="N807" i="2"/>
  <c r="F807" i="2"/>
  <c r="G807" i="2"/>
  <c r="O807" i="2"/>
  <c r="R832" i="2"/>
  <c r="O832" i="2"/>
  <c r="F832" i="2"/>
  <c r="G832" i="2"/>
  <c r="M832" i="2"/>
  <c r="H832" i="2"/>
  <c r="I832" i="2"/>
  <c r="L832" i="2"/>
  <c r="S832" i="2"/>
  <c r="N832" i="2"/>
  <c r="R432" i="2"/>
  <c r="G432" i="2"/>
  <c r="S432" i="2"/>
  <c r="N432" i="2"/>
  <c r="F432" i="2"/>
  <c r="I432" i="2"/>
  <c r="M432" i="2"/>
  <c r="O432" i="2"/>
  <c r="H432" i="2"/>
  <c r="L432" i="2"/>
  <c r="R811" i="2"/>
  <c r="M811" i="2"/>
  <c r="O811" i="2"/>
  <c r="F811" i="2"/>
  <c r="G811" i="2"/>
  <c r="I811" i="2"/>
  <c r="N811" i="2"/>
  <c r="L811" i="2"/>
  <c r="H811" i="2"/>
  <c r="S811" i="2"/>
  <c r="R131" i="2"/>
  <c r="M131" i="2"/>
  <c r="G131" i="2"/>
  <c r="I131" i="2"/>
  <c r="F131" i="2"/>
  <c r="S131" i="2"/>
  <c r="N131" i="2"/>
  <c r="O131" i="2"/>
  <c r="L131" i="2"/>
  <c r="H131" i="2"/>
  <c r="R326" i="2"/>
  <c r="N326" i="2"/>
  <c r="F326" i="2"/>
  <c r="S326" i="2"/>
  <c r="I326" i="2"/>
  <c r="H326" i="2"/>
  <c r="M326" i="2"/>
  <c r="L326" i="2"/>
  <c r="O326" i="2"/>
  <c r="G326" i="2"/>
  <c r="R296" i="2"/>
  <c r="O296" i="2"/>
  <c r="G296" i="2"/>
  <c r="H296" i="2"/>
  <c r="M296" i="2"/>
  <c r="I296" i="2"/>
  <c r="N296" i="2"/>
  <c r="S296" i="2"/>
  <c r="L296" i="2"/>
  <c r="F296" i="2"/>
  <c r="R360" i="2"/>
  <c r="L360" i="2"/>
  <c r="I360" i="2"/>
  <c r="M360" i="2"/>
  <c r="S360" i="2"/>
  <c r="G360" i="2"/>
  <c r="N360" i="2"/>
  <c r="F360" i="2"/>
  <c r="H360" i="2"/>
  <c r="O360" i="2"/>
  <c r="R576" i="2"/>
  <c r="I576" i="2"/>
  <c r="L576" i="2"/>
  <c r="O576" i="2"/>
  <c r="H576" i="2"/>
  <c r="G576" i="2"/>
  <c r="N576" i="2"/>
  <c r="S576" i="2"/>
  <c r="M576" i="2"/>
  <c r="F576" i="2"/>
  <c r="R515" i="2"/>
  <c r="L515" i="2"/>
  <c r="M515" i="2"/>
  <c r="G515" i="2"/>
  <c r="I515" i="2"/>
  <c r="O515" i="2"/>
  <c r="S515" i="2"/>
  <c r="N515" i="2"/>
  <c r="H515" i="2"/>
  <c r="F515" i="2"/>
  <c r="R609" i="2"/>
  <c r="G609" i="2"/>
  <c r="F609" i="2"/>
  <c r="I609" i="2"/>
  <c r="L609" i="2"/>
  <c r="H609" i="2"/>
  <c r="M609" i="2"/>
  <c r="S609" i="2"/>
  <c r="O609" i="2"/>
  <c r="N609" i="2"/>
  <c r="R138" i="2"/>
  <c r="N138" i="2"/>
  <c r="S138" i="2"/>
  <c r="F138" i="2"/>
  <c r="M138" i="2"/>
  <c r="O138" i="2"/>
  <c r="G138" i="2"/>
  <c r="H138" i="2"/>
  <c r="L138" i="2"/>
  <c r="I138" i="2"/>
  <c r="R123" i="2"/>
  <c r="O123" i="2"/>
  <c r="L123" i="2"/>
  <c r="H123" i="2"/>
  <c r="I123" i="2"/>
  <c r="M123" i="2"/>
  <c r="N123" i="2"/>
  <c r="G123" i="2"/>
  <c r="F123" i="2"/>
  <c r="S123" i="2"/>
  <c r="R679" i="2"/>
  <c r="I679" i="2"/>
  <c r="M679" i="2"/>
  <c r="O679" i="2"/>
  <c r="F679" i="2"/>
  <c r="H679" i="2"/>
  <c r="G679" i="2"/>
  <c r="N679" i="2"/>
  <c r="S679" i="2"/>
  <c r="L679" i="2"/>
  <c r="R743" i="2"/>
  <c r="M743" i="2"/>
  <c r="S743" i="2"/>
  <c r="I743" i="2"/>
  <c r="H743" i="2"/>
  <c r="F743" i="2"/>
  <c r="G743" i="2"/>
  <c r="N743" i="2"/>
  <c r="L743" i="2"/>
  <c r="O743" i="2"/>
  <c r="R246" i="2"/>
  <c r="S246" i="2"/>
  <c r="G246" i="2"/>
  <c r="N246" i="2"/>
  <c r="L246" i="2"/>
  <c r="O246" i="2"/>
  <c r="M246" i="2"/>
  <c r="F246" i="2"/>
  <c r="H246" i="2"/>
  <c r="I246" i="2"/>
  <c r="R624" i="2"/>
  <c r="G624" i="2"/>
  <c r="M624" i="2"/>
  <c r="N624" i="2"/>
  <c r="O624" i="2"/>
  <c r="F624" i="2"/>
  <c r="I624" i="2"/>
  <c r="S624" i="2"/>
  <c r="H624" i="2"/>
  <c r="L624" i="2"/>
  <c r="H714" i="5"/>
  <c r="B714" i="5"/>
  <c r="G714" i="5"/>
  <c r="D714" i="5"/>
  <c r="C714" i="5"/>
  <c r="H852" i="5"/>
  <c r="D852" i="5"/>
  <c r="G852" i="5"/>
  <c r="C852" i="5"/>
  <c r="B852" i="5"/>
  <c r="R856" i="2"/>
  <c r="H856" i="2"/>
  <c r="M856" i="2"/>
  <c r="S856" i="2"/>
  <c r="F856" i="2"/>
  <c r="I856" i="2"/>
  <c r="O856" i="2"/>
  <c r="L856" i="2"/>
  <c r="N856" i="2"/>
  <c r="G856" i="2"/>
  <c r="C845" i="5"/>
  <c r="G845" i="5"/>
  <c r="H845" i="5"/>
  <c r="D845" i="5"/>
  <c r="B845" i="5"/>
  <c r="R481" i="2"/>
  <c r="L481" i="2"/>
  <c r="G481" i="2"/>
  <c r="M481" i="2"/>
  <c r="F481" i="2"/>
  <c r="N481" i="2"/>
  <c r="I481" i="2"/>
  <c r="S481" i="2"/>
  <c r="O481" i="2"/>
  <c r="H481" i="2"/>
  <c r="R597" i="2"/>
  <c r="S597" i="2"/>
  <c r="F597" i="2"/>
  <c r="I597" i="2"/>
  <c r="O597" i="2"/>
  <c r="N597" i="2"/>
  <c r="G597" i="2"/>
  <c r="L597" i="2"/>
  <c r="M597" i="2"/>
  <c r="H597" i="2"/>
  <c r="R286" i="2"/>
  <c r="F286" i="2"/>
  <c r="N286" i="2"/>
  <c r="H286" i="2"/>
  <c r="G286" i="2"/>
  <c r="M286" i="2"/>
  <c r="L286" i="2"/>
  <c r="O286" i="2"/>
  <c r="S286" i="2"/>
  <c r="I286" i="2"/>
  <c r="R487" i="2"/>
  <c r="L487" i="2"/>
  <c r="F487" i="2"/>
  <c r="M487" i="2"/>
  <c r="G487" i="2"/>
  <c r="N487" i="2"/>
  <c r="H487" i="2"/>
  <c r="I487" i="2"/>
  <c r="O487" i="2"/>
  <c r="S487" i="2"/>
  <c r="R752" i="2"/>
  <c r="I752" i="2"/>
  <c r="O752" i="2"/>
  <c r="F752" i="2"/>
  <c r="M752" i="2"/>
  <c r="N752" i="2"/>
  <c r="S752" i="2"/>
  <c r="H752" i="2"/>
  <c r="G752" i="2"/>
  <c r="L752" i="2"/>
  <c r="R858" i="2"/>
  <c r="I858" i="2"/>
  <c r="G858" i="2"/>
  <c r="O858" i="2"/>
  <c r="S858" i="2"/>
  <c r="F858" i="2"/>
  <c r="L858" i="2"/>
  <c r="H858" i="2"/>
  <c r="M858" i="2"/>
  <c r="N858" i="2"/>
  <c r="R662" i="2"/>
  <c r="M662" i="2"/>
  <c r="H662" i="2"/>
  <c r="I662" i="2"/>
  <c r="F662" i="2"/>
  <c r="S662" i="2"/>
  <c r="O662" i="2"/>
  <c r="G662" i="2"/>
  <c r="N662" i="2"/>
  <c r="L662" i="2"/>
  <c r="R710" i="2"/>
  <c r="I710" i="2"/>
  <c r="L710" i="2"/>
  <c r="F710" i="2"/>
  <c r="H710" i="2"/>
  <c r="O710" i="2"/>
  <c r="G710" i="2"/>
  <c r="S710" i="2"/>
  <c r="M710" i="2"/>
  <c r="N710" i="2"/>
  <c r="R500" i="2"/>
  <c r="I500" i="2"/>
  <c r="H500" i="2"/>
  <c r="N500" i="2"/>
  <c r="F500" i="2"/>
  <c r="O500" i="2"/>
  <c r="M500" i="2"/>
  <c r="L500" i="2"/>
  <c r="G500" i="2"/>
  <c r="S500" i="2"/>
  <c r="R937" i="2"/>
  <c r="M937" i="2"/>
  <c r="O937" i="2"/>
  <c r="F937" i="2"/>
  <c r="G937" i="2"/>
  <c r="H937" i="2"/>
  <c r="N937" i="2"/>
  <c r="I937" i="2"/>
  <c r="L937" i="2"/>
  <c r="S937" i="2"/>
  <c r="R1001" i="2"/>
  <c r="I1001" i="2"/>
  <c r="F1001" i="2"/>
  <c r="O1001" i="2"/>
  <c r="G1001" i="2"/>
  <c r="N1001" i="2"/>
  <c r="M1001" i="2"/>
  <c r="S1001" i="2"/>
  <c r="L1001" i="2"/>
  <c r="H1001" i="2"/>
  <c r="N55" i="2"/>
  <c r="O55" i="2"/>
  <c r="S55" i="2"/>
  <c r="H55" i="2"/>
  <c r="R55" i="2" s="1"/>
  <c r="M55" i="2"/>
  <c r="L55" i="2"/>
  <c r="G55" i="2"/>
  <c r="F55" i="2"/>
  <c r="I55" i="2"/>
  <c r="R488" i="2"/>
  <c r="I488" i="2"/>
  <c r="G488" i="2"/>
  <c r="M488" i="2"/>
  <c r="L488" i="2"/>
  <c r="H488" i="2"/>
  <c r="O488" i="2"/>
  <c r="N488" i="2"/>
  <c r="F488" i="2"/>
  <c r="S488" i="2"/>
  <c r="D582" i="5"/>
  <c r="H582" i="5"/>
  <c r="G582" i="5"/>
  <c r="C582" i="5"/>
  <c r="B582" i="5"/>
  <c r="H307" i="5"/>
  <c r="B307" i="5"/>
  <c r="G307" i="5"/>
  <c r="D307" i="5"/>
  <c r="C307" i="5"/>
  <c r="D760" i="5"/>
  <c r="C760" i="5"/>
  <c r="B760" i="5"/>
  <c r="G760" i="5"/>
  <c r="H760" i="5"/>
  <c r="R547" i="2"/>
  <c r="F547" i="2"/>
  <c r="M547" i="2"/>
  <c r="S547" i="2"/>
  <c r="O547" i="2"/>
  <c r="N547" i="2"/>
  <c r="H547" i="2"/>
  <c r="G547" i="2"/>
  <c r="L547" i="2"/>
  <c r="I547" i="2"/>
  <c r="R178" i="2"/>
  <c r="O178" i="2"/>
  <c r="F178" i="2"/>
  <c r="I178" i="2"/>
  <c r="L178" i="2"/>
  <c r="S178" i="2"/>
  <c r="N178" i="2"/>
  <c r="M178" i="2"/>
  <c r="H178" i="2"/>
  <c r="G178" i="2"/>
  <c r="H780" i="5"/>
  <c r="D780" i="5"/>
  <c r="C780" i="5"/>
  <c r="B780" i="5"/>
  <c r="G780" i="5"/>
  <c r="R781" i="2"/>
  <c r="H781" i="2"/>
  <c r="S781" i="2"/>
  <c r="I781" i="2"/>
  <c r="L781" i="2"/>
  <c r="F781" i="2"/>
  <c r="N781" i="2"/>
  <c r="G781" i="2"/>
  <c r="M781" i="2"/>
  <c r="O781" i="2"/>
  <c r="R887" i="2"/>
  <c r="G887" i="2"/>
  <c r="N887" i="2"/>
  <c r="I887" i="2"/>
  <c r="L887" i="2"/>
  <c r="S887" i="2"/>
  <c r="H887" i="2"/>
  <c r="M887" i="2"/>
  <c r="F887" i="2"/>
  <c r="O887" i="2"/>
  <c r="M93" i="2"/>
  <c r="O93" i="2"/>
  <c r="N93" i="2"/>
  <c r="F93" i="2"/>
  <c r="L93" i="2"/>
  <c r="S93" i="2"/>
  <c r="R965" i="2"/>
  <c r="H965" i="2"/>
  <c r="G965" i="2"/>
  <c r="F965" i="2"/>
  <c r="O965" i="2"/>
  <c r="I965" i="2"/>
  <c r="S965" i="2"/>
  <c r="M965" i="2"/>
  <c r="N965" i="2"/>
  <c r="L965" i="2"/>
  <c r="R654" i="2"/>
  <c r="S654" i="2"/>
  <c r="N654" i="2"/>
  <c r="H654" i="2"/>
  <c r="I654" i="2"/>
  <c r="O654" i="2"/>
  <c r="G654" i="2"/>
  <c r="M654" i="2"/>
  <c r="F654" i="2"/>
  <c r="L654" i="2"/>
  <c r="R399" i="2"/>
  <c r="I399" i="2"/>
  <c r="H399" i="2"/>
  <c r="S399" i="2"/>
  <c r="L399" i="2"/>
  <c r="G399" i="2"/>
  <c r="M399" i="2"/>
  <c r="O399" i="2"/>
  <c r="F399" i="2"/>
  <c r="N399" i="2"/>
  <c r="R916" i="2"/>
  <c r="I916" i="2"/>
  <c r="L916" i="2"/>
  <c r="G916" i="2"/>
  <c r="O916" i="2"/>
  <c r="H916" i="2"/>
  <c r="M916" i="2"/>
  <c r="F916" i="2"/>
  <c r="N916" i="2"/>
  <c r="S916" i="2"/>
  <c r="R614" i="2"/>
  <c r="L614" i="2"/>
  <c r="G614" i="2"/>
  <c r="S614" i="2"/>
  <c r="O614" i="2"/>
  <c r="H614" i="2"/>
  <c r="M614" i="2"/>
  <c r="I614" i="2"/>
  <c r="N614" i="2"/>
  <c r="F614" i="2"/>
  <c r="C725" i="5"/>
  <c r="B725" i="5"/>
  <c r="D725" i="5"/>
  <c r="G725" i="5"/>
  <c r="H725" i="5"/>
  <c r="R367" i="2"/>
  <c r="L367" i="2"/>
  <c r="O367" i="2"/>
  <c r="M367" i="2"/>
  <c r="N367" i="2"/>
  <c r="F367" i="2"/>
  <c r="S367" i="2"/>
  <c r="I367" i="2"/>
  <c r="G367" i="2"/>
  <c r="H367" i="2"/>
  <c r="H925" i="5"/>
  <c r="D925" i="5"/>
  <c r="B925" i="5"/>
  <c r="C925" i="5"/>
  <c r="G925" i="5"/>
  <c r="R356" i="2"/>
  <c r="H356" i="2"/>
  <c r="L356" i="2"/>
  <c r="M356" i="2"/>
  <c r="S356" i="2"/>
  <c r="N356" i="2"/>
  <c r="G356" i="2"/>
  <c r="F356" i="2"/>
  <c r="I356" i="2"/>
  <c r="O356" i="2"/>
  <c r="O22" i="2"/>
  <c r="F22" i="2"/>
  <c r="S22" i="2"/>
  <c r="N22" i="2"/>
  <c r="M22" i="2"/>
  <c r="L22" i="2"/>
  <c r="R670" i="2"/>
  <c r="H670" i="2"/>
  <c r="M670" i="2"/>
  <c r="N670" i="2"/>
  <c r="I670" i="2"/>
  <c r="F670" i="2"/>
  <c r="G670" i="2"/>
  <c r="L670" i="2"/>
  <c r="O670" i="2"/>
  <c r="S670" i="2"/>
  <c r="R695" i="2"/>
  <c r="F695" i="2"/>
  <c r="H695" i="2"/>
  <c r="N695" i="2"/>
  <c r="L695" i="2"/>
  <c r="G695" i="2"/>
  <c r="O695" i="2"/>
  <c r="M695" i="2"/>
  <c r="S695" i="2"/>
  <c r="I695" i="2"/>
  <c r="R295" i="2"/>
  <c r="I295" i="2"/>
  <c r="O295" i="2"/>
  <c r="L295" i="2"/>
  <c r="H295" i="2"/>
  <c r="M295" i="2"/>
  <c r="G295" i="2"/>
  <c r="N295" i="2"/>
  <c r="F295" i="2"/>
  <c r="S295" i="2"/>
  <c r="R594" i="2"/>
  <c r="O594" i="2"/>
  <c r="S594" i="2"/>
  <c r="H594" i="2"/>
  <c r="L594" i="2"/>
  <c r="F594" i="2"/>
  <c r="N594" i="2"/>
  <c r="G594" i="2"/>
  <c r="M594" i="2"/>
  <c r="I594" i="2"/>
  <c r="R875" i="2"/>
  <c r="S875" i="2"/>
  <c r="F875" i="2"/>
  <c r="M875" i="2"/>
  <c r="I875" i="2"/>
  <c r="L875" i="2"/>
  <c r="G875" i="2"/>
  <c r="H875" i="2"/>
  <c r="N875" i="2"/>
  <c r="O875" i="2"/>
  <c r="M61" i="2"/>
  <c r="S61" i="2"/>
  <c r="O61" i="2"/>
  <c r="N61" i="2"/>
  <c r="L61" i="2"/>
  <c r="F61" i="2"/>
  <c r="R159" i="2"/>
  <c r="G159" i="2"/>
  <c r="S159" i="2"/>
  <c r="L159" i="2"/>
  <c r="F159" i="2"/>
  <c r="N159" i="2"/>
  <c r="O159" i="2"/>
  <c r="I159" i="2"/>
  <c r="H159" i="2"/>
  <c r="M159" i="2"/>
  <c r="R223" i="2"/>
  <c r="S223" i="2"/>
  <c r="H223" i="2"/>
  <c r="N223" i="2"/>
  <c r="G223" i="2"/>
  <c r="M223" i="2"/>
  <c r="I223" i="2"/>
  <c r="L223" i="2"/>
  <c r="F223" i="2"/>
  <c r="O223" i="2"/>
  <c r="R567" i="2"/>
  <c r="G567" i="2"/>
  <c r="L567" i="2"/>
  <c r="S567" i="2"/>
  <c r="F567" i="2"/>
  <c r="M567" i="2"/>
  <c r="O567" i="2"/>
  <c r="N567" i="2"/>
  <c r="I567" i="2"/>
  <c r="H567" i="2"/>
  <c r="R1000" i="2"/>
  <c r="I1000" i="2"/>
  <c r="H1000" i="2"/>
  <c r="M1000" i="2"/>
  <c r="G1000" i="2"/>
  <c r="F1000" i="2"/>
  <c r="O1000" i="2"/>
  <c r="L1000" i="2"/>
  <c r="S1000" i="2"/>
  <c r="N1000" i="2"/>
  <c r="R694" i="2"/>
  <c r="H694" i="2"/>
  <c r="I694" i="2"/>
  <c r="S694" i="2"/>
  <c r="N694" i="2"/>
  <c r="F694" i="2"/>
  <c r="M694" i="2"/>
  <c r="O694" i="2"/>
  <c r="L694" i="2"/>
  <c r="G694" i="2"/>
  <c r="R631" i="2"/>
  <c r="S631" i="2"/>
  <c r="G631" i="2"/>
  <c r="N631" i="2"/>
  <c r="M631" i="2"/>
  <c r="F631" i="2"/>
  <c r="H631" i="2"/>
  <c r="O631" i="2"/>
  <c r="L631" i="2"/>
  <c r="I631" i="2"/>
  <c r="R231" i="2"/>
  <c r="N231" i="2"/>
  <c r="O231" i="2"/>
  <c r="F231" i="2"/>
  <c r="I231" i="2"/>
  <c r="L231" i="2"/>
  <c r="M231" i="2"/>
  <c r="G231" i="2"/>
  <c r="H231" i="2"/>
  <c r="S231" i="2"/>
  <c r="R256" i="2"/>
  <c r="O256" i="2"/>
  <c r="F256" i="2"/>
  <c r="L256" i="2"/>
  <c r="H256" i="2"/>
  <c r="G256" i="2"/>
  <c r="N256" i="2"/>
  <c r="M256" i="2"/>
  <c r="S256" i="2"/>
  <c r="I256" i="2"/>
  <c r="R871" i="2"/>
  <c r="O871" i="2"/>
  <c r="N871" i="2"/>
  <c r="I871" i="2"/>
  <c r="S871" i="2"/>
  <c r="L871" i="2"/>
  <c r="H871" i="2"/>
  <c r="G871" i="2"/>
  <c r="F871" i="2"/>
  <c r="M871" i="2"/>
  <c r="R235" i="2"/>
  <c r="F235" i="2"/>
  <c r="I235" i="2"/>
  <c r="N235" i="2"/>
  <c r="S235" i="2"/>
  <c r="M235" i="2"/>
  <c r="G235" i="2"/>
  <c r="H235" i="2"/>
  <c r="O235" i="2"/>
  <c r="L235" i="2"/>
  <c r="R436" i="2"/>
  <c r="N436" i="2"/>
  <c r="I436" i="2"/>
  <c r="H436" i="2"/>
  <c r="M436" i="2"/>
  <c r="O436" i="2"/>
  <c r="L436" i="2"/>
  <c r="S436" i="2"/>
  <c r="G436" i="2"/>
  <c r="F436" i="2"/>
  <c r="R701" i="2"/>
  <c r="N701" i="2"/>
  <c r="I701" i="2"/>
  <c r="F701" i="2"/>
  <c r="O701" i="2"/>
  <c r="L701" i="2"/>
  <c r="M701" i="2"/>
  <c r="G701" i="2"/>
  <c r="H701" i="2"/>
  <c r="S701" i="2"/>
  <c r="R735" i="2"/>
  <c r="G735" i="2"/>
  <c r="L735" i="2"/>
  <c r="N735" i="2"/>
  <c r="M735" i="2"/>
  <c r="F735" i="2"/>
  <c r="I735" i="2"/>
  <c r="S735" i="2"/>
  <c r="H735" i="2"/>
  <c r="O735" i="2"/>
  <c r="R799" i="2"/>
  <c r="M799" i="2"/>
  <c r="H799" i="2"/>
  <c r="S799" i="2"/>
  <c r="G799" i="2"/>
  <c r="O799" i="2"/>
  <c r="I799" i="2"/>
  <c r="F799" i="2"/>
  <c r="L799" i="2"/>
  <c r="N799" i="2"/>
  <c r="N64" i="2"/>
  <c r="L64" i="2"/>
  <c r="S64" i="2"/>
  <c r="M64" i="2"/>
  <c r="F64" i="2"/>
  <c r="O64" i="2"/>
  <c r="R497" i="2"/>
  <c r="I497" i="2"/>
  <c r="M497" i="2"/>
  <c r="G497" i="2"/>
  <c r="L497" i="2"/>
  <c r="S497" i="2"/>
  <c r="H497" i="2"/>
  <c r="O497" i="2"/>
  <c r="F497" i="2"/>
  <c r="N497" i="2"/>
  <c r="R238" i="2"/>
  <c r="S238" i="2"/>
  <c r="G238" i="2"/>
  <c r="L238" i="2"/>
  <c r="I238" i="2"/>
  <c r="H238" i="2"/>
  <c r="N238" i="2"/>
  <c r="M238" i="2"/>
  <c r="O238" i="2"/>
  <c r="F238" i="2"/>
  <c r="H405" i="5"/>
  <c r="G405" i="5"/>
  <c r="D405" i="5"/>
  <c r="C405" i="5"/>
  <c r="B405" i="5"/>
  <c r="R183" i="2"/>
  <c r="H183" i="2"/>
  <c r="N183" i="2"/>
  <c r="M183" i="2"/>
  <c r="O183" i="2"/>
  <c r="L183" i="2"/>
  <c r="S183" i="2"/>
  <c r="G183" i="2"/>
  <c r="F183" i="2"/>
  <c r="I183" i="2"/>
  <c r="H184" i="5"/>
  <c r="D184" i="5"/>
  <c r="G184" i="5"/>
  <c r="C184" i="5"/>
  <c r="B184" i="5"/>
  <c r="R642" i="2"/>
  <c r="F642" i="2"/>
  <c r="L642" i="2"/>
  <c r="M642" i="2"/>
  <c r="G642" i="2"/>
  <c r="I642" i="2"/>
  <c r="O642" i="2"/>
  <c r="N642" i="2"/>
  <c r="H642" i="2"/>
  <c r="S642" i="2"/>
  <c r="R365" i="2"/>
  <c r="H365" i="2"/>
  <c r="M365" i="2"/>
  <c r="N365" i="2"/>
  <c r="G365" i="2"/>
  <c r="I365" i="2"/>
  <c r="L365" i="2"/>
  <c r="O365" i="2"/>
  <c r="F365" i="2"/>
  <c r="S365" i="2"/>
  <c r="R867" i="2"/>
  <c r="M867" i="2"/>
  <c r="N867" i="2"/>
  <c r="I867" i="2"/>
  <c r="O867" i="2"/>
  <c r="H867" i="2"/>
  <c r="G867" i="2"/>
  <c r="S867" i="2"/>
  <c r="F867" i="2"/>
  <c r="L867" i="2"/>
  <c r="L6" i="2"/>
  <c r="N6" i="2"/>
  <c r="O6" i="2"/>
  <c r="M6" i="2"/>
  <c r="S6" i="2"/>
  <c r="F6" i="2"/>
  <c r="R847" i="2"/>
  <c r="L847" i="2"/>
  <c r="F847" i="2"/>
  <c r="S847" i="2"/>
  <c r="O847" i="2"/>
  <c r="G847" i="2"/>
  <c r="I847" i="2"/>
  <c r="M847" i="2"/>
  <c r="H847" i="2"/>
  <c r="N847" i="2"/>
  <c r="R472" i="2"/>
  <c r="N472" i="2"/>
  <c r="I472" i="2"/>
  <c r="F472" i="2"/>
  <c r="L472" i="2"/>
  <c r="O472" i="2"/>
  <c r="G472" i="2"/>
  <c r="M472" i="2"/>
  <c r="H472" i="2"/>
  <c r="S472" i="2"/>
  <c r="R673" i="2"/>
  <c r="H673" i="2"/>
  <c r="N673" i="2"/>
  <c r="L673" i="2"/>
  <c r="M673" i="2"/>
  <c r="I673" i="2"/>
  <c r="O673" i="2"/>
  <c r="G673" i="2"/>
  <c r="S673" i="2"/>
  <c r="F673" i="2"/>
  <c r="R410" i="2"/>
  <c r="O410" i="2"/>
  <c r="M410" i="2"/>
  <c r="H410" i="2"/>
  <c r="F410" i="2"/>
  <c r="G410" i="2"/>
  <c r="S410" i="2"/>
  <c r="N410" i="2"/>
  <c r="L410" i="2"/>
  <c r="I410" i="2"/>
  <c r="R478" i="2"/>
  <c r="N478" i="2"/>
  <c r="L478" i="2"/>
  <c r="O478" i="2"/>
  <c r="M478" i="2"/>
  <c r="H478" i="2"/>
  <c r="F478" i="2"/>
  <c r="S478" i="2"/>
  <c r="G478" i="2"/>
  <c r="I478" i="2"/>
  <c r="R542" i="2"/>
  <c r="F542" i="2"/>
  <c r="I542" i="2"/>
  <c r="S542" i="2"/>
  <c r="G542" i="2"/>
  <c r="O542" i="2"/>
  <c r="L542" i="2"/>
  <c r="M542" i="2"/>
  <c r="N542" i="2"/>
  <c r="H542" i="2"/>
  <c r="R173" i="2"/>
  <c r="H173" i="2"/>
  <c r="I173" i="2"/>
  <c r="G173" i="2"/>
  <c r="L173" i="2"/>
  <c r="O173" i="2"/>
  <c r="S173" i="2"/>
  <c r="M173" i="2"/>
  <c r="F173" i="2"/>
  <c r="N173" i="2"/>
  <c r="R615" i="2"/>
  <c r="S615" i="2"/>
  <c r="F615" i="2"/>
  <c r="H615" i="2"/>
  <c r="L615" i="2"/>
  <c r="O615" i="2"/>
  <c r="M615" i="2"/>
  <c r="G615" i="2"/>
  <c r="I615" i="2"/>
  <c r="N615" i="2"/>
  <c r="R206" i="2"/>
  <c r="O206" i="2"/>
  <c r="I206" i="2"/>
  <c r="G206" i="2"/>
  <c r="S206" i="2"/>
  <c r="N206" i="2"/>
  <c r="F206" i="2"/>
  <c r="M206" i="2"/>
  <c r="H206" i="2"/>
  <c r="L206" i="2"/>
  <c r="R471" i="2"/>
  <c r="N471" i="2"/>
  <c r="M471" i="2"/>
  <c r="H471" i="2"/>
  <c r="I471" i="2"/>
  <c r="L471" i="2"/>
  <c r="F471" i="2"/>
  <c r="G471" i="2"/>
  <c r="O471" i="2"/>
  <c r="S471" i="2"/>
  <c r="R672" i="2"/>
  <c r="O672" i="2"/>
  <c r="N672" i="2"/>
  <c r="H672" i="2"/>
  <c r="I672" i="2"/>
  <c r="S672" i="2"/>
  <c r="F672" i="2"/>
  <c r="L672" i="2"/>
  <c r="G672" i="2"/>
  <c r="M672" i="2"/>
  <c r="R301" i="2"/>
  <c r="M301" i="2"/>
  <c r="L301" i="2"/>
  <c r="O301" i="2"/>
  <c r="I301" i="2"/>
  <c r="H301" i="2"/>
  <c r="G301" i="2"/>
  <c r="N301" i="2"/>
  <c r="F301" i="2"/>
  <c r="S301" i="2"/>
  <c r="R891" i="2"/>
  <c r="N891" i="2"/>
  <c r="L891" i="2"/>
  <c r="M891" i="2"/>
  <c r="S891" i="2"/>
  <c r="O891" i="2"/>
  <c r="F891" i="2"/>
  <c r="I891" i="2"/>
  <c r="G891" i="2"/>
  <c r="H891" i="2"/>
  <c r="R126" i="2"/>
  <c r="I126" i="2"/>
  <c r="O126" i="2"/>
  <c r="F126" i="2"/>
  <c r="M126" i="2"/>
  <c r="S126" i="2"/>
  <c r="N126" i="2"/>
  <c r="H126" i="2"/>
  <c r="G126" i="2"/>
  <c r="L126" i="2"/>
  <c r="R505" i="2"/>
  <c r="L505" i="2"/>
  <c r="O505" i="2"/>
  <c r="H505" i="2"/>
  <c r="G505" i="2"/>
  <c r="F505" i="2"/>
  <c r="S505" i="2"/>
  <c r="I505" i="2"/>
  <c r="M505" i="2"/>
  <c r="N505" i="2"/>
  <c r="R340" i="2"/>
  <c r="S340" i="2"/>
  <c r="G340" i="2"/>
  <c r="N340" i="2"/>
  <c r="F340" i="2"/>
  <c r="L340" i="2"/>
  <c r="O340" i="2"/>
  <c r="I340" i="2"/>
  <c r="H340" i="2"/>
  <c r="M340" i="2"/>
  <c r="O20" i="2"/>
  <c r="N20" i="2"/>
  <c r="F20" i="2"/>
  <c r="M20" i="2"/>
  <c r="L20" i="2"/>
  <c r="S20" i="2"/>
  <c r="R389" i="2"/>
  <c r="M389" i="2"/>
  <c r="G389" i="2"/>
  <c r="L389" i="2"/>
  <c r="H389" i="2"/>
  <c r="I389" i="2"/>
  <c r="F389" i="2"/>
  <c r="O389" i="2"/>
  <c r="S389" i="2"/>
  <c r="N389" i="2"/>
  <c r="R660" i="2"/>
  <c r="F660" i="2"/>
  <c r="N660" i="2"/>
  <c r="O660" i="2"/>
  <c r="L660" i="2"/>
  <c r="H660" i="2"/>
  <c r="G660" i="2"/>
  <c r="S660" i="2"/>
  <c r="M660" i="2"/>
  <c r="I660" i="2"/>
  <c r="M78" i="2"/>
  <c r="N78" i="2"/>
  <c r="O78" i="2"/>
  <c r="F78" i="2"/>
  <c r="L78" i="2"/>
  <c r="S78" i="2"/>
  <c r="R859" i="2"/>
  <c r="H859" i="2"/>
  <c r="S859" i="2"/>
  <c r="N859" i="2"/>
  <c r="G859" i="2"/>
  <c r="I859" i="2"/>
  <c r="M859" i="2"/>
  <c r="O859" i="2"/>
  <c r="L859" i="2"/>
  <c r="F859" i="2"/>
  <c r="F45" i="2"/>
  <c r="O45" i="2"/>
  <c r="L45" i="2"/>
  <c r="M45" i="2"/>
  <c r="N45" i="2"/>
  <c r="S45" i="2"/>
  <c r="R374" i="2"/>
  <c r="I374" i="2"/>
  <c r="F374" i="2"/>
  <c r="L374" i="2"/>
  <c r="S374" i="2"/>
  <c r="G374" i="2"/>
  <c r="M374" i="2"/>
  <c r="H374" i="2"/>
  <c r="N374" i="2"/>
  <c r="O374" i="2"/>
  <c r="R527" i="2"/>
  <c r="G527" i="2"/>
  <c r="H527" i="2"/>
  <c r="I527" i="2"/>
  <c r="M527" i="2"/>
  <c r="L527" i="2"/>
  <c r="S527" i="2"/>
  <c r="F527" i="2"/>
  <c r="N527" i="2"/>
  <c r="O527" i="2"/>
  <c r="R591" i="2"/>
  <c r="F591" i="2"/>
  <c r="M591" i="2"/>
  <c r="G591" i="2"/>
  <c r="L591" i="2"/>
  <c r="O591" i="2"/>
  <c r="N591" i="2"/>
  <c r="S591" i="2"/>
  <c r="H591" i="2"/>
  <c r="I591" i="2"/>
  <c r="R925" i="2"/>
  <c r="S925" i="2"/>
  <c r="G925" i="2"/>
  <c r="F925" i="2"/>
  <c r="L925" i="2"/>
  <c r="O925" i="2"/>
  <c r="I925" i="2"/>
  <c r="N925" i="2"/>
  <c r="H925" i="2"/>
  <c r="M925" i="2"/>
  <c r="R658" i="2"/>
  <c r="H658" i="2"/>
  <c r="I658" i="2"/>
  <c r="S658" i="2"/>
  <c r="M658" i="2"/>
  <c r="O658" i="2"/>
  <c r="L658" i="2"/>
  <c r="G658" i="2"/>
  <c r="F658" i="2"/>
  <c r="N658" i="2"/>
  <c r="R161" i="2"/>
  <c r="N161" i="2"/>
  <c r="I161" i="2"/>
  <c r="H161" i="2"/>
  <c r="L161" i="2"/>
  <c r="M161" i="2"/>
  <c r="F161" i="2"/>
  <c r="G161" i="2"/>
  <c r="O161" i="2"/>
  <c r="S161" i="2"/>
  <c r="R716" i="2"/>
  <c r="F716" i="2"/>
  <c r="N716" i="2"/>
  <c r="G716" i="2"/>
  <c r="S716" i="2"/>
  <c r="L716" i="2"/>
  <c r="I716" i="2"/>
  <c r="M716" i="2"/>
  <c r="O716" i="2"/>
  <c r="H716" i="2"/>
  <c r="R780" i="2"/>
  <c r="I780" i="2"/>
  <c r="O780" i="2"/>
  <c r="F780" i="2"/>
  <c r="G780" i="2"/>
  <c r="S780" i="2"/>
  <c r="H780" i="2"/>
  <c r="L780" i="2"/>
  <c r="M780" i="2"/>
  <c r="N780" i="2"/>
  <c r="R667" i="2"/>
  <c r="S667" i="2"/>
  <c r="F667" i="2"/>
  <c r="M667" i="2"/>
  <c r="I667" i="2"/>
  <c r="N667" i="2"/>
  <c r="O667" i="2"/>
  <c r="G667" i="2"/>
  <c r="L667" i="2"/>
  <c r="H667" i="2"/>
  <c r="F94" i="2"/>
  <c r="M94" i="2"/>
  <c r="L94" i="2"/>
  <c r="O94" i="2"/>
  <c r="N94" i="2"/>
  <c r="S94" i="2"/>
  <c r="D958" i="5"/>
  <c r="G958" i="5"/>
  <c r="H958" i="5"/>
  <c r="B958" i="5"/>
  <c r="C958" i="5"/>
  <c r="F25" i="2"/>
  <c r="N25" i="2"/>
  <c r="O25" i="2"/>
  <c r="S25" i="2"/>
  <c r="M25" i="2"/>
  <c r="L25" i="2"/>
  <c r="H288" i="5"/>
  <c r="D288" i="5"/>
  <c r="B288" i="5"/>
  <c r="G288" i="5"/>
  <c r="C288" i="5"/>
  <c r="H898" i="5"/>
  <c r="D898" i="5"/>
  <c r="C898" i="5"/>
  <c r="G898" i="5"/>
  <c r="B898" i="5"/>
  <c r="D717" i="5"/>
  <c r="G717" i="5"/>
  <c r="H717" i="5"/>
  <c r="B717" i="5"/>
  <c r="C717" i="5"/>
  <c r="D867" i="5"/>
  <c r="H867" i="5"/>
  <c r="G867" i="5"/>
  <c r="B867" i="5"/>
  <c r="C867" i="5"/>
  <c r="D764" i="5"/>
  <c r="C764" i="5"/>
  <c r="H764" i="5"/>
  <c r="G764" i="5"/>
  <c r="B764" i="5"/>
  <c r="D992" i="5"/>
  <c r="B992" i="5"/>
  <c r="H992" i="5"/>
  <c r="G992" i="5"/>
  <c r="C992" i="5"/>
  <c r="B387" i="5"/>
  <c r="H387" i="5"/>
  <c r="G387" i="5"/>
  <c r="C387" i="5"/>
  <c r="D387" i="5"/>
  <c r="C468" i="5"/>
  <c r="B468" i="5"/>
  <c r="H468" i="5"/>
  <c r="D468" i="5"/>
  <c r="G468" i="5"/>
  <c r="R174" i="2"/>
  <c r="I174" i="2"/>
  <c r="F174" i="2"/>
  <c r="O174" i="2"/>
  <c r="M174" i="2"/>
  <c r="H174" i="2"/>
  <c r="G174" i="2"/>
  <c r="S174" i="2"/>
  <c r="N174" i="2"/>
  <c r="L174" i="2"/>
  <c r="G218" i="5"/>
  <c r="C218" i="5"/>
  <c r="B218" i="5"/>
  <c r="H218" i="5"/>
  <c r="D218" i="5"/>
  <c r="H404" i="5"/>
  <c r="B404" i="5"/>
  <c r="D404" i="5"/>
  <c r="C404" i="5"/>
  <c r="G404" i="5"/>
  <c r="R712" i="2"/>
  <c r="I712" i="2"/>
  <c r="H712" i="2"/>
  <c r="N712" i="2"/>
  <c r="G712" i="2"/>
  <c r="L712" i="2"/>
  <c r="F712" i="2"/>
  <c r="O712" i="2"/>
  <c r="S712" i="2"/>
  <c r="M712" i="2"/>
  <c r="L28" i="2"/>
  <c r="S28" i="2"/>
  <c r="N28" i="2"/>
  <c r="F28" i="2"/>
  <c r="O28" i="2"/>
  <c r="M28" i="2"/>
  <c r="R863" i="2"/>
  <c r="L863" i="2"/>
  <c r="O863" i="2"/>
  <c r="M863" i="2"/>
  <c r="I863" i="2"/>
  <c r="H863" i="2"/>
  <c r="S863" i="2"/>
  <c r="F863" i="2"/>
  <c r="N863" i="2"/>
  <c r="G863" i="2"/>
  <c r="R552" i="2"/>
  <c r="L552" i="2"/>
  <c r="G552" i="2"/>
  <c r="I552" i="2"/>
  <c r="O552" i="2"/>
  <c r="H552" i="2"/>
  <c r="M552" i="2"/>
  <c r="S552" i="2"/>
  <c r="F552" i="2"/>
  <c r="N552" i="2"/>
  <c r="R910" i="2"/>
  <c r="H910" i="2"/>
  <c r="G910" i="2"/>
  <c r="F910" i="2"/>
  <c r="M910" i="2"/>
  <c r="N910" i="2"/>
  <c r="S910" i="2"/>
  <c r="L910" i="2"/>
  <c r="O910" i="2"/>
  <c r="I910" i="2"/>
  <c r="R558" i="2"/>
  <c r="O558" i="2"/>
  <c r="S558" i="2"/>
  <c r="H558" i="2"/>
  <c r="N558" i="2"/>
  <c r="L558" i="2"/>
  <c r="F558" i="2"/>
  <c r="I558" i="2"/>
  <c r="G558" i="2"/>
  <c r="M558" i="2"/>
  <c r="C136" i="5"/>
  <c r="B136" i="5"/>
  <c r="D136" i="5"/>
  <c r="H136" i="5"/>
  <c r="G136" i="5"/>
  <c r="G316" i="5"/>
  <c r="D316" i="5"/>
  <c r="H316" i="5"/>
  <c r="C316" i="5"/>
  <c r="B316" i="5"/>
  <c r="B43" i="5"/>
  <c r="B473" i="5"/>
  <c r="C473" i="5"/>
  <c r="H473" i="5"/>
  <c r="D473" i="5"/>
  <c r="G473" i="5"/>
  <c r="H315" i="5"/>
  <c r="B315" i="5"/>
  <c r="G315" i="5"/>
  <c r="D315" i="5"/>
  <c r="C315" i="5"/>
  <c r="R434" i="2"/>
  <c r="G434" i="2"/>
  <c r="F434" i="2"/>
  <c r="I434" i="2"/>
  <c r="S434" i="2"/>
  <c r="L434" i="2"/>
  <c r="H434" i="2"/>
  <c r="O434" i="2"/>
  <c r="N434" i="2"/>
  <c r="M434" i="2"/>
  <c r="C540" i="5"/>
  <c r="H540" i="5"/>
  <c r="B540" i="5"/>
  <c r="G540" i="5"/>
  <c r="D540" i="5"/>
  <c r="R318" i="2"/>
  <c r="N318" i="2"/>
  <c r="G318" i="2"/>
  <c r="M318" i="2"/>
  <c r="H318" i="2"/>
  <c r="F318" i="2"/>
  <c r="S318" i="2"/>
  <c r="L318" i="2"/>
  <c r="O318" i="2"/>
  <c r="I318" i="2"/>
  <c r="D602" i="5"/>
  <c r="H602" i="5"/>
  <c r="G602" i="5"/>
  <c r="C602" i="5"/>
  <c r="B602" i="5"/>
  <c r="H283" i="5"/>
  <c r="G283" i="5"/>
  <c r="B283" i="5"/>
  <c r="D283" i="5"/>
  <c r="C283" i="5"/>
  <c r="G953" i="5"/>
  <c r="H953" i="5"/>
  <c r="C953" i="5"/>
  <c r="D953" i="5"/>
  <c r="B953" i="5"/>
  <c r="R611" i="2"/>
  <c r="N611" i="2"/>
  <c r="G611" i="2"/>
  <c r="I611" i="2"/>
  <c r="F611" i="2"/>
  <c r="L611" i="2"/>
  <c r="H611" i="2"/>
  <c r="O611" i="2"/>
  <c r="S611" i="2"/>
  <c r="M611" i="2"/>
  <c r="R973" i="2"/>
  <c r="N973" i="2"/>
  <c r="H973" i="2"/>
  <c r="I973" i="2"/>
  <c r="S973" i="2"/>
  <c r="M973" i="2"/>
  <c r="L973" i="2"/>
  <c r="O973" i="2"/>
  <c r="F973" i="2"/>
  <c r="G973" i="2"/>
  <c r="R408" i="2"/>
  <c r="S408" i="2"/>
  <c r="F408" i="2"/>
  <c r="N408" i="2"/>
  <c r="H408" i="2"/>
  <c r="G408" i="2"/>
  <c r="L408" i="2"/>
  <c r="M408" i="2"/>
  <c r="O408" i="2"/>
  <c r="I408" i="2"/>
  <c r="R109" i="2"/>
  <c r="O109" i="2"/>
  <c r="H109" i="2"/>
  <c r="M109" i="2"/>
  <c r="F109" i="2"/>
  <c r="N109" i="2"/>
  <c r="L109" i="2"/>
  <c r="S109" i="2"/>
  <c r="I109" i="2"/>
  <c r="G109" i="2"/>
  <c r="R637" i="2"/>
  <c r="M637" i="2"/>
  <c r="H637" i="2"/>
  <c r="F637" i="2"/>
  <c r="G637" i="2"/>
  <c r="I637" i="2"/>
  <c r="O637" i="2"/>
  <c r="S637" i="2"/>
  <c r="N637" i="2"/>
  <c r="L637" i="2"/>
  <c r="B979" i="5"/>
  <c r="H979" i="5"/>
  <c r="C979" i="5"/>
  <c r="D979" i="5"/>
  <c r="G979" i="5"/>
  <c r="D138" i="5"/>
  <c r="B138" i="5"/>
  <c r="H138" i="5"/>
  <c r="G138" i="5"/>
  <c r="C138" i="5"/>
  <c r="R267" i="2"/>
  <c r="I267" i="2"/>
  <c r="N267" i="2"/>
  <c r="S267" i="2"/>
  <c r="G267" i="2"/>
  <c r="H267" i="2"/>
  <c r="O267" i="2"/>
  <c r="L267" i="2"/>
  <c r="F267" i="2"/>
  <c r="M267" i="2"/>
  <c r="R470" i="2"/>
  <c r="G470" i="2"/>
  <c r="L470" i="2"/>
  <c r="O470" i="2"/>
  <c r="M470" i="2"/>
  <c r="N470" i="2"/>
  <c r="I470" i="2"/>
  <c r="S470" i="2"/>
  <c r="H470" i="2"/>
  <c r="F470" i="2"/>
  <c r="G482" i="5"/>
  <c r="D482" i="5"/>
  <c r="C482" i="5"/>
  <c r="H482" i="5"/>
  <c r="B482" i="5"/>
  <c r="R861" i="2"/>
  <c r="G861" i="2"/>
  <c r="I861" i="2"/>
  <c r="O861" i="2"/>
  <c r="H861" i="2"/>
  <c r="S861" i="2"/>
  <c r="M861" i="2"/>
  <c r="N861" i="2"/>
  <c r="F861" i="2"/>
  <c r="L861" i="2"/>
  <c r="B525" i="5"/>
  <c r="C525" i="5"/>
  <c r="H525" i="5"/>
  <c r="G525" i="5"/>
  <c r="D525" i="5"/>
  <c r="R555" i="2"/>
  <c r="G555" i="2"/>
  <c r="L555" i="2"/>
  <c r="H555" i="2"/>
  <c r="I555" i="2"/>
  <c r="S555" i="2"/>
  <c r="N555" i="2"/>
  <c r="M555" i="2"/>
  <c r="F555" i="2"/>
  <c r="O555" i="2"/>
  <c r="R244" i="2"/>
  <c r="M244" i="2"/>
  <c r="H244" i="2"/>
  <c r="G244" i="2"/>
  <c r="S244" i="2"/>
  <c r="N244" i="2"/>
  <c r="I244" i="2"/>
  <c r="L244" i="2"/>
  <c r="F244" i="2"/>
  <c r="O244" i="2"/>
  <c r="R621" i="2"/>
  <c r="G621" i="2"/>
  <c r="O621" i="2"/>
  <c r="M621" i="2"/>
  <c r="S621" i="2"/>
  <c r="N621" i="2"/>
  <c r="H621" i="2"/>
  <c r="I621" i="2"/>
  <c r="L621" i="2"/>
  <c r="F621" i="2"/>
  <c r="R204" i="2"/>
  <c r="N204" i="2"/>
  <c r="H204" i="2"/>
  <c r="O204" i="2"/>
  <c r="I204" i="2"/>
  <c r="S204" i="2"/>
  <c r="M204" i="2"/>
  <c r="F204" i="2"/>
  <c r="G204" i="2"/>
  <c r="L204" i="2"/>
  <c r="R314" i="2"/>
  <c r="N314" i="2"/>
  <c r="L314" i="2"/>
  <c r="I314" i="2"/>
  <c r="M314" i="2"/>
  <c r="G314" i="2"/>
  <c r="O314" i="2"/>
  <c r="F314" i="2"/>
  <c r="S314" i="2"/>
  <c r="H314" i="2"/>
  <c r="G919" i="5"/>
  <c r="C919" i="5"/>
  <c r="B919" i="5"/>
  <c r="D919" i="5"/>
  <c r="H919" i="5"/>
  <c r="H447" i="5"/>
  <c r="G447" i="5"/>
  <c r="D447" i="5"/>
  <c r="B447" i="5"/>
  <c r="C447" i="5"/>
  <c r="B642" i="5"/>
  <c r="D642" i="5"/>
  <c r="G642" i="5"/>
  <c r="H642" i="5"/>
  <c r="C642" i="5"/>
  <c r="R448" i="2"/>
  <c r="F448" i="2"/>
  <c r="S448" i="2"/>
  <c r="G448" i="2"/>
  <c r="O448" i="2"/>
  <c r="N448" i="2"/>
  <c r="L448" i="2"/>
  <c r="M448" i="2"/>
  <c r="H448" i="2"/>
  <c r="I448" i="2"/>
  <c r="D878" i="5"/>
  <c r="B878" i="5"/>
  <c r="G878" i="5"/>
  <c r="H878" i="5"/>
  <c r="C878" i="5"/>
  <c r="B759" i="5"/>
  <c r="D759" i="5"/>
  <c r="C759" i="5"/>
  <c r="G759" i="5"/>
  <c r="H759" i="5"/>
  <c r="R739" i="2"/>
  <c r="L739" i="2"/>
  <c r="N739" i="2"/>
  <c r="G739" i="2"/>
  <c r="H739" i="2"/>
  <c r="M739" i="2"/>
  <c r="I739" i="2"/>
  <c r="S739" i="2"/>
  <c r="F739" i="2"/>
  <c r="O739" i="2"/>
  <c r="R521" i="2"/>
  <c r="M521" i="2"/>
  <c r="O521" i="2"/>
  <c r="G521" i="2"/>
  <c r="L521" i="2"/>
  <c r="I521" i="2"/>
  <c r="N521" i="2"/>
  <c r="S521" i="2"/>
  <c r="H521" i="2"/>
  <c r="F521" i="2"/>
  <c r="R405" i="2"/>
  <c r="F405" i="2"/>
  <c r="L405" i="2"/>
  <c r="I405" i="2"/>
  <c r="N405" i="2"/>
  <c r="M405" i="2"/>
  <c r="S405" i="2"/>
  <c r="O405" i="2"/>
  <c r="G405" i="2"/>
  <c r="H405" i="2"/>
  <c r="R158" i="2"/>
  <c r="I158" i="2"/>
  <c r="M158" i="2"/>
  <c r="G158" i="2"/>
  <c r="L158" i="2"/>
  <c r="O158" i="2"/>
  <c r="S158" i="2"/>
  <c r="F158" i="2"/>
  <c r="N158" i="2"/>
  <c r="H158" i="2"/>
  <c r="R168" i="2"/>
  <c r="F168" i="2"/>
  <c r="M168" i="2"/>
  <c r="G168" i="2"/>
  <c r="O168" i="2"/>
  <c r="N168" i="2"/>
  <c r="L168" i="2"/>
  <c r="I168" i="2"/>
  <c r="S168" i="2"/>
  <c r="H168" i="2"/>
  <c r="R685" i="2"/>
  <c r="I685" i="2"/>
  <c r="S685" i="2"/>
  <c r="F685" i="2"/>
  <c r="L685" i="2"/>
  <c r="H685" i="2"/>
  <c r="N685" i="2"/>
  <c r="G685" i="2"/>
  <c r="M685" i="2"/>
  <c r="O685" i="2"/>
  <c r="R604" i="2"/>
  <c r="O604" i="2"/>
  <c r="S604" i="2"/>
  <c r="M604" i="2"/>
  <c r="L604" i="2"/>
  <c r="I604" i="2"/>
  <c r="N604" i="2"/>
  <c r="G604" i="2"/>
  <c r="H604" i="2"/>
  <c r="F604" i="2"/>
  <c r="G690" i="5"/>
  <c r="B690" i="5"/>
  <c r="D690" i="5"/>
  <c r="C690" i="5"/>
  <c r="H690" i="5"/>
  <c r="R549" i="2"/>
  <c r="I549" i="2"/>
  <c r="O549" i="2"/>
  <c r="L549" i="2"/>
  <c r="M549" i="2"/>
  <c r="F549" i="2"/>
  <c r="N549" i="2"/>
  <c r="S549" i="2"/>
  <c r="G549" i="2"/>
  <c r="H549" i="2"/>
  <c r="B91" i="5"/>
  <c r="D745" i="5"/>
  <c r="B745" i="5"/>
  <c r="G745" i="5"/>
  <c r="C745" i="5"/>
  <c r="H745" i="5"/>
  <c r="R228" i="2"/>
  <c r="G228" i="2"/>
  <c r="F228" i="2"/>
  <c r="N228" i="2"/>
  <c r="S228" i="2"/>
  <c r="I228" i="2"/>
  <c r="M228" i="2"/>
  <c r="L228" i="2"/>
  <c r="O228" i="2"/>
  <c r="H228" i="2"/>
  <c r="H556" i="5"/>
  <c r="B556" i="5"/>
  <c r="D556" i="5"/>
  <c r="C556" i="5"/>
  <c r="G556" i="5"/>
  <c r="R868" i="2"/>
  <c r="I868" i="2"/>
  <c r="N868" i="2"/>
  <c r="H868" i="2"/>
  <c r="L868" i="2"/>
  <c r="M868" i="2"/>
  <c r="F868" i="2"/>
  <c r="G868" i="2"/>
  <c r="S868" i="2"/>
  <c r="O868" i="2"/>
  <c r="R646" i="2"/>
  <c r="F646" i="2"/>
  <c r="I646" i="2"/>
  <c r="L646" i="2"/>
  <c r="H646" i="2"/>
  <c r="S646" i="2"/>
  <c r="M646" i="2"/>
  <c r="G646" i="2"/>
  <c r="N646" i="2"/>
  <c r="O646" i="2"/>
  <c r="R335" i="2"/>
  <c r="S335" i="2"/>
  <c r="F335" i="2"/>
  <c r="N335" i="2"/>
  <c r="G335" i="2"/>
  <c r="H335" i="2"/>
  <c r="O335" i="2"/>
  <c r="M335" i="2"/>
  <c r="I335" i="2"/>
  <c r="L335" i="2"/>
  <c r="R536" i="2"/>
  <c r="L536" i="2"/>
  <c r="G536" i="2"/>
  <c r="O536" i="2"/>
  <c r="S536" i="2"/>
  <c r="F536" i="2"/>
  <c r="N536" i="2"/>
  <c r="H536" i="2"/>
  <c r="M536" i="2"/>
  <c r="I536" i="2"/>
  <c r="R801" i="2"/>
  <c r="O801" i="2"/>
  <c r="H801" i="2"/>
  <c r="G801" i="2"/>
  <c r="N801" i="2"/>
  <c r="S801" i="2"/>
  <c r="I801" i="2"/>
  <c r="L801" i="2"/>
  <c r="M801" i="2"/>
  <c r="F801" i="2"/>
  <c r="R277" i="2"/>
  <c r="N277" i="2"/>
  <c r="F277" i="2"/>
  <c r="I277" i="2"/>
  <c r="O277" i="2"/>
  <c r="G277" i="2"/>
  <c r="M277" i="2"/>
  <c r="H277" i="2"/>
  <c r="S277" i="2"/>
  <c r="L277" i="2"/>
  <c r="R341" i="2"/>
  <c r="G341" i="2"/>
  <c r="L341" i="2"/>
  <c r="H341" i="2"/>
  <c r="M341" i="2"/>
  <c r="S341" i="2"/>
  <c r="F341" i="2"/>
  <c r="O341" i="2"/>
  <c r="N341" i="2"/>
  <c r="I341" i="2"/>
  <c r="R164" i="2"/>
  <c r="F164" i="2"/>
  <c r="M164" i="2"/>
  <c r="G164" i="2"/>
  <c r="N164" i="2"/>
  <c r="L164" i="2"/>
  <c r="S164" i="2"/>
  <c r="O164" i="2"/>
  <c r="H164" i="2"/>
  <c r="I164" i="2"/>
  <c r="R606" i="2"/>
  <c r="I606" i="2"/>
  <c r="H606" i="2"/>
  <c r="M606" i="2"/>
  <c r="N606" i="2"/>
  <c r="F606" i="2"/>
  <c r="L606" i="2"/>
  <c r="O606" i="2"/>
  <c r="G606" i="2"/>
  <c r="S606" i="2"/>
  <c r="H472" i="5"/>
  <c r="B472" i="5"/>
  <c r="C472" i="5"/>
  <c r="D472" i="5"/>
  <c r="G472" i="5"/>
  <c r="R804" i="2"/>
  <c r="G804" i="2"/>
  <c r="H804" i="2"/>
  <c r="F804" i="2"/>
  <c r="N804" i="2"/>
  <c r="M804" i="2"/>
  <c r="S804" i="2"/>
  <c r="I804" i="2"/>
  <c r="L804" i="2"/>
  <c r="O804" i="2"/>
  <c r="R458" i="2"/>
  <c r="O458" i="2"/>
  <c r="L458" i="2"/>
  <c r="M458" i="2"/>
  <c r="F458" i="2"/>
  <c r="N458" i="2"/>
  <c r="G458" i="2"/>
  <c r="S458" i="2"/>
  <c r="I458" i="2"/>
  <c r="H458" i="2"/>
  <c r="R429" i="2"/>
  <c r="M429" i="2"/>
  <c r="O429" i="2"/>
  <c r="I429" i="2"/>
  <c r="L429" i="2"/>
  <c r="N429" i="2"/>
  <c r="G429" i="2"/>
  <c r="H429" i="2"/>
  <c r="F429" i="2"/>
  <c r="S429" i="2"/>
  <c r="R271" i="2"/>
  <c r="L271" i="2"/>
  <c r="F271" i="2"/>
  <c r="S271" i="2"/>
  <c r="M271" i="2"/>
  <c r="H271" i="2"/>
  <c r="O271" i="2"/>
  <c r="I271" i="2"/>
  <c r="G271" i="2"/>
  <c r="N271" i="2"/>
  <c r="R911" i="2"/>
  <c r="N911" i="2"/>
  <c r="O911" i="2"/>
  <c r="M911" i="2"/>
  <c r="S911" i="2"/>
  <c r="G911" i="2"/>
  <c r="L911" i="2"/>
  <c r="I911" i="2"/>
  <c r="H911" i="2"/>
  <c r="F911" i="2"/>
  <c r="F97" i="2"/>
  <c r="L97" i="2"/>
  <c r="M97" i="2"/>
  <c r="N97" i="2"/>
  <c r="O97" i="2"/>
  <c r="S97" i="2"/>
  <c r="R578" i="2"/>
  <c r="H578" i="2"/>
  <c r="S578" i="2"/>
  <c r="F578" i="2"/>
  <c r="M578" i="2"/>
  <c r="L578" i="2"/>
  <c r="O578" i="2"/>
  <c r="N578" i="2"/>
  <c r="G578" i="2"/>
  <c r="I578" i="2"/>
  <c r="R853" i="2"/>
  <c r="M853" i="2"/>
  <c r="L853" i="2"/>
  <c r="H853" i="2"/>
  <c r="G853" i="2"/>
  <c r="N853" i="2"/>
  <c r="O853" i="2"/>
  <c r="S853" i="2"/>
  <c r="F853" i="2"/>
  <c r="I853" i="2"/>
  <c r="R917" i="2"/>
  <c r="L917" i="2"/>
  <c r="F917" i="2"/>
  <c r="O917" i="2"/>
  <c r="N917" i="2"/>
  <c r="G917" i="2"/>
  <c r="I917" i="2"/>
  <c r="M917" i="2"/>
  <c r="S917" i="2"/>
  <c r="H917" i="2"/>
  <c r="R676" i="2"/>
  <c r="O676" i="2"/>
  <c r="S676" i="2"/>
  <c r="N676" i="2"/>
  <c r="L676" i="2"/>
  <c r="G676" i="2"/>
  <c r="M676" i="2"/>
  <c r="I676" i="2"/>
  <c r="F676" i="2"/>
  <c r="H676" i="2"/>
  <c r="R103" i="2"/>
  <c r="N103" i="2"/>
  <c r="O103" i="2"/>
  <c r="I103" i="2"/>
  <c r="M103" i="2"/>
  <c r="S103" i="2"/>
  <c r="F103" i="2"/>
  <c r="G103" i="2"/>
  <c r="H103" i="2"/>
  <c r="L103" i="2"/>
  <c r="R456" i="2"/>
  <c r="S456" i="2"/>
  <c r="G456" i="2"/>
  <c r="H456" i="2"/>
  <c r="O456" i="2"/>
  <c r="F456" i="2"/>
  <c r="L456" i="2"/>
  <c r="I456" i="2"/>
  <c r="M456" i="2"/>
  <c r="N456" i="2"/>
  <c r="B777" i="5"/>
  <c r="H777" i="5"/>
  <c r="D777" i="5"/>
  <c r="C777" i="5"/>
  <c r="G777" i="5"/>
  <c r="R894" i="2"/>
  <c r="N894" i="2"/>
  <c r="G894" i="2"/>
  <c r="F894" i="2"/>
  <c r="M894" i="2"/>
  <c r="S894" i="2"/>
  <c r="O894" i="2"/>
  <c r="I894" i="2"/>
  <c r="L894" i="2"/>
  <c r="H894" i="2"/>
  <c r="C838" i="5"/>
  <c r="H838" i="5"/>
  <c r="B838" i="5"/>
  <c r="G838" i="5"/>
  <c r="D838" i="5"/>
  <c r="G260" i="5"/>
  <c r="C260" i="5"/>
  <c r="B260" i="5"/>
  <c r="H260" i="5"/>
  <c r="D260" i="5"/>
  <c r="R821" i="2"/>
  <c r="M821" i="2"/>
  <c r="S821" i="2"/>
  <c r="N821" i="2"/>
  <c r="F821" i="2"/>
  <c r="O821" i="2"/>
  <c r="H821" i="2"/>
  <c r="L821" i="2"/>
  <c r="G821" i="2"/>
  <c r="I821" i="2"/>
  <c r="G557" i="5"/>
  <c r="C557" i="5"/>
  <c r="H557" i="5"/>
  <c r="D557" i="5"/>
  <c r="B557" i="5"/>
  <c r="R510" i="2"/>
  <c r="O510" i="2"/>
  <c r="L510" i="2"/>
  <c r="N510" i="2"/>
  <c r="H510" i="2"/>
  <c r="G510" i="2"/>
  <c r="F510" i="2"/>
  <c r="M510" i="2"/>
  <c r="S510" i="2"/>
  <c r="I510" i="2"/>
  <c r="R380" i="2"/>
  <c r="H380" i="2"/>
  <c r="L380" i="2"/>
  <c r="O380" i="2"/>
  <c r="M380" i="2"/>
  <c r="S380" i="2"/>
  <c r="N380" i="2"/>
  <c r="F380" i="2"/>
  <c r="G380" i="2"/>
  <c r="I380" i="2"/>
  <c r="L5" i="2"/>
  <c r="S5" i="2"/>
  <c r="F5" i="2"/>
  <c r="O5" i="2"/>
  <c r="M5" i="2"/>
  <c r="N5" i="2"/>
  <c r="R334" i="2"/>
  <c r="S334" i="2"/>
  <c r="O334" i="2"/>
  <c r="F334" i="2"/>
  <c r="I334" i="2"/>
  <c r="G334" i="2"/>
  <c r="M334" i="2"/>
  <c r="H334" i="2"/>
  <c r="L334" i="2"/>
  <c r="N334" i="2"/>
  <c r="R535" i="2"/>
  <c r="H535" i="2"/>
  <c r="M535" i="2"/>
  <c r="O535" i="2"/>
  <c r="I535" i="2"/>
  <c r="L535" i="2"/>
  <c r="N535" i="2"/>
  <c r="F535" i="2"/>
  <c r="S535" i="2"/>
  <c r="G535" i="2"/>
  <c r="R100" i="2"/>
  <c r="L100" i="2"/>
  <c r="G100" i="2"/>
  <c r="M100" i="2"/>
  <c r="N100" i="2"/>
  <c r="F100" i="2"/>
  <c r="S100" i="2"/>
  <c r="O100" i="2"/>
  <c r="I100" i="2"/>
  <c r="H100" i="2"/>
  <c r="H572" i="5"/>
  <c r="C572" i="5"/>
  <c r="G572" i="5"/>
  <c r="B572" i="5"/>
  <c r="D572" i="5"/>
  <c r="R273" i="2"/>
  <c r="O273" i="2"/>
  <c r="I273" i="2"/>
  <c r="S273" i="2"/>
  <c r="L273" i="2"/>
  <c r="H273" i="2"/>
  <c r="G273" i="2"/>
  <c r="M273" i="2"/>
  <c r="N273" i="2"/>
  <c r="F273" i="2"/>
  <c r="R889" i="2"/>
  <c r="M889" i="2"/>
  <c r="L889" i="2"/>
  <c r="I889" i="2"/>
  <c r="H889" i="2"/>
  <c r="G889" i="2"/>
  <c r="N889" i="2"/>
  <c r="F889" i="2"/>
  <c r="S889" i="2"/>
  <c r="O889" i="2"/>
  <c r="R543" i="2"/>
  <c r="L543" i="2"/>
  <c r="M543" i="2"/>
  <c r="F543" i="2"/>
  <c r="I543" i="2"/>
  <c r="O543" i="2"/>
  <c r="N543" i="2"/>
  <c r="S543" i="2"/>
  <c r="G543" i="2"/>
  <c r="H543" i="2"/>
  <c r="R744" i="2"/>
  <c r="I744" i="2"/>
  <c r="M744" i="2"/>
  <c r="L744" i="2"/>
  <c r="G744" i="2"/>
  <c r="S744" i="2"/>
  <c r="N744" i="2"/>
  <c r="H744" i="2"/>
  <c r="O744" i="2"/>
  <c r="F744" i="2"/>
  <c r="R945" i="2"/>
  <c r="I945" i="2"/>
  <c r="S945" i="2"/>
  <c r="L945" i="2"/>
  <c r="G945" i="2"/>
  <c r="F945" i="2"/>
  <c r="O945" i="2"/>
  <c r="M945" i="2"/>
  <c r="N945" i="2"/>
  <c r="H945" i="2"/>
  <c r="R977" i="2"/>
  <c r="L977" i="2"/>
  <c r="H977" i="2"/>
  <c r="N977" i="2"/>
  <c r="F977" i="2"/>
  <c r="I977" i="2"/>
  <c r="M977" i="2"/>
  <c r="S977" i="2"/>
  <c r="O977" i="2"/>
  <c r="G977" i="2"/>
  <c r="C605" i="5"/>
  <c r="G605" i="5"/>
  <c r="B605" i="5"/>
  <c r="D605" i="5"/>
  <c r="H605" i="5"/>
  <c r="R186" i="2"/>
  <c r="L186" i="2"/>
  <c r="M186" i="2"/>
  <c r="G186" i="2"/>
  <c r="H186" i="2"/>
  <c r="F186" i="2"/>
  <c r="N186" i="2"/>
  <c r="I186" i="2"/>
  <c r="O186" i="2"/>
  <c r="S186" i="2"/>
  <c r="R300" i="2"/>
  <c r="O300" i="2"/>
  <c r="G300" i="2"/>
  <c r="N300" i="2"/>
  <c r="H300" i="2"/>
  <c r="M300" i="2"/>
  <c r="F300" i="2"/>
  <c r="S300" i="2"/>
  <c r="L300" i="2"/>
  <c r="I300" i="2"/>
  <c r="R202" i="2"/>
  <c r="G202" i="2"/>
  <c r="I202" i="2"/>
  <c r="M202" i="2"/>
  <c r="L202" i="2"/>
  <c r="N202" i="2"/>
  <c r="O202" i="2"/>
  <c r="F202" i="2"/>
  <c r="H202" i="2"/>
  <c r="S202" i="2"/>
  <c r="R696" i="2"/>
  <c r="H696" i="2"/>
  <c r="I696" i="2"/>
  <c r="M696" i="2"/>
  <c r="L696" i="2"/>
  <c r="O696" i="2"/>
  <c r="G696" i="2"/>
  <c r="N696" i="2"/>
  <c r="F696" i="2"/>
  <c r="S696" i="2"/>
  <c r="R726" i="2"/>
  <c r="O726" i="2"/>
  <c r="S726" i="2"/>
  <c r="N726" i="2"/>
  <c r="L726" i="2"/>
  <c r="H726" i="2"/>
  <c r="I726" i="2"/>
  <c r="F726" i="2"/>
  <c r="M726" i="2"/>
  <c r="G726" i="2"/>
  <c r="R321" i="2"/>
  <c r="G321" i="2"/>
  <c r="M321" i="2"/>
  <c r="H321" i="2"/>
  <c r="I321" i="2"/>
  <c r="L321" i="2"/>
  <c r="S321" i="2"/>
  <c r="O321" i="2"/>
  <c r="F321" i="2"/>
  <c r="N321" i="2"/>
  <c r="R351" i="2"/>
  <c r="O351" i="2"/>
  <c r="I351" i="2"/>
  <c r="L351" i="2"/>
  <c r="H351" i="2"/>
  <c r="F351" i="2"/>
  <c r="S351" i="2"/>
  <c r="N351" i="2"/>
  <c r="M351" i="2"/>
  <c r="G351" i="2"/>
  <c r="R520" i="2"/>
  <c r="I520" i="2"/>
  <c r="N520" i="2"/>
  <c r="M520" i="2"/>
  <c r="H520" i="2"/>
  <c r="S520" i="2"/>
  <c r="G520" i="2"/>
  <c r="L520" i="2"/>
  <c r="O520" i="2"/>
  <c r="F520" i="2"/>
  <c r="R721" i="2"/>
  <c r="F721" i="2"/>
  <c r="M721" i="2"/>
  <c r="L721" i="2"/>
  <c r="S721" i="2"/>
  <c r="H721" i="2"/>
  <c r="N721" i="2"/>
  <c r="O721" i="2"/>
  <c r="G721" i="2"/>
  <c r="I721" i="2"/>
  <c r="R830" i="2"/>
  <c r="I830" i="2"/>
  <c r="H830" i="2"/>
  <c r="O830" i="2"/>
  <c r="G830" i="2"/>
  <c r="M830" i="2"/>
  <c r="L830" i="2"/>
  <c r="S830" i="2"/>
  <c r="F830" i="2"/>
  <c r="N830" i="2"/>
  <c r="N60" i="2"/>
  <c r="L60" i="2"/>
  <c r="F60" i="2"/>
  <c r="S60" i="2"/>
  <c r="O60" i="2"/>
  <c r="M60" i="2"/>
  <c r="R124" i="2"/>
  <c r="I124" i="2"/>
  <c r="H124" i="2"/>
  <c r="L124" i="2"/>
  <c r="N124" i="2"/>
  <c r="F124" i="2"/>
  <c r="O124" i="2"/>
  <c r="G124" i="2"/>
  <c r="S124" i="2"/>
  <c r="M124" i="2"/>
  <c r="C887" i="5"/>
  <c r="D887" i="5"/>
  <c r="H887" i="5"/>
  <c r="G887" i="5"/>
  <c r="B887" i="5"/>
  <c r="R782" i="2"/>
  <c r="G782" i="2"/>
  <c r="S782" i="2"/>
  <c r="M782" i="2"/>
  <c r="I782" i="2"/>
  <c r="N782" i="2"/>
  <c r="O782" i="2"/>
  <c r="L782" i="2"/>
  <c r="F782" i="2"/>
  <c r="H782" i="2"/>
  <c r="R773" i="2"/>
  <c r="F773" i="2"/>
  <c r="O773" i="2"/>
  <c r="M773" i="2"/>
  <c r="S773" i="2"/>
  <c r="L773" i="2"/>
  <c r="H773" i="2"/>
  <c r="I773" i="2"/>
  <c r="N773" i="2"/>
  <c r="G773" i="2"/>
  <c r="R377" i="2"/>
  <c r="F377" i="2"/>
  <c r="L377" i="2"/>
  <c r="H377" i="2"/>
  <c r="G377" i="2"/>
  <c r="I377" i="2"/>
  <c r="O377" i="2"/>
  <c r="S377" i="2"/>
  <c r="N377" i="2"/>
  <c r="M377" i="2"/>
  <c r="R441" i="2"/>
  <c r="F441" i="2"/>
  <c r="O441" i="2"/>
  <c r="G441" i="2"/>
  <c r="N441" i="2"/>
  <c r="M441" i="2"/>
  <c r="H441" i="2"/>
  <c r="L441" i="2"/>
  <c r="S441" i="2"/>
  <c r="I441" i="2"/>
  <c r="R767" i="2"/>
  <c r="N767" i="2"/>
  <c r="L767" i="2"/>
  <c r="O767" i="2"/>
  <c r="H767" i="2"/>
  <c r="F767" i="2"/>
  <c r="G767" i="2"/>
  <c r="M767" i="2"/>
  <c r="I767" i="2"/>
  <c r="S767" i="2"/>
  <c r="R697" i="2"/>
  <c r="S697" i="2"/>
  <c r="L697" i="2"/>
  <c r="M697" i="2"/>
  <c r="F697" i="2"/>
  <c r="G697" i="2"/>
  <c r="O697" i="2"/>
  <c r="H697" i="2"/>
  <c r="N697" i="2"/>
  <c r="I697" i="2"/>
  <c r="R737" i="2"/>
  <c r="N737" i="2"/>
  <c r="H737" i="2"/>
  <c r="L737" i="2"/>
  <c r="I737" i="2"/>
  <c r="F737" i="2"/>
  <c r="G737" i="2"/>
  <c r="O737" i="2"/>
  <c r="S737" i="2"/>
  <c r="M737" i="2"/>
  <c r="R795" i="2"/>
  <c r="M795" i="2"/>
  <c r="L795" i="2"/>
  <c r="O795" i="2"/>
  <c r="I795" i="2"/>
  <c r="N795" i="2"/>
  <c r="G795" i="2"/>
  <c r="F795" i="2"/>
  <c r="H795" i="2"/>
  <c r="S795" i="2"/>
  <c r="B801" i="5"/>
  <c r="D801" i="5"/>
  <c r="H801" i="5"/>
  <c r="G801" i="5"/>
  <c r="C801" i="5"/>
  <c r="R438" i="2"/>
  <c r="S438" i="2"/>
  <c r="G438" i="2"/>
  <c r="L438" i="2"/>
  <c r="O438" i="2"/>
  <c r="I438" i="2"/>
  <c r="M438" i="2"/>
  <c r="N438" i="2"/>
  <c r="F438" i="2"/>
  <c r="H438" i="2"/>
  <c r="B539" i="5"/>
  <c r="D539" i="5"/>
  <c r="G539" i="5"/>
  <c r="C539" i="5"/>
  <c r="H539" i="5"/>
  <c r="B527" i="5"/>
  <c r="C527" i="5"/>
  <c r="G527" i="5"/>
  <c r="H527" i="5"/>
  <c r="D527" i="5"/>
  <c r="R904" i="2"/>
  <c r="S904" i="2"/>
  <c r="F904" i="2"/>
  <c r="N904" i="2"/>
  <c r="G904" i="2"/>
  <c r="M904" i="2"/>
  <c r="H904" i="2"/>
  <c r="L904" i="2"/>
  <c r="I904" i="2"/>
  <c r="O904" i="2"/>
  <c r="G802" i="5"/>
  <c r="C802" i="5"/>
  <c r="B802" i="5"/>
  <c r="H802" i="5"/>
  <c r="D802" i="5"/>
  <c r="R529" i="2"/>
  <c r="S529" i="2"/>
  <c r="L529" i="2"/>
  <c r="H529" i="2"/>
  <c r="F529" i="2"/>
  <c r="M529" i="2"/>
  <c r="N529" i="2"/>
  <c r="G529" i="2"/>
  <c r="O529" i="2"/>
  <c r="I529" i="2"/>
  <c r="R243" i="2"/>
  <c r="G243" i="2"/>
  <c r="I243" i="2"/>
  <c r="M243" i="2"/>
  <c r="H243" i="2"/>
  <c r="F243" i="2"/>
  <c r="O243" i="2"/>
  <c r="L243" i="2"/>
  <c r="N243" i="2"/>
  <c r="S243" i="2"/>
  <c r="R883" i="2"/>
  <c r="H883" i="2"/>
  <c r="L883" i="2"/>
  <c r="N883" i="2"/>
  <c r="M883" i="2"/>
  <c r="I883" i="2"/>
  <c r="F883" i="2"/>
  <c r="S883" i="2"/>
  <c r="G883" i="2"/>
  <c r="O883" i="2"/>
  <c r="O69" i="2"/>
  <c r="F69" i="2"/>
  <c r="L69" i="2"/>
  <c r="S69" i="2"/>
  <c r="N69" i="2"/>
  <c r="M69" i="2"/>
  <c r="R398" i="2"/>
  <c r="O398" i="2"/>
  <c r="H398" i="2"/>
  <c r="G398" i="2"/>
  <c r="S398" i="2"/>
  <c r="I398" i="2"/>
  <c r="N398" i="2"/>
  <c r="L398" i="2"/>
  <c r="F398" i="2"/>
  <c r="M398" i="2"/>
  <c r="R114" i="2"/>
  <c r="L114" i="2"/>
  <c r="I114" i="2"/>
  <c r="O114" i="2"/>
  <c r="H114" i="2"/>
  <c r="G114" i="2"/>
  <c r="S114" i="2"/>
  <c r="M114" i="2"/>
  <c r="F114" i="2"/>
  <c r="N114" i="2"/>
  <c r="D661" i="5"/>
  <c r="H661" i="5"/>
  <c r="C661" i="5"/>
  <c r="G661" i="5"/>
  <c r="B661" i="5"/>
  <c r="R264" i="2"/>
  <c r="H264" i="2"/>
  <c r="S264" i="2"/>
  <c r="M264" i="2"/>
  <c r="O264" i="2"/>
  <c r="G264" i="2"/>
  <c r="I264" i="2"/>
  <c r="N264" i="2"/>
  <c r="L264" i="2"/>
  <c r="F264" i="2"/>
  <c r="R761" i="2"/>
  <c r="N761" i="2"/>
  <c r="O761" i="2"/>
  <c r="H761" i="2"/>
  <c r="L761" i="2"/>
  <c r="I761" i="2"/>
  <c r="G761" i="2"/>
  <c r="F761" i="2"/>
  <c r="M761" i="2"/>
  <c r="S761" i="2"/>
  <c r="C415" i="5"/>
  <c r="B415" i="5"/>
  <c r="G415" i="5"/>
  <c r="H415" i="5"/>
  <c r="D415" i="5"/>
  <c r="R465" i="2"/>
  <c r="S465" i="2"/>
  <c r="F465" i="2"/>
  <c r="H465" i="2"/>
  <c r="N465" i="2"/>
  <c r="M465" i="2"/>
  <c r="O465" i="2"/>
  <c r="L465" i="2"/>
  <c r="I465" i="2"/>
  <c r="G465" i="2"/>
  <c r="G272" i="5"/>
  <c r="C272" i="5"/>
  <c r="H272" i="5"/>
  <c r="B272" i="5"/>
  <c r="D272" i="5"/>
  <c r="R885" i="2"/>
  <c r="M885" i="2"/>
  <c r="S885" i="2"/>
  <c r="I885" i="2"/>
  <c r="O885" i="2"/>
  <c r="H885" i="2"/>
  <c r="N885" i="2"/>
  <c r="F885" i="2"/>
  <c r="G885" i="2"/>
  <c r="L885" i="2"/>
  <c r="R819" i="2"/>
  <c r="S819" i="2"/>
  <c r="F819" i="2"/>
  <c r="O819" i="2"/>
  <c r="G819" i="2"/>
  <c r="M819" i="2"/>
  <c r="H819" i="2"/>
  <c r="L819" i="2"/>
  <c r="N819" i="2"/>
  <c r="I819" i="2"/>
  <c r="R444" i="2"/>
  <c r="H444" i="2"/>
  <c r="N444" i="2"/>
  <c r="S444" i="2"/>
  <c r="M444" i="2"/>
  <c r="G444" i="2"/>
  <c r="F444" i="2"/>
  <c r="L444" i="2"/>
  <c r="I444" i="2"/>
  <c r="O444" i="2"/>
  <c r="R645" i="2"/>
  <c r="F645" i="2"/>
  <c r="H645" i="2"/>
  <c r="N645" i="2"/>
  <c r="M645" i="2"/>
  <c r="G645" i="2"/>
  <c r="L645" i="2"/>
  <c r="I645" i="2"/>
  <c r="O645" i="2"/>
  <c r="S645" i="2"/>
  <c r="R974" i="2"/>
  <c r="L974" i="2"/>
  <c r="M974" i="2"/>
  <c r="I974" i="2"/>
  <c r="S974" i="2"/>
  <c r="N974" i="2"/>
  <c r="H974" i="2"/>
  <c r="F974" i="2"/>
  <c r="O974" i="2"/>
  <c r="G974" i="2"/>
  <c r="R539" i="2"/>
  <c r="S539" i="2"/>
  <c r="M539" i="2"/>
  <c r="O539" i="2"/>
  <c r="H539" i="2"/>
  <c r="I539" i="2"/>
  <c r="L539" i="2"/>
  <c r="F539" i="2"/>
  <c r="N539" i="2"/>
  <c r="G539" i="2"/>
  <c r="B766" i="5"/>
  <c r="G766" i="5"/>
  <c r="D766" i="5"/>
  <c r="H766" i="5"/>
  <c r="C766" i="5"/>
  <c r="R776" i="2"/>
  <c r="L776" i="2"/>
  <c r="M776" i="2"/>
  <c r="I776" i="2"/>
  <c r="H776" i="2"/>
  <c r="N776" i="2"/>
  <c r="F776" i="2"/>
  <c r="O776" i="2"/>
  <c r="G776" i="2"/>
  <c r="S776" i="2"/>
  <c r="R825" i="2"/>
  <c r="M825" i="2"/>
  <c r="O825" i="2"/>
  <c r="F825" i="2"/>
  <c r="S825" i="2"/>
  <c r="I825" i="2"/>
  <c r="H825" i="2"/>
  <c r="L825" i="2"/>
  <c r="G825" i="2"/>
  <c r="N825" i="2"/>
  <c r="G337" i="5"/>
  <c r="B337" i="5"/>
  <c r="C337" i="5"/>
  <c r="D337" i="5"/>
  <c r="H337" i="5"/>
  <c r="C393" i="5"/>
  <c r="H393" i="5"/>
  <c r="B393" i="5"/>
  <c r="G393" i="5"/>
  <c r="D393" i="5"/>
  <c r="C529" i="5"/>
  <c r="H529" i="5"/>
  <c r="G529" i="5"/>
  <c r="B529" i="5"/>
  <c r="D529" i="5"/>
  <c r="C448" i="5"/>
  <c r="G448" i="5"/>
  <c r="D448" i="5"/>
  <c r="B448" i="5"/>
  <c r="H448" i="5"/>
  <c r="R610" i="2"/>
  <c r="F610" i="2"/>
  <c r="O610" i="2"/>
  <c r="G610" i="2"/>
  <c r="L610" i="2"/>
  <c r="H610" i="2"/>
  <c r="M610" i="2"/>
  <c r="I610" i="2"/>
  <c r="N610" i="2"/>
  <c r="S610" i="2"/>
  <c r="R330" i="2"/>
  <c r="M330" i="2"/>
  <c r="G330" i="2"/>
  <c r="F330" i="2"/>
  <c r="L330" i="2"/>
  <c r="N330" i="2"/>
  <c r="S330" i="2"/>
  <c r="O330" i="2"/>
  <c r="H330" i="2"/>
  <c r="I330" i="2"/>
  <c r="R397" i="2"/>
  <c r="M397" i="2"/>
  <c r="F397" i="2"/>
  <c r="O397" i="2"/>
  <c r="H397" i="2"/>
  <c r="I397" i="2"/>
  <c r="S397" i="2"/>
  <c r="L397" i="2"/>
  <c r="N397" i="2"/>
  <c r="G397" i="2"/>
  <c r="R418" i="2"/>
  <c r="N418" i="2"/>
  <c r="H418" i="2"/>
  <c r="L418" i="2"/>
  <c r="I418" i="2"/>
  <c r="F418" i="2"/>
  <c r="M418" i="2"/>
  <c r="G418" i="2"/>
  <c r="O418" i="2"/>
  <c r="S418" i="2"/>
  <c r="F41" i="2"/>
  <c r="N41" i="2"/>
  <c r="O41" i="2"/>
  <c r="M41" i="2"/>
  <c r="L41" i="2"/>
  <c r="S41" i="2"/>
  <c r="R681" i="2"/>
  <c r="G681" i="2"/>
  <c r="I681" i="2"/>
  <c r="M681" i="2"/>
  <c r="S681" i="2"/>
  <c r="H681" i="2"/>
  <c r="F681" i="2"/>
  <c r="L681" i="2"/>
  <c r="N681" i="2"/>
  <c r="O681" i="2"/>
  <c r="R607" i="2"/>
  <c r="I607" i="2"/>
  <c r="O607" i="2"/>
  <c r="G607" i="2"/>
  <c r="S607" i="2"/>
  <c r="L607" i="2"/>
  <c r="M607" i="2"/>
  <c r="N607" i="2"/>
  <c r="H607" i="2"/>
  <c r="F607" i="2"/>
  <c r="R808" i="2"/>
  <c r="L808" i="2"/>
  <c r="M808" i="2"/>
  <c r="I808" i="2"/>
  <c r="O808" i="2"/>
  <c r="F808" i="2"/>
  <c r="H808" i="2"/>
  <c r="N808" i="2"/>
  <c r="S808" i="2"/>
  <c r="G808" i="2"/>
  <c r="R840" i="2"/>
  <c r="S840" i="2"/>
  <c r="O840" i="2"/>
  <c r="H840" i="2"/>
  <c r="M840" i="2"/>
  <c r="F840" i="2"/>
  <c r="G840" i="2"/>
  <c r="L840" i="2"/>
  <c r="I840" i="2"/>
  <c r="N840" i="2"/>
  <c r="H719" i="5"/>
  <c r="D719" i="5"/>
  <c r="B719" i="5"/>
  <c r="C719" i="5"/>
  <c r="G719" i="5"/>
  <c r="R153" i="2"/>
  <c r="O153" i="2"/>
  <c r="I153" i="2"/>
  <c r="M153" i="2"/>
  <c r="H153" i="2"/>
  <c r="F153" i="2"/>
  <c r="N153" i="2"/>
  <c r="L153" i="2"/>
  <c r="S153" i="2"/>
  <c r="G153" i="2"/>
  <c r="R953" i="2"/>
  <c r="F953" i="2"/>
  <c r="S953" i="2"/>
  <c r="H953" i="2"/>
  <c r="O953" i="2"/>
  <c r="G953" i="2"/>
  <c r="M953" i="2"/>
  <c r="I953" i="2"/>
  <c r="N953" i="2"/>
  <c r="L953" i="2"/>
  <c r="R661" i="2"/>
  <c r="F661" i="2"/>
  <c r="N661" i="2"/>
  <c r="S661" i="2"/>
  <c r="H661" i="2"/>
  <c r="I661" i="2"/>
  <c r="M661" i="2"/>
  <c r="L661" i="2"/>
  <c r="G661" i="2"/>
  <c r="O661" i="2"/>
  <c r="R926" i="2"/>
  <c r="H926" i="2"/>
  <c r="I926" i="2"/>
  <c r="G926" i="2"/>
  <c r="M926" i="2"/>
  <c r="S926" i="2"/>
  <c r="L926" i="2"/>
  <c r="O926" i="2"/>
  <c r="F926" i="2"/>
  <c r="N926" i="2"/>
  <c r="R176" i="2"/>
  <c r="M176" i="2"/>
  <c r="G176" i="2"/>
  <c r="S176" i="2"/>
  <c r="L176" i="2"/>
  <c r="F176" i="2"/>
  <c r="O176" i="2"/>
  <c r="H176" i="2"/>
  <c r="I176" i="2"/>
  <c r="N176" i="2"/>
  <c r="R234" i="2"/>
  <c r="G234" i="2"/>
  <c r="L234" i="2"/>
  <c r="H234" i="2"/>
  <c r="M234" i="2"/>
  <c r="I234" i="2"/>
  <c r="O234" i="2"/>
  <c r="N234" i="2"/>
  <c r="S234" i="2"/>
  <c r="F234" i="2"/>
  <c r="R172" i="2"/>
  <c r="G172" i="2"/>
  <c r="S172" i="2"/>
  <c r="F172" i="2"/>
  <c r="M172" i="2"/>
  <c r="I172" i="2"/>
  <c r="L172" i="2"/>
  <c r="N172" i="2"/>
  <c r="O172" i="2"/>
  <c r="H172" i="2"/>
  <c r="R198" i="2"/>
  <c r="O198" i="2"/>
  <c r="N198" i="2"/>
  <c r="H198" i="2"/>
  <c r="F198" i="2"/>
  <c r="M198" i="2"/>
  <c r="S198" i="2"/>
  <c r="G198" i="2"/>
  <c r="L198" i="2"/>
  <c r="I198" i="2"/>
  <c r="G467" i="5"/>
  <c r="B467" i="5"/>
  <c r="H467" i="5"/>
  <c r="C467" i="5"/>
  <c r="D467" i="5"/>
  <c r="R704" i="2"/>
  <c r="I704" i="2"/>
  <c r="N704" i="2"/>
  <c r="G704" i="2"/>
  <c r="F704" i="2"/>
  <c r="M704" i="2"/>
  <c r="S704" i="2"/>
  <c r="L704" i="2"/>
  <c r="H704" i="2"/>
  <c r="O704" i="2"/>
  <c r="R229" i="2"/>
  <c r="I229" i="2"/>
  <c r="G229" i="2"/>
  <c r="F229" i="2"/>
  <c r="M229" i="2"/>
  <c r="L229" i="2"/>
  <c r="H229" i="2"/>
  <c r="S229" i="2"/>
  <c r="N229" i="2"/>
  <c r="O229" i="2"/>
  <c r="R844" i="2"/>
  <c r="H844" i="2"/>
  <c r="M844" i="2"/>
  <c r="F844" i="2"/>
  <c r="O844" i="2"/>
  <c r="I844" i="2"/>
  <c r="N844" i="2"/>
  <c r="G844" i="2"/>
  <c r="S844" i="2"/>
  <c r="L844" i="2"/>
  <c r="R869" i="2"/>
  <c r="O869" i="2"/>
  <c r="M869" i="2"/>
  <c r="L869" i="2"/>
  <c r="N869" i="2"/>
  <c r="I869" i="2"/>
  <c r="F869" i="2"/>
  <c r="H869" i="2"/>
  <c r="S869" i="2"/>
  <c r="G869" i="2"/>
  <c r="R469" i="2"/>
  <c r="S469" i="2"/>
  <c r="I469" i="2"/>
  <c r="H469" i="2"/>
  <c r="F469" i="2"/>
  <c r="N469" i="2"/>
  <c r="M469" i="2"/>
  <c r="L469" i="2"/>
  <c r="O469" i="2"/>
  <c r="G469" i="2"/>
  <c r="R976" i="2"/>
  <c r="M976" i="2"/>
  <c r="O976" i="2"/>
  <c r="S976" i="2"/>
  <c r="H976" i="2"/>
  <c r="N976" i="2"/>
  <c r="G976" i="2"/>
  <c r="L976" i="2"/>
  <c r="I976" i="2"/>
  <c r="F976" i="2"/>
  <c r="R890" i="2"/>
  <c r="N890" i="2"/>
  <c r="G890" i="2"/>
  <c r="I890" i="2"/>
  <c r="L890" i="2"/>
  <c r="M890" i="2"/>
  <c r="S890" i="2"/>
  <c r="O890" i="2"/>
  <c r="H890" i="2"/>
  <c r="F890" i="2"/>
  <c r="R363" i="2"/>
  <c r="O363" i="2"/>
  <c r="I363" i="2"/>
  <c r="H363" i="2"/>
  <c r="G363" i="2"/>
  <c r="M363" i="2"/>
  <c r="F363" i="2"/>
  <c r="L363" i="2"/>
  <c r="S363" i="2"/>
  <c r="N363" i="2"/>
  <c r="R736" i="2"/>
  <c r="G736" i="2"/>
  <c r="N736" i="2"/>
  <c r="S736" i="2"/>
  <c r="F736" i="2"/>
  <c r="M736" i="2"/>
  <c r="L736" i="2"/>
  <c r="H736" i="2"/>
  <c r="O736" i="2"/>
  <c r="I736" i="2"/>
  <c r="R864" i="2"/>
  <c r="L864" i="2"/>
  <c r="M864" i="2"/>
  <c r="O864" i="2"/>
  <c r="G864" i="2"/>
  <c r="F864" i="2"/>
  <c r="I864" i="2"/>
  <c r="H864" i="2"/>
  <c r="S864" i="2"/>
  <c r="N864" i="2"/>
  <c r="R997" i="2"/>
  <c r="F997" i="2"/>
  <c r="G997" i="2"/>
  <c r="N997" i="2"/>
  <c r="M997" i="2"/>
  <c r="I997" i="2"/>
  <c r="S997" i="2"/>
  <c r="L997" i="2"/>
  <c r="H997" i="2"/>
  <c r="O997" i="2"/>
  <c r="R479" i="2"/>
  <c r="S479" i="2"/>
  <c r="M479" i="2"/>
  <c r="H479" i="2"/>
  <c r="L479" i="2"/>
  <c r="F479" i="2"/>
  <c r="O479" i="2"/>
  <c r="N479" i="2"/>
  <c r="I479" i="2"/>
  <c r="G479" i="2"/>
  <c r="O95" i="2"/>
  <c r="L95" i="2"/>
  <c r="M95" i="2"/>
  <c r="F95" i="2"/>
  <c r="S95" i="2"/>
  <c r="N95" i="2"/>
  <c r="M63" i="2"/>
  <c r="O63" i="2"/>
  <c r="F63" i="2"/>
  <c r="L63" i="2"/>
  <c r="S63" i="2"/>
  <c r="N63" i="2"/>
  <c r="C135" i="5"/>
  <c r="B135" i="5"/>
  <c r="D135" i="5"/>
  <c r="G135" i="5"/>
  <c r="H135" i="5"/>
  <c r="R647" i="2"/>
  <c r="F647" i="2"/>
  <c r="G647" i="2"/>
  <c r="M647" i="2"/>
  <c r="O647" i="2"/>
  <c r="L647" i="2"/>
  <c r="I647" i="2"/>
  <c r="H647" i="2"/>
  <c r="S647" i="2"/>
  <c r="N647" i="2"/>
  <c r="B641" i="5"/>
  <c r="H641" i="5"/>
  <c r="D641" i="5"/>
  <c r="C641" i="5"/>
  <c r="G641" i="5"/>
  <c r="R445" i="2"/>
  <c r="O445" i="2"/>
  <c r="H445" i="2"/>
  <c r="M445" i="2"/>
  <c r="S445" i="2"/>
  <c r="N445" i="2"/>
  <c r="I445" i="2"/>
  <c r="L445" i="2"/>
  <c r="F445" i="2"/>
  <c r="G445" i="2"/>
  <c r="L48" i="2"/>
  <c r="N48" i="2"/>
  <c r="S48" i="2"/>
  <c r="O48" i="2"/>
  <c r="M48" i="2"/>
  <c r="F48" i="2"/>
  <c r="R665" i="2"/>
  <c r="I665" i="2"/>
  <c r="N665" i="2"/>
  <c r="O665" i="2"/>
  <c r="F665" i="2"/>
  <c r="H665" i="2"/>
  <c r="M665" i="2"/>
  <c r="G665" i="2"/>
  <c r="L665" i="2"/>
  <c r="S665" i="2"/>
  <c r="C478" i="5"/>
  <c r="B478" i="5"/>
  <c r="G478" i="5"/>
  <c r="H478" i="5"/>
  <c r="D478" i="5"/>
  <c r="R794" i="2"/>
  <c r="L794" i="2"/>
  <c r="O794" i="2"/>
  <c r="N794" i="2"/>
  <c r="F794" i="2"/>
  <c r="S794" i="2"/>
  <c r="I794" i="2"/>
  <c r="H794" i="2"/>
  <c r="M794" i="2"/>
  <c r="G794" i="2"/>
  <c r="G928" i="5"/>
  <c r="H928" i="5"/>
  <c r="C928" i="5"/>
  <c r="B928" i="5"/>
  <c r="D928" i="5"/>
  <c r="C151" i="5"/>
  <c r="B151" i="5"/>
  <c r="D151" i="5"/>
  <c r="H151" i="5"/>
  <c r="G151" i="5"/>
  <c r="D575" i="5"/>
  <c r="B575" i="5"/>
  <c r="C575" i="5"/>
  <c r="H575" i="5"/>
  <c r="G575" i="5"/>
  <c r="R294" i="2"/>
  <c r="I294" i="2"/>
  <c r="F294" i="2"/>
  <c r="G294" i="2"/>
  <c r="L294" i="2"/>
  <c r="H294" i="2"/>
  <c r="S294" i="2"/>
  <c r="N294" i="2"/>
  <c r="O294" i="2"/>
  <c r="M294" i="2"/>
  <c r="C684" i="5"/>
  <c r="B684" i="5"/>
  <c r="G684" i="5"/>
  <c r="H684" i="5"/>
  <c r="D684" i="5"/>
  <c r="R194" i="2"/>
  <c r="L194" i="2"/>
  <c r="G194" i="2"/>
  <c r="M194" i="2"/>
  <c r="N194" i="2"/>
  <c r="S194" i="2"/>
  <c r="F194" i="2"/>
  <c r="O194" i="2"/>
  <c r="H194" i="2"/>
  <c r="I194" i="2"/>
  <c r="R331" i="2"/>
  <c r="S331" i="2"/>
  <c r="H331" i="2"/>
  <c r="M331" i="2"/>
  <c r="F331" i="2"/>
  <c r="I331" i="2"/>
  <c r="L331" i="2"/>
  <c r="O331" i="2"/>
  <c r="G331" i="2"/>
  <c r="N331" i="2"/>
  <c r="G954" i="5"/>
  <c r="B954" i="5"/>
  <c r="C954" i="5"/>
  <c r="D954" i="5"/>
  <c r="H954" i="5"/>
  <c r="R342" i="2"/>
  <c r="H342" i="2"/>
  <c r="L342" i="2"/>
  <c r="F342" i="2"/>
  <c r="S342" i="2"/>
  <c r="G342" i="2"/>
  <c r="M342" i="2"/>
  <c r="I342" i="2"/>
  <c r="N342" i="2"/>
  <c r="O342" i="2"/>
  <c r="C711" i="5"/>
  <c r="G711" i="5"/>
  <c r="B711" i="5"/>
  <c r="D711" i="5"/>
  <c r="H711" i="5"/>
  <c r="C783" i="5"/>
  <c r="G783" i="5"/>
  <c r="H783" i="5"/>
  <c r="D783" i="5"/>
  <c r="B783" i="5"/>
  <c r="R343" i="2"/>
  <c r="L343" i="2"/>
  <c r="S343" i="2"/>
  <c r="N343" i="2"/>
  <c r="F343" i="2"/>
  <c r="M343" i="2"/>
  <c r="G343" i="2"/>
  <c r="I343" i="2"/>
  <c r="H343" i="2"/>
  <c r="O343" i="2"/>
  <c r="R939" i="2"/>
  <c r="H939" i="2"/>
  <c r="I939" i="2"/>
  <c r="S939" i="2"/>
  <c r="L939" i="2"/>
  <c r="M939" i="2"/>
  <c r="F939" i="2"/>
  <c r="G939" i="2"/>
  <c r="N939" i="2"/>
  <c r="O939" i="2"/>
  <c r="R991" i="2"/>
  <c r="I991" i="2"/>
  <c r="S991" i="2"/>
  <c r="G991" i="2"/>
  <c r="N991" i="2"/>
  <c r="O991" i="2"/>
  <c r="L991" i="2"/>
  <c r="H991" i="2"/>
  <c r="M991" i="2"/>
  <c r="F991" i="2"/>
  <c r="C323" i="5"/>
  <c r="B323" i="5"/>
  <c r="G323" i="5"/>
  <c r="D323" i="5"/>
  <c r="H323" i="5"/>
  <c r="B890" i="5"/>
  <c r="D890" i="5"/>
  <c r="G890" i="5"/>
  <c r="C890" i="5"/>
  <c r="H890" i="5"/>
  <c r="D170" i="5"/>
  <c r="B170" i="5"/>
  <c r="H170" i="5"/>
  <c r="G170" i="5"/>
  <c r="C170" i="5"/>
  <c r="R714" i="2"/>
  <c r="G714" i="2"/>
  <c r="S714" i="2"/>
  <c r="N714" i="2"/>
  <c r="H714" i="2"/>
  <c r="I714" i="2"/>
  <c r="L714" i="2"/>
  <c r="M714" i="2"/>
  <c r="F714" i="2"/>
  <c r="O714" i="2"/>
  <c r="B334" i="5"/>
  <c r="D334" i="5"/>
  <c r="H334" i="5"/>
  <c r="G334" i="5"/>
  <c r="C334" i="5"/>
  <c r="R165" i="2"/>
  <c r="L165" i="2"/>
  <c r="O165" i="2"/>
  <c r="I165" i="2"/>
  <c r="H165" i="2"/>
  <c r="M165" i="2"/>
  <c r="N165" i="2"/>
  <c r="S165" i="2"/>
  <c r="G165" i="2"/>
  <c r="F165" i="2"/>
  <c r="R538" i="2"/>
  <c r="M538" i="2"/>
  <c r="I538" i="2"/>
  <c r="N538" i="2"/>
  <c r="S538" i="2"/>
  <c r="L538" i="2"/>
  <c r="G538" i="2"/>
  <c r="F538" i="2"/>
  <c r="O538" i="2"/>
  <c r="H538" i="2"/>
  <c r="C673" i="5"/>
  <c r="G673" i="5"/>
  <c r="D673" i="5"/>
  <c r="H673" i="5"/>
  <c r="B673" i="5"/>
  <c r="R851" i="2"/>
  <c r="O851" i="2"/>
  <c r="F851" i="2"/>
  <c r="M851" i="2"/>
  <c r="H851" i="2"/>
  <c r="L851" i="2"/>
  <c r="N851" i="2"/>
  <c r="I851" i="2"/>
  <c r="S851" i="2"/>
  <c r="G851" i="2"/>
  <c r="G412" i="5"/>
  <c r="H412" i="5"/>
  <c r="D412" i="5"/>
  <c r="B412" i="5"/>
  <c r="C412" i="5"/>
  <c r="G761" i="5"/>
  <c r="D761" i="5"/>
  <c r="B761" i="5"/>
  <c r="H761" i="5"/>
  <c r="C761" i="5"/>
  <c r="O91" i="2"/>
  <c r="M91" i="2"/>
  <c r="L91" i="2"/>
  <c r="N91" i="2"/>
  <c r="F91" i="2"/>
  <c r="S91" i="2"/>
  <c r="R523" i="2"/>
  <c r="N523" i="2"/>
  <c r="H523" i="2"/>
  <c r="I523" i="2"/>
  <c r="M523" i="2"/>
  <c r="F523" i="2"/>
  <c r="G523" i="2"/>
  <c r="L523" i="2"/>
  <c r="O523" i="2"/>
  <c r="S523" i="2"/>
  <c r="M57" i="2"/>
  <c r="O57" i="2"/>
  <c r="L57" i="2"/>
  <c r="S57" i="2"/>
  <c r="F57" i="2"/>
  <c r="N57" i="2"/>
  <c r="R551" i="2"/>
  <c r="M551" i="2"/>
  <c r="S551" i="2"/>
  <c r="H551" i="2"/>
  <c r="G551" i="2"/>
  <c r="L551" i="2"/>
  <c r="N551" i="2"/>
  <c r="O551" i="2"/>
  <c r="I551" i="2"/>
  <c r="F551" i="2"/>
  <c r="D523" i="5"/>
  <c r="H523" i="5"/>
  <c r="G523" i="5"/>
  <c r="C523" i="5"/>
  <c r="B523" i="5"/>
  <c r="C222" i="5"/>
  <c r="B222" i="5"/>
  <c r="G222" i="5"/>
  <c r="D222" i="5"/>
  <c r="H222" i="5"/>
  <c r="G231" i="5"/>
  <c r="D231" i="5"/>
  <c r="H231" i="5"/>
  <c r="C231" i="5"/>
  <c r="B231" i="5"/>
  <c r="R759" i="2"/>
  <c r="I759" i="2"/>
  <c r="M759" i="2"/>
  <c r="O759" i="2"/>
  <c r="S759" i="2"/>
  <c r="H759" i="2"/>
  <c r="L759" i="2"/>
  <c r="F759" i="2"/>
  <c r="G759" i="2"/>
  <c r="N759" i="2"/>
  <c r="C713" i="5"/>
  <c r="B713" i="5"/>
  <c r="G713" i="5"/>
  <c r="H713" i="5"/>
  <c r="D713" i="5"/>
  <c r="G938" i="5"/>
  <c r="H938" i="5"/>
  <c r="B938" i="5"/>
  <c r="D938" i="5"/>
  <c r="C938" i="5"/>
  <c r="R427" i="2"/>
  <c r="H427" i="2"/>
  <c r="O427" i="2"/>
  <c r="F427" i="2"/>
  <c r="M427" i="2"/>
  <c r="L427" i="2"/>
  <c r="S427" i="2"/>
  <c r="G427" i="2"/>
  <c r="I427" i="2"/>
  <c r="N427" i="2"/>
  <c r="R951" i="2"/>
  <c r="H951" i="2"/>
  <c r="L951" i="2"/>
  <c r="N951" i="2"/>
  <c r="M951" i="2"/>
  <c r="G951" i="2"/>
  <c r="I951" i="2"/>
  <c r="F951" i="2"/>
  <c r="S951" i="2"/>
  <c r="O951" i="2"/>
  <c r="R268" i="2"/>
  <c r="N268" i="2"/>
  <c r="F268" i="2"/>
  <c r="O268" i="2"/>
  <c r="H268" i="2"/>
  <c r="G268" i="2"/>
  <c r="M268" i="2"/>
  <c r="S268" i="2"/>
  <c r="I268" i="2"/>
  <c r="L268" i="2"/>
  <c r="R908" i="2"/>
  <c r="S908" i="2"/>
  <c r="L908" i="2"/>
  <c r="G908" i="2"/>
  <c r="N908" i="2"/>
  <c r="H908" i="2"/>
  <c r="I908" i="2"/>
  <c r="O908" i="2"/>
  <c r="M908" i="2"/>
  <c r="F908" i="2"/>
  <c r="R169" i="2"/>
  <c r="O169" i="2"/>
  <c r="H169" i="2"/>
  <c r="N169" i="2"/>
  <c r="F169" i="2"/>
  <c r="L169" i="2"/>
  <c r="G169" i="2"/>
  <c r="S169" i="2"/>
  <c r="I169" i="2"/>
  <c r="M169" i="2"/>
  <c r="R155" i="2"/>
  <c r="F155" i="2"/>
  <c r="S155" i="2"/>
  <c r="L155" i="2"/>
  <c r="G155" i="2"/>
  <c r="H155" i="2"/>
  <c r="N155" i="2"/>
  <c r="M155" i="2"/>
  <c r="O155" i="2"/>
  <c r="I155" i="2"/>
  <c r="D578" i="5"/>
  <c r="C578" i="5"/>
  <c r="B578" i="5"/>
  <c r="G578" i="5"/>
  <c r="H578" i="5"/>
  <c r="D978" i="5"/>
  <c r="B978" i="5"/>
  <c r="H978" i="5"/>
  <c r="C978" i="5"/>
  <c r="G978" i="5"/>
  <c r="R632" i="2"/>
  <c r="M632" i="2"/>
  <c r="N632" i="2"/>
  <c r="O632" i="2"/>
  <c r="L632" i="2"/>
  <c r="I632" i="2"/>
  <c r="F632" i="2"/>
  <c r="S632" i="2"/>
  <c r="G632" i="2"/>
  <c r="H632" i="2"/>
  <c r="G507" i="5"/>
  <c r="C507" i="5"/>
  <c r="D507" i="5"/>
  <c r="H507" i="5"/>
  <c r="B507" i="5"/>
  <c r="B187" i="5"/>
  <c r="C187" i="5"/>
  <c r="G187" i="5"/>
  <c r="D187" i="5"/>
  <c r="H187" i="5"/>
  <c r="R669" i="2"/>
  <c r="I669" i="2"/>
  <c r="S669" i="2"/>
  <c r="M669" i="2"/>
  <c r="O669" i="2"/>
  <c r="N669" i="2"/>
  <c r="H669" i="2"/>
  <c r="G669" i="2"/>
  <c r="L669" i="2"/>
  <c r="F669" i="2"/>
  <c r="B87" i="5"/>
  <c r="B453" i="5"/>
  <c r="H453" i="5"/>
  <c r="G453" i="5"/>
  <c r="C453" i="5"/>
  <c r="D453" i="5"/>
  <c r="B903" i="5"/>
  <c r="H903" i="5"/>
  <c r="C903" i="5"/>
  <c r="G903" i="5"/>
  <c r="D903" i="5"/>
  <c r="G216" i="5"/>
  <c r="D216" i="5"/>
  <c r="B216" i="5"/>
  <c r="H216" i="5"/>
  <c r="C216" i="5"/>
  <c r="M40" i="2"/>
  <c r="L40" i="2"/>
  <c r="O40" i="2"/>
  <c r="S40" i="2"/>
  <c r="N40" i="2"/>
  <c r="F40" i="2"/>
  <c r="R435" i="2"/>
  <c r="O435" i="2"/>
  <c r="L435" i="2"/>
  <c r="H435" i="2"/>
  <c r="G435" i="2"/>
  <c r="M435" i="2"/>
  <c r="S435" i="2"/>
  <c r="F435" i="2"/>
  <c r="I435" i="2"/>
  <c r="N435" i="2"/>
  <c r="R112" i="2"/>
  <c r="I112" i="2"/>
  <c r="H112" i="2"/>
  <c r="S112" i="2"/>
  <c r="F112" i="2"/>
  <c r="M112" i="2"/>
  <c r="G112" i="2"/>
  <c r="N112" i="2"/>
  <c r="O112" i="2"/>
  <c r="L112" i="2"/>
  <c r="G286" i="5"/>
  <c r="B286" i="5"/>
  <c r="H286" i="5"/>
  <c r="D286" i="5"/>
  <c r="C286" i="5"/>
  <c r="D141" i="5"/>
  <c r="H141" i="5"/>
  <c r="G141" i="5"/>
  <c r="B141" i="5"/>
  <c r="C141" i="5"/>
  <c r="B38" i="5"/>
  <c r="G710" i="5"/>
  <c r="C710" i="5"/>
  <c r="D710" i="5"/>
  <c r="H710" i="5"/>
  <c r="B710" i="5"/>
  <c r="H929" i="5"/>
  <c r="G929" i="5"/>
  <c r="C929" i="5"/>
  <c r="D929" i="5"/>
  <c r="B929" i="5"/>
  <c r="R345" i="2"/>
  <c r="F345" i="2"/>
  <c r="O345" i="2"/>
  <c r="S345" i="2"/>
  <c r="M345" i="2"/>
  <c r="N345" i="2"/>
  <c r="H345" i="2"/>
  <c r="L345" i="2"/>
  <c r="I345" i="2"/>
  <c r="G345" i="2"/>
  <c r="G854" i="5"/>
  <c r="H854" i="5"/>
  <c r="C854" i="5"/>
  <c r="B854" i="5"/>
  <c r="D854" i="5"/>
  <c r="R985" i="2"/>
  <c r="G985" i="2"/>
  <c r="H985" i="2"/>
  <c r="F985" i="2"/>
  <c r="I985" i="2"/>
  <c r="O985" i="2"/>
  <c r="M985" i="2"/>
  <c r="L985" i="2"/>
  <c r="S985" i="2"/>
  <c r="N985" i="2"/>
  <c r="R919" i="2"/>
  <c r="L919" i="2"/>
  <c r="H919" i="2"/>
  <c r="I919" i="2"/>
  <c r="O919" i="2"/>
  <c r="S919" i="2"/>
  <c r="F919" i="2"/>
  <c r="G919" i="2"/>
  <c r="N919" i="2"/>
  <c r="M919" i="2"/>
  <c r="R544" i="2"/>
  <c r="S544" i="2"/>
  <c r="I544" i="2"/>
  <c r="F544" i="2"/>
  <c r="G544" i="2"/>
  <c r="N544" i="2"/>
  <c r="L544" i="2"/>
  <c r="M544" i="2"/>
  <c r="H544" i="2"/>
  <c r="O544" i="2"/>
  <c r="R745" i="2"/>
  <c r="H745" i="2"/>
  <c r="I745" i="2"/>
  <c r="O745" i="2"/>
  <c r="N745" i="2"/>
  <c r="L745" i="2"/>
  <c r="S745" i="2"/>
  <c r="F745" i="2"/>
  <c r="M745" i="2"/>
  <c r="G745" i="2"/>
  <c r="R671" i="2"/>
  <c r="H671" i="2"/>
  <c r="F671" i="2"/>
  <c r="N671" i="2"/>
  <c r="O671" i="2"/>
  <c r="I671" i="2"/>
  <c r="S671" i="2"/>
  <c r="M671" i="2"/>
  <c r="G671" i="2"/>
  <c r="L671" i="2"/>
  <c r="R639" i="2"/>
  <c r="S639" i="2"/>
  <c r="O639" i="2"/>
  <c r="N639" i="2"/>
  <c r="I639" i="2"/>
  <c r="F639" i="2"/>
  <c r="G639" i="2"/>
  <c r="L639" i="2"/>
  <c r="M639" i="2"/>
  <c r="H639" i="2"/>
  <c r="D628" i="5"/>
  <c r="H628" i="5"/>
  <c r="B628" i="5"/>
  <c r="G628" i="5"/>
  <c r="C628" i="5"/>
  <c r="R144" i="2"/>
  <c r="O144" i="2"/>
  <c r="I144" i="2"/>
  <c r="S144" i="2"/>
  <c r="F144" i="2"/>
  <c r="H144" i="2"/>
  <c r="M144" i="2"/>
  <c r="L144" i="2"/>
  <c r="G144" i="2"/>
  <c r="N144" i="2"/>
  <c r="D549" i="5"/>
  <c r="B549" i="5"/>
  <c r="H549" i="5"/>
  <c r="C549" i="5"/>
  <c r="G549" i="5"/>
  <c r="H860" i="5"/>
  <c r="C860" i="5"/>
  <c r="D860" i="5"/>
  <c r="G860" i="5"/>
  <c r="B860" i="5"/>
  <c r="R921" i="2"/>
  <c r="S921" i="2"/>
  <c r="I921" i="2"/>
  <c r="L921" i="2"/>
  <c r="H921" i="2"/>
  <c r="N921" i="2"/>
  <c r="G921" i="2"/>
  <c r="O921" i="2"/>
  <c r="M921" i="2"/>
  <c r="F921" i="2"/>
  <c r="R251" i="2"/>
  <c r="L251" i="2"/>
  <c r="I251" i="2"/>
  <c r="H251" i="2"/>
  <c r="N251" i="2"/>
  <c r="G251" i="2"/>
  <c r="O251" i="2"/>
  <c r="S251" i="2"/>
  <c r="M251" i="2"/>
  <c r="F251" i="2"/>
  <c r="R842" i="2"/>
  <c r="I842" i="2"/>
  <c r="S842" i="2"/>
  <c r="N842" i="2"/>
  <c r="H842" i="2"/>
  <c r="O842" i="2"/>
  <c r="M842" i="2"/>
  <c r="L842" i="2"/>
  <c r="G842" i="2"/>
  <c r="F842" i="2"/>
  <c r="R480" i="2"/>
  <c r="O480" i="2"/>
  <c r="N480" i="2"/>
  <c r="L480" i="2"/>
  <c r="G480" i="2"/>
  <c r="I480" i="2"/>
  <c r="H480" i="2"/>
  <c r="S480" i="2"/>
  <c r="M480" i="2"/>
  <c r="F480" i="2"/>
  <c r="R105" i="2"/>
  <c r="S105" i="2"/>
  <c r="G105" i="2"/>
  <c r="N105" i="2"/>
  <c r="I105" i="2"/>
  <c r="F105" i="2"/>
  <c r="M105" i="2"/>
  <c r="L105" i="2"/>
  <c r="H105" i="2"/>
  <c r="O105" i="2"/>
  <c r="F31" i="2"/>
  <c r="O31" i="2"/>
  <c r="L31" i="2"/>
  <c r="N31" i="2"/>
  <c r="S31" i="2"/>
  <c r="M31" i="2"/>
  <c r="R232" i="2"/>
  <c r="L232" i="2"/>
  <c r="N232" i="2"/>
  <c r="H232" i="2"/>
  <c r="I232" i="2"/>
  <c r="F232" i="2"/>
  <c r="S232" i="2"/>
  <c r="M232" i="2"/>
  <c r="O232" i="2"/>
  <c r="G232" i="2"/>
  <c r="R200" i="2"/>
  <c r="G200" i="2"/>
  <c r="L200" i="2"/>
  <c r="F200" i="2"/>
  <c r="N200" i="2"/>
  <c r="S200" i="2"/>
  <c r="M200" i="2"/>
  <c r="O200" i="2"/>
  <c r="H200" i="2"/>
  <c r="I200" i="2"/>
  <c r="D622" i="5"/>
  <c r="G622" i="5"/>
  <c r="H622" i="5"/>
  <c r="B622" i="5"/>
  <c r="C622" i="5"/>
  <c r="R656" i="2"/>
  <c r="I656" i="2"/>
  <c r="L656" i="2"/>
  <c r="H656" i="2"/>
  <c r="G656" i="2"/>
  <c r="O656" i="2"/>
  <c r="N656" i="2"/>
  <c r="F656" i="2"/>
  <c r="S656" i="2"/>
  <c r="M656" i="2"/>
  <c r="D793" i="5"/>
  <c r="H793" i="5"/>
  <c r="C793" i="5"/>
  <c r="B793" i="5"/>
  <c r="G793" i="5"/>
  <c r="H408" i="5"/>
  <c r="G408" i="5"/>
  <c r="D408" i="5"/>
  <c r="C408" i="5"/>
  <c r="B408" i="5"/>
  <c r="R227" i="2"/>
  <c r="F227" i="2"/>
  <c r="I227" i="2"/>
  <c r="N227" i="2"/>
  <c r="H227" i="2"/>
  <c r="G227" i="2"/>
  <c r="M227" i="2"/>
  <c r="S227" i="2"/>
  <c r="O227" i="2"/>
  <c r="L227" i="2"/>
  <c r="B788" i="5"/>
  <c r="G788" i="5"/>
  <c r="C788" i="5"/>
  <c r="H788" i="5"/>
  <c r="D788" i="5"/>
  <c r="H931" i="5"/>
  <c r="G931" i="5"/>
  <c r="B931" i="5"/>
  <c r="D931" i="5"/>
  <c r="C931" i="5"/>
  <c r="B782" i="5"/>
  <c r="C782" i="5"/>
  <c r="H782" i="5"/>
  <c r="G782" i="5"/>
  <c r="D782" i="5"/>
  <c r="N79" i="2"/>
  <c r="O79" i="2"/>
  <c r="M79" i="2"/>
  <c r="F79" i="2"/>
  <c r="S79" i="2"/>
  <c r="L79" i="2"/>
  <c r="C858" i="5"/>
  <c r="D858" i="5"/>
  <c r="H858" i="5"/>
  <c r="G858" i="5"/>
  <c r="B858" i="5"/>
  <c r="R783" i="2"/>
  <c r="G783" i="2"/>
  <c r="M783" i="2"/>
  <c r="I783" i="2"/>
  <c r="H783" i="2"/>
  <c r="O783" i="2"/>
  <c r="S783" i="2"/>
  <c r="N783" i="2"/>
  <c r="L783" i="2"/>
  <c r="F783" i="2"/>
  <c r="R835" i="2"/>
  <c r="I835" i="2"/>
  <c r="F835" i="2"/>
  <c r="M835" i="2"/>
  <c r="N835" i="2"/>
  <c r="H835" i="2"/>
  <c r="O835" i="2"/>
  <c r="S835" i="2"/>
  <c r="G835" i="2"/>
  <c r="L835" i="2"/>
  <c r="R460" i="2"/>
  <c r="L460" i="2"/>
  <c r="S460" i="2"/>
  <c r="H460" i="2"/>
  <c r="O460" i="2"/>
  <c r="G460" i="2"/>
  <c r="I460" i="2"/>
  <c r="M460" i="2"/>
  <c r="F460" i="2"/>
  <c r="N460" i="2"/>
  <c r="R725" i="2"/>
  <c r="M725" i="2"/>
  <c r="N725" i="2"/>
  <c r="G725" i="2"/>
  <c r="O725" i="2"/>
  <c r="L725" i="2"/>
  <c r="S725" i="2"/>
  <c r="I725" i="2"/>
  <c r="F725" i="2"/>
  <c r="H725" i="2"/>
  <c r="R990" i="2"/>
  <c r="H990" i="2"/>
  <c r="N990" i="2"/>
  <c r="L990" i="2"/>
  <c r="M990" i="2"/>
  <c r="O990" i="2"/>
  <c r="F990" i="2"/>
  <c r="I990" i="2"/>
  <c r="G990" i="2"/>
  <c r="S990" i="2"/>
  <c r="R281" i="2"/>
  <c r="F281" i="2"/>
  <c r="I281" i="2"/>
  <c r="O281" i="2"/>
  <c r="H281" i="2"/>
  <c r="N281" i="2"/>
  <c r="G281" i="2"/>
  <c r="L281" i="2"/>
  <c r="S281" i="2"/>
  <c r="M281" i="2"/>
  <c r="C728" i="5"/>
  <c r="B728" i="5"/>
  <c r="G728" i="5"/>
  <c r="D728" i="5"/>
  <c r="H728" i="5"/>
  <c r="R125" i="2"/>
  <c r="M125" i="2"/>
  <c r="G125" i="2"/>
  <c r="S125" i="2"/>
  <c r="H125" i="2"/>
  <c r="L125" i="2"/>
  <c r="F125" i="2"/>
  <c r="O125" i="2"/>
  <c r="I125" i="2"/>
  <c r="N125" i="2"/>
  <c r="R283" i="2"/>
  <c r="I283" i="2"/>
  <c r="O283" i="2"/>
  <c r="L283" i="2"/>
  <c r="M283" i="2"/>
  <c r="F283" i="2"/>
  <c r="G283" i="2"/>
  <c r="H283" i="2"/>
  <c r="S283" i="2"/>
  <c r="N283" i="2"/>
  <c r="R484" i="2"/>
  <c r="L484" i="2"/>
  <c r="S484" i="2"/>
  <c r="I484" i="2"/>
  <c r="H484" i="2"/>
  <c r="M484" i="2"/>
  <c r="N484" i="2"/>
  <c r="G484" i="2"/>
  <c r="F484" i="2"/>
  <c r="O484" i="2"/>
  <c r="R749" i="2"/>
  <c r="I749" i="2"/>
  <c r="G749" i="2"/>
  <c r="F749" i="2"/>
  <c r="M749" i="2"/>
  <c r="N749" i="2"/>
  <c r="S749" i="2"/>
  <c r="H749" i="2"/>
  <c r="L749" i="2"/>
  <c r="O749" i="2"/>
  <c r="R966" i="2"/>
  <c r="L966" i="2"/>
  <c r="I966" i="2"/>
  <c r="M966" i="2"/>
  <c r="S966" i="2"/>
  <c r="G966" i="2"/>
  <c r="F966" i="2"/>
  <c r="O966" i="2"/>
  <c r="N966" i="2"/>
  <c r="H966" i="2"/>
  <c r="M15" i="2"/>
  <c r="L15" i="2"/>
  <c r="F15" i="2"/>
  <c r="O15" i="2"/>
  <c r="N15" i="2"/>
  <c r="S15" i="2"/>
  <c r="R413" i="2"/>
  <c r="F413" i="2"/>
  <c r="N413" i="2"/>
  <c r="M413" i="2"/>
  <c r="G413" i="2"/>
  <c r="S413" i="2"/>
  <c r="L413" i="2"/>
  <c r="H413" i="2"/>
  <c r="O413" i="2"/>
  <c r="I413" i="2"/>
  <c r="R954" i="2"/>
  <c r="S954" i="2"/>
  <c r="G954" i="2"/>
  <c r="N954" i="2"/>
  <c r="M954" i="2"/>
  <c r="F954" i="2"/>
  <c r="I954" i="2"/>
  <c r="H954" i="2"/>
  <c r="O954" i="2"/>
  <c r="L954" i="2"/>
  <c r="R580" i="2"/>
  <c r="G580" i="2"/>
  <c r="I580" i="2"/>
  <c r="H580" i="2"/>
  <c r="M580" i="2"/>
  <c r="L580" i="2"/>
  <c r="S580" i="2"/>
  <c r="N580" i="2"/>
  <c r="F580" i="2"/>
  <c r="O580" i="2"/>
  <c r="R747" i="2"/>
  <c r="L747" i="2"/>
  <c r="M747" i="2"/>
  <c r="I747" i="2"/>
  <c r="F747" i="2"/>
  <c r="H747" i="2"/>
  <c r="N747" i="2"/>
  <c r="S747" i="2"/>
  <c r="G747" i="2"/>
  <c r="O747" i="2"/>
  <c r="R905" i="2"/>
  <c r="M905" i="2"/>
  <c r="L905" i="2"/>
  <c r="S905" i="2"/>
  <c r="I905" i="2"/>
  <c r="O905" i="2"/>
  <c r="N905" i="2"/>
  <c r="H905" i="2"/>
  <c r="F905" i="2"/>
  <c r="G905" i="2"/>
  <c r="D741" i="5"/>
  <c r="B741" i="5"/>
  <c r="G741" i="5"/>
  <c r="C741" i="5"/>
  <c r="H741" i="5"/>
  <c r="R802" i="2"/>
  <c r="S802" i="2"/>
  <c r="N802" i="2"/>
  <c r="G802" i="2"/>
  <c r="I802" i="2"/>
  <c r="H802" i="2"/>
  <c r="M802" i="2"/>
  <c r="F802" i="2"/>
  <c r="O802" i="2"/>
  <c r="L802" i="2"/>
  <c r="R884" i="2"/>
  <c r="O884" i="2"/>
  <c r="L884" i="2"/>
  <c r="I884" i="2"/>
  <c r="S884" i="2"/>
  <c r="M884" i="2"/>
  <c r="N884" i="2"/>
  <c r="F884" i="2"/>
  <c r="G884" i="2"/>
  <c r="H884" i="2"/>
  <c r="R509" i="2"/>
  <c r="N509" i="2"/>
  <c r="H509" i="2"/>
  <c r="G509" i="2"/>
  <c r="M509" i="2"/>
  <c r="O509" i="2"/>
  <c r="F509" i="2"/>
  <c r="I509" i="2"/>
  <c r="L509" i="2"/>
  <c r="S509" i="2"/>
  <c r="R838" i="2"/>
  <c r="N838" i="2"/>
  <c r="I838" i="2"/>
  <c r="O838" i="2"/>
  <c r="M838" i="2"/>
  <c r="G838" i="2"/>
  <c r="L838" i="2"/>
  <c r="H838" i="2"/>
  <c r="F838" i="2"/>
  <c r="S838" i="2"/>
  <c r="M24" i="2"/>
  <c r="O24" i="2"/>
  <c r="F24" i="2"/>
  <c r="N24" i="2"/>
  <c r="L24" i="2"/>
  <c r="S24" i="2"/>
  <c r="R579" i="2"/>
  <c r="L579" i="2"/>
  <c r="H579" i="2"/>
  <c r="S579" i="2"/>
  <c r="O579" i="2"/>
  <c r="G579" i="2"/>
  <c r="I579" i="2"/>
  <c r="F579" i="2"/>
  <c r="M579" i="2"/>
  <c r="N579" i="2"/>
  <c r="R643" i="2"/>
  <c r="G643" i="2"/>
  <c r="N643" i="2"/>
  <c r="M643" i="2"/>
  <c r="S643" i="2"/>
  <c r="L643" i="2"/>
  <c r="H643" i="2"/>
  <c r="I643" i="2"/>
  <c r="F643" i="2"/>
  <c r="O643" i="2"/>
  <c r="R466" i="2"/>
  <c r="I466" i="2"/>
  <c r="O466" i="2"/>
  <c r="M466" i="2"/>
  <c r="F466" i="2"/>
  <c r="S466" i="2"/>
  <c r="H466" i="2"/>
  <c r="G466" i="2"/>
  <c r="L466" i="2"/>
  <c r="N466" i="2"/>
  <c r="O21" i="2"/>
  <c r="N21" i="2"/>
  <c r="S21" i="2"/>
  <c r="L21" i="2"/>
  <c r="M21" i="2"/>
  <c r="F21" i="2"/>
  <c r="R213" i="2"/>
  <c r="N213" i="2"/>
  <c r="G213" i="2"/>
  <c r="S213" i="2"/>
  <c r="F213" i="2"/>
  <c r="H213" i="2"/>
  <c r="O213" i="2"/>
  <c r="I213" i="2"/>
  <c r="M213" i="2"/>
  <c r="L213" i="2"/>
  <c r="R519" i="2"/>
  <c r="G519" i="2"/>
  <c r="H519" i="2"/>
  <c r="O519" i="2"/>
  <c r="M519" i="2"/>
  <c r="N519" i="2"/>
  <c r="I519" i="2"/>
  <c r="S519" i="2"/>
  <c r="F519" i="2"/>
  <c r="L519" i="2"/>
  <c r="G781" i="5"/>
  <c r="D781" i="5"/>
  <c r="H781" i="5"/>
  <c r="C781" i="5"/>
  <c r="B781" i="5"/>
  <c r="R619" i="2"/>
  <c r="L619" i="2"/>
  <c r="N619" i="2"/>
  <c r="I619" i="2"/>
  <c r="F619" i="2"/>
  <c r="H619" i="2"/>
  <c r="S619" i="2"/>
  <c r="G619" i="2"/>
  <c r="O619" i="2"/>
  <c r="M619" i="2"/>
  <c r="I616" i="5"/>
  <c r="Q95" i="2"/>
  <c r="P143" i="2"/>
  <c r="P914" i="2"/>
  <c r="P73" i="2"/>
  <c r="P990" i="2"/>
  <c r="P323" i="2"/>
  <c r="I712" i="5"/>
  <c r="P654" i="2"/>
  <c r="Q63" i="2"/>
  <c r="P676" i="2"/>
  <c r="Q18" i="2"/>
  <c r="H96" i="2"/>
  <c r="P81" i="2"/>
  <c r="P815" i="2"/>
  <c r="P716" i="2"/>
  <c r="I153" i="5"/>
  <c r="I242" i="5"/>
  <c r="I821" i="5"/>
  <c r="I724" i="5"/>
  <c r="D66" i="5"/>
  <c r="P228" i="2"/>
  <c r="P458" i="2"/>
  <c r="I295" i="5"/>
  <c r="P9" i="2"/>
  <c r="P838" i="2"/>
  <c r="P410" i="2"/>
  <c r="I367" i="5"/>
  <c r="I521" i="5"/>
  <c r="I57" i="5"/>
  <c r="P953" i="2"/>
  <c r="P191" i="2"/>
  <c r="P108" i="2"/>
  <c r="I69" i="5"/>
  <c r="P274" i="2"/>
  <c r="P382" i="2"/>
  <c r="I411" i="5"/>
  <c r="P788" i="2"/>
  <c r="P171" i="2"/>
  <c r="P621" i="2"/>
  <c r="P817" i="2"/>
  <c r="P338" i="2"/>
  <c r="I884" i="5"/>
  <c r="P543" i="2"/>
  <c r="P472" i="2"/>
  <c r="I86" i="5"/>
  <c r="P739" i="2"/>
  <c r="C8" i="5"/>
  <c r="P624" i="2"/>
  <c r="P606" i="2"/>
  <c r="P586" i="2"/>
  <c r="C15" i="5"/>
  <c r="I808" i="5"/>
  <c r="P961" i="2"/>
  <c r="D61" i="5"/>
  <c r="C93" i="5"/>
  <c r="P440" i="2"/>
  <c r="D64" i="5"/>
  <c r="I324" i="5"/>
  <c r="P386" i="2"/>
  <c r="C51" i="5"/>
  <c r="P628" i="2"/>
  <c r="I645" i="5"/>
  <c r="I147" i="5"/>
  <c r="P170" i="2"/>
  <c r="P523" i="2"/>
  <c r="P951" i="2"/>
  <c r="I13" i="5"/>
  <c r="Q4" i="2"/>
  <c r="I987" i="5"/>
  <c r="I89" i="5"/>
  <c r="P530" i="2"/>
  <c r="I847" i="5"/>
  <c r="I148" i="5"/>
  <c r="P905" i="2"/>
  <c r="P972" i="2"/>
  <c r="I253" i="5"/>
  <c r="P328" i="2"/>
  <c r="P560" i="2"/>
  <c r="P99" i="2"/>
  <c r="P495" i="2"/>
  <c r="P154" i="2"/>
  <c r="P578" i="2"/>
  <c r="I669" i="5"/>
  <c r="C72" i="5"/>
  <c r="P282" i="2"/>
  <c r="P397" i="2"/>
  <c r="Q86" i="2"/>
  <c r="Q98" i="2"/>
  <c r="P681" i="2"/>
  <c r="P508" i="2"/>
  <c r="P861" i="2"/>
  <c r="H30" i="5"/>
  <c r="P605" i="2"/>
  <c r="I839" i="5"/>
  <c r="P549" i="2"/>
  <c r="P335" i="2"/>
  <c r="P394" i="2"/>
  <c r="P762" i="2"/>
  <c r="C29" i="5"/>
  <c r="D22" i="5"/>
  <c r="I233" i="5"/>
  <c r="I364" i="5"/>
  <c r="I63" i="5"/>
  <c r="D31" i="5"/>
  <c r="P691" i="2"/>
  <c r="I293" i="5"/>
  <c r="H67" i="5"/>
  <c r="P782" i="2"/>
  <c r="D16" i="5"/>
  <c r="H88" i="5"/>
  <c r="P574" i="2"/>
  <c r="P724" i="2"/>
  <c r="Q66" i="2"/>
  <c r="P944" i="2"/>
  <c r="P337" i="2"/>
  <c r="P488" i="2"/>
  <c r="H59" i="5"/>
  <c r="I999" i="5"/>
  <c r="H23" i="5"/>
  <c r="I349" i="5"/>
  <c r="P534" i="2"/>
  <c r="I608" i="5"/>
  <c r="I223" i="5"/>
  <c r="D19" i="5"/>
  <c r="P330" i="2"/>
  <c r="P584" i="2"/>
  <c r="P800" i="2"/>
  <c r="P177" i="2"/>
  <c r="P686" i="2"/>
  <c r="P413" i="2"/>
  <c r="P625" i="2"/>
  <c r="Q94" i="2"/>
  <c r="P166" i="2"/>
  <c r="P453" i="2"/>
  <c r="P627" i="2"/>
  <c r="P77" i="2"/>
  <c r="P898" i="2"/>
  <c r="P80" i="2"/>
  <c r="I268" i="5"/>
  <c r="P193" i="2"/>
  <c r="P823" i="2"/>
  <c r="P979" i="2"/>
  <c r="P862" i="2"/>
  <c r="P588" i="2"/>
  <c r="P482" i="2"/>
  <c r="P420" i="2"/>
  <c r="P286" i="2"/>
  <c r="Q90" i="2"/>
  <c r="I274" i="5"/>
  <c r="I446" i="5"/>
  <c r="I81" i="5"/>
  <c r="P237" i="2"/>
  <c r="P74" i="2"/>
  <c r="I487" i="5"/>
  <c r="I635" i="5"/>
  <c r="I389" i="5"/>
  <c r="I692" i="5"/>
  <c r="P884" i="2"/>
  <c r="I613" i="5"/>
  <c r="P720" i="2"/>
  <c r="I243" i="5"/>
  <c r="P486" i="2"/>
  <c r="P268" i="2"/>
  <c r="P168" i="2"/>
  <c r="P447" i="2"/>
  <c r="P582" i="2"/>
  <c r="H28" i="5"/>
  <c r="P478" i="2"/>
  <c r="P182" i="2"/>
  <c r="H48" i="5"/>
  <c r="I245" i="5"/>
  <c r="C73" i="5"/>
  <c r="P745" i="2"/>
  <c r="I995" i="5"/>
  <c r="I432" i="5"/>
  <c r="P173" i="2"/>
  <c r="P43" i="2"/>
  <c r="P638" i="2"/>
  <c r="I476" i="5"/>
  <c r="I137" i="5"/>
  <c r="I595" i="5"/>
  <c r="I208" i="5"/>
  <c r="P455" i="2"/>
  <c r="I763" i="5"/>
  <c r="P450" i="2"/>
  <c r="I856" i="5"/>
  <c r="I90" i="5"/>
  <c r="P726" i="2"/>
  <c r="D79" i="5"/>
  <c r="I833" i="5"/>
  <c r="H24" i="5"/>
  <c r="I9" i="5"/>
  <c r="I610" i="5"/>
  <c r="I698" i="5"/>
  <c r="D17" i="5"/>
  <c r="I716" i="5"/>
  <c r="I158" i="5"/>
  <c r="I3" i="5"/>
  <c r="D40" i="5"/>
  <c r="I597" i="5"/>
  <c r="P595" i="2"/>
  <c r="I433" i="5"/>
  <c r="I756" i="5"/>
  <c r="I837" i="5"/>
  <c r="I454" i="5"/>
  <c r="H10" i="2"/>
  <c r="I994" i="5"/>
  <c r="H82" i="5"/>
  <c r="P273" i="2"/>
  <c r="I961" i="5"/>
  <c r="P500" i="2"/>
  <c r="P670" i="2"/>
  <c r="P76" i="2"/>
  <c r="H84" i="5"/>
  <c r="I486" i="5"/>
  <c r="I384" i="5"/>
  <c r="I499" i="5"/>
  <c r="I511" i="5"/>
  <c r="P828" i="2"/>
  <c r="I880" i="5"/>
  <c r="P233" i="2"/>
  <c r="P649" i="2"/>
  <c r="I744" i="5"/>
  <c r="P667" i="2"/>
  <c r="I193" i="5"/>
  <c r="I649" i="5"/>
  <c r="P407" i="2"/>
  <c r="I512" i="5"/>
  <c r="I771" i="5"/>
  <c r="I463" i="5"/>
  <c r="I889" i="5"/>
  <c r="I737" i="5"/>
  <c r="D39" i="5"/>
  <c r="I772" i="5"/>
  <c r="P320" i="2"/>
  <c r="P149" i="2"/>
  <c r="I986" i="5"/>
  <c r="I680" i="5"/>
  <c r="I569" i="5"/>
  <c r="P712" i="2"/>
  <c r="P956" i="2"/>
  <c r="I211" i="5"/>
  <c r="I465" i="5"/>
  <c r="P157" i="2"/>
  <c r="P473" i="2"/>
  <c r="P907" i="2"/>
  <c r="P95" i="2"/>
  <c r="P222" i="2"/>
  <c r="P707" i="2"/>
  <c r="Q47" i="2"/>
  <c r="I133" i="5"/>
  <c r="P830" i="2"/>
  <c r="P642" i="2"/>
  <c r="I398" i="5"/>
  <c r="P432" i="2"/>
  <c r="P645" i="2"/>
  <c r="P18" i="2"/>
  <c r="G96" i="2"/>
  <c r="P824" i="2"/>
  <c r="I149" i="5"/>
  <c r="P471" i="2"/>
  <c r="P389" i="2"/>
  <c r="P349" i="2"/>
  <c r="P556" i="2"/>
  <c r="P832" i="2"/>
  <c r="P552" i="2"/>
  <c r="P871" i="2"/>
  <c r="P301" i="2"/>
  <c r="P266" i="2"/>
  <c r="P648" i="2"/>
  <c r="P674" i="2"/>
  <c r="P198" i="2"/>
  <c r="P224" i="2"/>
  <c r="P569" i="2"/>
  <c r="P125" i="2"/>
  <c r="P655" i="2"/>
  <c r="I632" i="5"/>
  <c r="P733" i="2"/>
  <c r="P371" i="2"/>
  <c r="Q78" i="2"/>
  <c r="P680" i="2"/>
  <c r="P848" i="2"/>
  <c r="I430" i="5"/>
  <c r="I108" i="5"/>
  <c r="Q52" i="2"/>
  <c r="D86" i="5"/>
  <c r="P895" i="2"/>
  <c r="D15" i="5"/>
  <c r="P697" i="2"/>
  <c r="I45" i="5"/>
  <c r="I325" i="5"/>
  <c r="I935" i="5"/>
  <c r="P635" i="2"/>
  <c r="P896" i="2"/>
  <c r="P583" i="2"/>
  <c r="P474" i="2"/>
  <c r="I799" i="5"/>
  <c r="P442" i="2"/>
  <c r="P379" i="2"/>
  <c r="P618" i="2"/>
  <c r="P599" i="2"/>
  <c r="Q96" i="2"/>
  <c r="P110" i="2"/>
  <c r="D52" i="5"/>
  <c r="P122" i="2"/>
  <c r="D13" i="5"/>
  <c r="P859" i="2"/>
  <c r="I377" i="5"/>
  <c r="P497" i="2"/>
  <c r="I310" i="5"/>
  <c r="P835" i="2"/>
  <c r="P729" i="2"/>
  <c r="D89" i="5"/>
  <c r="I171" i="5"/>
  <c r="P431" i="2"/>
  <c r="I383" i="5"/>
  <c r="H67" i="2"/>
  <c r="P927" i="2"/>
  <c r="P113" i="2"/>
  <c r="P616" i="2"/>
  <c r="I948" i="5"/>
  <c r="P700" i="2"/>
  <c r="P429" i="2"/>
  <c r="P701" i="2"/>
  <c r="P457" i="2"/>
  <c r="P893" i="2"/>
  <c r="H72" i="5"/>
  <c r="I297" i="5"/>
  <c r="P192" i="2"/>
  <c r="Q31" i="2"/>
  <c r="I589" i="5"/>
  <c r="I192" i="5"/>
  <c r="P695" i="2"/>
  <c r="I585" i="5"/>
  <c r="P395" i="2"/>
  <c r="I695" i="5"/>
  <c r="D30" i="5"/>
  <c r="P138" i="2"/>
  <c r="I346" i="5"/>
  <c r="P685" i="2"/>
  <c r="P926" i="2"/>
  <c r="I475" i="5"/>
  <c r="I458" i="5"/>
  <c r="P483" i="2"/>
  <c r="D29" i="5"/>
  <c r="P465" i="2"/>
  <c r="C22" i="5"/>
  <c r="I129" i="5"/>
  <c r="P8" i="2"/>
  <c r="H63" i="5"/>
  <c r="C31" i="5"/>
  <c r="I435" i="5"/>
  <c r="I100" i="5"/>
  <c r="D67" i="5"/>
  <c r="P570" i="2"/>
  <c r="P639" i="2"/>
  <c r="I742" i="5"/>
  <c r="I162" i="5"/>
  <c r="P969" i="2"/>
  <c r="P189" i="2"/>
  <c r="C88" i="5"/>
  <c r="P11" i="2"/>
  <c r="I33" i="5"/>
  <c r="P150" i="2"/>
  <c r="P206" i="2"/>
  <c r="P811" i="2"/>
  <c r="I348" i="5"/>
  <c r="I963" i="5"/>
  <c r="P510" i="2"/>
  <c r="P713" i="2"/>
  <c r="P565" i="2"/>
  <c r="P978" i="2"/>
  <c r="I206" i="5"/>
  <c r="H19" i="5"/>
  <c r="P714" i="2"/>
  <c r="I381" i="5"/>
  <c r="Q77" i="2"/>
  <c r="I955" i="5"/>
  <c r="I738" i="5"/>
  <c r="I500" i="5"/>
  <c r="P850" i="2"/>
  <c r="I797" i="5"/>
  <c r="I50" i="5"/>
  <c r="Q80" i="2"/>
  <c r="I510" i="5"/>
  <c r="P12" i="2"/>
  <c r="P64" i="2"/>
  <c r="I533" i="5"/>
  <c r="I372" i="5"/>
  <c r="P759" i="2"/>
  <c r="D81" i="5"/>
  <c r="I46" i="5"/>
  <c r="P778" i="2"/>
  <c r="I167" i="5"/>
  <c r="Q25" i="2"/>
  <c r="P532" i="2"/>
  <c r="P600" i="2"/>
  <c r="P795" i="2"/>
  <c r="P29" i="2"/>
  <c r="I284" i="5"/>
  <c r="I303" i="5"/>
  <c r="I429" i="5"/>
  <c r="P204" i="2"/>
  <c r="P418" i="2"/>
  <c r="I240" i="5"/>
  <c r="P551" i="2"/>
  <c r="P864" i="2"/>
  <c r="P107" i="2"/>
  <c r="P370" i="2"/>
  <c r="C48" i="5"/>
  <c r="I733" i="5"/>
  <c r="I881" i="5"/>
  <c r="P262" i="2"/>
  <c r="I807" i="5"/>
  <c r="D73" i="5"/>
  <c r="I652" i="5"/>
  <c r="I936" i="5"/>
  <c r="I365" i="5"/>
  <c r="P253" i="2"/>
  <c r="I785" i="5"/>
  <c r="P172" i="2"/>
  <c r="I164" i="5"/>
  <c r="I413" i="5"/>
  <c r="I168" i="5"/>
  <c r="D5" i="5"/>
  <c r="I422" i="5"/>
  <c r="I778" i="5"/>
  <c r="I54" i="5"/>
  <c r="I92" i="5"/>
  <c r="I660" i="5"/>
  <c r="H90" i="5"/>
  <c r="H79" i="5"/>
  <c r="H9" i="5"/>
  <c r="I145" i="5"/>
  <c r="P1000" i="2"/>
  <c r="I863" i="5"/>
  <c r="I968" i="5"/>
  <c r="I111" i="5"/>
  <c r="I410" i="5"/>
  <c r="I912" i="5"/>
  <c r="I601" i="5"/>
  <c r="I140" i="5"/>
  <c r="D26" i="5"/>
  <c r="H3" i="5"/>
  <c r="C40" i="5"/>
  <c r="I479" i="5"/>
  <c r="I279" i="5"/>
  <c r="I626" i="5"/>
  <c r="P97" i="2"/>
  <c r="I460" i="5"/>
  <c r="P300" i="2"/>
  <c r="I329" i="5"/>
  <c r="I281" i="5"/>
  <c r="I399" i="5"/>
  <c r="H4" i="2"/>
  <c r="I363" i="5"/>
  <c r="I215" i="5"/>
  <c r="I10" i="2"/>
  <c r="I754" i="5"/>
  <c r="I343" i="5"/>
  <c r="D82" i="5"/>
  <c r="P688" i="2"/>
  <c r="P381" i="2"/>
  <c r="P751" i="2"/>
  <c r="P917" i="2"/>
  <c r="I532" i="5"/>
  <c r="Q76" i="2"/>
  <c r="I739" i="5"/>
  <c r="I809" i="5"/>
  <c r="I561" i="5"/>
  <c r="I357" i="5"/>
  <c r="I55" i="5"/>
  <c r="I501" i="5"/>
  <c r="H83" i="2"/>
  <c r="P326" i="2"/>
  <c r="Q35" i="2"/>
  <c r="P966" i="2"/>
  <c r="P925" i="2"/>
  <c r="I341" i="5"/>
  <c r="I1001" i="5"/>
  <c r="I612" i="5"/>
  <c r="P446" i="2"/>
  <c r="P409" i="2"/>
  <c r="H39" i="5"/>
  <c r="P693" i="2"/>
  <c r="I332" i="5"/>
  <c r="I976" i="5"/>
  <c r="P737" i="2"/>
  <c r="P23" i="2"/>
  <c r="P134" i="2"/>
  <c r="P665" i="2"/>
  <c r="P1001" i="2"/>
  <c r="P201" i="2"/>
  <c r="P610" i="2"/>
  <c r="P47" i="2"/>
  <c r="P954" i="2"/>
  <c r="P374" i="2"/>
  <c r="P721" i="2"/>
  <c r="I514" i="5"/>
  <c r="P546" i="2"/>
  <c r="I96" i="2"/>
  <c r="P939" i="2"/>
  <c r="P519" i="2"/>
  <c r="P846" i="2"/>
  <c r="I280" i="5"/>
  <c r="P306" i="2"/>
  <c r="P766" i="2"/>
  <c r="P608" i="2"/>
  <c r="P651" i="2"/>
  <c r="I62" i="5"/>
  <c r="P725" i="2"/>
  <c r="P812" i="2"/>
  <c r="P59" i="2"/>
  <c r="I850" i="5"/>
  <c r="D57" i="5"/>
  <c r="P411" i="2"/>
  <c r="P941" i="2"/>
  <c r="D69" i="5"/>
  <c r="P959" i="2"/>
  <c r="P402" i="2"/>
  <c r="P276" i="2"/>
  <c r="P78" i="2"/>
  <c r="P536" i="2"/>
  <c r="P130" i="2"/>
  <c r="P509" i="2"/>
  <c r="P920" i="2"/>
  <c r="P658" i="2"/>
  <c r="P52" i="2"/>
  <c r="P116" i="2"/>
  <c r="P715" i="2"/>
  <c r="H86" i="5"/>
  <c r="P976" i="2"/>
  <c r="P359" i="2"/>
  <c r="P540" i="2"/>
  <c r="P922" i="2"/>
  <c r="I49" i="5"/>
  <c r="H15" i="5"/>
  <c r="P153" i="2"/>
  <c r="H45" i="5"/>
  <c r="P711" i="2"/>
  <c r="P490" i="2"/>
  <c r="H61" i="5"/>
  <c r="P358" i="2"/>
  <c r="P493" i="2"/>
  <c r="P96" i="2"/>
  <c r="P155" i="2"/>
  <c r="P49" i="2"/>
  <c r="I729" i="5"/>
  <c r="P813" i="2"/>
  <c r="P511" i="2"/>
  <c r="P451" i="2"/>
  <c r="I185" i="5"/>
  <c r="P930" i="2"/>
  <c r="P106" i="2"/>
  <c r="Q54" i="2"/>
  <c r="H89" i="5"/>
  <c r="P873" i="2"/>
  <c r="I654" i="5"/>
  <c r="P270" i="2"/>
  <c r="P246" i="2"/>
  <c r="G67" i="2"/>
  <c r="P524" i="2"/>
  <c r="I21" i="5"/>
  <c r="I390" i="5"/>
  <c r="H3" i="2"/>
  <c r="P403" i="2"/>
  <c r="P279" i="2"/>
  <c r="P162" i="2"/>
  <c r="P854" i="2"/>
  <c r="P958" i="2"/>
  <c r="P973" i="2"/>
  <c r="P468" i="2"/>
  <c r="P845" i="2"/>
  <c r="I227" i="5"/>
  <c r="P31" i="2"/>
  <c r="P356" i="2"/>
  <c r="P343" i="2"/>
  <c r="I796" i="5"/>
  <c r="P754" i="2"/>
  <c r="P353" i="2"/>
  <c r="P803" i="2"/>
  <c r="I302" i="5"/>
  <c r="P336" i="2"/>
  <c r="P573" i="2"/>
  <c r="P119" i="2"/>
  <c r="P867" i="2"/>
  <c r="I237" i="5"/>
  <c r="P280" i="2"/>
  <c r="P989" i="2"/>
  <c r="I217" i="5"/>
  <c r="H29" i="5"/>
  <c r="Q8" i="2"/>
  <c r="I734" i="5"/>
  <c r="I304" i="5"/>
  <c r="D63" i="5"/>
  <c r="H31" i="5"/>
  <c r="I535" i="5"/>
  <c r="I496" i="5"/>
  <c r="I175" i="5"/>
  <c r="P393" i="2"/>
  <c r="Q93" i="2"/>
  <c r="P802" i="2"/>
  <c r="P452" i="2"/>
  <c r="Q11" i="2"/>
  <c r="I964" i="5"/>
  <c r="Q46" i="2"/>
  <c r="I956" i="5"/>
  <c r="D23" i="5"/>
  <c r="P747" i="2"/>
  <c r="I922" i="5"/>
  <c r="P764" i="2"/>
  <c r="C19" i="5"/>
  <c r="P391" i="2"/>
  <c r="I584" i="5"/>
  <c r="P929" i="2"/>
  <c r="P765" i="2"/>
  <c r="P816" i="2"/>
  <c r="P537" i="2"/>
  <c r="P496" i="2"/>
  <c r="I360" i="5"/>
  <c r="P319" i="2"/>
  <c r="P314" i="2"/>
  <c r="P563" i="2"/>
  <c r="I568" i="5"/>
  <c r="I693" i="5"/>
  <c r="D50" i="5"/>
  <c r="P984" i="2"/>
  <c r="I4" i="5"/>
  <c r="P261" i="2"/>
  <c r="P975" i="2"/>
  <c r="Q12" i="2"/>
  <c r="Q64" i="2"/>
  <c r="P692" i="2"/>
  <c r="P329" i="2"/>
  <c r="I805" i="5"/>
  <c r="P476" i="2"/>
  <c r="P333" i="2"/>
  <c r="P480" i="2"/>
  <c r="I169" i="5"/>
  <c r="P892" i="2"/>
  <c r="C81" i="5"/>
  <c r="P868" i="2"/>
  <c r="D46" i="5"/>
  <c r="P25" i="2"/>
  <c r="I80" i="5"/>
  <c r="I451" i="5"/>
  <c r="I14" i="5"/>
  <c r="Q29" i="2"/>
  <c r="I221" i="5"/>
  <c r="I132" i="5"/>
  <c r="P456" i="2"/>
  <c r="P514" i="2"/>
  <c r="P340" i="2"/>
  <c r="P421" i="2"/>
  <c r="P949" i="2"/>
  <c r="I35" i="5"/>
  <c r="P727" i="2"/>
  <c r="I173" i="5"/>
  <c r="I248" i="5"/>
  <c r="P148" i="2"/>
  <c r="P400" i="2"/>
  <c r="P842" i="2"/>
  <c r="I25" i="5"/>
  <c r="D48" i="5"/>
  <c r="I519" i="5"/>
  <c r="I621" i="5"/>
  <c r="P593" i="2"/>
  <c r="I592" i="5"/>
  <c r="I707" i="5"/>
  <c r="I960" i="5"/>
  <c r="P244" i="2"/>
  <c r="P735" i="2"/>
  <c r="I822" i="5"/>
  <c r="I840" i="5"/>
  <c r="H27" i="2"/>
  <c r="H53" i="2"/>
  <c r="H42" i="2"/>
  <c r="I644" i="5"/>
  <c r="I553" i="5"/>
  <c r="H73" i="2"/>
  <c r="D54" i="5"/>
  <c r="I817" i="5"/>
  <c r="D92" i="5"/>
  <c r="P937" i="2"/>
  <c r="P662" i="2"/>
  <c r="I7" i="5"/>
  <c r="I593" i="5"/>
  <c r="C90" i="5"/>
  <c r="P250" i="2"/>
  <c r="C79" i="5"/>
  <c r="D9" i="5"/>
  <c r="P632" i="2"/>
  <c r="I697" i="5"/>
  <c r="I618" i="5"/>
  <c r="I491" i="5"/>
  <c r="H80" i="2"/>
  <c r="I37" i="5"/>
  <c r="D3" i="5"/>
  <c r="H40" i="5"/>
  <c r="Q97" i="2"/>
  <c r="I700" i="5"/>
  <c r="P207" i="2"/>
  <c r="I498" i="5"/>
  <c r="I424" i="5"/>
  <c r="G4" i="2"/>
  <c r="I477" i="5"/>
  <c r="H74" i="2"/>
  <c r="I347" i="5"/>
  <c r="I617" i="5"/>
  <c r="I219" i="5"/>
  <c r="P992" i="2"/>
  <c r="I319" i="5"/>
  <c r="P908" i="2"/>
  <c r="I182" i="5"/>
  <c r="P460" i="2"/>
  <c r="I871" i="5"/>
  <c r="P35" i="2"/>
  <c r="P899" i="2"/>
  <c r="I985" i="5"/>
  <c r="I574" i="5"/>
  <c r="I277" i="5"/>
  <c r="P223" i="2"/>
  <c r="I394" i="5"/>
  <c r="I224" i="5"/>
  <c r="I904" i="5"/>
  <c r="I469" i="5"/>
  <c r="I340" i="5"/>
  <c r="I691" i="5"/>
  <c r="I321" i="5"/>
  <c r="I704" i="5"/>
  <c r="I767" i="5"/>
  <c r="I77" i="5"/>
  <c r="I228" i="5"/>
  <c r="P834" i="2"/>
  <c r="I998" i="5"/>
  <c r="I464" i="5"/>
  <c r="I71" i="5"/>
  <c r="P547" i="2"/>
  <c r="P515" i="2"/>
  <c r="P683" i="2"/>
  <c r="P355" i="2"/>
  <c r="Q23" i="2"/>
  <c r="P640" i="2"/>
  <c r="I36" i="5"/>
  <c r="I991" i="5"/>
  <c r="Q89" i="2"/>
  <c r="P243" i="2"/>
  <c r="P518" i="2"/>
  <c r="P199" i="2"/>
  <c r="I362" i="5"/>
  <c r="P527" i="2"/>
  <c r="P731" i="2"/>
  <c r="I397" i="5"/>
  <c r="P794" i="2"/>
  <c r="I97" i="5"/>
  <c r="P218" i="2"/>
  <c r="P184" i="2"/>
  <c r="P111" i="2"/>
  <c r="Q6" i="2"/>
  <c r="P539" i="2"/>
  <c r="P327" i="2"/>
  <c r="P136" i="2"/>
  <c r="P827" i="2"/>
  <c r="P993" i="2"/>
  <c r="P454" i="2"/>
  <c r="P133" i="2"/>
  <c r="P847" i="2"/>
  <c r="I98" i="5"/>
  <c r="P734" i="2"/>
  <c r="P258" i="2"/>
  <c r="H62" i="5"/>
  <c r="I427" i="5"/>
  <c r="P513" i="2"/>
  <c r="P891" i="2"/>
  <c r="P180" i="2"/>
  <c r="Q59" i="2"/>
  <c r="I662" i="5"/>
  <c r="P748" i="2"/>
  <c r="H57" i="5"/>
  <c r="P190" i="2"/>
  <c r="H69" i="5"/>
  <c r="I130" i="5"/>
  <c r="Q39" i="2"/>
  <c r="I165" i="5"/>
  <c r="P694" i="2"/>
  <c r="P671" i="2"/>
  <c r="H54" i="2"/>
  <c r="I354" i="5"/>
  <c r="P275" i="2"/>
  <c r="C86" i="5"/>
  <c r="P296" i="2"/>
  <c r="P188" i="2"/>
  <c r="P85" i="2"/>
  <c r="D49" i="5"/>
  <c r="P912" i="2"/>
  <c r="P535" i="2"/>
  <c r="C45" i="5"/>
  <c r="P957" i="2"/>
  <c r="P241" i="2"/>
  <c r="P611" i="2"/>
  <c r="P752" i="2"/>
  <c r="I210" i="5"/>
  <c r="P883" i="2"/>
  <c r="P555" i="2"/>
  <c r="P924" i="2"/>
  <c r="P257" i="2"/>
  <c r="P986" i="2"/>
  <c r="Q49" i="2"/>
  <c r="I727" i="5"/>
  <c r="I225" i="5"/>
  <c r="I909" i="5"/>
  <c r="P728" i="2"/>
  <c r="I803" i="5"/>
  <c r="H13" i="5"/>
  <c r="P321" i="2"/>
  <c r="P390" i="2"/>
  <c r="P517" i="2"/>
  <c r="P54" i="2"/>
  <c r="I967" i="5"/>
  <c r="P964" i="2"/>
  <c r="P254" i="2"/>
  <c r="P75" i="2"/>
  <c r="I67" i="2"/>
  <c r="I619" i="5"/>
  <c r="P385" i="2"/>
  <c r="P767" i="2"/>
  <c r="D21" i="5"/>
  <c r="I3" i="2"/>
  <c r="P205" i="2"/>
  <c r="I56" i="5"/>
  <c r="I139" i="5"/>
  <c r="P412" i="2"/>
  <c r="P239" i="2"/>
  <c r="P806" i="2"/>
  <c r="P753" i="2"/>
  <c r="P281" i="2"/>
  <c r="P853" i="2"/>
  <c r="I699" i="5"/>
  <c r="I342" i="5"/>
  <c r="I815" i="5"/>
  <c r="I787" i="5"/>
  <c r="I241" i="5"/>
  <c r="P942" i="2"/>
  <c r="P392" i="2"/>
  <c r="P152" i="2"/>
  <c r="I299" i="5"/>
  <c r="I672" i="5"/>
  <c r="P404" i="2"/>
  <c r="I154" i="5"/>
  <c r="I868" i="5"/>
  <c r="I980" i="5"/>
  <c r="P617" i="2"/>
  <c r="P647" i="2"/>
  <c r="P93" i="2"/>
  <c r="Q83" i="2"/>
  <c r="P151" i="2"/>
  <c r="P466" i="2"/>
  <c r="Q68" i="2"/>
  <c r="H33" i="5"/>
  <c r="P888" i="2"/>
  <c r="P933" i="2"/>
  <c r="I161" i="5"/>
  <c r="P46" i="2"/>
  <c r="P770" i="2"/>
  <c r="I746" i="5"/>
  <c r="P506" i="2"/>
  <c r="Q5" i="2"/>
  <c r="I156" i="5"/>
  <c r="I312" i="5"/>
  <c r="P613" i="2"/>
  <c r="P269" i="2"/>
  <c r="I873" i="5"/>
  <c r="C50" i="5"/>
  <c r="H4" i="5"/>
  <c r="I786" i="5"/>
  <c r="P902" i="2"/>
  <c r="P531" i="2"/>
  <c r="P56" i="2"/>
  <c r="Q14" i="2"/>
  <c r="P566" i="2"/>
  <c r="I735" i="5"/>
  <c r="P875" i="2"/>
  <c r="H81" i="5"/>
  <c r="P57" i="2"/>
  <c r="H46" i="5"/>
  <c r="I226" i="5"/>
  <c r="I517" i="5"/>
  <c r="H80" i="5"/>
  <c r="I927" i="5"/>
  <c r="I579" i="5"/>
  <c r="P594" i="2"/>
  <c r="I509" i="5"/>
  <c r="Q30" i="2"/>
  <c r="H14" i="5"/>
  <c r="I256" i="5"/>
  <c r="I567" i="5"/>
  <c r="P160" i="2"/>
  <c r="P528" i="2"/>
  <c r="P62" i="2"/>
  <c r="D35" i="5"/>
  <c r="I27" i="5"/>
  <c r="I42" i="5"/>
  <c r="P383" i="2"/>
  <c r="P581" i="2"/>
  <c r="P137" i="2"/>
  <c r="P998" i="2"/>
  <c r="H25" i="5"/>
  <c r="P417" i="2"/>
  <c r="I107" i="5"/>
  <c r="H88" i="2"/>
  <c r="P722" i="2"/>
  <c r="P852" i="2"/>
  <c r="P245" i="2"/>
  <c r="I974" i="5"/>
  <c r="Q24" i="2"/>
  <c r="I20" i="5"/>
  <c r="Q13" i="2"/>
  <c r="I603" i="5"/>
  <c r="G27" i="2"/>
  <c r="H98" i="2"/>
  <c r="G53" i="2"/>
  <c r="G42" i="2"/>
  <c r="I555" i="5"/>
  <c r="I791" i="5"/>
  <c r="I379" i="5"/>
  <c r="I615" i="5"/>
  <c r="I73" i="2"/>
  <c r="I368" i="5"/>
  <c r="H92" i="5"/>
  <c r="Q84" i="2"/>
  <c r="D7" i="5"/>
  <c r="D90" i="5"/>
  <c r="I457" i="5"/>
  <c r="P687" i="2"/>
  <c r="I425" i="5"/>
  <c r="I859" i="5"/>
  <c r="C9" i="5"/>
  <c r="P682" i="2"/>
  <c r="I560" i="5"/>
  <c r="I740" i="5"/>
  <c r="I875" i="5"/>
  <c r="I631" i="5"/>
  <c r="Q42" i="2"/>
  <c r="I827" i="5"/>
  <c r="P481" i="2"/>
  <c r="H16" i="2"/>
  <c r="I513" i="5"/>
  <c r="I4" i="2"/>
  <c r="P464" i="2"/>
  <c r="H11" i="2"/>
  <c r="I677" i="5"/>
  <c r="I313" i="5"/>
  <c r="I65" i="5"/>
  <c r="P251" i="2"/>
  <c r="P115" i="2"/>
  <c r="I327" i="5"/>
  <c r="I920" i="5"/>
  <c r="I917" i="5"/>
  <c r="I320" i="5"/>
  <c r="I419" i="5"/>
  <c r="I497" i="5"/>
  <c r="I853" i="5"/>
  <c r="I554" i="5"/>
  <c r="I125" i="5"/>
  <c r="P501" i="2"/>
  <c r="P521" i="2"/>
  <c r="I609" i="5"/>
  <c r="I944" i="5"/>
  <c r="I213" i="5"/>
  <c r="I657" i="5"/>
  <c r="I930" i="5"/>
  <c r="I177" i="5"/>
  <c r="I47" i="5"/>
  <c r="I686" i="5"/>
  <c r="I848" i="5"/>
  <c r="P117" i="2"/>
  <c r="I518" i="5"/>
  <c r="P598" i="2"/>
  <c r="P100" i="2"/>
  <c r="P999" i="2"/>
  <c r="I810" i="5"/>
  <c r="D77" i="5"/>
  <c r="I872" i="5"/>
  <c r="I959" i="5"/>
  <c r="P577" i="2"/>
  <c r="P242" i="2"/>
  <c r="I630" i="5"/>
  <c r="I358" i="5"/>
  <c r="D71" i="5"/>
  <c r="Q87" i="2"/>
  <c r="I894" i="5"/>
  <c r="D36" i="5"/>
  <c r="P277" i="2"/>
  <c r="P423" i="2"/>
  <c r="P936" i="2"/>
  <c r="P89" i="2"/>
  <c r="I83" i="5"/>
  <c r="P743" i="2"/>
  <c r="P672" i="2"/>
  <c r="P558" i="2"/>
  <c r="P461" i="2"/>
  <c r="I118" i="5"/>
  <c r="P139" i="2"/>
  <c r="H97" i="5"/>
  <c r="P6" i="2"/>
  <c r="P92" i="2"/>
  <c r="P768" i="2"/>
  <c r="H98" i="5"/>
  <c r="I270" i="5"/>
  <c r="D62" i="5"/>
  <c r="P987" i="2"/>
  <c r="P163" i="2"/>
  <c r="P669" i="2"/>
  <c r="I150" i="5"/>
  <c r="P948" i="2"/>
  <c r="I244" i="5"/>
  <c r="P39" i="2"/>
  <c r="P781" i="2"/>
  <c r="P557" i="2"/>
  <c r="P801" i="2"/>
  <c r="P983" i="2"/>
  <c r="P699" i="2"/>
  <c r="P626" i="2"/>
  <c r="P656" i="2"/>
  <c r="P102" i="2"/>
  <c r="P195" i="2"/>
  <c r="P293" i="2"/>
  <c r="P285" i="2"/>
  <c r="P350" i="2"/>
  <c r="Q85" i="2"/>
  <c r="P673" i="2"/>
  <c r="C49" i="5"/>
  <c r="Q71" i="2"/>
  <c r="P167" i="2"/>
  <c r="D45" i="5"/>
  <c r="P646" i="2"/>
  <c r="I76" i="5"/>
  <c r="P127" i="2"/>
  <c r="I831" i="5"/>
  <c r="I10" i="5"/>
  <c r="P851" i="2"/>
  <c r="P361" i="2"/>
  <c r="P797" i="2"/>
  <c r="Q41" i="2"/>
  <c r="P991" i="2"/>
  <c r="P79" i="2"/>
  <c r="P175" i="2"/>
  <c r="P135" i="2"/>
  <c r="P140" i="2"/>
  <c r="P131" i="2"/>
  <c r="P216" i="2"/>
  <c r="P211" i="2"/>
  <c r="I544" i="5"/>
  <c r="Q75" i="2"/>
  <c r="P839" i="2"/>
  <c r="I832" i="5"/>
  <c r="I34" i="5"/>
  <c r="I308" i="5"/>
  <c r="C21" i="5"/>
  <c r="G3" i="2"/>
  <c r="I625" i="5"/>
  <c r="I720" i="5"/>
  <c r="P742" i="2"/>
  <c r="C56" i="5"/>
  <c r="I99" i="5"/>
  <c r="I6" i="5"/>
  <c r="P777" i="2"/>
  <c r="P757" i="2"/>
  <c r="P424" i="2"/>
  <c r="P643" i="2"/>
  <c r="P516" i="2"/>
  <c r="P668" i="2"/>
  <c r="I696" i="5"/>
  <c r="P703" i="2"/>
  <c r="I934" i="5"/>
  <c r="P15" i="2"/>
  <c r="I351" i="5"/>
  <c r="I993" i="5"/>
  <c r="P831" i="2"/>
  <c r="H14" i="2"/>
  <c r="I402" i="5"/>
  <c r="Q51" i="2"/>
  <c r="P221" i="2"/>
  <c r="P641" i="2"/>
  <c r="P441" i="2"/>
  <c r="Q7" i="2"/>
  <c r="I155" i="5"/>
  <c r="I841" i="5"/>
  <c r="P332" i="2"/>
  <c r="P449" i="2"/>
  <c r="P749" i="2"/>
  <c r="P22" i="2"/>
  <c r="P856" i="2"/>
  <c r="P375" i="2"/>
  <c r="P65" i="2"/>
  <c r="P756" i="2"/>
  <c r="I983" i="5"/>
  <c r="H35" i="2"/>
  <c r="P317" i="2"/>
  <c r="P773" i="2"/>
  <c r="I653" i="5"/>
  <c r="I109" i="5"/>
  <c r="P219" i="2"/>
  <c r="I345" i="5"/>
  <c r="P897" i="2"/>
  <c r="P83" i="2"/>
  <c r="Q69" i="2"/>
  <c r="P68" i="2"/>
  <c r="D33" i="5"/>
  <c r="P232" i="2"/>
  <c r="I287" i="5"/>
  <c r="P426" i="2"/>
  <c r="I18" i="5"/>
  <c r="I438" i="5"/>
  <c r="I562" i="5"/>
  <c r="I104" i="5"/>
  <c r="I997" i="5"/>
  <c r="I255" i="5"/>
  <c r="P145" i="2"/>
  <c r="I443" i="5"/>
  <c r="P366" i="2"/>
  <c r="P156" i="2"/>
  <c r="P430" i="2"/>
  <c r="Q88" i="2"/>
  <c r="I209" i="5"/>
  <c r="P439" i="2"/>
  <c r="P467" i="2"/>
  <c r="P303" i="2"/>
  <c r="P5" i="2"/>
  <c r="P331" i="2"/>
  <c r="I352" i="5"/>
  <c r="H50" i="5"/>
  <c r="I306" i="5"/>
  <c r="D4" i="5"/>
  <c r="I897" i="5"/>
  <c r="P491" i="2"/>
  <c r="P316" i="2"/>
  <c r="Q56" i="2"/>
  <c r="I819" i="5"/>
  <c r="P787" i="2"/>
  <c r="P503" i="2"/>
  <c r="P601" i="2"/>
  <c r="P679" i="2"/>
  <c r="P14" i="2"/>
  <c r="P965" i="2"/>
  <c r="P53" i="2"/>
  <c r="Q57" i="2"/>
  <c r="C46" i="5"/>
  <c r="I406" i="5"/>
  <c r="C80" i="5"/>
  <c r="P666" i="2"/>
  <c r="P30" i="2"/>
  <c r="D14" i="5"/>
  <c r="P541" i="2"/>
  <c r="P963" i="2"/>
  <c r="I428" i="5"/>
  <c r="P597" i="2"/>
  <c r="I266" i="5"/>
  <c r="P147" i="2"/>
  <c r="Q62" i="2"/>
  <c r="P469" i="2"/>
  <c r="C35" i="5"/>
  <c r="P226" i="2"/>
  <c r="P796" i="2"/>
  <c r="C27" i="5"/>
  <c r="H42" i="5"/>
  <c r="P772" i="2"/>
  <c r="P344" i="2"/>
  <c r="C25" i="5"/>
  <c r="P252" i="2"/>
  <c r="P894" i="2"/>
  <c r="I855" i="5"/>
  <c r="I769" i="5"/>
  <c r="I85" i="5"/>
  <c r="I703" i="5"/>
  <c r="I600" i="5"/>
  <c r="P351" i="2"/>
  <c r="I865" i="5"/>
  <c r="I573" i="5"/>
  <c r="P783" i="2"/>
  <c r="I489" i="5"/>
  <c r="P24" i="2"/>
  <c r="H20" i="5"/>
  <c r="P13" i="2"/>
  <c r="I261" i="5"/>
  <c r="I27" i="2"/>
  <c r="G98" i="2"/>
  <c r="I42" i="2"/>
  <c r="G73" i="2"/>
  <c r="H54" i="5"/>
  <c r="C92" i="5"/>
  <c r="P785" i="2"/>
  <c r="P84" i="2"/>
  <c r="P435" i="2"/>
  <c r="I905" i="5"/>
  <c r="H7" i="5"/>
  <c r="P981" i="2"/>
  <c r="I914" i="5"/>
  <c r="P544" i="2"/>
  <c r="P702" i="2"/>
  <c r="I530" i="5"/>
  <c r="I721" i="5"/>
  <c r="I119" i="5"/>
  <c r="H85" i="2"/>
  <c r="H12" i="2"/>
  <c r="H37" i="5"/>
  <c r="I75" i="5"/>
  <c r="P42" i="2"/>
  <c r="H34" i="2"/>
  <c r="P129" i="2"/>
  <c r="P260" i="2"/>
  <c r="P841" i="2"/>
  <c r="G16" i="2"/>
  <c r="I982" i="5"/>
  <c r="I439" i="5"/>
  <c r="P348" i="2"/>
  <c r="I908" i="5"/>
  <c r="G11" i="2"/>
  <c r="P297" i="2"/>
  <c r="C65" i="5"/>
  <c r="I563" i="5"/>
  <c r="I44" i="5"/>
  <c r="P934" i="2"/>
  <c r="H2" i="2"/>
  <c r="I335" i="5"/>
  <c r="I765" i="5"/>
  <c r="H70" i="2"/>
  <c r="I96" i="5"/>
  <c r="I715" i="5"/>
  <c r="I813" i="5"/>
  <c r="I488" i="5"/>
  <c r="P304" i="2"/>
  <c r="P790" i="2"/>
  <c r="I757" i="5"/>
  <c r="P596" i="2"/>
  <c r="P844" i="2"/>
  <c r="I516" i="5"/>
  <c r="D47" i="5"/>
  <c r="I747" i="5"/>
  <c r="H13" i="2"/>
  <c r="I705" i="5"/>
  <c r="H44" i="2"/>
  <c r="I134" i="5"/>
  <c r="P121" i="2"/>
  <c r="P217" i="2"/>
  <c r="P87" i="2"/>
  <c r="P414" i="2"/>
  <c r="P619" i="2"/>
  <c r="P132" i="2"/>
  <c r="P498" i="2"/>
  <c r="H83" i="5"/>
  <c r="I194" i="5"/>
  <c r="I232" i="5"/>
  <c r="P690" i="2"/>
  <c r="P36" i="2"/>
  <c r="I204" i="5"/>
  <c r="P872" i="2"/>
  <c r="P607" i="2"/>
  <c r="C97" i="5"/>
  <c r="I180" i="5"/>
  <c r="P609" i="2"/>
  <c r="P448" i="2"/>
  <c r="P210" i="2"/>
  <c r="P995" i="2"/>
  <c r="Q92" i="2"/>
  <c r="P843" i="2"/>
  <c r="P357" i="2"/>
  <c r="P836" i="2"/>
  <c r="P295" i="2"/>
  <c r="P761" i="2"/>
  <c r="P887" i="2"/>
  <c r="P72" i="2"/>
  <c r="D98" i="5"/>
  <c r="I970" i="5"/>
  <c r="P522" i="2"/>
  <c r="P181" i="2"/>
  <c r="I594" i="5"/>
  <c r="P60" i="2"/>
  <c r="P931" i="2"/>
  <c r="P265" i="2"/>
  <c r="P416" i="2"/>
  <c r="P341" i="2"/>
  <c r="P821" i="2"/>
  <c r="Q34" i="2"/>
  <c r="P305" i="2"/>
  <c r="I131" i="5"/>
  <c r="P919" i="2"/>
  <c r="I127" i="5"/>
  <c r="P48" i="2"/>
  <c r="I8" i="5"/>
  <c r="P287" i="2"/>
  <c r="H49" i="5"/>
  <c r="I2" i="5"/>
  <c r="P71" i="2"/>
  <c r="I537" i="5"/>
  <c r="I249" i="5"/>
  <c r="P444" i="2"/>
  <c r="P438" i="2"/>
  <c r="P512" i="2"/>
  <c r="D76" i="5"/>
  <c r="P459" i="2"/>
  <c r="P736" i="2"/>
  <c r="P903" i="2"/>
  <c r="I93" i="5"/>
  <c r="P428" i="2"/>
  <c r="I64" i="5"/>
  <c r="P564" i="2"/>
  <c r="I195" i="5"/>
  <c r="P554" i="2"/>
  <c r="P41" i="2"/>
  <c r="I201" i="5"/>
  <c r="Q79" i="2"/>
  <c r="I51" i="5"/>
  <c r="P311" i="2"/>
  <c r="P499" i="2"/>
  <c r="P186" i="2"/>
  <c r="P443" i="2"/>
  <c r="I683" i="5"/>
  <c r="P248" i="2"/>
  <c r="P571" i="2"/>
  <c r="P918" i="2"/>
  <c r="P664" i="2"/>
  <c r="P622" i="2"/>
  <c r="P44" i="2"/>
  <c r="P334" i="2"/>
  <c r="P21" i="2"/>
  <c r="I655" i="5"/>
  <c r="H34" i="5"/>
  <c r="H21" i="5"/>
  <c r="P876" i="2"/>
  <c r="D56" i="5"/>
  <c r="P272" i="2"/>
  <c r="H6" i="5"/>
  <c r="P45" i="2"/>
  <c r="P169" i="2"/>
  <c r="P363" i="2"/>
  <c r="P174" i="2"/>
  <c r="I650" i="5"/>
  <c r="I558" i="5"/>
  <c r="Q15" i="2"/>
  <c r="I144" i="5"/>
  <c r="I14" i="2"/>
  <c r="P51" i="2"/>
  <c r="I375" i="5"/>
  <c r="P755" i="2"/>
  <c r="P7" i="2"/>
  <c r="Q22" i="2"/>
  <c r="P58" i="2"/>
  <c r="P799" i="2"/>
  <c r="P339" i="2"/>
  <c r="P161" i="2"/>
  <c r="P935" i="2"/>
  <c r="Q65" i="2"/>
  <c r="P230" i="2"/>
  <c r="P364" i="2"/>
  <c r="G35" i="2"/>
  <c r="I877" i="5"/>
  <c r="I239" i="5"/>
  <c r="P422" i="2"/>
  <c r="P938" i="2"/>
  <c r="I301" i="5"/>
  <c r="P880" i="2"/>
  <c r="P634" i="2"/>
  <c r="P559" i="2"/>
  <c r="P890" i="2"/>
  <c r="I16" i="5"/>
  <c r="P419" i="2"/>
  <c r="P69" i="2"/>
  <c r="P27" i="2"/>
  <c r="P484" i="2"/>
  <c r="P502" i="2"/>
  <c r="I110" i="5"/>
  <c r="I664" i="5"/>
  <c r="I774" i="5"/>
  <c r="I59" i="5"/>
  <c r="H18" i="5"/>
  <c r="I181" i="5"/>
  <c r="H81" i="2"/>
  <c r="P238" i="2"/>
  <c r="P88" i="2"/>
  <c r="P576" i="2"/>
  <c r="Q16" i="2"/>
  <c r="P427" i="2"/>
  <c r="P684" i="2"/>
  <c r="P650" i="2"/>
  <c r="P128" i="2"/>
  <c r="P70" i="2"/>
  <c r="I480" i="5"/>
  <c r="P732" i="2"/>
  <c r="I844" i="5"/>
  <c r="Q37" i="2"/>
  <c r="P373" i="2"/>
  <c r="I117" i="5"/>
  <c r="P604" i="2"/>
  <c r="Q67" i="2"/>
  <c r="Q53" i="2"/>
  <c r="P322" i="2"/>
  <c r="P28" i="2"/>
  <c r="I330" i="5"/>
  <c r="D80" i="5"/>
  <c r="P144" i="2"/>
  <c r="P779" i="2"/>
  <c r="P40" i="2"/>
  <c r="P943" i="2"/>
  <c r="I835" i="5"/>
  <c r="I885" i="5"/>
  <c r="P945" i="2"/>
  <c r="I401" i="5"/>
  <c r="H35" i="5"/>
  <c r="I28" i="5"/>
  <c r="P220" i="2"/>
  <c r="D27" i="5"/>
  <c r="P388" i="2"/>
  <c r="P197" i="2"/>
  <c r="I490" i="5"/>
  <c r="I128" i="5"/>
  <c r="P825" i="2"/>
  <c r="P271" i="2"/>
  <c r="D25" i="5"/>
  <c r="P289" i="2"/>
  <c r="I818" i="5"/>
  <c r="P368" i="2"/>
  <c r="P354" i="2"/>
  <c r="P877" i="2"/>
  <c r="Q32" i="2"/>
  <c r="H85" i="5"/>
  <c r="P492" i="2"/>
  <c r="P763" i="2"/>
  <c r="P437" i="2"/>
  <c r="H33" i="2"/>
  <c r="D20" i="5"/>
  <c r="I41" i="5"/>
  <c r="I98" i="2"/>
  <c r="I450" i="5"/>
  <c r="I191" i="5"/>
  <c r="I236" i="5"/>
  <c r="H36" i="2"/>
  <c r="C7" i="5"/>
  <c r="I353" i="5"/>
  <c r="I434" i="5"/>
  <c r="P294" i="2"/>
  <c r="I24" i="5"/>
  <c r="I706" i="5"/>
  <c r="I893" i="5"/>
  <c r="P462" i="2"/>
  <c r="P657" i="2"/>
  <c r="I586" i="5"/>
  <c r="G85" i="2"/>
  <c r="I17" i="5"/>
  <c r="I663" i="5"/>
  <c r="I12" i="2"/>
  <c r="I442" i="5"/>
  <c r="D37" i="5"/>
  <c r="D75" i="5"/>
  <c r="I34" i="2"/>
  <c r="P822" i="2"/>
  <c r="I196" i="5"/>
  <c r="P633" i="2"/>
  <c r="I300" i="5"/>
  <c r="P545" i="2"/>
  <c r="I883" i="5"/>
  <c r="I152" i="5"/>
  <c r="I120" i="5"/>
  <c r="I820" i="5"/>
  <c r="I11" i="2"/>
  <c r="I528" i="5"/>
  <c r="D65" i="5"/>
  <c r="I190" i="5"/>
  <c r="P475" i="2"/>
  <c r="I326" i="5"/>
  <c r="I84" i="5"/>
  <c r="I752" i="5"/>
  <c r="I485" i="5"/>
  <c r="I70" i="2"/>
  <c r="I459" i="5"/>
  <c r="I370" i="5"/>
  <c r="P347" i="2"/>
  <c r="I202" i="5"/>
  <c r="P982" i="2"/>
  <c r="I758" i="5"/>
  <c r="P369" i="2"/>
  <c r="H47" i="5"/>
  <c r="H71" i="2"/>
  <c r="G13" i="2"/>
  <c r="G44" i="2"/>
  <c r="H65" i="2"/>
  <c r="H46" i="2"/>
  <c r="P994" i="2"/>
  <c r="P255" i="2"/>
  <c r="I866" i="5"/>
  <c r="D60" i="5"/>
  <c r="P50" i="2"/>
  <c r="C77" i="5"/>
  <c r="I198" i="5"/>
  <c r="Q19" i="2"/>
  <c r="I146" i="5"/>
  <c r="H36" i="5"/>
  <c r="P776" i="2"/>
  <c r="P312" i="2"/>
  <c r="P704" i="2"/>
  <c r="P415" i="2"/>
  <c r="I122" i="5"/>
  <c r="Q36" i="2"/>
  <c r="P158" i="2"/>
  <c r="P249" i="2"/>
  <c r="P213" i="2"/>
  <c r="D97" i="5"/>
  <c r="I285" i="5"/>
  <c r="I66" i="5"/>
  <c r="Q72" i="2"/>
  <c r="C98" i="5"/>
  <c r="P786" i="2"/>
  <c r="P229" i="2"/>
  <c r="Q60" i="2"/>
  <c r="I431" i="5"/>
  <c r="P215" i="2"/>
  <c r="P109" i="2"/>
  <c r="P196" i="2"/>
  <c r="P377" i="2"/>
  <c r="P34" i="2"/>
  <c r="P833" i="2"/>
  <c r="P165" i="2"/>
  <c r="I336" i="5"/>
  <c r="P708" i="2"/>
  <c r="I546" i="5"/>
  <c r="P705" i="2"/>
  <c r="Q48" i="2"/>
  <c r="I400" i="5"/>
  <c r="P103" i="2"/>
  <c r="I203" i="5"/>
  <c r="P741" i="2"/>
  <c r="D8" i="5"/>
  <c r="Q61" i="2"/>
  <c r="P809" i="2"/>
  <c r="P288" i="2"/>
  <c r="P362" i="2"/>
  <c r="D2" i="5"/>
  <c r="I776" i="5"/>
  <c r="P20" i="2"/>
  <c r="I694" i="5"/>
  <c r="H76" i="5"/>
  <c r="P977" i="2"/>
  <c r="H93" i="5"/>
  <c r="D10" i="5"/>
  <c r="P889" i="2"/>
  <c r="H64" i="5"/>
  <c r="P425" i="2"/>
  <c r="I52" i="5"/>
  <c r="P408" i="2"/>
  <c r="H51" i="5"/>
  <c r="P882" i="2"/>
  <c r="P398" i="2"/>
  <c r="P878" i="2"/>
  <c r="P579" i="2"/>
  <c r="P376" i="2"/>
  <c r="P652" i="2"/>
  <c r="I643" i="5"/>
  <c r="P631" i="2"/>
  <c r="I142" i="5"/>
  <c r="Q44" i="2"/>
  <c r="P719" i="2"/>
  <c r="Q21" i="2"/>
  <c r="P436" i="2"/>
  <c r="I685" i="5"/>
  <c r="P661" i="2"/>
  <c r="P805" i="2"/>
  <c r="H56" i="5"/>
  <c r="P911" i="2"/>
  <c r="I466" i="5"/>
  <c r="Q45" i="2"/>
  <c r="P804" i="2"/>
  <c r="P240" i="2"/>
  <c r="I72" i="5"/>
  <c r="P718" i="2"/>
  <c r="I591" i="5"/>
  <c r="P126" i="2"/>
  <c r="P814" i="2"/>
  <c r="P580" i="2"/>
  <c r="P585" i="2"/>
  <c r="P678" i="2"/>
  <c r="I30" i="5"/>
  <c r="I395" i="5"/>
  <c r="I687" i="5"/>
  <c r="P324" i="2"/>
  <c r="P538" i="2"/>
  <c r="P637" i="2"/>
  <c r="P433" i="2"/>
  <c r="P620" i="2"/>
  <c r="P789" i="2"/>
  <c r="P904" i="2"/>
  <c r="Q58" i="2"/>
  <c r="P526" i="2"/>
  <c r="Q38" i="2"/>
  <c r="I22" i="5"/>
  <c r="P906" i="2"/>
  <c r="I257" i="5"/>
  <c r="I388" i="5"/>
  <c r="P470" i="2"/>
  <c r="Q82" i="2"/>
  <c r="I522" i="5"/>
  <c r="P955" i="2"/>
  <c r="I470" i="5"/>
  <c r="P164" i="2"/>
  <c r="P406" i="2"/>
  <c r="I378" i="5"/>
  <c r="I834" i="5"/>
  <c r="P970" i="2"/>
  <c r="H16" i="5"/>
  <c r="I88" i="5"/>
  <c r="P550" i="2"/>
  <c r="Q27" i="2"/>
  <c r="P997" i="2"/>
  <c r="P791" i="2"/>
  <c r="P826" i="2"/>
  <c r="I462" i="5"/>
  <c r="I426" i="5"/>
  <c r="I751" i="5"/>
  <c r="I81" i="2"/>
  <c r="P947" i="2"/>
  <c r="I770" i="5"/>
  <c r="P307" i="2"/>
  <c r="P561" i="2"/>
  <c r="P950" i="2"/>
  <c r="P533" i="2"/>
  <c r="P399" i="2"/>
  <c r="P663" i="2"/>
  <c r="P792" i="2"/>
  <c r="Q3" i="2"/>
  <c r="P775" i="2"/>
  <c r="P16" i="2"/>
  <c r="P105" i="2"/>
  <c r="P231" i="2"/>
  <c r="Q70" i="2"/>
  <c r="I812" i="5"/>
  <c r="P644" i="2"/>
  <c r="P730" i="2"/>
  <c r="P746" i="2"/>
  <c r="I736" i="5"/>
  <c r="I314" i="5"/>
  <c r="P590" i="2"/>
  <c r="I374" i="5"/>
  <c r="P37" i="2"/>
  <c r="P849" i="2"/>
  <c r="P365" i="2"/>
  <c r="I178" i="5"/>
  <c r="P318" i="2"/>
  <c r="P837" i="2"/>
  <c r="P67" i="2"/>
  <c r="P589" i="2"/>
  <c r="Q28" i="2"/>
  <c r="P885" i="2"/>
  <c r="P2" i="2"/>
  <c r="Q40" i="2"/>
  <c r="I474" i="5"/>
  <c r="I361" i="5"/>
  <c r="I371" i="5"/>
  <c r="P548" i="2"/>
  <c r="P352" i="2"/>
  <c r="P308" i="2"/>
  <c r="P263" i="2"/>
  <c r="P857" i="2"/>
  <c r="I798" i="5"/>
  <c r="P723" i="2"/>
  <c r="P591" i="2"/>
  <c r="P717" i="2"/>
  <c r="P568" i="2"/>
  <c r="D28" i="5"/>
  <c r="H27" i="5"/>
  <c r="D42" i="5"/>
  <c r="I333" i="5"/>
  <c r="P698" i="2"/>
  <c r="I328" i="5"/>
  <c r="P209" i="2"/>
  <c r="P104" i="2"/>
  <c r="I587" i="5"/>
  <c r="I121" i="5"/>
  <c r="I73" i="5"/>
  <c r="I732" i="5"/>
  <c r="P32" i="2"/>
  <c r="P267" i="2"/>
  <c r="H43" i="2"/>
  <c r="P299" i="2"/>
  <c r="D85" i="5"/>
  <c r="I262" i="5"/>
  <c r="I957" i="5"/>
  <c r="P653" i="2"/>
  <c r="I276" i="5"/>
  <c r="I174" i="5"/>
  <c r="I455" i="5"/>
  <c r="P587" i="2"/>
  <c r="I882" i="5"/>
  <c r="P396" i="2"/>
  <c r="P178" i="2"/>
  <c r="I723" i="5"/>
  <c r="I5" i="5"/>
  <c r="I689" i="5"/>
  <c r="C20" i="5"/>
  <c r="P971" i="2"/>
  <c r="H41" i="5"/>
  <c r="I675" i="5"/>
  <c r="I984" i="5"/>
  <c r="I403" i="5"/>
  <c r="G36" i="2"/>
  <c r="I483" i="5"/>
  <c r="I942" i="5"/>
  <c r="I681" i="5"/>
  <c r="I176" i="5"/>
  <c r="I238" i="5"/>
  <c r="I186" i="5"/>
  <c r="I515" i="5"/>
  <c r="I102" i="5"/>
  <c r="P865" i="2"/>
  <c r="P623" i="2"/>
  <c r="H77" i="2"/>
  <c r="P696" i="2"/>
  <c r="Q26" i="2"/>
  <c r="D24" i="5"/>
  <c r="I305" i="5"/>
  <c r="I445" i="5"/>
  <c r="I748" i="5"/>
  <c r="I536" i="5"/>
  <c r="H75" i="5"/>
  <c r="I26" i="5"/>
  <c r="P247" i="2"/>
  <c r="P367" i="2"/>
  <c r="P298" i="2"/>
  <c r="P750" i="2"/>
  <c r="I667" i="5"/>
  <c r="I702" i="5"/>
  <c r="I659" i="5"/>
  <c r="I666" i="5"/>
  <c r="I940" i="5"/>
  <c r="I103" i="5"/>
  <c r="I159" i="5"/>
  <c r="I82" i="5"/>
  <c r="P952" i="2"/>
  <c r="P886" i="2"/>
  <c r="H65" i="5"/>
  <c r="H44" i="5"/>
  <c r="P477" i="2"/>
  <c r="P820" i="2"/>
  <c r="I795" i="5"/>
  <c r="I671" i="5"/>
  <c r="I775" i="5"/>
  <c r="G70" i="2"/>
  <c r="D96" i="5"/>
  <c r="I205" i="5"/>
  <c r="P176" i="2"/>
  <c r="P615" i="2"/>
  <c r="P855" i="2"/>
  <c r="P17" i="2"/>
  <c r="C47" i="5"/>
  <c r="G71" i="2"/>
  <c r="I13" i="2"/>
  <c r="I449" i="5"/>
  <c r="I123" i="5"/>
  <c r="I124" i="5"/>
  <c r="P33" i="2"/>
  <c r="I65" i="2"/>
  <c r="G46" i="2"/>
  <c r="I39" i="5"/>
  <c r="Q50" i="2"/>
  <c r="I846" i="5"/>
  <c r="P810" i="2"/>
  <c r="P636" i="2"/>
  <c r="P881" i="2"/>
  <c r="P313" i="2"/>
  <c r="P114" i="2"/>
  <c r="P124" i="2"/>
  <c r="P962" i="2"/>
  <c r="P19" i="2"/>
  <c r="Q73" i="2"/>
  <c r="P256" i="2"/>
  <c r="D83" i="5"/>
  <c r="I531" i="5"/>
  <c r="P185" i="2"/>
  <c r="P63" i="2"/>
  <c r="P870" i="2"/>
  <c r="P967" i="2"/>
  <c r="P179" i="2"/>
  <c r="I792" i="5"/>
  <c r="Q81" i="2"/>
  <c r="I830" i="5"/>
  <c r="P567" i="2"/>
  <c r="P372" i="2"/>
  <c r="P575" i="2"/>
  <c r="P819" i="2"/>
  <c r="P202" i="2"/>
  <c r="P710" i="2"/>
  <c r="P858" i="2"/>
  <c r="P980" i="2"/>
  <c r="P487" i="2"/>
  <c r="P798" i="2"/>
  <c r="P744" i="2"/>
  <c r="H66" i="5"/>
  <c r="P342" i="2"/>
  <c r="P629" i="2"/>
  <c r="P325" i="2"/>
  <c r="I418" i="5"/>
  <c r="Q9" i="2"/>
  <c r="P689" i="2"/>
  <c r="I250" i="5"/>
  <c r="P315" i="2"/>
  <c r="P913" i="2"/>
  <c r="I670" i="5"/>
  <c r="P378" i="2"/>
  <c r="P384" i="2"/>
  <c r="P290" i="2"/>
  <c r="I356" i="5"/>
  <c r="P840" i="2"/>
  <c r="I614" i="5"/>
  <c r="I825" i="5"/>
  <c r="H8" i="5"/>
  <c r="P61" i="2"/>
  <c r="I183" i="5"/>
  <c r="I126" i="5"/>
  <c r="I15" i="5"/>
  <c r="H2" i="5"/>
  <c r="P900" i="2"/>
  <c r="I1000" i="5"/>
  <c r="Q20" i="2"/>
  <c r="P921" i="2"/>
  <c r="P494" i="2"/>
  <c r="I926" i="5"/>
  <c r="P489" i="2"/>
  <c r="P818" i="2"/>
  <c r="I61" i="5"/>
  <c r="P55" i="2"/>
  <c r="D93" i="5"/>
  <c r="P525" i="2"/>
  <c r="H10" i="5"/>
  <c r="P141" i="2"/>
  <c r="P259" i="2"/>
  <c r="H52" i="5"/>
  <c r="P146" i="2"/>
  <c r="D51" i="5"/>
  <c r="P771" i="2"/>
  <c r="P553" i="2"/>
  <c r="I629" i="5"/>
  <c r="P302" i="2"/>
  <c r="P4" i="2"/>
  <c r="P829" i="2"/>
  <c r="P916" i="2"/>
  <c r="P227" i="2"/>
  <c r="P507" i="2"/>
  <c r="P236" i="2"/>
  <c r="I874" i="5"/>
  <c r="D34" i="5"/>
  <c r="P123" i="2"/>
  <c r="I254" i="5"/>
  <c r="I278" i="5"/>
  <c r="P932" i="2"/>
  <c r="I634" i="5"/>
  <c r="P183" i="2"/>
  <c r="I547" i="5"/>
  <c r="D6" i="5"/>
  <c r="P445" i="2"/>
  <c r="D72" i="5"/>
  <c r="I534" i="5"/>
  <c r="P86" i="2"/>
  <c r="I407" i="5"/>
  <c r="P98" i="2"/>
  <c r="I570" i="5"/>
  <c r="P860" i="2"/>
  <c r="I624" i="5"/>
  <c r="I392" i="5"/>
  <c r="P380" i="2"/>
  <c r="P659" i="2"/>
  <c r="I207" i="5"/>
  <c r="I166" i="5"/>
  <c r="P985" i="2"/>
  <c r="P915" i="2"/>
  <c r="I29" i="5"/>
  <c r="P38" i="2"/>
  <c r="P118" i="2"/>
  <c r="H22" i="5"/>
  <c r="I263" i="5"/>
  <c r="P988" i="2"/>
  <c r="I493" i="5"/>
  <c r="P901" i="2"/>
  <c r="P82" i="2"/>
  <c r="I235" i="5"/>
  <c r="I31" i="5"/>
  <c r="P120" i="2"/>
  <c r="P793" i="2"/>
  <c r="I67" i="5"/>
  <c r="P960" i="2"/>
  <c r="P968" i="2"/>
  <c r="P529" i="2"/>
  <c r="P405" i="2"/>
  <c r="D88" i="5"/>
  <c r="P879" i="2"/>
  <c r="P203" i="2"/>
  <c r="I924" i="5"/>
  <c r="P66" i="2"/>
  <c r="P709" i="2"/>
  <c r="P923" i="2"/>
  <c r="D59" i="5"/>
  <c r="I911" i="5"/>
  <c r="D18" i="5"/>
  <c r="P863" i="2"/>
  <c r="I23" i="5"/>
  <c r="P292" i="2"/>
  <c r="G81" i="2"/>
  <c r="I19" i="5"/>
  <c r="P283" i="2"/>
  <c r="I160" i="5"/>
  <c r="P3" i="2"/>
  <c r="P94" i="2"/>
  <c r="P572" i="2"/>
  <c r="P706" i="2"/>
  <c r="I611" i="5"/>
  <c r="P291" i="2"/>
  <c r="I900" i="5"/>
  <c r="I596" i="5"/>
  <c r="I157" i="5"/>
  <c r="I385" i="5"/>
  <c r="P740" i="2"/>
  <c r="I971" i="5"/>
  <c r="P90" i="2"/>
  <c r="P434" i="2"/>
  <c r="P602" i="2"/>
  <c r="P504" i="2"/>
  <c r="Q74" i="2"/>
  <c r="P310" i="2"/>
  <c r="P940" i="2"/>
  <c r="Q2" i="2"/>
  <c r="P780" i="2"/>
  <c r="P807" i="2"/>
  <c r="P101" i="2"/>
  <c r="I647" i="5"/>
  <c r="P612" i="2"/>
  <c r="P603" i="2"/>
  <c r="P387" i="2"/>
  <c r="P675" i="2"/>
  <c r="P996" i="2"/>
  <c r="I862" i="5"/>
  <c r="I48" i="5"/>
  <c r="P284" i="2"/>
  <c r="P974" i="2"/>
  <c r="H73" i="5"/>
  <c r="I200" i="5"/>
  <c r="R43" i="2"/>
  <c r="P769" i="2"/>
  <c r="I543" i="5"/>
  <c r="I259" i="5"/>
  <c r="P200" i="2"/>
  <c r="I271" i="5"/>
  <c r="P112" i="2"/>
  <c r="Q43" i="2"/>
  <c r="H5" i="5"/>
  <c r="I708" i="5"/>
  <c r="D41" i="5"/>
  <c r="I290" i="5"/>
  <c r="I36" i="2"/>
  <c r="I989" i="5"/>
  <c r="G77" i="2"/>
  <c r="P928" i="2"/>
  <c r="I79" i="5"/>
  <c r="P26" i="2"/>
  <c r="I265" i="5"/>
  <c r="P505" i="2"/>
  <c r="I188" i="5"/>
  <c r="P758" i="2"/>
  <c r="I794" i="5"/>
  <c r="H9" i="2"/>
  <c r="H7" i="2"/>
  <c r="H17" i="5"/>
  <c r="I656" i="5"/>
  <c r="I816" i="5"/>
  <c r="I229" i="5"/>
  <c r="H26" i="5"/>
  <c r="I40" i="5"/>
  <c r="I945" i="5"/>
  <c r="H62" i="2"/>
  <c r="I606" i="5"/>
  <c r="P214" i="2"/>
  <c r="I637" i="5"/>
  <c r="I577" i="5"/>
  <c r="I682" i="5"/>
  <c r="I220" i="5"/>
  <c r="G74" i="2"/>
  <c r="G10" i="2"/>
  <c r="I114" i="5"/>
  <c r="I933" i="5"/>
  <c r="P520" i="2"/>
  <c r="H19" i="2"/>
  <c r="P187" i="2"/>
  <c r="D44" i="5"/>
  <c r="I768" i="5"/>
  <c r="P346" i="2"/>
  <c r="P485" i="2"/>
  <c r="I576" i="5"/>
  <c r="I580" i="5"/>
  <c r="I396" i="5"/>
  <c r="D84" i="5"/>
  <c r="I623" i="5"/>
  <c r="I113" i="5"/>
  <c r="I969" i="5"/>
  <c r="I972" i="5"/>
  <c r="H96" i="5"/>
  <c r="P562" i="2"/>
  <c r="I921" i="5"/>
  <c r="I421" i="5"/>
  <c r="G83" i="2"/>
  <c r="P401" i="2"/>
  <c r="P784" i="2"/>
  <c r="I749" i="5"/>
  <c r="P542" i="2"/>
  <c r="Q17" i="2"/>
  <c r="I172" i="5"/>
  <c r="I996" i="5"/>
  <c r="I71" i="2"/>
  <c r="I651" i="5"/>
  <c r="I423" i="5"/>
  <c r="I524" i="5"/>
  <c r="I923" i="5"/>
  <c r="Q33" i="2"/>
  <c r="I46" i="2"/>
  <c r="P278" i="2"/>
  <c r="I722" i="5"/>
  <c r="C39" i="5"/>
  <c r="H60" i="5"/>
  <c r="P264" i="2"/>
  <c r="C63" i="5"/>
  <c r="C16" i="5"/>
  <c r="C3" i="5"/>
  <c r="I604" i="5"/>
  <c r="G65" i="2"/>
  <c r="I247" i="5"/>
  <c r="P91" i="2"/>
  <c r="I937" i="5"/>
  <c r="I309" i="5"/>
  <c r="I420" i="5"/>
  <c r="I668" i="5"/>
  <c r="H66" i="2"/>
  <c r="C11" i="5"/>
  <c r="I289" i="5"/>
  <c r="I504" i="5"/>
  <c r="C58" i="5"/>
  <c r="I598" i="5"/>
  <c r="I436" i="5"/>
  <c r="I851" i="5"/>
  <c r="H78" i="5"/>
  <c r="P463" i="2"/>
  <c r="P677" i="2"/>
  <c r="I814" i="5"/>
  <c r="H53" i="5"/>
  <c r="I886" i="5"/>
  <c r="I951" i="5"/>
  <c r="I806" i="5"/>
  <c r="I731" i="5"/>
  <c r="I790" i="5"/>
  <c r="H92" i="2"/>
  <c r="I836" i="5"/>
  <c r="I506" i="5"/>
  <c r="I753" i="5"/>
  <c r="I828" i="5"/>
  <c r="H39" i="2"/>
  <c r="I542" i="5"/>
  <c r="H32" i="2"/>
  <c r="I907" i="5"/>
  <c r="I977" i="5"/>
  <c r="I369" i="5"/>
  <c r="C68" i="5"/>
  <c r="D12" i="5"/>
  <c r="I750" i="5"/>
  <c r="I355" i="5"/>
  <c r="H23" i="2"/>
  <c r="H90" i="2"/>
  <c r="I709" i="5"/>
  <c r="I199" i="5"/>
  <c r="H56" i="2"/>
  <c r="H93" i="2"/>
  <c r="H78" i="2"/>
  <c r="H94" i="2"/>
  <c r="I898" i="5"/>
  <c r="I136" i="5"/>
  <c r="I316" i="5"/>
  <c r="I283" i="5"/>
  <c r="I138" i="5"/>
  <c r="I919" i="5"/>
  <c r="I642" i="5"/>
  <c r="I878" i="5"/>
  <c r="I690" i="5"/>
  <c r="D91" i="5"/>
  <c r="H5" i="2"/>
  <c r="H60" i="2"/>
  <c r="I802" i="5"/>
  <c r="I415" i="5"/>
  <c r="I641" i="5"/>
  <c r="I453" i="5"/>
  <c r="I408" i="5"/>
  <c r="C57" i="5"/>
  <c r="C13" i="5"/>
  <c r="C4" i="5"/>
  <c r="C17" i="5"/>
  <c r="C82" i="5"/>
  <c r="G66" i="2"/>
  <c r="I492" i="5"/>
  <c r="I106" i="5"/>
  <c r="I607" i="5"/>
  <c r="I864" i="5"/>
  <c r="P660" i="2"/>
  <c r="P142" i="2"/>
  <c r="H58" i="5"/>
  <c r="D78" i="5"/>
  <c r="I495" i="5"/>
  <c r="P630" i="2"/>
  <c r="P738" i="2"/>
  <c r="I857" i="5"/>
  <c r="P760" i="2"/>
  <c r="I939" i="5"/>
  <c r="C53" i="5"/>
  <c r="H58" i="2"/>
  <c r="G58" i="2" s="1"/>
  <c r="I988" i="5"/>
  <c r="I92" i="2"/>
  <c r="H82" i="2"/>
  <c r="I526" i="5"/>
  <c r="I39" i="2"/>
  <c r="I386" i="5"/>
  <c r="I916" i="5"/>
  <c r="I899" i="5"/>
  <c r="G32" i="2"/>
  <c r="I275" i="5"/>
  <c r="I599" i="5"/>
  <c r="H68" i="5"/>
  <c r="I461" i="5"/>
  <c r="I541" i="5"/>
  <c r="C12" i="5"/>
  <c r="I234" i="5"/>
  <c r="I891" i="5"/>
  <c r="H72" i="2"/>
  <c r="I849" i="5"/>
  <c r="I627" i="5"/>
  <c r="I639" i="5"/>
  <c r="I829" i="5"/>
  <c r="I350" i="5"/>
  <c r="I197" i="5"/>
  <c r="I564" i="5"/>
  <c r="I298" i="5"/>
  <c r="H89" i="2"/>
  <c r="G56" i="2"/>
  <c r="G93" i="2"/>
  <c r="H6" i="2"/>
  <c r="I78" i="2"/>
  <c r="I288" i="5"/>
  <c r="I867" i="5"/>
  <c r="I992" i="5"/>
  <c r="I43" i="5"/>
  <c r="H91" i="5"/>
  <c r="I5" i="2"/>
  <c r="G60" i="2"/>
  <c r="I272" i="5"/>
  <c r="I337" i="5"/>
  <c r="I978" i="5"/>
  <c r="C38" i="5"/>
  <c r="H31" i="2"/>
  <c r="H79" i="2"/>
  <c r="C30" i="5"/>
  <c r="C75" i="5"/>
  <c r="I376" i="5"/>
  <c r="I906" i="5"/>
  <c r="P10" i="2"/>
  <c r="I918" i="5"/>
  <c r="I471" i="5"/>
  <c r="I95" i="5"/>
  <c r="I973" i="5"/>
  <c r="I755" i="5"/>
  <c r="H52" i="2"/>
  <c r="D58" i="5"/>
  <c r="I946" i="5"/>
  <c r="P234" i="2"/>
  <c r="I502" i="5"/>
  <c r="P345" i="2"/>
  <c r="R58" i="2"/>
  <c r="I869" i="5"/>
  <c r="I726" i="5"/>
  <c r="I861" i="5"/>
  <c r="I551" i="5"/>
  <c r="G82" i="2"/>
  <c r="I559" i="5"/>
  <c r="I550" i="5"/>
  <c r="I876" i="5"/>
  <c r="I32" i="2"/>
  <c r="I32" i="5"/>
  <c r="D68" i="5"/>
  <c r="H29" i="2"/>
  <c r="I391" i="5"/>
  <c r="I484" i="5"/>
  <c r="H12" i="5"/>
  <c r="G23" i="2"/>
  <c r="H87" i="2"/>
  <c r="I322" i="5"/>
  <c r="I179" i="5"/>
  <c r="H51" i="2"/>
  <c r="I56" i="2"/>
  <c r="I582" i="5"/>
  <c r="I760" i="5"/>
  <c r="I93" i="2"/>
  <c r="H22" i="2"/>
  <c r="G6" i="2"/>
  <c r="H20" i="2"/>
  <c r="G78" i="2"/>
  <c r="H45" i="2"/>
  <c r="I979" i="5"/>
  <c r="I472" i="5"/>
  <c r="R60" i="2"/>
  <c r="I887" i="5"/>
  <c r="I539" i="5"/>
  <c r="I661" i="5"/>
  <c r="I448" i="5"/>
  <c r="H41" i="2"/>
  <c r="I135" i="5"/>
  <c r="I761" i="5"/>
  <c r="I222" i="5"/>
  <c r="I231" i="5"/>
  <c r="I854" i="5"/>
  <c r="I628" i="5"/>
  <c r="G31" i="2"/>
  <c r="I793" i="5"/>
  <c r="I931" i="5"/>
  <c r="G79" i="2"/>
  <c r="I575" i="5"/>
  <c r="I938" i="5"/>
  <c r="I216" i="5"/>
  <c r="C83" i="5"/>
  <c r="C6" i="5"/>
  <c r="C28" i="5"/>
  <c r="C54" i="5"/>
  <c r="C24" i="5"/>
  <c r="I981" i="5"/>
  <c r="P946" i="2"/>
  <c r="Q10" i="2"/>
  <c r="H71" i="5"/>
  <c r="I317" i="5"/>
  <c r="I52" i="2"/>
  <c r="P194" i="2"/>
  <c r="I116" i="5"/>
  <c r="I105" i="5"/>
  <c r="I214" i="5"/>
  <c r="I70" i="5"/>
  <c r="I952" i="5"/>
  <c r="P360" i="2"/>
  <c r="P309" i="2"/>
  <c r="I665" i="5"/>
  <c r="P869" i="2"/>
  <c r="P592" i="2"/>
  <c r="I58" i="2"/>
  <c r="I520" i="5"/>
  <c r="I441" i="5"/>
  <c r="I292" i="5"/>
  <c r="I658" i="5"/>
  <c r="I74" i="5"/>
  <c r="I800" i="5"/>
  <c r="C32" i="5"/>
  <c r="I29" i="2"/>
  <c r="I773" i="5"/>
  <c r="H84" i="2"/>
  <c r="I23" i="2"/>
  <c r="I87" i="2"/>
  <c r="I344" i="5"/>
  <c r="I409" i="5"/>
  <c r="I51" i="2"/>
  <c r="I966" i="5"/>
  <c r="I548" i="5"/>
  <c r="H75" i="2"/>
  <c r="I620" i="5"/>
  <c r="I22" i="2"/>
  <c r="H64" i="2"/>
  <c r="R6" i="2"/>
  <c r="I45" i="2"/>
  <c r="I468" i="5"/>
  <c r="I218" i="5"/>
  <c r="H28" i="2"/>
  <c r="D43" i="5"/>
  <c r="I556" i="5"/>
  <c r="I260" i="5"/>
  <c r="I572" i="5"/>
  <c r="I605" i="5"/>
  <c r="I60" i="2"/>
  <c r="I801" i="5"/>
  <c r="I41" i="2"/>
  <c r="I467" i="5"/>
  <c r="I478" i="5"/>
  <c r="I684" i="5"/>
  <c r="I783" i="5"/>
  <c r="I323" i="5"/>
  <c r="I334" i="5"/>
  <c r="I507" i="5"/>
  <c r="I87" i="5"/>
  <c r="I31" i="2"/>
  <c r="I622" i="5"/>
  <c r="I788" i="5"/>
  <c r="I928" i="5"/>
  <c r="I954" i="5"/>
  <c r="I711" i="5"/>
  <c r="H91" i="2"/>
  <c r="G91" i="2" s="1"/>
  <c r="I187" i="5"/>
  <c r="H87" i="5"/>
  <c r="I141" i="5"/>
  <c r="I929" i="5"/>
  <c r="I781" i="5"/>
  <c r="C36" i="5"/>
  <c r="C62" i="5"/>
  <c r="C76" i="5"/>
  <c r="C89" i="5"/>
  <c r="C33" i="5"/>
  <c r="C37" i="5"/>
  <c r="I258" i="5"/>
  <c r="I646" i="5"/>
  <c r="C71" i="5"/>
  <c r="D95" i="5"/>
  <c r="I230" i="5"/>
  <c r="I505" i="5"/>
  <c r="I990" i="5"/>
  <c r="I888" i="5"/>
  <c r="I676" i="5"/>
  <c r="H70" i="5"/>
  <c r="P479" i="2"/>
  <c r="P235" i="2"/>
  <c r="I382" i="5"/>
  <c r="H26" i="2"/>
  <c r="I437" i="5"/>
  <c r="P225" i="2"/>
  <c r="I633" i="5"/>
  <c r="I189" i="5"/>
  <c r="I494" i="5"/>
  <c r="I163" i="5"/>
  <c r="I318" i="5"/>
  <c r="I913" i="5"/>
  <c r="I915" i="5"/>
  <c r="I339" i="5"/>
  <c r="I94" i="5"/>
  <c r="I282" i="5"/>
  <c r="I246" i="5"/>
  <c r="D74" i="5"/>
  <c r="H32" i="5"/>
  <c r="H50" i="2"/>
  <c r="H68" i="2"/>
  <c r="G29" i="2"/>
  <c r="G87" i="2"/>
  <c r="I440" i="5"/>
  <c r="G51" i="2"/>
  <c r="I588" i="5"/>
  <c r="I845" i="5"/>
  <c r="I307" i="5"/>
  <c r="I780" i="5"/>
  <c r="I64" i="2"/>
  <c r="I184" i="5"/>
  <c r="I6" i="2"/>
  <c r="G20" i="2"/>
  <c r="I958" i="5"/>
  <c r="H25" i="2"/>
  <c r="I717" i="5"/>
  <c r="G28" i="2"/>
  <c r="H43" i="5"/>
  <c r="I315" i="5"/>
  <c r="I540" i="5"/>
  <c r="I482" i="5"/>
  <c r="I759" i="5"/>
  <c r="I745" i="5"/>
  <c r="I557" i="5"/>
  <c r="G41" i="2"/>
  <c r="H95" i="2"/>
  <c r="C34" i="5"/>
  <c r="C42" i="5"/>
  <c r="C84" i="5"/>
  <c r="C96" i="5"/>
  <c r="I212" i="5"/>
  <c r="H59" i="2"/>
  <c r="I811" i="5"/>
  <c r="I824" i="5"/>
  <c r="I678" i="5"/>
  <c r="I11" i="5"/>
  <c r="H95" i="5"/>
  <c r="I779" i="5"/>
  <c r="P910" i="2"/>
  <c r="P614" i="2"/>
  <c r="C70" i="5"/>
  <c r="I804" i="5"/>
  <c r="G26" i="2"/>
  <c r="P866" i="2"/>
  <c r="I380" i="5"/>
  <c r="P212" i="2"/>
  <c r="I718" i="5"/>
  <c r="I565" i="5"/>
  <c r="I679" i="5"/>
  <c r="I566" i="5"/>
  <c r="I294" i="5"/>
  <c r="I264" i="5"/>
  <c r="C74" i="5"/>
  <c r="D32" i="5"/>
  <c r="I252" i="5"/>
  <c r="I583" i="5"/>
  <c r="G50" i="2"/>
  <c r="G68" i="2"/>
  <c r="I842" i="5"/>
  <c r="I901" i="5"/>
  <c r="I950" i="5"/>
  <c r="I943" i="5"/>
  <c r="I267" i="5"/>
  <c r="I932" i="5"/>
  <c r="I826" i="5"/>
  <c r="I359" i="5"/>
  <c r="I538" i="5"/>
  <c r="I414" i="5"/>
  <c r="H38" i="2"/>
  <c r="H49" i="2"/>
  <c r="I949" i="5"/>
  <c r="H17" i="2"/>
  <c r="I714" i="5"/>
  <c r="I852" i="5"/>
  <c r="I405" i="5"/>
  <c r="I20" i="2"/>
  <c r="G45" i="2"/>
  <c r="I94" i="2"/>
  <c r="I25" i="2"/>
  <c r="I387" i="5"/>
  <c r="R28" i="2"/>
  <c r="I602" i="5"/>
  <c r="I777" i="5"/>
  <c r="I529" i="5"/>
  <c r="G95" i="2"/>
  <c r="H63" i="2"/>
  <c r="H48" i="2"/>
  <c r="I170" i="5"/>
  <c r="R91" i="2"/>
  <c r="I578" i="5"/>
  <c r="C87" i="5"/>
  <c r="I903" i="5"/>
  <c r="H40" i="2"/>
  <c r="I286" i="5"/>
  <c r="I782" i="5"/>
  <c r="I728" i="5"/>
  <c r="C64" i="5"/>
  <c r="C14" i="5"/>
  <c r="C85" i="5"/>
  <c r="C44" i="5"/>
  <c r="H77" i="5"/>
  <c r="I975" i="5"/>
  <c r="I638" i="5"/>
  <c r="I251" i="5"/>
  <c r="D11" i="5"/>
  <c r="I590" i="5"/>
  <c r="I416" i="5"/>
  <c r="I143" i="5"/>
  <c r="I115" i="5"/>
  <c r="D70" i="5"/>
  <c r="I78" i="5"/>
  <c r="I26" i="2"/>
  <c r="I892" i="5"/>
  <c r="P909" i="2"/>
  <c r="I895" i="5"/>
  <c r="I53" i="5"/>
  <c r="I648" i="5"/>
  <c r="I902" i="5"/>
  <c r="I636" i="5"/>
  <c r="I947" i="5"/>
  <c r="I552" i="5"/>
  <c r="I843" i="5"/>
  <c r="I296" i="5"/>
  <c r="I730" i="5"/>
  <c r="I581" i="5"/>
  <c r="H94" i="5"/>
  <c r="H74" i="5"/>
  <c r="H8" i="2"/>
  <c r="I331" i="5"/>
  <c r="I545" i="5"/>
  <c r="I571" i="5"/>
  <c r="I503" i="5"/>
  <c r="I68" i="2"/>
  <c r="I452" i="5"/>
  <c r="I338" i="5"/>
  <c r="I640" i="5"/>
  <c r="H30" i="2"/>
  <c r="I870" i="5"/>
  <c r="I101" i="5"/>
  <c r="H76" i="2"/>
  <c r="G90" i="2"/>
  <c r="I291" i="5"/>
  <c r="I896" i="5"/>
  <c r="G38" i="2"/>
  <c r="G17" i="2"/>
  <c r="I725" i="5"/>
  <c r="I925" i="5"/>
  <c r="H61" i="2"/>
  <c r="G25" i="2"/>
  <c r="I28" i="2"/>
  <c r="I473" i="5"/>
  <c r="I447" i="5"/>
  <c r="I91" i="5"/>
  <c r="H97" i="2"/>
  <c r="I838" i="5"/>
  <c r="I95" i="2"/>
  <c r="I63" i="2"/>
  <c r="G48" i="2"/>
  <c r="I412" i="5"/>
  <c r="I91" i="2"/>
  <c r="I713" i="5"/>
  <c r="D87" i="5"/>
  <c r="I40" i="2"/>
  <c r="I38" i="5"/>
  <c r="I741" i="5"/>
  <c r="I673" i="5"/>
  <c r="D38" i="5"/>
  <c r="I549" i="5"/>
  <c r="C69" i="5"/>
  <c r="C10" i="5"/>
  <c r="C59" i="5"/>
  <c r="C18" i="5"/>
  <c r="I60" i="5"/>
  <c r="P208" i="2"/>
  <c r="P874" i="2"/>
  <c r="Q91" i="2"/>
  <c r="H11" i="5"/>
  <c r="I674" i="5"/>
  <c r="P808" i="2"/>
  <c r="I784" i="5"/>
  <c r="H37" i="2"/>
  <c r="I58" i="5"/>
  <c r="P774" i="2"/>
  <c r="I879" i="5"/>
  <c r="I273" i="5"/>
  <c r="D53" i="5"/>
  <c r="I823" i="5"/>
  <c r="I366" i="5"/>
  <c r="I112" i="5"/>
  <c r="I701" i="5"/>
  <c r="G92" i="2"/>
  <c r="P159" i="2"/>
  <c r="I941" i="5"/>
  <c r="I688" i="5"/>
  <c r="I762" i="5"/>
  <c r="I311" i="5"/>
  <c r="I910" i="5"/>
  <c r="I789" i="5"/>
  <c r="D94" i="5"/>
  <c r="I456" i="5"/>
  <c r="G39" i="2"/>
  <c r="I444" i="5"/>
  <c r="I508" i="5"/>
  <c r="G8" i="2"/>
  <c r="H18" i="2"/>
  <c r="I269" i="5"/>
  <c r="H86" i="2"/>
  <c r="I417" i="5"/>
  <c r="I481" i="5"/>
  <c r="I965" i="5"/>
  <c r="I68" i="5"/>
  <c r="I12" i="5"/>
  <c r="I72" i="2"/>
  <c r="H47" i="2"/>
  <c r="I30" i="2"/>
  <c r="I962" i="5"/>
  <c r="I76" i="2"/>
  <c r="I90" i="2"/>
  <c r="I373" i="5"/>
  <c r="I743" i="5"/>
  <c r="I38" i="2"/>
  <c r="G49" i="2"/>
  <c r="G89" i="2"/>
  <c r="I17" i="2"/>
  <c r="G94" i="2"/>
  <c r="I764" i="5"/>
  <c r="I404" i="5"/>
  <c r="I953" i="5"/>
  <c r="I525" i="5"/>
  <c r="C91" i="5"/>
  <c r="G97" i="2"/>
  <c r="G5" i="2"/>
  <c r="I527" i="5"/>
  <c r="H69" i="2"/>
  <c r="I766" i="5"/>
  <c r="I393" i="5"/>
  <c r="I719" i="5"/>
  <c r="I48" i="2"/>
  <c r="I151" i="5"/>
  <c r="I890" i="5"/>
  <c r="H57" i="2"/>
  <c r="G40" i="2"/>
  <c r="H38" i="5"/>
  <c r="I710" i="5"/>
  <c r="I858" i="5"/>
  <c r="I57" i="2"/>
  <c r="I523" i="5"/>
  <c r="I860" i="5"/>
  <c r="I79" i="2"/>
  <c r="H15" i="2"/>
  <c r="H21" i="2"/>
  <c r="H24" i="2"/>
  <c r="C94" i="5"/>
  <c r="C43" i="5"/>
  <c r="C95" i="5"/>
  <c r="C78" i="5"/>
  <c r="I83" i="2"/>
  <c r="I53" i="2"/>
  <c r="I80" i="2"/>
  <c r="G80" i="2"/>
  <c r="I74" i="2"/>
  <c r="R74" i="2"/>
  <c r="G54" i="2"/>
  <c r="I54" i="2"/>
  <c r="G88" i="2"/>
  <c r="I88" i="2"/>
  <c r="I16" i="2"/>
  <c r="G14" i="2"/>
  <c r="I35" i="2"/>
  <c r="I85" i="2"/>
  <c r="G12" i="2"/>
  <c r="G34" i="2"/>
  <c r="G2" i="2"/>
  <c r="I2" i="2"/>
  <c r="I44" i="2"/>
  <c r="G33" i="2"/>
  <c r="I33" i="2"/>
  <c r="G43" i="2"/>
  <c r="I43" i="2"/>
  <c r="I77" i="2"/>
  <c r="R9" i="2"/>
  <c r="I9" i="2"/>
  <c r="G9" i="2"/>
  <c r="R7" i="2"/>
  <c r="G7" i="2"/>
  <c r="I7" i="2"/>
  <c r="G62" i="2"/>
  <c r="I62" i="2"/>
  <c r="I19" i="2"/>
  <c r="G19" i="2"/>
  <c r="I66" i="2"/>
  <c r="I82" i="2"/>
  <c r="G72" i="2"/>
  <c r="I89" i="2"/>
  <c r="G52" i="2"/>
  <c r="G22" i="2"/>
  <c r="I84" i="2"/>
  <c r="G84" i="2"/>
  <c r="I75" i="2"/>
  <c r="G75" i="2"/>
  <c r="G64" i="2"/>
  <c r="R64" i="2"/>
  <c r="I50" i="2"/>
  <c r="I59" i="2"/>
  <c r="G59" i="2"/>
  <c r="I49" i="2"/>
  <c r="G63" i="2"/>
  <c r="I8" i="2"/>
  <c r="R8" i="2"/>
  <c r="R30" i="2"/>
  <c r="G30" i="2"/>
  <c r="G76" i="2"/>
  <c r="I61" i="2"/>
  <c r="G61" i="2"/>
  <c r="I97" i="2"/>
  <c r="I37" i="2"/>
  <c r="G37" i="2"/>
  <c r="I18" i="2"/>
  <c r="R18" i="2"/>
  <c r="G18" i="2"/>
  <c r="I86" i="2"/>
  <c r="G86" i="2"/>
  <c r="G47" i="2"/>
  <c r="I47" i="2"/>
  <c r="R47" i="2"/>
  <c r="I69" i="2"/>
  <c r="G69" i="2"/>
  <c r="G57" i="2"/>
  <c r="G15" i="2"/>
  <c r="I15" i="2"/>
  <c r="G21" i="2"/>
  <c r="R21" i="2"/>
  <c r="I21" i="2"/>
  <c r="I24" i="2"/>
  <c r="G24" i="2"/>
  <c r="M860" i="5" l="1"/>
  <c r="M523" i="5"/>
  <c r="M858" i="5"/>
  <c r="M710" i="5"/>
  <c r="M890" i="5"/>
  <c r="M151" i="5"/>
  <c r="M719" i="5"/>
  <c r="M393" i="5"/>
  <c r="M766" i="5"/>
  <c r="M527" i="5"/>
  <c r="M525" i="5"/>
  <c r="M953" i="5"/>
  <c r="M404" i="5"/>
  <c r="M764" i="5"/>
  <c r="M743" i="5"/>
  <c r="M373" i="5"/>
  <c r="M962" i="5"/>
  <c r="M12" i="5"/>
  <c r="M68" i="5"/>
  <c r="M965" i="5"/>
  <c r="M481" i="5"/>
  <c r="M417" i="5"/>
  <c r="M269" i="5"/>
  <c r="M508" i="5"/>
  <c r="M444" i="5"/>
  <c r="M456" i="5"/>
  <c r="M789" i="5"/>
  <c r="M910" i="5"/>
  <c r="M311" i="5"/>
  <c r="M762" i="5"/>
  <c r="M688" i="5"/>
  <c r="M941" i="5"/>
  <c r="M701" i="5"/>
  <c r="M112" i="5"/>
  <c r="M366" i="5"/>
  <c r="M823" i="5"/>
  <c r="M273" i="5"/>
  <c r="M879" i="5"/>
  <c r="M58" i="5"/>
  <c r="M784" i="5"/>
  <c r="M674" i="5"/>
  <c r="M60" i="5"/>
  <c r="M549" i="5"/>
  <c r="M673" i="5"/>
  <c r="M741" i="5"/>
  <c r="M38" i="5"/>
  <c r="M713" i="5"/>
  <c r="M412" i="5"/>
  <c r="M838" i="5"/>
  <c r="M91" i="5"/>
  <c r="M447" i="5"/>
  <c r="M473" i="5"/>
  <c r="M925" i="5"/>
  <c r="M725" i="5"/>
  <c r="M896" i="5"/>
  <c r="M291" i="5"/>
  <c r="M101" i="5"/>
  <c r="M870" i="5"/>
  <c r="M640" i="5"/>
  <c r="M338" i="5"/>
  <c r="M452" i="5"/>
  <c r="M503" i="5"/>
  <c r="M571" i="5"/>
  <c r="M545" i="5"/>
  <c r="M331" i="5"/>
  <c r="M581" i="5"/>
  <c r="M730" i="5"/>
  <c r="M296" i="5"/>
  <c r="M843" i="5"/>
  <c r="M552" i="5"/>
  <c r="M947" i="5"/>
  <c r="M636" i="5"/>
  <c r="M902" i="5"/>
  <c r="M648" i="5"/>
  <c r="M53" i="5"/>
  <c r="M895" i="5"/>
  <c r="M892" i="5"/>
  <c r="M78" i="5"/>
  <c r="M115" i="5"/>
  <c r="M143" i="5"/>
  <c r="M416" i="5"/>
  <c r="M590" i="5"/>
  <c r="M251" i="5"/>
  <c r="M638" i="5"/>
  <c r="M975" i="5"/>
  <c r="M728" i="5"/>
  <c r="M782" i="5"/>
  <c r="M286" i="5"/>
  <c r="M903" i="5"/>
  <c r="M578" i="5"/>
  <c r="M170" i="5"/>
  <c r="M529" i="5"/>
  <c r="M777" i="5"/>
  <c r="M602" i="5"/>
  <c r="M387" i="5"/>
  <c r="M405" i="5"/>
  <c r="M852" i="5"/>
  <c r="M714" i="5"/>
  <c r="M949" i="5"/>
  <c r="M414" i="5"/>
  <c r="M538" i="5"/>
  <c r="M359" i="5"/>
  <c r="M826" i="5"/>
  <c r="M932" i="5"/>
  <c r="M267" i="5"/>
  <c r="M943" i="5"/>
  <c r="M950" i="5"/>
  <c r="M901" i="5"/>
  <c r="M842" i="5"/>
  <c r="M583" i="5"/>
  <c r="M252" i="5"/>
  <c r="M264" i="5"/>
  <c r="M294" i="5"/>
  <c r="M566" i="5"/>
  <c r="M679" i="5"/>
  <c r="M565" i="5"/>
  <c r="M718" i="5"/>
  <c r="M380" i="5"/>
  <c r="M804" i="5"/>
  <c r="M779" i="5"/>
  <c r="M11" i="5"/>
  <c r="M678" i="5"/>
  <c r="M824" i="5"/>
  <c r="M811" i="5"/>
  <c r="M212" i="5"/>
  <c r="M557" i="5"/>
  <c r="M745" i="5"/>
  <c r="M759" i="5"/>
  <c r="M482" i="5"/>
  <c r="M540" i="5"/>
  <c r="M315" i="5"/>
  <c r="M717" i="5"/>
  <c r="M958" i="5"/>
  <c r="M184" i="5"/>
  <c r="M780" i="5"/>
  <c r="M307" i="5"/>
  <c r="M845" i="5"/>
  <c r="M588" i="5"/>
  <c r="M440" i="5"/>
  <c r="M246" i="5"/>
  <c r="M282" i="5"/>
  <c r="M94" i="5"/>
  <c r="M339" i="5"/>
  <c r="M915" i="5"/>
  <c r="M913" i="5"/>
  <c r="M318" i="5"/>
  <c r="M163" i="5"/>
  <c r="M494" i="5"/>
  <c r="M189" i="5"/>
  <c r="M633" i="5"/>
  <c r="M437" i="5"/>
  <c r="M382" i="5"/>
  <c r="M676" i="5"/>
  <c r="M888" i="5"/>
  <c r="M990" i="5"/>
  <c r="M505" i="5"/>
  <c r="M230" i="5"/>
  <c r="M646" i="5"/>
  <c r="M258" i="5"/>
  <c r="M781" i="5"/>
  <c r="M929" i="5"/>
  <c r="M141" i="5"/>
  <c r="M187" i="5"/>
  <c r="M711" i="5"/>
  <c r="M954" i="5"/>
  <c r="M928" i="5"/>
  <c r="M788" i="5"/>
  <c r="M622" i="5"/>
  <c r="M87" i="5"/>
  <c r="M507" i="5"/>
  <c r="M334" i="5"/>
  <c r="M323" i="5"/>
  <c r="M783" i="5"/>
  <c r="M684" i="5"/>
  <c r="M478" i="5"/>
  <c r="M467" i="5"/>
  <c r="M801" i="5"/>
  <c r="M605" i="5"/>
  <c r="M572" i="5"/>
  <c r="M260" i="5"/>
  <c r="M556" i="5"/>
  <c r="M218" i="5"/>
  <c r="M468" i="5"/>
  <c r="M620" i="5"/>
  <c r="M548" i="5"/>
  <c r="M966" i="5"/>
  <c r="M409" i="5"/>
  <c r="M344" i="5"/>
  <c r="M773" i="5"/>
  <c r="M800" i="5"/>
  <c r="M74" i="5"/>
  <c r="M658" i="5"/>
  <c r="M292" i="5"/>
  <c r="M441" i="5"/>
  <c r="M520" i="5"/>
  <c r="M665" i="5"/>
  <c r="M952" i="5"/>
  <c r="M70" i="5"/>
  <c r="M214" i="5"/>
  <c r="M105" i="5"/>
  <c r="M116" i="5"/>
  <c r="M317" i="5"/>
  <c r="M981" i="5"/>
  <c r="M216" i="5"/>
  <c r="M938" i="5"/>
  <c r="M575" i="5"/>
  <c r="M931" i="5"/>
  <c r="M793" i="5"/>
  <c r="M628" i="5"/>
  <c r="M854" i="5"/>
  <c r="M231" i="5"/>
  <c r="M222" i="5"/>
  <c r="M761" i="5"/>
  <c r="M135" i="5"/>
  <c r="M448" i="5"/>
  <c r="M661" i="5"/>
  <c r="M539" i="5"/>
  <c r="M887" i="5"/>
  <c r="M472" i="5"/>
  <c r="M979" i="5"/>
  <c r="M760" i="5"/>
  <c r="M582" i="5"/>
  <c r="M179" i="5"/>
  <c r="M322" i="5"/>
  <c r="M484" i="5"/>
  <c r="M391" i="5"/>
  <c r="M32" i="5"/>
  <c r="M876" i="5"/>
  <c r="M550" i="5"/>
  <c r="M559" i="5"/>
  <c r="M551" i="5"/>
  <c r="M861" i="5"/>
  <c r="M726" i="5"/>
  <c r="M869" i="5"/>
  <c r="M502" i="5"/>
  <c r="M946" i="5"/>
  <c r="M755" i="5"/>
  <c r="M973" i="5"/>
  <c r="M95" i="5"/>
  <c r="M471" i="5"/>
  <c r="M918" i="5"/>
  <c r="M906" i="5"/>
  <c r="M376" i="5"/>
  <c r="M978" i="5"/>
  <c r="M337" i="5"/>
  <c r="M272" i="5"/>
  <c r="M43" i="5"/>
  <c r="M992" i="5"/>
  <c r="M867" i="5"/>
  <c r="M288" i="5"/>
  <c r="M298" i="5"/>
  <c r="M564" i="5"/>
  <c r="M197" i="5"/>
  <c r="M350" i="5"/>
  <c r="M829" i="5"/>
  <c r="M639" i="5"/>
  <c r="M627" i="5"/>
  <c r="M849" i="5"/>
  <c r="M891" i="5"/>
  <c r="M234" i="5"/>
  <c r="M541" i="5"/>
  <c r="M461" i="5"/>
  <c r="M599" i="5"/>
  <c r="M275" i="5"/>
  <c r="M899" i="5"/>
  <c r="M916" i="5"/>
  <c r="M386" i="5"/>
  <c r="M526" i="5"/>
  <c r="M988" i="5"/>
  <c r="M939" i="5"/>
  <c r="M857" i="5"/>
  <c r="M495" i="5"/>
  <c r="M864" i="5"/>
  <c r="M607" i="5"/>
  <c r="M106" i="5"/>
  <c r="M492" i="5"/>
  <c r="M408" i="5"/>
  <c r="M453" i="5"/>
  <c r="M641" i="5"/>
  <c r="M415" i="5"/>
  <c r="M802" i="5"/>
  <c r="M690" i="5"/>
  <c r="M878" i="5"/>
  <c r="M642" i="5"/>
  <c r="M919" i="5"/>
  <c r="M138" i="5"/>
  <c r="M283" i="5"/>
  <c r="M316" i="5"/>
  <c r="M136" i="5"/>
  <c r="M898" i="5"/>
  <c r="M199" i="5"/>
  <c r="M709" i="5"/>
  <c r="M355" i="5"/>
  <c r="M750" i="5"/>
  <c r="M369" i="5"/>
  <c r="M977" i="5"/>
  <c r="M907" i="5"/>
  <c r="M542" i="5"/>
  <c r="M828" i="5"/>
  <c r="M753" i="5"/>
  <c r="M506" i="5"/>
  <c r="M836" i="5"/>
  <c r="M790" i="5"/>
  <c r="M731" i="5"/>
  <c r="M806" i="5"/>
  <c r="M951" i="5"/>
  <c r="M886" i="5"/>
  <c r="M814" i="5"/>
  <c r="M851" i="5"/>
  <c r="M436" i="5"/>
  <c r="M598" i="5"/>
  <c r="M504" i="5"/>
  <c r="M289" i="5"/>
  <c r="M668" i="5"/>
  <c r="M420" i="5"/>
  <c r="M309" i="5"/>
  <c r="M937" i="5"/>
  <c r="M247" i="5"/>
  <c r="M604" i="5"/>
  <c r="M722" i="5"/>
  <c r="M923" i="5"/>
  <c r="M524" i="5"/>
  <c r="M423" i="5"/>
  <c r="M651" i="5"/>
  <c r="M996" i="5"/>
  <c r="M172" i="5"/>
  <c r="M749" i="5"/>
  <c r="M421" i="5"/>
  <c r="M921" i="5"/>
  <c r="M972" i="5"/>
  <c r="M969" i="5"/>
  <c r="M113" i="5"/>
  <c r="M623" i="5"/>
  <c r="M396" i="5"/>
  <c r="M580" i="5"/>
  <c r="M576" i="5"/>
  <c r="M768" i="5"/>
  <c r="M933" i="5"/>
  <c r="M114" i="5"/>
  <c r="M220" i="5"/>
  <c r="M682" i="5"/>
  <c r="M577" i="5"/>
  <c r="M637" i="5"/>
  <c r="M606" i="5"/>
  <c r="M945" i="5"/>
  <c r="M40" i="5"/>
  <c r="M229" i="5"/>
  <c r="M816" i="5"/>
  <c r="M656" i="5"/>
  <c r="M794" i="5"/>
  <c r="M188" i="5"/>
  <c r="M265" i="5"/>
  <c r="M79" i="5"/>
  <c r="M989" i="5"/>
  <c r="M290" i="5"/>
  <c r="M708" i="5"/>
  <c r="M271" i="5"/>
  <c r="M259" i="5"/>
  <c r="M543" i="5"/>
  <c r="M200" i="5"/>
  <c r="M48" i="5"/>
  <c r="M862" i="5"/>
  <c r="M647" i="5"/>
  <c r="M971" i="5"/>
  <c r="M385" i="5"/>
  <c r="M157" i="5"/>
  <c r="M596" i="5"/>
  <c r="M900" i="5"/>
  <c r="M611" i="5"/>
  <c r="M160" i="5"/>
  <c r="M19" i="5"/>
  <c r="M23" i="5"/>
  <c r="M911" i="5"/>
  <c r="M924" i="5"/>
  <c r="M67" i="5"/>
  <c r="M31" i="5"/>
  <c r="M235" i="5"/>
  <c r="M493" i="5"/>
  <c r="M263" i="5"/>
  <c r="M29" i="5"/>
  <c r="M166" i="5"/>
  <c r="M207" i="5"/>
  <c r="M392" i="5"/>
  <c r="M624" i="5"/>
  <c r="M570" i="5"/>
  <c r="M407" i="5"/>
  <c r="M534" i="5"/>
  <c r="M547" i="5"/>
  <c r="M634" i="5"/>
  <c r="M278" i="5"/>
  <c r="M254" i="5"/>
  <c r="M874" i="5"/>
  <c r="M629" i="5"/>
  <c r="M61" i="5"/>
  <c r="M926" i="5"/>
  <c r="M1000" i="5"/>
  <c r="M15" i="5"/>
  <c r="M126" i="5"/>
  <c r="M183" i="5"/>
  <c r="M825" i="5"/>
  <c r="M614" i="5"/>
  <c r="M356" i="5"/>
  <c r="M670" i="5"/>
  <c r="M250" i="5"/>
  <c r="M418" i="5"/>
  <c r="M830" i="5"/>
  <c r="M792" i="5"/>
  <c r="M531" i="5"/>
  <c r="M846" i="5"/>
  <c r="M39" i="5"/>
  <c r="M124" i="5"/>
  <c r="M123" i="5"/>
  <c r="M449" i="5"/>
  <c r="M205" i="5"/>
  <c r="M775" i="5"/>
  <c r="M671" i="5"/>
  <c r="M795" i="5"/>
  <c r="M82" i="5"/>
  <c r="M159" i="5"/>
  <c r="M103" i="5"/>
  <c r="M940" i="5"/>
  <c r="M666" i="5"/>
  <c r="M659" i="5"/>
  <c r="M702" i="5"/>
  <c r="M667" i="5"/>
  <c r="M26" i="5"/>
  <c r="M536" i="5"/>
  <c r="M748" i="5"/>
  <c r="M445" i="5"/>
  <c r="M305" i="5"/>
  <c r="M102" i="5"/>
  <c r="M515" i="5"/>
  <c r="M186" i="5"/>
  <c r="M238" i="5"/>
  <c r="M176" i="5"/>
  <c r="M681" i="5"/>
  <c r="M942" i="5"/>
  <c r="M483" i="5"/>
  <c r="M403" i="5"/>
  <c r="M984" i="5"/>
  <c r="M675" i="5"/>
  <c r="M689" i="5"/>
  <c r="M5" i="5"/>
  <c r="M723" i="5"/>
  <c r="M882" i="5"/>
  <c r="M455" i="5"/>
  <c r="M174" i="5"/>
  <c r="M276" i="5"/>
  <c r="M957" i="5"/>
  <c r="M262" i="5"/>
  <c r="M732" i="5"/>
  <c r="M73" i="5"/>
  <c r="M121" i="5"/>
  <c r="M587" i="5"/>
  <c r="M328" i="5"/>
  <c r="M333" i="5"/>
  <c r="M798" i="5"/>
  <c r="M371" i="5"/>
  <c r="M361" i="5"/>
  <c r="M474" i="5"/>
  <c r="M178" i="5"/>
  <c r="M374" i="5"/>
  <c r="M314" i="5"/>
  <c r="M736" i="5"/>
  <c r="M812" i="5"/>
  <c r="M770" i="5"/>
  <c r="M751" i="5"/>
  <c r="M426" i="5"/>
  <c r="M462" i="5"/>
  <c r="M88" i="5"/>
  <c r="M834" i="5"/>
  <c r="M378" i="5"/>
  <c r="M470" i="5"/>
  <c r="M522" i="5"/>
  <c r="M388" i="5"/>
  <c r="M257" i="5"/>
  <c r="M22" i="5"/>
  <c r="M687" i="5"/>
  <c r="M395" i="5"/>
  <c r="M30" i="5"/>
  <c r="M591" i="5"/>
  <c r="M72" i="5"/>
  <c r="M466" i="5"/>
  <c r="M685" i="5"/>
  <c r="M142" i="5"/>
  <c r="M643" i="5"/>
  <c r="M52" i="5"/>
  <c r="M694" i="5"/>
  <c r="M776" i="5"/>
  <c r="M203" i="5"/>
  <c r="M400" i="5"/>
  <c r="M546" i="5"/>
  <c r="M336" i="5"/>
  <c r="M431" i="5"/>
  <c r="M66" i="5"/>
  <c r="M285" i="5"/>
  <c r="M122" i="5"/>
  <c r="M146" i="5"/>
  <c r="M198" i="5"/>
  <c r="M866" i="5"/>
  <c r="M758" i="5"/>
  <c r="M202" i="5"/>
  <c r="M370" i="5"/>
  <c r="M459" i="5"/>
  <c r="M485" i="5"/>
  <c r="M752" i="5"/>
  <c r="M84" i="5"/>
  <c r="M326" i="5"/>
  <c r="M190" i="5"/>
  <c r="M528" i="5"/>
  <c r="M820" i="5"/>
  <c r="M120" i="5"/>
  <c r="M152" i="5"/>
  <c r="M883" i="5"/>
  <c r="M300" i="5"/>
  <c r="M196" i="5"/>
  <c r="M442" i="5"/>
  <c r="M663" i="5"/>
  <c r="M17" i="5"/>
  <c r="M586" i="5"/>
  <c r="M893" i="5"/>
  <c r="M706" i="5"/>
  <c r="M24" i="5"/>
  <c r="M434" i="5"/>
  <c r="M353" i="5"/>
  <c r="M236" i="5"/>
  <c r="M191" i="5"/>
  <c r="M450" i="5"/>
  <c r="M41" i="5"/>
  <c r="M818" i="5"/>
  <c r="M128" i="5"/>
  <c r="M490" i="5"/>
  <c r="M28" i="5"/>
  <c r="M401" i="5"/>
  <c r="M885" i="5"/>
  <c r="M835" i="5"/>
  <c r="M330" i="5"/>
  <c r="M117" i="5"/>
  <c r="M844" i="5"/>
  <c r="M480" i="5"/>
  <c r="M181" i="5"/>
  <c r="M59" i="5"/>
  <c r="M774" i="5"/>
  <c r="M664" i="5"/>
  <c r="M110" i="5"/>
  <c r="M16" i="5"/>
  <c r="M301" i="5"/>
  <c r="M239" i="5"/>
  <c r="M877" i="5"/>
  <c r="M375" i="5"/>
  <c r="M144" i="5"/>
  <c r="M558" i="5"/>
  <c r="M650" i="5"/>
  <c r="M655" i="5"/>
  <c r="M683" i="5"/>
  <c r="M51" i="5"/>
  <c r="M201" i="5"/>
  <c r="M195" i="5"/>
  <c r="M64" i="5"/>
  <c r="M93" i="5"/>
  <c r="M249" i="5"/>
  <c r="M537" i="5"/>
  <c r="M8" i="5"/>
  <c r="M127" i="5"/>
  <c r="M131" i="5"/>
  <c r="M594" i="5"/>
  <c r="M970" i="5"/>
  <c r="M180" i="5"/>
  <c r="M204" i="5"/>
  <c r="M232" i="5"/>
  <c r="M194" i="5"/>
  <c r="M134" i="5"/>
  <c r="M705" i="5"/>
  <c r="M747" i="5"/>
  <c r="M516" i="5"/>
  <c r="M757" i="5"/>
  <c r="M488" i="5"/>
  <c r="M813" i="5"/>
  <c r="M715" i="5"/>
  <c r="M96" i="5"/>
  <c r="M765" i="5"/>
  <c r="M335" i="5"/>
  <c r="M44" i="5"/>
  <c r="M563" i="5"/>
  <c r="M908" i="5"/>
  <c r="M439" i="5"/>
  <c r="M982" i="5"/>
  <c r="M75" i="5"/>
  <c r="M119" i="5"/>
  <c r="M721" i="5"/>
  <c r="M530" i="5"/>
  <c r="M914" i="5"/>
  <c r="M905" i="5"/>
  <c r="M261" i="5"/>
  <c r="M489" i="5"/>
  <c r="M573" i="5"/>
  <c r="M865" i="5"/>
  <c r="M600" i="5"/>
  <c r="M703" i="5"/>
  <c r="M85" i="5"/>
  <c r="M769" i="5"/>
  <c r="M855" i="5"/>
  <c r="M266" i="5"/>
  <c r="M428" i="5"/>
  <c r="M406" i="5"/>
  <c r="M819" i="5"/>
  <c r="M897" i="5"/>
  <c r="M306" i="5"/>
  <c r="M352" i="5"/>
  <c r="M209" i="5"/>
  <c r="M443" i="5"/>
  <c r="M255" i="5"/>
  <c r="M997" i="5"/>
  <c r="M104" i="5"/>
  <c r="M562" i="5"/>
  <c r="M438" i="5"/>
  <c r="M18" i="5"/>
  <c r="M287" i="5"/>
  <c r="M345" i="5"/>
  <c r="M109" i="5"/>
  <c r="M653" i="5"/>
  <c r="M983" i="5"/>
  <c r="M841" i="5"/>
  <c r="M155" i="5"/>
  <c r="M402" i="5"/>
  <c r="M993" i="5"/>
  <c r="M351" i="5"/>
  <c r="M934" i="5"/>
  <c r="M696" i="5"/>
  <c r="M6" i="5"/>
  <c r="M99" i="5"/>
  <c r="M720" i="5"/>
  <c r="M625" i="5"/>
  <c r="M308" i="5"/>
  <c r="M34" i="5"/>
  <c r="M832" i="5"/>
  <c r="M544" i="5"/>
  <c r="M10" i="5"/>
  <c r="M831" i="5"/>
  <c r="M76" i="5"/>
  <c r="M244" i="5"/>
  <c r="M150" i="5"/>
  <c r="M270" i="5"/>
  <c r="M118" i="5"/>
  <c r="M83" i="5"/>
  <c r="M894" i="5"/>
  <c r="M358" i="5"/>
  <c r="M630" i="5"/>
  <c r="M959" i="5"/>
  <c r="M872" i="5"/>
  <c r="M810" i="5"/>
  <c r="M518" i="5"/>
  <c r="M848" i="5"/>
  <c r="M686" i="5"/>
  <c r="M47" i="5"/>
  <c r="M177" i="5"/>
  <c r="M930" i="5"/>
  <c r="M657" i="5"/>
  <c r="M213" i="5"/>
  <c r="M944" i="5"/>
  <c r="M609" i="5"/>
  <c r="M125" i="5"/>
  <c r="M554" i="5"/>
  <c r="M853" i="5"/>
  <c r="M497" i="5"/>
  <c r="M419" i="5"/>
  <c r="M320" i="5"/>
  <c r="M917" i="5"/>
  <c r="M920" i="5"/>
  <c r="M327" i="5"/>
  <c r="M65" i="5"/>
  <c r="M313" i="5"/>
  <c r="M677" i="5"/>
  <c r="M513" i="5"/>
  <c r="M827" i="5"/>
  <c r="M631" i="5"/>
  <c r="M875" i="5"/>
  <c r="M740" i="5"/>
  <c r="M560" i="5"/>
  <c r="M859" i="5"/>
  <c r="M425" i="5"/>
  <c r="M457" i="5"/>
  <c r="M368" i="5"/>
  <c r="M615" i="5"/>
  <c r="M379" i="5"/>
  <c r="M791" i="5"/>
  <c r="M555" i="5"/>
  <c r="M603" i="5"/>
  <c r="M20" i="5"/>
  <c r="M974" i="5"/>
  <c r="M107" i="5"/>
  <c r="M42" i="5"/>
  <c r="M27" i="5"/>
  <c r="M567" i="5"/>
  <c r="M256" i="5"/>
  <c r="M509" i="5"/>
  <c r="M579" i="5"/>
  <c r="M927" i="5"/>
  <c r="M517" i="5"/>
  <c r="M226" i="5"/>
  <c r="M735" i="5"/>
  <c r="M786" i="5"/>
  <c r="M873" i="5"/>
  <c r="M312" i="5"/>
  <c r="M156" i="5"/>
  <c r="M746" i="5"/>
  <c r="M161" i="5"/>
  <c r="M980" i="5"/>
  <c r="M868" i="5"/>
  <c r="M154" i="5"/>
  <c r="M672" i="5"/>
  <c r="M299" i="5"/>
  <c r="M241" i="5"/>
  <c r="M787" i="5"/>
  <c r="M815" i="5"/>
  <c r="M342" i="5"/>
  <c r="M699" i="5"/>
  <c r="M139" i="5"/>
  <c r="M56" i="5"/>
  <c r="M619" i="5"/>
  <c r="M967" i="5"/>
  <c r="M803" i="5"/>
  <c r="M909" i="5"/>
  <c r="M225" i="5"/>
  <c r="M727" i="5"/>
  <c r="M210" i="5"/>
  <c r="M354" i="5"/>
  <c r="M165" i="5"/>
  <c r="M130" i="5"/>
  <c r="M662" i="5"/>
  <c r="M427" i="5"/>
  <c r="M98" i="5"/>
  <c r="M97" i="5"/>
  <c r="M397" i="5"/>
  <c r="M362" i="5"/>
  <c r="M991" i="5"/>
  <c r="M36" i="5"/>
  <c r="M71" i="5"/>
  <c r="M464" i="5"/>
  <c r="M998" i="5"/>
  <c r="M228" i="5"/>
  <c r="M77" i="5"/>
  <c r="M767" i="5"/>
  <c r="M704" i="5"/>
  <c r="M321" i="5"/>
  <c r="M691" i="5"/>
  <c r="M340" i="5"/>
  <c r="M469" i="5"/>
  <c r="M904" i="5"/>
  <c r="M224" i="5"/>
  <c r="M394" i="5"/>
  <c r="M277" i="5"/>
  <c r="M574" i="5"/>
  <c r="M985" i="5"/>
  <c r="M871" i="5"/>
  <c r="M182" i="5"/>
  <c r="M319" i="5"/>
  <c r="M219" i="5"/>
  <c r="M617" i="5"/>
  <c r="M347" i="5"/>
  <c r="M477" i="5"/>
  <c r="M424" i="5"/>
  <c r="M498" i="5"/>
  <c r="M700" i="5"/>
  <c r="M37" i="5"/>
  <c r="M491" i="5"/>
  <c r="M618" i="5"/>
  <c r="M697" i="5"/>
  <c r="M593" i="5"/>
  <c r="M7" i="5"/>
  <c r="M817" i="5"/>
  <c r="M553" i="5"/>
  <c r="M644" i="5"/>
  <c r="M840" i="5"/>
  <c r="M822" i="5"/>
  <c r="M960" i="5"/>
  <c r="M707" i="5"/>
  <c r="M592" i="5"/>
  <c r="M621" i="5"/>
  <c r="M519" i="5"/>
  <c r="M25" i="5"/>
  <c r="M248" i="5"/>
  <c r="M173" i="5"/>
  <c r="M35" i="5"/>
  <c r="M132" i="5"/>
  <c r="M221" i="5"/>
  <c r="M14" i="5"/>
  <c r="M451" i="5"/>
  <c r="M80" i="5"/>
  <c r="M169" i="5"/>
  <c r="M805" i="5"/>
  <c r="M4" i="5"/>
  <c r="M693" i="5"/>
  <c r="M568" i="5"/>
  <c r="M360" i="5"/>
  <c r="M584" i="5"/>
  <c r="M922" i="5"/>
  <c r="M956" i="5"/>
  <c r="M964" i="5"/>
  <c r="M175" i="5"/>
  <c r="M496" i="5"/>
  <c r="M535" i="5"/>
  <c r="M304" i="5"/>
  <c r="M734" i="5"/>
  <c r="M217" i="5"/>
  <c r="M237" i="5"/>
  <c r="M302" i="5"/>
  <c r="M796" i="5"/>
  <c r="M227" i="5"/>
  <c r="M390" i="5"/>
  <c r="M21" i="5"/>
  <c r="M654" i="5"/>
  <c r="M185" i="5"/>
  <c r="M729" i="5"/>
  <c r="M49" i="5"/>
  <c r="M850" i="5"/>
  <c r="M62" i="5"/>
  <c r="M280" i="5"/>
  <c r="M514" i="5"/>
  <c r="M976" i="5"/>
  <c r="M332" i="5"/>
  <c r="M612" i="5"/>
  <c r="M1001" i="5"/>
  <c r="M341" i="5"/>
  <c r="M501" i="5"/>
  <c r="M55" i="5"/>
  <c r="M357" i="5"/>
  <c r="M561" i="5"/>
  <c r="M809" i="5"/>
  <c r="M739" i="5"/>
  <c r="M532" i="5"/>
  <c r="M343" i="5"/>
  <c r="M754" i="5"/>
  <c r="M215" i="5"/>
  <c r="M363" i="5"/>
  <c r="M399" i="5"/>
  <c r="M281" i="5"/>
  <c r="M329" i="5"/>
  <c r="M460" i="5"/>
  <c r="M626" i="5"/>
  <c r="M279" i="5"/>
  <c r="M479" i="5"/>
  <c r="M140" i="5"/>
  <c r="M601" i="5"/>
  <c r="M912" i="5"/>
  <c r="M410" i="5"/>
  <c r="M111" i="5"/>
  <c r="M968" i="5"/>
  <c r="M863" i="5"/>
  <c r="M145" i="5"/>
  <c r="M660" i="5"/>
  <c r="M92" i="5"/>
  <c r="M54" i="5"/>
  <c r="M778" i="5"/>
  <c r="M422" i="5"/>
  <c r="M168" i="5"/>
  <c r="M413" i="5"/>
  <c r="M164" i="5"/>
  <c r="M785" i="5"/>
  <c r="M365" i="5"/>
  <c r="M936" i="5"/>
  <c r="M652" i="5"/>
  <c r="M807" i="5"/>
  <c r="M881" i="5"/>
  <c r="M733" i="5"/>
  <c r="M240" i="5"/>
  <c r="M429" i="5"/>
  <c r="M303" i="5"/>
  <c r="M284" i="5"/>
  <c r="M167" i="5"/>
  <c r="M46" i="5"/>
  <c r="M372" i="5"/>
  <c r="M533" i="5"/>
  <c r="M510" i="5"/>
  <c r="M50" i="5"/>
  <c r="M797" i="5"/>
  <c r="M500" i="5"/>
  <c r="M738" i="5"/>
  <c r="M955" i="5"/>
  <c r="M381" i="5"/>
  <c r="M206" i="5"/>
  <c r="M963" i="5"/>
  <c r="M348" i="5"/>
  <c r="M33" i="5"/>
  <c r="M162" i="5"/>
  <c r="M742" i="5"/>
  <c r="M100" i="5"/>
  <c r="M435" i="5"/>
  <c r="M129" i="5"/>
  <c r="M458" i="5"/>
  <c r="M475" i="5"/>
  <c r="M346" i="5"/>
  <c r="M695" i="5"/>
  <c r="M585" i="5"/>
  <c r="M192" i="5"/>
  <c r="M589" i="5"/>
  <c r="M297" i="5"/>
  <c r="M948" i="5"/>
  <c r="M383" i="5"/>
  <c r="M171" i="5"/>
  <c r="M310" i="5"/>
  <c r="M377" i="5"/>
  <c r="M799" i="5"/>
  <c r="M935" i="5"/>
  <c r="M325" i="5"/>
  <c r="M45" i="5"/>
  <c r="M108" i="5"/>
  <c r="M430" i="5"/>
  <c r="M632" i="5"/>
  <c r="M149" i="5"/>
  <c r="M398" i="5"/>
  <c r="M133" i="5"/>
  <c r="M465" i="5"/>
  <c r="M211" i="5"/>
  <c r="M569" i="5"/>
  <c r="M680" i="5"/>
  <c r="M986" i="5"/>
  <c r="M772" i="5"/>
  <c r="M737" i="5"/>
  <c r="M889" i="5"/>
  <c r="M463" i="5"/>
  <c r="M771" i="5"/>
  <c r="M512" i="5"/>
  <c r="M649" i="5"/>
  <c r="M193" i="5"/>
  <c r="M744" i="5"/>
  <c r="M880" i="5"/>
  <c r="M511" i="5"/>
  <c r="M499" i="5"/>
  <c r="M384" i="5"/>
  <c r="M486" i="5"/>
  <c r="M961" i="5"/>
  <c r="M994" i="5"/>
  <c r="M454" i="5"/>
  <c r="M837" i="5"/>
  <c r="M756" i="5"/>
  <c r="M433" i="5"/>
  <c r="M597" i="5"/>
  <c r="M3" i="5"/>
  <c r="M158" i="5"/>
  <c r="M716" i="5"/>
  <c r="M698" i="5"/>
  <c r="M610" i="5"/>
  <c r="M9" i="5"/>
  <c r="M833" i="5"/>
  <c r="M90" i="5"/>
  <c r="M856" i="5"/>
  <c r="M763" i="5"/>
  <c r="M208" i="5"/>
  <c r="M595" i="5"/>
  <c r="M137" i="5"/>
  <c r="M476" i="5"/>
  <c r="M432" i="5"/>
  <c r="M995" i="5"/>
  <c r="M245" i="5"/>
  <c r="M243" i="5"/>
  <c r="M613" i="5"/>
  <c r="M692" i="5"/>
  <c r="M389" i="5"/>
  <c r="M635" i="5"/>
  <c r="M487" i="5"/>
  <c r="M81" i="5"/>
  <c r="M446" i="5"/>
  <c r="M274" i="5"/>
  <c r="M268" i="5"/>
  <c r="M223" i="5"/>
  <c r="M608" i="5"/>
  <c r="M349" i="5"/>
  <c r="M999" i="5"/>
  <c r="M293" i="5"/>
  <c r="M63" i="5"/>
  <c r="M364" i="5"/>
  <c r="M233" i="5"/>
  <c r="M839" i="5"/>
  <c r="M669" i="5"/>
  <c r="M253" i="5"/>
  <c r="M148" i="5"/>
  <c r="M847" i="5"/>
  <c r="M89" i="5"/>
  <c r="M987" i="5"/>
  <c r="M13" i="5"/>
  <c r="M147" i="5"/>
  <c r="M645" i="5"/>
  <c r="M324" i="5"/>
  <c r="M808" i="5"/>
  <c r="M86" i="5"/>
  <c r="M884" i="5"/>
  <c r="M411" i="5"/>
  <c r="M69" i="5"/>
  <c r="M57" i="5"/>
  <c r="M521" i="5"/>
  <c r="M367" i="5"/>
  <c r="M295" i="5"/>
  <c r="M724" i="5"/>
  <c r="M821" i="5"/>
  <c r="M242" i="5"/>
  <c r="M153" i="5"/>
  <c r="M712" i="5"/>
  <c r="M616" i="5"/>
  <c r="R24" i="2"/>
  <c r="R76" i="2"/>
  <c r="R95" i="2"/>
  <c r="R45" i="2"/>
  <c r="R31" i="2"/>
  <c r="R56" i="2"/>
  <c r="R62" i="2"/>
  <c r="R44" i="2"/>
  <c r="R14" i="2"/>
  <c r="R42" i="2"/>
  <c r="R96" i="2"/>
  <c r="E858" i="5"/>
  <c r="E151" i="5"/>
  <c r="E393" i="5"/>
  <c r="F764" i="5"/>
  <c r="E373" i="5"/>
  <c r="E417" i="5"/>
  <c r="E508" i="5"/>
  <c r="F941" i="5"/>
  <c r="E366" i="5"/>
  <c r="E784" i="5"/>
  <c r="F549" i="5"/>
  <c r="E447" i="5"/>
  <c r="E925" i="5"/>
  <c r="F291" i="5"/>
  <c r="F452" i="5"/>
  <c r="F843" i="5"/>
  <c r="F636" i="5"/>
  <c r="F53" i="5"/>
  <c r="F892" i="5"/>
  <c r="F143" i="5"/>
  <c r="E975" i="5"/>
  <c r="E777" i="5"/>
  <c r="E405" i="5"/>
  <c r="E949" i="5"/>
  <c r="E538" i="5"/>
  <c r="E932" i="5"/>
  <c r="E718" i="5"/>
  <c r="E779" i="5"/>
  <c r="E824" i="5"/>
  <c r="F212" i="5"/>
  <c r="E958" i="5"/>
  <c r="F307" i="5"/>
  <c r="E440" i="5"/>
  <c r="E282" i="5"/>
  <c r="E915" i="5"/>
  <c r="E382" i="5"/>
  <c r="E990" i="5"/>
  <c r="F187" i="5"/>
  <c r="F954" i="5"/>
  <c r="E783" i="5"/>
  <c r="F467" i="5"/>
  <c r="E556" i="5"/>
  <c r="E620" i="5"/>
  <c r="F409" i="5"/>
  <c r="F520" i="5"/>
  <c r="F952" i="5"/>
  <c r="F105" i="5"/>
  <c r="F981" i="5"/>
  <c r="E761" i="5"/>
  <c r="E661" i="5"/>
  <c r="E472" i="5"/>
  <c r="F760" i="5"/>
  <c r="F322" i="5"/>
  <c r="F861" i="5"/>
  <c r="F471" i="5"/>
  <c r="E376" i="5"/>
  <c r="E337" i="5"/>
  <c r="E992" i="5"/>
  <c r="F639" i="5"/>
  <c r="F541" i="5"/>
  <c r="E275" i="5"/>
  <c r="F386" i="5"/>
  <c r="E988" i="5"/>
  <c r="F408" i="5"/>
  <c r="F919" i="5"/>
  <c r="E355" i="5"/>
  <c r="F977" i="5"/>
  <c r="E506" i="5"/>
  <c r="E731" i="5"/>
  <c r="E886" i="5"/>
  <c r="F851" i="5"/>
  <c r="F937" i="5"/>
  <c r="F722" i="5"/>
  <c r="E996" i="5"/>
  <c r="E421" i="5"/>
  <c r="E114" i="5"/>
  <c r="F682" i="5"/>
  <c r="F290" i="5"/>
  <c r="F271" i="5"/>
  <c r="E200" i="5"/>
  <c r="E647" i="5"/>
  <c r="F900" i="5"/>
  <c r="E19" i="5"/>
  <c r="F31" i="5"/>
  <c r="F263" i="5"/>
  <c r="E166" i="5"/>
  <c r="F624" i="5"/>
  <c r="E534" i="5"/>
  <c r="F634" i="5"/>
  <c r="E874" i="5"/>
  <c r="F926" i="5"/>
  <c r="E15" i="5"/>
  <c r="F825" i="5"/>
  <c r="F418" i="5"/>
  <c r="E449" i="5"/>
  <c r="F671" i="5"/>
  <c r="E702" i="5"/>
  <c r="F445" i="5"/>
  <c r="E515" i="5"/>
  <c r="F942" i="5"/>
  <c r="F5" i="5"/>
  <c r="E732" i="5"/>
  <c r="F178" i="5"/>
  <c r="E736" i="5"/>
  <c r="F462" i="5"/>
  <c r="E378" i="5"/>
  <c r="E388" i="5"/>
  <c r="E22" i="5"/>
  <c r="F30" i="5"/>
  <c r="F142" i="5"/>
  <c r="F694" i="5"/>
  <c r="F400" i="5"/>
  <c r="F336" i="5"/>
  <c r="E285" i="5"/>
  <c r="F198" i="5"/>
  <c r="F459" i="5"/>
  <c r="E84" i="5"/>
  <c r="E190" i="5"/>
  <c r="E120" i="5"/>
  <c r="E442" i="5"/>
  <c r="F24" i="5"/>
  <c r="F450" i="5"/>
  <c r="E128" i="5"/>
  <c r="E28" i="5"/>
  <c r="F835" i="5"/>
  <c r="F844" i="5"/>
  <c r="E301" i="5"/>
  <c r="E877" i="5"/>
  <c r="E683" i="5"/>
  <c r="E201" i="5"/>
  <c r="F93" i="5"/>
  <c r="E8" i="5"/>
  <c r="F131" i="5"/>
  <c r="F194" i="5"/>
  <c r="E705" i="5"/>
  <c r="E715" i="5"/>
  <c r="F765" i="5"/>
  <c r="F563" i="5"/>
  <c r="E119" i="5"/>
  <c r="F489" i="5"/>
  <c r="E865" i="5"/>
  <c r="F85" i="5"/>
  <c r="F266" i="5"/>
  <c r="F406" i="5"/>
  <c r="E306" i="5"/>
  <c r="E443" i="5"/>
  <c r="E997" i="5"/>
  <c r="F438" i="5"/>
  <c r="E653" i="5"/>
  <c r="E155" i="5"/>
  <c r="E720" i="5"/>
  <c r="F34" i="5"/>
  <c r="F544" i="5"/>
  <c r="E76" i="5"/>
  <c r="F270" i="5"/>
  <c r="E83" i="5"/>
  <c r="E630" i="5"/>
  <c r="E810" i="5"/>
  <c r="E848" i="5"/>
  <c r="F609" i="5"/>
  <c r="E853" i="5"/>
  <c r="F320" i="5"/>
  <c r="E313" i="5"/>
  <c r="E827" i="5"/>
  <c r="F875" i="5"/>
  <c r="F859" i="5"/>
  <c r="E379" i="5"/>
  <c r="F107" i="5"/>
  <c r="E27" i="5"/>
  <c r="E509" i="5"/>
  <c r="F517" i="5"/>
  <c r="F735" i="5"/>
  <c r="F312" i="5"/>
  <c r="E299" i="5"/>
  <c r="F815" i="5"/>
  <c r="E699" i="5"/>
  <c r="E727" i="5"/>
  <c r="E97" i="5"/>
  <c r="E991" i="5"/>
  <c r="E464" i="5"/>
  <c r="E228" i="5"/>
  <c r="F704" i="5"/>
  <c r="F340" i="5"/>
  <c r="F277" i="5"/>
  <c r="E319" i="5"/>
  <c r="E347" i="5"/>
  <c r="E498" i="5"/>
  <c r="E37" i="5"/>
  <c r="F697" i="5"/>
  <c r="F817" i="5"/>
  <c r="E644" i="5"/>
  <c r="E25" i="5"/>
  <c r="F35" i="5"/>
  <c r="F14" i="5"/>
  <c r="E80" i="5"/>
  <c r="F360" i="5"/>
  <c r="F922" i="5"/>
  <c r="F175" i="5"/>
  <c r="F535" i="5"/>
  <c r="F796" i="5"/>
  <c r="F185" i="5"/>
  <c r="E1001" i="5"/>
  <c r="E215" i="5"/>
  <c r="E912" i="5"/>
  <c r="F111" i="5"/>
  <c r="F145" i="5"/>
  <c r="F54" i="5"/>
  <c r="F164" i="5"/>
  <c r="F807" i="5"/>
  <c r="F240" i="5"/>
  <c r="E284" i="5"/>
  <c r="F46" i="5"/>
  <c r="F955" i="5"/>
  <c r="E33" i="5"/>
  <c r="F100" i="5"/>
  <c r="F458" i="5"/>
  <c r="E346" i="5"/>
  <c r="F192" i="5"/>
  <c r="F948" i="5"/>
  <c r="F171" i="5"/>
  <c r="F799" i="5"/>
  <c r="F430" i="5"/>
  <c r="E149" i="5"/>
  <c r="E512" i="5"/>
  <c r="E744" i="5"/>
  <c r="E486" i="5"/>
  <c r="F454" i="5"/>
  <c r="E3" i="5"/>
  <c r="F698" i="5"/>
  <c r="F9" i="5"/>
  <c r="F856" i="5"/>
  <c r="E595" i="5"/>
  <c r="E995" i="5"/>
  <c r="E613" i="5"/>
  <c r="E81" i="5"/>
  <c r="E268" i="5"/>
  <c r="F293" i="5"/>
  <c r="E253" i="5"/>
  <c r="E847" i="5"/>
  <c r="E13" i="5"/>
  <c r="C52" i="5"/>
  <c r="F411" i="5"/>
  <c r="E724" i="5"/>
  <c r="F242" i="5"/>
  <c r="E616" i="5"/>
  <c r="E844" i="5"/>
  <c r="E664" i="5"/>
  <c r="F375" i="5"/>
  <c r="E93" i="5"/>
  <c r="E194" i="5"/>
  <c r="E757" i="5"/>
  <c r="F982" i="5"/>
  <c r="E914" i="5"/>
  <c r="E351" i="5"/>
  <c r="F720" i="5"/>
  <c r="E10" i="5"/>
  <c r="F76" i="5"/>
  <c r="F810" i="5"/>
  <c r="E177" i="5"/>
  <c r="E213" i="5"/>
  <c r="E125" i="5"/>
  <c r="F853" i="5"/>
  <c r="E320" i="5"/>
  <c r="F827" i="5"/>
  <c r="E859" i="5"/>
  <c r="E368" i="5"/>
  <c r="E603" i="5"/>
  <c r="E107" i="5"/>
  <c r="F567" i="5"/>
  <c r="F509" i="5"/>
  <c r="F786" i="5"/>
  <c r="E312" i="5"/>
  <c r="F161" i="5"/>
  <c r="E154" i="5"/>
  <c r="F909" i="5"/>
  <c r="E165" i="5"/>
  <c r="E427" i="5"/>
  <c r="F464" i="5"/>
  <c r="F77" i="5"/>
  <c r="E340" i="5"/>
  <c r="E277" i="5"/>
  <c r="F871" i="5"/>
  <c r="F347" i="5"/>
  <c r="F960" i="5"/>
  <c r="F621" i="5"/>
  <c r="E175" i="5"/>
  <c r="F217" i="5"/>
  <c r="F21" i="5"/>
  <c r="E850" i="5"/>
  <c r="F332" i="5"/>
  <c r="F55" i="5"/>
  <c r="E343" i="5"/>
  <c r="F281" i="5"/>
  <c r="F626" i="5"/>
  <c r="F912" i="5"/>
  <c r="E968" i="5"/>
  <c r="E500" i="5"/>
  <c r="E963" i="5"/>
  <c r="E100" i="5"/>
  <c r="E458" i="5"/>
  <c r="E192" i="5"/>
  <c r="E310" i="5"/>
  <c r="F45" i="5"/>
  <c r="F149" i="5"/>
  <c r="F465" i="5"/>
  <c r="F772" i="5"/>
  <c r="E463" i="5"/>
  <c r="F961" i="5"/>
  <c r="F433" i="5"/>
  <c r="F158" i="5"/>
  <c r="F833" i="5"/>
  <c r="E856" i="5"/>
  <c r="C41" i="5"/>
  <c r="F446" i="5"/>
  <c r="E349" i="5"/>
  <c r="E233" i="5"/>
  <c r="F86" i="5"/>
  <c r="E521" i="5"/>
  <c r="F724" i="5"/>
  <c r="F616" i="5"/>
  <c r="E871" i="5"/>
  <c r="E219" i="5"/>
  <c r="E477" i="5"/>
  <c r="F498" i="5"/>
  <c r="E491" i="5"/>
  <c r="E593" i="5"/>
  <c r="F840" i="5"/>
  <c r="E621" i="5"/>
  <c r="E132" i="5"/>
  <c r="E360" i="5"/>
  <c r="E21" i="5"/>
  <c r="F729" i="5"/>
  <c r="E332" i="5"/>
  <c r="E341" i="5"/>
  <c r="F357" i="5"/>
  <c r="F809" i="5"/>
  <c r="E363" i="5"/>
  <c r="E281" i="5"/>
  <c r="E626" i="5"/>
  <c r="F140" i="5"/>
  <c r="F968" i="5"/>
  <c r="E660" i="5"/>
  <c r="E54" i="5"/>
  <c r="F168" i="5"/>
  <c r="F785" i="5"/>
  <c r="E936" i="5"/>
  <c r="E881" i="5"/>
  <c r="E429" i="5"/>
  <c r="F372" i="5"/>
  <c r="F381" i="5"/>
  <c r="E162" i="5"/>
  <c r="F589" i="5"/>
  <c r="E799" i="5"/>
  <c r="E430" i="5"/>
  <c r="E398" i="5"/>
  <c r="E465" i="5"/>
  <c r="F680" i="5"/>
  <c r="F463" i="5"/>
  <c r="E649" i="5"/>
  <c r="E880" i="5"/>
  <c r="F499" i="5"/>
  <c r="E433" i="5"/>
  <c r="E698" i="5"/>
  <c r="E833" i="5"/>
  <c r="F763" i="5"/>
  <c r="F595" i="5"/>
  <c r="C5" i="5"/>
  <c r="E635" i="5"/>
  <c r="F349" i="5"/>
  <c r="F63" i="5"/>
  <c r="F253" i="5"/>
  <c r="F147" i="5"/>
  <c r="F324" i="5"/>
  <c r="F69" i="5"/>
  <c r="F397" i="5"/>
  <c r="E321" i="5"/>
  <c r="E469" i="5"/>
  <c r="E224" i="5"/>
  <c r="E574" i="5"/>
  <c r="F491" i="5"/>
  <c r="F553" i="5"/>
  <c r="E840" i="5"/>
  <c r="E707" i="5"/>
  <c r="F519" i="5"/>
  <c r="F248" i="5"/>
  <c r="F132" i="5"/>
  <c r="F451" i="5"/>
  <c r="F169" i="5"/>
  <c r="E693" i="5"/>
  <c r="F956" i="5"/>
  <c r="E496" i="5"/>
  <c r="E304" i="5"/>
  <c r="E237" i="5"/>
  <c r="E227" i="5"/>
  <c r="E729" i="5"/>
  <c r="F850" i="5"/>
  <c r="F514" i="5"/>
  <c r="F343" i="5"/>
  <c r="F363" i="5"/>
  <c r="F429" i="5"/>
  <c r="F162" i="5"/>
  <c r="F695" i="5"/>
  <c r="F935" i="5"/>
  <c r="F398" i="5"/>
  <c r="E737" i="5"/>
  <c r="E961" i="5"/>
  <c r="E597" i="5"/>
  <c r="F487" i="5"/>
  <c r="E63" i="5"/>
  <c r="E324" i="5"/>
  <c r="F672" i="5"/>
  <c r="F321" i="5"/>
  <c r="F477" i="5"/>
  <c r="E964" i="5"/>
  <c r="F612" i="5"/>
  <c r="E754" i="5"/>
  <c r="E140" i="5"/>
  <c r="E785" i="5"/>
  <c r="F738" i="5"/>
  <c r="E435" i="5"/>
  <c r="E632" i="5"/>
  <c r="F384" i="5"/>
  <c r="C26" i="5"/>
  <c r="E137" i="5"/>
  <c r="E487" i="5"/>
  <c r="E999" i="5"/>
  <c r="F530" i="5"/>
  <c r="F703" i="5"/>
  <c r="F897" i="5"/>
  <c r="F255" i="5"/>
  <c r="F993" i="5"/>
  <c r="F832" i="5"/>
  <c r="E118" i="5"/>
  <c r="E47" i="5"/>
  <c r="E554" i="5"/>
  <c r="F42" i="5"/>
  <c r="F226" i="5"/>
  <c r="E672" i="5"/>
  <c r="E803" i="5"/>
  <c r="E98" i="5"/>
  <c r="F767" i="5"/>
  <c r="E985" i="5"/>
  <c r="E700" i="5"/>
  <c r="E553" i="5"/>
  <c r="F173" i="5"/>
  <c r="C67" i="5"/>
  <c r="F2" i="5"/>
  <c r="E739" i="5"/>
  <c r="E279" i="5"/>
  <c r="E92" i="5"/>
  <c r="E652" i="5"/>
  <c r="F167" i="5"/>
  <c r="E475" i="5"/>
  <c r="E889" i="5"/>
  <c r="F994" i="5"/>
  <c r="E610" i="5"/>
  <c r="F243" i="5"/>
  <c r="E608" i="5"/>
  <c r="F987" i="5"/>
  <c r="E295" i="5"/>
  <c r="E805" i="5"/>
  <c r="E535" i="5"/>
  <c r="F49" i="5"/>
  <c r="F501" i="5"/>
  <c r="E460" i="5"/>
  <c r="F92" i="5"/>
  <c r="F733" i="5"/>
  <c r="F346" i="5"/>
  <c r="C66" i="5"/>
  <c r="E208" i="5"/>
  <c r="F476" i="5"/>
  <c r="F995" i="5"/>
  <c r="E389" i="5"/>
  <c r="E987" i="5"/>
  <c r="F645" i="5"/>
  <c r="F295" i="5"/>
  <c r="F712" i="5"/>
  <c r="F613" i="5"/>
  <c r="F81" i="5"/>
  <c r="E293" i="5"/>
  <c r="E669" i="5"/>
  <c r="E411" i="5"/>
  <c r="E242" i="5"/>
  <c r="R15" i="2"/>
  <c r="R40" i="2"/>
  <c r="R25" i="2"/>
  <c r="R20" i="2"/>
  <c r="R89" i="2"/>
  <c r="R90" i="2"/>
  <c r="R77" i="2"/>
  <c r="R13" i="2"/>
  <c r="R11" i="2"/>
  <c r="R53" i="2"/>
  <c r="F860" i="5"/>
  <c r="F858" i="5"/>
  <c r="E766" i="5"/>
  <c r="E525" i="5"/>
  <c r="E764" i="5"/>
  <c r="E68" i="5"/>
  <c r="F789" i="5"/>
  <c r="E762" i="5"/>
  <c r="E701" i="5"/>
  <c r="E879" i="5"/>
  <c r="E674" i="5"/>
  <c r="F38" i="5"/>
  <c r="F412" i="5"/>
  <c r="E291" i="5"/>
  <c r="F640" i="5"/>
  <c r="E503" i="5"/>
  <c r="F545" i="5"/>
  <c r="E730" i="5"/>
  <c r="F552" i="5"/>
  <c r="E636" i="5"/>
  <c r="E78" i="5"/>
  <c r="E251" i="5"/>
  <c r="E286" i="5"/>
  <c r="E170" i="5"/>
  <c r="F405" i="5"/>
  <c r="F949" i="5"/>
  <c r="F359" i="5"/>
  <c r="E950" i="5"/>
  <c r="E583" i="5"/>
  <c r="F264" i="5"/>
  <c r="F679" i="5"/>
  <c r="F824" i="5"/>
  <c r="E557" i="5"/>
  <c r="F759" i="5"/>
  <c r="E315" i="5"/>
  <c r="E184" i="5"/>
  <c r="E307" i="5"/>
  <c r="F440" i="5"/>
  <c r="F915" i="5"/>
  <c r="E163" i="5"/>
  <c r="F646" i="5"/>
  <c r="E781" i="5"/>
  <c r="E187" i="5"/>
  <c r="F622" i="5"/>
  <c r="E334" i="5"/>
  <c r="E467" i="5"/>
  <c r="E572" i="5"/>
  <c r="E218" i="5"/>
  <c r="E658" i="5"/>
  <c r="E520" i="5"/>
  <c r="E70" i="5"/>
  <c r="F793" i="5"/>
  <c r="E231" i="5"/>
  <c r="F472" i="5"/>
  <c r="E322" i="5"/>
  <c r="F32" i="5"/>
  <c r="F502" i="5"/>
  <c r="F973" i="5"/>
  <c r="E471" i="5"/>
  <c r="F992" i="5"/>
  <c r="F298" i="5"/>
  <c r="F350" i="5"/>
  <c r="E891" i="5"/>
  <c r="F275" i="5"/>
  <c r="F939" i="5"/>
  <c r="F495" i="5"/>
  <c r="E106" i="5"/>
  <c r="F415" i="5"/>
  <c r="F878" i="5"/>
  <c r="E316" i="5"/>
  <c r="E199" i="5"/>
  <c r="E750" i="5"/>
  <c r="E828" i="5"/>
  <c r="E836" i="5"/>
  <c r="F731" i="5"/>
  <c r="F504" i="5"/>
  <c r="E420" i="5"/>
  <c r="F423" i="5"/>
  <c r="F421" i="5"/>
  <c r="E969" i="5"/>
  <c r="F576" i="5"/>
  <c r="F114" i="5"/>
  <c r="F577" i="5"/>
  <c r="F606" i="5"/>
  <c r="F229" i="5"/>
  <c r="F265" i="5"/>
  <c r="E290" i="5"/>
  <c r="F259" i="5"/>
  <c r="F200" i="5"/>
  <c r="E900" i="5"/>
  <c r="E924" i="5"/>
  <c r="E31" i="5"/>
  <c r="E624" i="5"/>
  <c r="F874" i="5"/>
  <c r="F126" i="5"/>
  <c r="E825" i="5"/>
  <c r="F670" i="5"/>
  <c r="E830" i="5"/>
  <c r="F531" i="5"/>
  <c r="F124" i="5"/>
  <c r="E159" i="5"/>
  <c r="E666" i="5"/>
  <c r="E536" i="5"/>
  <c r="E305" i="5"/>
  <c r="F515" i="5"/>
  <c r="E176" i="5"/>
  <c r="F483" i="5"/>
  <c r="E984" i="5"/>
  <c r="E5" i="5"/>
  <c r="E276" i="5"/>
  <c r="E333" i="5"/>
  <c r="E361" i="5"/>
  <c r="E374" i="5"/>
  <c r="F736" i="5"/>
  <c r="E751" i="5"/>
  <c r="F388" i="5"/>
  <c r="E30" i="5"/>
  <c r="E466" i="5"/>
  <c r="F643" i="5"/>
  <c r="E694" i="5"/>
  <c r="E198" i="5"/>
  <c r="E459" i="5"/>
  <c r="E528" i="5"/>
  <c r="F120" i="5"/>
  <c r="E300" i="5"/>
  <c r="E586" i="5"/>
  <c r="E450" i="5"/>
  <c r="E835" i="5"/>
  <c r="F59" i="5"/>
  <c r="F301" i="5"/>
  <c r="F558" i="5"/>
  <c r="F8" i="5"/>
  <c r="E180" i="5"/>
  <c r="E747" i="5"/>
  <c r="E563" i="5"/>
  <c r="F600" i="5"/>
  <c r="F443" i="5"/>
  <c r="E438" i="5"/>
  <c r="E345" i="5"/>
  <c r="E6" i="5"/>
  <c r="F619" i="5"/>
  <c r="F991" i="5"/>
  <c r="E704" i="5"/>
  <c r="F224" i="5"/>
  <c r="F219" i="5"/>
  <c r="E697" i="5"/>
  <c r="E248" i="5"/>
  <c r="E14" i="5"/>
  <c r="E169" i="5"/>
  <c r="E4" i="5"/>
  <c r="E956" i="5"/>
  <c r="F304" i="5"/>
  <c r="E796" i="5"/>
  <c r="E280" i="5"/>
  <c r="F341" i="5"/>
  <c r="E809" i="5"/>
  <c r="E479" i="5"/>
  <c r="E145" i="5"/>
  <c r="F936" i="5"/>
  <c r="F510" i="5"/>
  <c r="E381" i="5"/>
  <c r="E695" i="5"/>
  <c r="E948" i="5"/>
  <c r="E499" i="5"/>
  <c r="F635" i="5"/>
  <c r="E77" i="5"/>
  <c r="E817" i="5"/>
  <c r="F245" i="5"/>
  <c r="E89" i="5"/>
  <c r="E86" i="5"/>
  <c r="E367" i="5"/>
  <c r="E153" i="5"/>
  <c r="F36" i="5"/>
  <c r="F998" i="5"/>
  <c r="E50" i="5"/>
  <c r="F649" i="5"/>
  <c r="F137" i="5"/>
  <c r="E446" i="5"/>
  <c r="F148" i="5"/>
  <c r="E69" i="5"/>
  <c r="F574" i="5"/>
  <c r="F618" i="5"/>
  <c r="E173" i="5"/>
  <c r="E584" i="5"/>
  <c r="F654" i="5"/>
  <c r="E501" i="5"/>
  <c r="F660" i="5"/>
  <c r="E733" i="5"/>
  <c r="F533" i="5"/>
  <c r="F348" i="5"/>
  <c r="E585" i="5"/>
  <c r="E935" i="5"/>
  <c r="E211" i="5"/>
  <c r="F193" i="5"/>
  <c r="E994" i="5"/>
  <c r="E90" i="5"/>
  <c r="F364" i="5"/>
  <c r="F75" i="5"/>
  <c r="F573" i="5"/>
  <c r="E562" i="5"/>
  <c r="F841" i="5"/>
  <c r="F831" i="5"/>
  <c r="F944" i="5"/>
  <c r="E65" i="5"/>
  <c r="F560" i="5"/>
  <c r="E256" i="5"/>
  <c r="F873" i="5"/>
  <c r="E342" i="5"/>
  <c r="F354" i="5"/>
  <c r="F691" i="5"/>
  <c r="F182" i="5"/>
  <c r="E618" i="5"/>
  <c r="F568" i="5"/>
  <c r="E302" i="5"/>
  <c r="F62" i="5"/>
  <c r="E399" i="5"/>
  <c r="E410" i="5"/>
  <c r="E797" i="5"/>
  <c r="E742" i="5"/>
  <c r="F585" i="5"/>
  <c r="E108" i="5"/>
  <c r="F771" i="5"/>
  <c r="E384" i="5"/>
  <c r="E716" i="5"/>
  <c r="F274" i="5"/>
  <c r="E148" i="5"/>
  <c r="F57" i="5"/>
  <c r="F221" i="5"/>
  <c r="F561" i="5"/>
  <c r="F601" i="5"/>
  <c r="E413" i="5"/>
  <c r="R57" i="2"/>
  <c r="R48" i="2"/>
  <c r="R68" i="2"/>
  <c r="R22" i="2"/>
  <c r="R72" i="2"/>
  <c r="R23" i="2"/>
  <c r="R46" i="2"/>
  <c r="R70" i="2"/>
  <c r="R16" i="2"/>
  <c r="R27" i="2"/>
  <c r="E860" i="5"/>
  <c r="F151" i="5"/>
  <c r="E962" i="5"/>
  <c r="E965" i="5"/>
  <c r="F417" i="5"/>
  <c r="E444" i="5"/>
  <c r="F762" i="5"/>
  <c r="F701" i="5"/>
  <c r="E823" i="5"/>
  <c r="F879" i="5"/>
  <c r="E549" i="5"/>
  <c r="E38" i="5"/>
  <c r="F838" i="5"/>
  <c r="F447" i="5"/>
  <c r="F725" i="5"/>
  <c r="E640" i="5"/>
  <c r="E331" i="5"/>
  <c r="F730" i="5"/>
  <c r="E552" i="5"/>
  <c r="F902" i="5"/>
  <c r="E53" i="5"/>
  <c r="F251" i="5"/>
  <c r="E728" i="5"/>
  <c r="E903" i="5"/>
  <c r="F170" i="5"/>
  <c r="F602" i="5"/>
  <c r="E852" i="5"/>
  <c r="F267" i="5"/>
  <c r="F950" i="5"/>
  <c r="F583" i="5"/>
  <c r="E679" i="5"/>
  <c r="E380" i="5"/>
  <c r="F557" i="5"/>
  <c r="F315" i="5"/>
  <c r="F184" i="5"/>
  <c r="E845" i="5"/>
  <c r="E94" i="5"/>
  <c r="F163" i="5"/>
  <c r="F633" i="5"/>
  <c r="F990" i="5"/>
  <c r="F928" i="5"/>
  <c r="F334" i="5"/>
  <c r="E684" i="5"/>
  <c r="F801" i="5"/>
  <c r="F572" i="5"/>
  <c r="E548" i="5"/>
  <c r="E409" i="5"/>
  <c r="F800" i="5"/>
  <c r="F292" i="5"/>
  <c r="F70" i="5"/>
  <c r="F116" i="5"/>
  <c r="E981" i="5"/>
  <c r="F575" i="5"/>
  <c r="E628" i="5"/>
  <c r="F231" i="5"/>
  <c r="E135" i="5"/>
  <c r="E539" i="5"/>
  <c r="F582" i="5"/>
  <c r="F484" i="5"/>
  <c r="E32" i="5"/>
  <c r="E559" i="5"/>
  <c r="F726" i="5"/>
  <c r="E502" i="5"/>
  <c r="E973" i="5"/>
  <c r="F376" i="5"/>
  <c r="E272" i="5"/>
  <c r="E298" i="5"/>
  <c r="E350" i="5"/>
  <c r="E627" i="5"/>
  <c r="F891" i="5"/>
  <c r="E461" i="5"/>
  <c r="E386" i="5"/>
  <c r="F864" i="5"/>
  <c r="F106" i="5"/>
  <c r="E453" i="5"/>
  <c r="E802" i="5"/>
  <c r="E878" i="5"/>
  <c r="E138" i="5"/>
  <c r="F136" i="5"/>
  <c r="F199" i="5"/>
  <c r="F907" i="5"/>
  <c r="F828" i="5"/>
  <c r="F836" i="5"/>
  <c r="F806" i="5"/>
  <c r="F886" i="5"/>
  <c r="F436" i="5"/>
  <c r="F420" i="5"/>
  <c r="E247" i="5"/>
  <c r="E423" i="5"/>
  <c r="E172" i="5"/>
  <c r="F921" i="5"/>
  <c r="F969" i="5"/>
  <c r="F396" i="5"/>
  <c r="F768" i="5"/>
  <c r="E945" i="5"/>
  <c r="E229" i="5"/>
  <c r="F794" i="5"/>
  <c r="F79" i="5"/>
  <c r="F647" i="5"/>
  <c r="E157" i="5"/>
  <c r="F19" i="5"/>
  <c r="F924" i="5"/>
  <c r="E235" i="5"/>
  <c r="E263" i="5"/>
  <c r="E207" i="5"/>
  <c r="F534" i="5"/>
  <c r="E278" i="5"/>
  <c r="F629" i="5"/>
  <c r="E926" i="5"/>
  <c r="E126" i="5"/>
  <c r="E614" i="5"/>
  <c r="E670" i="5"/>
  <c r="F830" i="5"/>
  <c r="E124" i="5"/>
  <c r="F205" i="5"/>
  <c r="F795" i="5"/>
  <c r="F159" i="5"/>
  <c r="E667" i="5"/>
  <c r="F536" i="5"/>
  <c r="F186" i="5"/>
  <c r="F176" i="5"/>
  <c r="E483" i="5"/>
  <c r="E455" i="5"/>
  <c r="F957" i="5"/>
  <c r="F732" i="5"/>
  <c r="E587" i="5"/>
  <c r="F798" i="5"/>
  <c r="F361" i="5"/>
  <c r="F374" i="5"/>
  <c r="F751" i="5"/>
  <c r="F88" i="5"/>
  <c r="E687" i="5"/>
  <c r="E591" i="5"/>
  <c r="F466" i="5"/>
  <c r="E643" i="5"/>
  <c r="F776" i="5"/>
  <c r="E400" i="5"/>
  <c r="E431" i="5"/>
  <c r="F122" i="5"/>
  <c r="E202" i="5"/>
  <c r="F84" i="5"/>
  <c r="F300" i="5"/>
  <c r="F663" i="5"/>
  <c r="E24" i="5"/>
  <c r="F236" i="5"/>
  <c r="F41" i="5"/>
  <c r="F128" i="5"/>
  <c r="E401" i="5"/>
  <c r="E330" i="5"/>
  <c r="E59" i="5"/>
  <c r="E110" i="5"/>
  <c r="E650" i="5"/>
  <c r="F683" i="5"/>
  <c r="F195" i="5"/>
  <c r="F249" i="5"/>
  <c r="F594" i="5"/>
  <c r="E204" i="5"/>
  <c r="F715" i="5"/>
  <c r="F335" i="5"/>
  <c r="E982" i="5"/>
  <c r="F721" i="5"/>
  <c r="E489" i="5"/>
  <c r="E600" i="5"/>
  <c r="E266" i="5"/>
  <c r="E819" i="5"/>
  <c r="F104" i="5"/>
  <c r="F18" i="5"/>
  <c r="F345" i="5"/>
  <c r="E983" i="5"/>
  <c r="F402" i="5"/>
  <c r="F351" i="5"/>
  <c r="E34" i="5"/>
  <c r="E270" i="5"/>
  <c r="E894" i="5"/>
  <c r="E686" i="5"/>
  <c r="F930" i="5"/>
  <c r="F213" i="5"/>
  <c r="E497" i="5"/>
  <c r="E327" i="5"/>
  <c r="E677" i="5"/>
  <c r="E740" i="5"/>
  <c r="F425" i="5"/>
  <c r="F368" i="5"/>
  <c r="E791" i="5"/>
  <c r="E20" i="5"/>
  <c r="E567" i="5"/>
  <c r="E517" i="5"/>
  <c r="E156" i="5"/>
  <c r="E161" i="5"/>
  <c r="F154" i="5"/>
  <c r="E815" i="5"/>
  <c r="F139" i="5"/>
  <c r="E909" i="5"/>
  <c r="E210" i="5"/>
  <c r="F427" i="5"/>
  <c r="E397" i="5"/>
  <c r="F284" i="5"/>
  <c r="F500" i="5"/>
  <c r="F963" i="5"/>
  <c r="F410" i="5"/>
  <c r="E168" i="5"/>
  <c r="F652" i="5"/>
  <c r="E167" i="5"/>
  <c r="F383" i="5"/>
  <c r="E45" i="5"/>
  <c r="F211" i="5"/>
  <c r="E771" i="5"/>
  <c r="E158" i="5"/>
  <c r="E245" i="5"/>
  <c r="E223" i="5"/>
  <c r="E839" i="5"/>
  <c r="E147" i="5"/>
  <c r="F367" i="5"/>
  <c r="F153" i="5"/>
  <c r="F98" i="5"/>
  <c r="E182" i="5"/>
  <c r="F593" i="5"/>
  <c r="F693" i="5"/>
  <c r="F237" i="5"/>
  <c r="F358" i="5"/>
  <c r="F787" i="5"/>
  <c r="E998" i="5"/>
  <c r="F394" i="5"/>
  <c r="F617" i="5"/>
  <c r="F7" i="5"/>
  <c r="E519" i="5"/>
  <c r="E451" i="5"/>
  <c r="F584" i="5"/>
  <c r="F734" i="5"/>
  <c r="F227" i="5"/>
  <c r="E561" i="5"/>
  <c r="E329" i="5"/>
  <c r="F863" i="5"/>
  <c r="F413" i="5"/>
  <c r="E738" i="5"/>
  <c r="F129" i="5"/>
  <c r="F297" i="5"/>
  <c r="F632" i="5"/>
  <c r="E986" i="5"/>
  <c r="F208" i="5"/>
  <c r="F669" i="5"/>
  <c r="E808" i="5"/>
  <c r="E712" i="5"/>
  <c r="F80" i="5"/>
  <c r="F365" i="5"/>
  <c r="E569" i="5"/>
  <c r="F486" i="5"/>
  <c r="F3" i="5"/>
  <c r="R69" i="2"/>
  <c r="R63" i="2"/>
  <c r="R50" i="2"/>
  <c r="R51" i="2"/>
  <c r="R82" i="2"/>
  <c r="R32" i="2"/>
  <c r="R65" i="2"/>
  <c r="R2" i="2"/>
  <c r="R98" i="2"/>
  <c r="R3" i="2"/>
  <c r="E710" i="5"/>
  <c r="E719" i="5"/>
  <c r="F766" i="5"/>
  <c r="E953" i="5"/>
  <c r="E743" i="5"/>
  <c r="F962" i="5"/>
  <c r="F269" i="5"/>
  <c r="F444" i="5"/>
  <c r="F910" i="5"/>
  <c r="F823" i="5"/>
  <c r="E58" i="5"/>
  <c r="F674" i="5"/>
  <c r="E838" i="5"/>
  <c r="E725" i="5"/>
  <c r="E101" i="5"/>
  <c r="E338" i="5"/>
  <c r="F503" i="5"/>
  <c r="F296" i="5"/>
  <c r="E895" i="5"/>
  <c r="F78" i="5"/>
  <c r="F416" i="5"/>
  <c r="F728" i="5"/>
  <c r="F903" i="5"/>
  <c r="E529" i="5"/>
  <c r="E602" i="5"/>
  <c r="E359" i="5"/>
  <c r="E267" i="5"/>
  <c r="E901" i="5"/>
  <c r="E294" i="5"/>
  <c r="F380" i="5"/>
  <c r="E11" i="5"/>
  <c r="E811" i="5"/>
  <c r="E482" i="5"/>
  <c r="F246" i="5"/>
  <c r="F94" i="5"/>
  <c r="F913" i="5"/>
  <c r="F494" i="5"/>
  <c r="E633" i="5"/>
  <c r="E676" i="5"/>
  <c r="F505" i="5"/>
  <c r="E646" i="5"/>
  <c r="E929" i="5"/>
  <c r="E711" i="5"/>
  <c r="E928" i="5"/>
  <c r="F87" i="5"/>
  <c r="E323" i="5"/>
  <c r="F684" i="5"/>
  <c r="E801" i="5"/>
  <c r="F218" i="5"/>
  <c r="F548" i="5"/>
  <c r="F344" i="5"/>
  <c r="E800" i="5"/>
  <c r="E292" i="5"/>
  <c r="F216" i="5"/>
  <c r="E575" i="5"/>
  <c r="F222" i="5"/>
  <c r="F135" i="5"/>
  <c r="F539" i="5"/>
  <c r="F979" i="5"/>
  <c r="E582" i="5"/>
  <c r="F876" i="5"/>
  <c r="F559" i="5"/>
  <c r="E726" i="5"/>
  <c r="E918" i="5"/>
  <c r="E978" i="5"/>
  <c r="F272" i="5"/>
  <c r="F867" i="5"/>
  <c r="F564" i="5"/>
  <c r="E234" i="5"/>
  <c r="F461" i="5"/>
  <c r="E899" i="5"/>
  <c r="E939" i="5"/>
  <c r="F492" i="5"/>
  <c r="F453" i="5"/>
  <c r="E642" i="5"/>
  <c r="F138" i="5"/>
  <c r="F750" i="5"/>
  <c r="F753" i="5"/>
  <c r="E806" i="5"/>
  <c r="E814" i="5"/>
  <c r="E436" i="5"/>
  <c r="E289" i="5"/>
  <c r="F247" i="5"/>
  <c r="F923" i="5"/>
  <c r="F651" i="5"/>
  <c r="F172" i="5"/>
  <c r="F113" i="5"/>
  <c r="E396" i="5"/>
  <c r="E220" i="5"/>
  <c r="E577" i="5"/>
  <c r="F945" i="5"/>
  <c r="F816" i="5"/>
  <c r="E794" i="5"/>
  <c r="E79" i="5"/>
  <c r="E259" i="5"/>
  <c r="F48" i="5"/>
  <c r="F971" i="5"/>
  <c r="F157" i="5"/>
  <c r="F611" i="5"/>
  <c r="E23" i="5"/>
  <c r="E29" i="5"/>
  <c r="F207" i="5"/>
  <c r="F570" i="5"/>
  <c r="F278" i="5"/>
  <c r="E1000" i="5"/>
  <c r="F614" i="5"/>
  <c r="F250" i="5"/>
  <c r="F846" i="5"/>
  <c r="E205" i="5"/>
  <c r="F103" i="5"/>
  <c r="F666" i="5"/>
  <c r="F667" i="5"/>
  <c r="E748" i="5"/>
  <c r="F305" i="5"/>
  <c r="F675" i="5"/>
  <c r="F455" i="5"/>
  <c r="F587" i="5"/>
  <c r="E798" i="5"/>
  <c r="F474" i="5"/>
  <c r="F812" i="5"/>
  <c r="E88" i="5"/>
  <c r="F470" i="5"/>
  <c r="F687" i="5"/>
  <c r="F685" i="5"/>
  <c r="E546" i="5"/>
  <c r="F431" i="5"/>
  <c r="F202" i="5"/>
  <c r="F485" i="5"/>
  <c r="E326" i="5"/>
  <c r="F528" i="5"/>
  <c r="F152" i="5"/>
  <c r="E196" i="5"/>
  <c r="E663" i="5"/>
  <c r="F893" i="5"/>
  <c r="F434" i="5"/>
  <c r="E236" i="5"/>
  <c r="F401" i="5"/>
  <c r="F330" i="5"/>
  <c r="F480" i="5"/>
  <c r="F110" i="5"/>
  <c r="E375" i="5"/>
  <c r="E195" i="5"/>
  <c r="E249" i="5"/>
  <c r="F127" i="5"/>
  <c r="E594" i="5"/>
  <c r="E134" i="5"/>
  <c r="F747" i="5"/>
  <c r="E488" i="5"/>
  <c r="E96" i="5"/>
  <c r="E335" i="5"/>
  <c r="F908" i="5"/>
  <c r="E75" i="5"/>
  <c r="E721" i="5"/>
  <c r="F905" i="5"/>
  <c r="E769" i="5"/>
  <c r="E428" i="5"/>
  <c r="F819" i="5"/>
  <c r="F352" i="5"/>
  <c r="E104" i="5"/>
  <c r="E18" i="5"/>
  <c r="E109" i="5"/>
  <c r="F983" i="5"/>
  <c r="F934" i="5"/>
  <c r="F6" i="5"/>
  <c r="F625" i="5"/>
  <c r="F10" i="5"/>
  <c r="E244" i="5"/>
  <c r="F118" i="5"/>
  <c r="F894" i="5"/>
  <c r="F959" i="5"/>
  <c r="F686" i="5"/>
  <c r="E930" i="5"/>
  <c r="F125" i="5"/>
  <c r="F327" i="5"/>
  <c r="F631" i="5"/>
  <c r="F740" i="5"/>
  <c r="E425" i="5"/>
  <c r="E615" i="5"/>
  <c r="F791" i="5"/>
  <c r="E579" i="5"/>
  <c r="E226" i="5"/>
  <c r="E786" i="5"/>
  <c r="F156" i="5"/>
  <c r="E980" i="5"/>
  <c r="E241" i="5"/>
  <c r="E139" i="5"/>
  <c r="F967" i="5"/>
  <c r="F210" i="5"/>
  <c r="F130" i="5"/>
  <c r="E778" i="5"/>
  <c r="F881" i="5"/>
  <c r="E372" i="5"/>
  <c r="E348" i="5"/>
  <c r="F435" i="5"/>
  <c r="F310" i="5"/>
  <c r="E680" i="5"/>
  <c r="F880" i="5"/>
  <c r="E837" i="5"/>
  <c r="F610" i="5"/>
  <c r="F432" i="5"/>
  <c r="E692" i="5"/>
  <c r="F89" i="5"/>
  <c r="E362" i="5"/>
  <c r="F700" i="5"/>
  <c r="F707" i="5"/>
  <c r="F496" i="5"/>
  <c r="E357" i="5"/>
  <c r="F778" i="5"/>
  <c r="F50" i="5"/>
  <c r="F742" i="5"/>
  <c r="E589" i="5"/>
  <c r="C2" i="5"/>
  <c r="F597" i="5"/>
  <c r="E763" i="5"/>
  <c r="F692" i="5"/>
  <c r="F223" i="5"/>
  <c r="E884" i="5"/>
  <c r="E821" i="5"/>
  <c r="F855" i="5"/>
  <c r="F109" i="5"/>
  <c r="E99" i="5"/>
  <c r="E518" i="5"/>
  <c r="E657" i="5"/>
  <c r="F917" i="5"/>
  <c r="E631" i="5"/>
  <c r="E555" i="5"/>
  <c r="F377" i="5"/>
  <c r="F999" i="5"/>
  <c r="E645" i="5"/>
  <c r="F821" i="5"/>
  <c r="F964" i="5"/>
  <c r="E390" i="5"/>
  <c r="F976" i="5"/>
  <c r="E863" i="5"/>
  <c r="E807" i="5"/>
  <c r="F797" i="5"/>
  <c r="R86" i="2"/>
  <c r="R17" i="2"/>
  <c r="R26" i="2"/>
  <c r="R87" i="2"/>
  <c r="R5" i="2"/>
  <c r="R39" i="2"/>
  <c r="R71" i="2"/>
  <c r="R34" i="2"/>
  <c r="R88" i="2"/>
  <c r="R83" i="2"/>
  <c r="E523" i="5"/>
  <c r="F710" i="5"/>
  <c r="F719" i="5"/>
  <c r="F953" i="5"/>
  <c r="F743" i="5"/>
  <c r="F965" i="5"/>
  <c r="E269" i="5"/>
  <c r="E456" i="5"/>
  <c r="E910" i="5"/>
  <c r="E688" i="5"/>
  <c r="F60" i="5"/>
  <c r="F673" i="5"/>
  <c r="F713" i="5"/>
  <c r="E473" i="5"/>
  <c r="E896" i="5"/>
  <c r="F101" i="5"/>
  <c r="F331" i="5"/>
  <c r="E902" i="5"/>
  <c r="F115" i="5"/>
  <c r="E416" i="5"/>
  <c r="F638" i="5"/>
  <c r="E782" i="5"/>
  <c r="E387" i="5"/>
  <c r="F852" i="5"/>
  <c r="E414" i="5"/>
  <c r="F826" i="5"/>
  <c r="F294" i="5"/>
  <c r="E565" i="5"/>
  <c r="F11" i="5"/>
  <c r="F811" i="5"/>
  <c r="E745" i="5"/>
  <c r="F482" i="5"/>
  <c r="F717" i="5"/>
  <c r="E780" i="5"/>
  <c r="F845" i="5"/>
  <c r="E246" i="5"/>
  <c r="E339" i="5"/>
  <c r="E913" i="5"/>
  <c r="E494" i="5"/>
  <c r="F437" i="5"/>
  <c r="F676" i="5"/>
  <c r="E505" i="5"/>
  <c r="F929" i="5"/>
  <c r="F788" i="5"/>
  <c r="E87" i="5"/>
  <c r="F478" i="5"/>
  <c r="F260" i="5"/>
  <c r="F468" i="5"/>
  <c r="F665" i="5"/>
  <c r="E116" i="5"/>
  <c r="F628" i="5"/>
  <c r="E222" i="5"/>
  <c r="F448" i="5"/>
  <c r="E484" i="5"/>
  <c r="E876" i="5"/>
  <c r="F551" i="5"/>
  <c r="E946" i="5"/>
  <c r="F918" i="5"/>
  <c r="F978" i="5"/>
  <c r="E867" i="5"/>
  <c r="E564" i="5"/>
  <c r="F627" i="5"/>
  <c r="E599" i="5"/>
  <c r="F899" i="5"/>
  <c r="F526" i="5"/>
  <c r="E864" i="5"/>
  <c r="F802" i="5"/>
  <c r="F642" i="5"/>
  <c r="F283" i="5"/>
  <c r="E136" i="5"/>
  <c r="F709" i="5"/>
  <c r="F369" i="5"/>
  <c r="E907" i="5"/>
  <c r="F289" i="5"/>
  <c r="F309" i="5"/>
  <c r="F604" i="5"/>
  <c r="E923" i="5"/>
  <c r="E651" i="5"/>
  <c r="E749" i="5"/>
  <c r="E921" i="5"/>
  <c r="E580" i="5"/>
  <c r="E768" i="5"/>
  <c r="F220" i="5"/>
  <c r="E816" i="5"/>
  <c r="F708" i="5"/>
  <c r="E543" i="5"/>
  <c r="E48" i="5"/>
  <c r="E596" i="5"/>
  <c r="E611" i="5"/>
  <c r="F23" i="5"/>
  <c r="F235" i="5"/>
  <c r="F29" i="5"/>
  <c r="E570" i="5"/>
  <c r="E547" i="5"/>
  <c r="E254" i="5"/>
  <c r="E629" i="5"/>
  <c r="E250" i="5"/>
  <c r="F792" i="5"/>
  <c r="E846" i="5"/>
  <c r="E123" i="5"/>
  <c r="E795" i="5"/>
  <c r="F748" i="5"/>
  <c r="E186" i="5"/>
  <c r="E681" i="5"/>
  <c r="F403" i="5"/>
  <c r="E675" i="5"/>
  <c r="F723" i="5"/>
  <c r="F174" i="5"/>
  <c r="E957" i="5"/>
  <c r="E73" i="5"/>
  <c r="E328" i="5"/>
  <c r="E314" i="5"/>
  <c r="E812" i="5"/>
  <c r="F426" i="5"/>
  <c r="E470" i="5"/>
  <c r="F257" i="5"/>
  <c r="E395" i="5"/>
  <c r="F591" i="5"/>
  <c r="E685" i="5"/>
  <c r="E52" i="5"/>
  <c r="E776" i="5"/>
  <c r="E122" i="5"/>
  <c r="F866" i="5"/>
  <c r="E370" i="5"/>
  <c r="E485" i="5"/>
  <c r="F326" i="5"/>
  <c r="F820" i="5"/>
  <c r="E152" i="5"/>
  <c r="F196" i="5"/>
  <c r="E17" i="5"/>
  <c r="E893" i="5"/>
  <c r="F191" i="5"/>
  <c r="E41" i="5"/>
  <c r="E490" i="5"/>
  <c r="E885" i="5"/>
  <c r="E480" i="5"/>
  <c r="F774" i="5"/>
  <c r="F239" i="5"/>
  <c r="F650" i="5"/>
  <c r="E51" i="5"/>
  <c r="F64" i="5"/>
  <c r="E970" i="5"/>
  <c r="F204" i="5"/>
  <c r="F488" i="5"/>
  <c r="F96" i="5"/>
  <c r="E44" i="5"/>
  <c r="E908" i="5"/>
  <c r="E905" i="5"/>
  <c r="E573" i="5"/>
  <c r="E703" i="5"/>
  <c r="F769" i="5"/>
  <c r="F428" i="5"/>
  <c r="E897" i="5"/>
  <c r="E352" i="5"/>
  <c r="E255" i="5"/>
  <c r="E841" i="5"/>
  <c r="E402" i="5"/>
  <c r="E934" i="5"/>
  <c r="E625" i="5"/>
  <c r="E832" i="5"/>
  <c r="F244" i="5"/>
  <c r="E959" i="5"/>
  <c r="F518" i="5"/>
  <c r="F47" i="5"/>
  <c r="E944" i="5"/>
  <c r="F497" i="5"/>
  <c r="E917" i="5"/>
  <c r="F677" i="5"/>
  <c r="F615" i="5"/>
  <c r="F555" i="5"/>
  <c r="F20" i="5"/>
  <c r="E42" i="5"/>
  <c r="F256" i="5"/>
  <c r="F579" i="5"/>
  <c r="F241" i="5"/>
  <c r="F342" i="5"/>
  <c r="E56" i="5"/>
  <c r="E967" i="5"/>
  <c r="E225" i="5"/>
  <c r="E130" i="5"/>
  <c r="E36" i="5"/>
  <c r="E617" i="5"/>
  <c r="F805" i="5"/>
  <c r="E734" i="5"/>
  <c r="E514" i="5"/>
  <c r="F739" i="5"/>
  <c r="F329" i="5"/>
  <c r="E206" i="5"/>
  <c r="F475" i="5"/>
  <c r="E377" i="5"/>
  <c r="F737" i="5"/>
  <c r="F837" i="5"/>
  <c r="E432" i="5"/>
  <c r="E274" i="5"/>
  <c r="F839" i="5"/>
  <c r="E243" i="5"/>
  <c r="F608" i="5"/>
  <c r="E364" i="5"/>
  <c r="F808" i="5"/>
  <c r="E57" i="5"/>
  <c r="F268" i="5"/>
  <c r="F233" i="5"/>
  <c r="F847" i="5"/>
  <c r="E2" i="5"/>
  <c r="R37" i="2"/>
  <c r="R49" i="2"/>
  <c r="R75" i="2"/>
  <c r="R29" i="2"/>
  <c r="R94" i="2"/>
  <c r="R92" i="2"/>
  <c r="R36" i="2"/>
  <c r="R12" i="2"/>
  <c r="R54" i="2"/>
  <c r="R4" i="2"/>
  <c r="E890" i="5"/>
  <c r="F527" i="5"/>
  <c r="E12" i="5"/>
  <c r="F456" i="5"/>
  <c r="F311" i="5"/>
  <c r="F688" i="5"/>
  <c r="F112" i="5"/>
  <c r="F58" i="5"/>
  <c r="E60" i="5"/>
  <c r="E673" i="5"/>
  <c r="F473" i="5"/>
  <c r="F338" i="5"/>
  <c r="F571" i="5"/>
  <c r="E581" i="5"/>
  <c r="E296" i="5"/>
  <c r="E947" i="5"/>
  <c r="F648" i="5"/>
  <c r="F895" i="5"/>
  <c r="E115" i="5"/>
  <c r="E590" i="5"/>
  <c r="E638" i="5"/>
  <c r="F529" i="5"/>
  <c r="F387" i="5"/>
  <c r="F414" i="5"/>
  <c r="E943" i="5"/>
  <c r="F901" i="5"/>
  <c r="E252" i="5"/>
  <c r="F566" i="5"/>
  <c r="F565" i="5"/>
  <c r="F804" i="5"/>
  <c r="F678" i="5"/>
  <c r="F745" i="5"/>
  <c r="E540" i="5"/>
  <c r="E717" i="5"/>
  <c r="E588" i="5"/>
  <c r="F339" i="5"/>
  <c r="F888" i="5"/>
  <c r="E258" i="5"/>
  <c r="E141" i="5"/>
  <c r="F711" i="5"/>
  <c r="F507" i="5"/>
  <c r="F323" i="5"/>
  <c r="E260" i="5"/>
  <c r="E468" i="5"/>
  <c r="F966" i="5"/>
  <c r="E344" i="5"/>
  <c r="F74" i="5"/>
  <c r="E441" i="5"/>
  <c r="E665" i="5"/>
  <c r="F214" i="5"/>
  <c r="E216" i="5"/>
  <c r="E931" i="5"/>
  <c r="E854" i="5"/>
  <c r="E979" i="5"/>
  <c r="E179" i="5"/>
  <c r="E551" i="5"/>
  <c r="F946" i="5"/>
  <c r="E95" i="5"/>
  <c r="E43" i="5"/>
  <c r="F829" i="5"/>
  <c r="E849" i="5"/>
  <c r="F234" i="5"/>
  <c r="E526" i="5"/>
  <c r="E857" i="5"/>
  <c r="F607" i="5"/>
  <c r="E492" i="5"/>
  <c r="F641" i="5"/>
  <c r="E709" i="5"/>
  <c r="E542" i="5"/>
  <c r="E753" i="5"/>
  <c r="F790" i="5"/>
  <c r="E951" i="5"/>
  <c r="F814" i="5"/>
  <c r="E598" i="5"/>
  <c r="F668" i="5"/>
  <c r="E309" i="5"/>
  <c r="E524" i="5"/>
  <c r="E113" i="5"/>
  <c r="F580" i="5"/>
  <c r="F933" i="5"/>
  <c r="F637" i="5"/>
  <c r="E40" i="5"/>
  <c r="E188" i="5"/>
  <c r="E708" i="5"/>
  <c r="F862" i="5"/>
  <c r="E971" i="5"/>
  <c r="F160" i="5"/>
  <c r="E67" i="5"/>
  <c r="F392" i="5"/>
  <c r="F547" i="5"/>
  <c r="E61" i="5"/>
  <c r="F1000" i="5"/>
  <c r="F183" i="5"/>
  <c r="F356" i="5"/>
  <c r="F123" i="5"/>
  <c r="F775" i="5"/>
  <c r="F82" i="5"/>
  <c r="E103" i="5"/>
  <c r="F659" i="5"/>
  <c r="F102" i="5"/>
  <c r="E238" i="5"/>
  <c r="F681" i="5"/>
  <c r="E723" i="5"/>
  <c r="E174" i="5"/>
  <c r="F73" i="5"/>
  <c r="E474" i="5"/>
  <c r="F314" i="5"/>
  <c r="F770" i="5"/>
  <c r="E426" i="5"/>
  <c r="E834" i="5"/>
  <c r="E257" i="5"/>
  <c r="F72" i="5"/>
  <c r="E203" i="5"/>
  <c r="F546" i="5"/>
  <c r="F66" i="5"/>
  <c r="E866" i="5"/>
  <c r="F370" i="5"/>
  <c r="F752" i="5"/>
  <c r="E820" i="5"/>
  <c r="F706" i="5"/>
  <c r="E434" i="5"/>
  <c r="E191" i="5"/>
  <c r="E818" i="5"/>
  <c r="F490" i="5"/>
  <c r="F885" i="5"/>
  <c r="E117" i="5"/>
  <c r="E774" i="5"/>
  <c r="E239" i="5"/>
  <c r="F144" i="5"/>
  <c r="F655" i="5"/>
  <c r="F51" i="5"/>
  <c r="E127" i="5"/>
  <c r="F134" i="5"/>
  <c r="F516" i="5"/>
  <c r="F308" i="5"/>
  <c r="E974" i="5"/>
  <c r="F980" i="5"/>
  <c r="F225" i="5"/>
  <c r="E71" i="5"/>
  <c r="F469" i="5"/>
  <c r="F424" i="5"/>
  <c r="E822" i="5"/>
  <c r="E654" i="5"/>
  <c r="E612" i="5"/>
  <c r="F754" i="5"/>
  <c r="E365" i="5"/>
  <c r="E533" i="5"/>
  <c r="E383" i="5"/>
  <c r="F133" i="5"/>
  <c r="E193" i="5"/>
  <c r="F756" i="5"/>
  <c r="F90" i="5"/>
  <c r="F884" i="5"/>
  <c r="E568" i="5"/>
  <c r="E62" i="5"/>
  <c r="E532" i="5"/>
  <c r="F279" i="5"/>
  <c r="F422" i="5"/>
  <c r="E303" i="5"/>
  <c r="F206" i="5"/>
  <c r="E297" i="5"/>
  <c r="F325" i="5"/>
  <c r="F986" i="5"/>
  <c r="E511" i="5"/>
  <c r="R97" i="2"/>
  <c r="R38" i="2"/>
  <c r="R84" i="2"/>
  <c r="R52" i="2"/>
  <c r="R78" i="2"/>
  <c r="R66" i="2"/>
  <c r="R33" i="2"/>
  <c r="R85" i="2"/>
  <c r="R80" i="2"/>
  <c r="R67" i="2"/>
  <c r="F523" i="5"/>
  <c r="E527" i="5"/>
  <c r="F404" i="5"/>
  <c r="F373" i="5"/>
  <c r="F12" i="5"/>
  <c r="F481" i="5"/>
  <c r="E941" i="5"/>
  <c r="E112" i="5"/>
  <c r="F273" i="5"/>
  <c r="F784" i="5"/>
  <c r="E741" i="5"/>
  <c r="E713" i="5"/>
  <c r="E91" i="5"/>
  <c r="F896" i="5"/>
  <c r="E870" i="5"/>
  <c r="E571" i="5"/>
  <c r="F581" i="5"/>
  <c r="F947" i="5"/>
  <c r="F975" i="5"/>
  <c r="F782" i="5"/>
  <c r="E578" i="5"/>
  <c r="F714" i="5"/>
  <c r="E826" i="5"/>
  <c r="F842" i="5"/>
  <c r="F252" i="5"/>
  <c r="F718" i="5"/>
  <c r="E804" i="5"/>
  <c r="F540" i="5"/>
  <c r="F780" i="5"/>
  <c r="F588" i="5"/>
  <c r="F282" i="5"/>
  <c r="E318" i="5"/>
  <c r="F189" i="5"/>
  <c r="E437" i="5"/>
  <c r="E230" i="5"/>
  <c r="F258" i="5"/>
  <c r="F141" i="5"/>
  <c r="E788" i="5"/>
  <c r="E478" i="5"/>
  <c r="E605" i="5"/>
  <c r="F773" i="5"/>
  <c r="E74" i="5"/>
  <c r="E214" i="5"/>
  <c r="F317" i="5"/>
  <c r="E938" i="5"/>
  <c r="F931" i="5"/>
  <c r="E448" i="5"/>
  <c r="F887" i="5"/>
  <c r="E760" i="5"/>
  <c r="F179" i="5"/>
  <c r="E391" i="5"/>
  <c r="E550" i="5"/>
  <c r="F869" i="5"/>
  <c r="E755" i="5"/>
  <c r="F95" i="5"/>
  <c r="F906" i="5"/>
  <c r="F43" i="5"/>
  <c r="E288" i="5"/>
  <c r="F197" i="5"/>
  <c r="E829" i="5"/>
  <c r="F849" i="5"/>
  <c r="F599" i="5"/>
  <c r="E916" i="5"/>
  <c r="F857" i="5"/>
  <c r="E641" i="5"/>
  <c r="E690" i="5"/>
  <c r="E919" i="5"/>
  <c r="E283" i="5"/>
  <c r="E898" i="5"/>
  <c r="E369" i="5"/>
  <c r="F542" i="5"/>
  <c r="F506" i="5"/>
  <c r="E790" i="5"/>
  <c r="F951" i="5"/>
  <c r="E851" i="5"/>
  <c r="F598" i="5"/>
  <c r="E604" i="5"/>
  <c r="F749" i="5"/>
  <c r="E972" i="5"/>
  <c r="F623" i="5"/>
  <c r="E933" i="5"/>
  <c r="E682" i="5"/>
  <c r="E637" i="5"/>
  <c r="E656" i="5"/>
  <c r="F188" i="5"/>
  <c r="F989" i="5"/>
  <c r="F543" i="5"/>
  <c r="F385" i="5"/>
  <c r="F596" i="5"/>
  <c r="F911" i="5"/>
  <c r="F67" i="5"/>
  <c r="F493" i="5"/>
  <c r="E392" i="5"/>
  <c r="E407" i="5"/>
  <c r="F254" i="5"/>
  <c r="F61" i="5"/>
  <c r="F15" i="5"/>
  <c r="E183" i="5"/>
  <c r="E792" i="5"/>
  <c r="E39" i="5"/>
  <c r="E775" i="5"/>
  <c r="E940" i="5"/>
  <c r="E659" i="5"/>
  <c r="E26" i="5"/>
  <c r="E102" i="5"/>
  <c r="F238" i="5"/>
  <c r="E942" i="5"/>
  <c r="E403" i="5"/>
  <c r="E689" i="5"/>
  <c r="F882" i="5"/>
  <c r="F262" i="5"/>
  <c r="E121" i="5"/>
  <c r="F328" i="5"/>
  <c r="E371" i="5"/>
  <c r="E178" i="5"/>
  <c r="F834" i="5"/>
  <c r="E522" i="5"/>
  <c r="F395" i="5"/>
  <c r="E72" i="5"/>
  <c r="F52" i="5"/>
  <c r="E336" i="5"/>
  <c r="E66" i="5"/>
  <c r="F146" i="5"/>
  <c r="F758" i="5"/>
  <c r="F190" i="5"/>
  <c r="F883" i="5"/>
  <c r="F442" i="5"/>
  <c r="F17" i="5"/>
  <c r="E353" i="5"/>
  <c r="F181" i="5"/>
  <c r="F16" i="5"/>
  <c r="E144" i="5"/>
  <c r="E655" i="5"/>
  <c r="E64" i="5"/>
  <c r="E537" i="5"/>
  <c r="E131" i="5"/>
  <c r="F970" i="5"/>
  <c r="F232" i="5"/>
  <c r="F705" i="5"/>
  <c r="E516" i="5"/>
  <c r="E813" i="5"/>
  <c r="E765" i="5"/>
  <c r="F44" i="5"/>
  <c r="F439" i="5"/>
  <c r="F119" i="5"/>
  <c r="E530" i="5"/>
  <c r="E261" i="5"/>
  <c r="F865" i="5"/>
  <c r="E855" i="5"/>
  <c r="E209" i="5"/>
  <c r="F562" i="5"/>
  <c r="E287" i="5"/>
  <c r="E993" i="5"/>
  <c r="E696" i="5"/>
  <c r="F99" i="5"/>
  <c r="E308" i="5"/>
  <c r="E831" i="5"/>
  <c r="E150" i="5"/>
  <c r="E358" i="5"/>
  <c r="F872" i="5"/>
  <c r="F657" i="5"/>
  <c r="E609" i="5"/>
  <c r="F554" i="5"/>
  <c r="E419" i="5"/>
  <c r="F920" i="5"/>
  <c r="F65" i="5"/>
  <c r="E513" i="5"/>
  <c r="E875" i="5"/>
  <c r="E560" i="5"/>
  <c r="F457" i="5"/>
  <c r="F27" i="5"/>
  <c r="F927" i="5"/>
  <c r="E873" i="5"/>
  <c r="F746" i="5"/>
  <c r="F868" i="5"/>
  <c r="E787" i="5"/>
  <c r="F56" i="5"/>
  <c r="F803" i="5"/>
  <c r="F727" i="5"/>
  <c r="E354" i="5"/>
  <c r="E662" i="5"/>
  <c r="F362" i="5"/>
  <c r="E767" i="5"/>
  <c r="E691" i="5"/>
  <c r="E904" i="5"/>
  <c r="E394" i="5"/>
  <c r="E7" i="5"/>
  <c r="F644" i="5"/>
  <c r="F822" i="5"/>
  <c r="F592" i="5"/>
  <c r="R61" i="2"/>
  <c r="R59" i="2"/>
  <c r="R41" i="2"/>
  <c r="R79" i="2"/>
  <c r="R93" i="2"/>
  <c r="R19" i="2"/>
  <c r="R81" i="2"/>
  <c r="R35" i="2"/>
  <c r="R73" i="2"/>
  <c r="R10" i="2"/>
  <c r="F890" i="5"/>
  <c r="F393" i="5"/>
  <c r="F525" i="5"/>
  <c r="E404" i="5"/>
  <c r="F68" i="5"/>
  <c r="E481" i="5"/>
  <c r="F508" i="5"/>
  <c r="E789" i="5"/>
  <c r="E311" i="5"/>
  <c r="F366" i="5"/>
  <c r="E273" i="5"/>
  <c r="C60" i="5"/>
  <c r="F741" i="5"/>
  <c r="E412" i="5"/>
  <c r="F91" i="5"/>
  <c r="F925" i="5"/>
  <c r="F870" i="5"/>
  <c r="E452" i="5"/>
  <c r="E545" i="5"/>
  <c r="E843" i="5"/>
  <c r="E648" i="5"/>
  <c r="E892" i="5"/>
  <c r="E143" i="5"/>
  <c r="F590" i="5"/>
  <c r="F286" i="5"/>
  <c r="F578" i="5"/>
  <c r="F777" i="5"/>
  <c r="E714" i="5"/>
  <c r="F538" i="5"/>
  <c r="F932" i="5"/>
  <c r="F943" i="5"/>
  <c r="E842" i="5"/>
  <c r="E264" i="5"/>
  <c r="E566" i="5"/>
  <c r="F779" i="5"/>
  <c r="E678" i="5"/>
  <c r="E212" i="5"/>
  <c r="E759" i="5"/>
  <c r="F958" i="5"/>
  <c r="F318" i="5"/>
  <c r="E189" i="5"/>
  <c r="F382" i="5"/>
  <c r="E888" i="5"/>
  <c r="F230" i="5"/>
  <c r="F781" i="5"/>
  <c r="E954" i="5"/>
  <c r="E622" i="5"/>
  <c r="E507" i="5"/>
  <c r="F783" i="5"/>
  <c r="F605" i="5"/>
  <c r="F556" i="5"/>
  <c r="F620" i="5"/>
  <c r="E966" i="5"/>
  <c r="E773" i="5"/>
  <c r="F658" i="5"/>
  <c r="F441" i="5"/>
  <c r="E952" i="5"/>
  <c r="E105" i="5"/>
  <c r="E317" i="5"/>
  <c r="F938" i="5"/>
  <c r="E793" i="5"/>
  <c r="F854" i="5"/>
  <c r="F761" i="5"/>
  <c r="F661" i="5"/>
  <c r="E887" i="5"/>
  <c r="F391" i="5"/>
  <c r="F550" i="5"/>
  <c r="E861" i="5"/>
  <c r="E869" i="5"/>
  <c r="F755" i="5"/>
  <c r="E906" i="5"/>
  <c r="F337" i="5"/>
  <c r="F288" i="5"/>
  <c r="E197" i="5"/>
  <c r="E639" i="5"/>
  <c r="E541" i="5"/>
  <c r="F916" i="5"/>
  <c r="F988" i="5"/>
  <c r="E495" i="5"/>
  <c r="E607" i="5"/>
  <c r="E408" i="5"/>
  <c r="E415" i="5"/>
  <c r="F690" i="5"/>
  <c r="F316" i="5"/>
  <c r="F898" i="5"/>
  <c r="F355" i="5"/>
  <c r="E977" i="5"/>
  <c r="E504" i="5"/>
  <c r="E668" i="5"/>
  <c r="E937" i="5"/>
  <c r="E722" i="5"/>
  <c r="F524" i="5"/>
  <c r="F996" i="5"/>
  <c r="F972" i="5"/>
  <c r="E623" i="5"/>
  <c r="E576" i="5"/>
  <c r="E606" i="5"/>
  <c r="F40" i="5"/>
  <c r="F656" i="5"/>
  <c r="E265" i="5"/>
  <c r="E989" i="5"/>
  <c r="E271" i="5"/>
  <c r="E862" i="5"/>
  <c r="E385" i="5"/>
  <c r="E160" i="5"/>
  <c r="E911" i="5"/>
  <c r="E493" i="5"/>
  <c r="F166" i="5"/>
  <c r="F407" i="5"/>
  <c r="E634" i="5"/>
  <c r="E356" i="5"/>
  <c r="E418" i="5"/>
  <c r="E531" i="5"/>
  <c r="F39" i="5"/>
  <c r="F449" i="5"/>
  <c r="E671" i="5"/>
  <c r="E82" i="5"/>
  <c r="F940" i="5"/>
  <c r="F702" i="5"/>
  <c r="F26" i="5"/>
  <c r="E445" i="5"/>
  <c r="F984" i="5"/>
  <c r="F689" i="5"/>
  <c r="E882" i="5"/>
  <c r="F276" i="5"/>
  <c r="E262" i="5"/>
  <c r="F121" i="5"/>
  <c r="F333" i="5"/>
  <c r="F371" i="5"/>
  <c r="E770" i="5"/>
  <c r="E462" i="5"/>
  <c r="F378" i="5"/>
  <c r="F522" i="5"/>
  <c r="F22" i="5"/>
  <c r="E142" i="5"/>
  <c r="F203" i="5"/>
  <c r="F285" i="5"/>
  <c r="E146" i="5"/>
  <c r="E758" i="5"/>
  <c r="E752" i="5"/>
  <c r="E883" i="5"/>
  <c r="F586" i="5"/>
  <c r="E706" i="5"/>
  <c r="F353" i="5"/>
  <c r="F818" i="5"/>
  <c r="F28" i="5"/>
  <c r="F117" i="5"/>
  <c r="E181" i="5"/>
  <c r="F664" i="5"/>
  <c r="E16" i="5"/>
  <c r="F877" i="5"/>
  <c r="E558" i="5"/>
  <c r="F201" i="5"/>
  <c r="F537" i="5"/>
  <c r="F180" i="5"/>
  <c r="E232" i="5"/>
  <c r="F757" i="5"/>
  <c r="F813" i="5"/>
  <c r="E439" i="5"/>
  <c r="F914" i="5"/>
  <c r="F261" i="5"/>
  <c r="E85" i="5"/>
  <c r="E406" i="5"/>
  <c r="F306" i="5"/>
  <c r="F209" i="5"/>
  <c r="F997" i="5"/>
  <c r="F287" i="5"/>
  <c r="F653" i="5"/>
  <c r="F155" i="5"/>
  <c r="F696" i="5"/>
  <c r="E544" i="5"/>
  <c r="F150" i="5"/>
  <c r="F83" i="5"/>
  <c r="F630" i="5"/>
  <c r="E872" i="5"/>
  <c r="F848" i="5"/>
  <c r="F177" i="5"/>
  <c r="F419" i="5"/>
  <c r="E920" i="5"/>
  <c r="F313" i="5"/>
  <c r="F513" i="5"/>
  <c r="E457" i="5"/>
  <c r="F379" i="5"/>
  <c r="F603" i="5"/>
  <c r="F974" i="5"/>
  <c r="E927" i="5"/>
  <c r="E735" i="5"/>
  <c r="E746" i="5"/>
  <c r="E868" i="5"/>
  <c r="F299" i="5"/>
  <c r="F699" i="5"/>
  <c r="E619" i="5"/>
  <c r="F165" i="5"/>
  <c r="F662" i="5"/>
  <c r="F97" i="5"/>
  <c r="F71" i="5"/>
  <c r="F228" i="5"/>
  <c r="F904" i="5"/>
  <c r="F985" i="5"/>
  <c r="F319" i="5"/>
  <c r="E424" i="5"/>
  <c r="F37" i="5"/>
  <c r="E960" i="5"/>
  <c r="E592" i="5"/>
  <c r="F25" i="5"/>
  <c r="E35" i="5"/>
  <c r="E221" i="5"/>
  <c r="F4" i="5"/>
  <c r="E922" i="5"/>
  <c r="E217" i="5"/>
  <c r="F302" i="5"/>
  <c r="F390" i="5"/>
  <c r="E185" i="5"/>
  <c r="E49" i="5"/>
  <c r="F280" i="5"/>
  <c r="E976" i="5"/>
  <c r="F1001" i="5"/>
  <c r="E55" i="5"/>
  <c r="F532" i="5"/>
  <c r="F215" i="5"/>
  <c r="F399" i="5"/>
  <c r="F460" i="5"/>
  <c r="F479" i="5"/>
  <c r="E601" i="5"/>
  <c r="E111" i="5"/>
  <c r="E422" i="5"/>
  <c r="E164" i="5"/>
  <c r="E240" i="5"/>
  <c r="F303" i="5"/>
  <c r="E46" i="5"/>
  <c r="E510" i="5"/>
  <c r="E955" i="5"/>
  <c r="C23" i="5"/>
  <c r="F33" i="5"/>
  <c r="E129" i="5"/>
  <c r="E171" i="5"/>
  <c r="C61" i="5"/>
  <c r="E325" i="5"/>
  <c r="F108" i="5"/>
  <c r="E133" i="5"/>
  <c r="F569" i="5"/>
  <c r="E772" i="5"/>
  <c r="F889" i="5"/>
  <c r="F512" i="5"/>
  <c r="F744" i="5"/>
  <c r="F511" i="5"/>
  <c r="E454" i="5"/>
  <c r="E756" i="5"/>
  <c r="F716" i="5"/>
  <c r="E9" i="5"/>
  <c r="E476" i="5"/>
  <c r="F389" i="5"/>
  <c r="F13" i="5"/>
  <c r="F521" i="5"/>
  <c r="G13" i="5" l="1"/>
  <c r="G33" i="5"/>
  <c r="G4" i="5"/>
  <c r="G25" i="5"/>
  <c r="G37" i="5"/>
  <c r="G71" i="5"/>
  <c r="G97" i="5"/>
  <c r="G83" i="5"/>
  <c r="G28" i="5"/>
  <c r="G22" i="5"/>
  <c r="G26" i="5"/>
  <c r="G39" i="5"/>
  <c r="G40" i="5"/>
  <c r="G91" i="5"/>
  <c r="G68" i="5"/>
  <c r="G56" i="5"/>
  <c r="G27" i="5"/>
  <c r="G65" i="5"/>
  <c r="G44" i="5"/>
  <c r="G16" i="5"/>
  <c r="G17" i="5"/>
  <c r="G52" i="5"/>
  <c r="G15" i="5"/>
  <c r="G61" i="5"/>
  <c r="G67" i="5"/>
  <c r="G43" i="5"/>
  <c r="G95" i="5"/>
  <c r="G12" i="5"/>
  <c r="G90" i="5"/>
  <c r="G51" i="5"/>
  <c r="G66" i="5"/>
  <c r="G72" i="5"/>
  <c r="G73" i="5"/>
  <c r="G82" i="5"/>
  <c r="G74" i="5"/>
  <c r="G58" i="5"/>
  <c r="G20" i="5"/>
  <c r="G47" i="5"/>
  <c r="G96" i="5"/>
  <c r="G64" i="5"/>
  <c r="G29" i="5"/>
  <c r="G23" i="5"/>
  <c r="G11" i="5"/>
  <c r="G60" i="5"/>
  <c r="G50" i="5"/>
  <c r="G89" i="5"/>
  <c r="G10" i="5"/>
  <c r="G6" i="5"/>
  <c r="G48" i="5"/>
  <c r="G87" i="5"/>
  <c r="G94" i="5"/>
  <c r="G78" i="5"/>
  <c r="G3" i="5"/>
  <c r="G80" i="5"/>
  <c r="G7" i="5"/>
  <c r="G98" i="5"/>
  <c r="G18" i="5"/>
  <c r="G41" i="5"/>
  <c r="G84" i="5"/>
  <c r="G88" i="5"/>
  <c r="G19" i="5"/>
  <c r="G79" i="5"/>
  <c r="G70" i="5"/>
  <c r="G57" i="5"/>
  <c r="G62" i="5"/>
  <c r="G75" i="5"/>
  <c r="G36" i="5"/>
  <c r="G8" i="5"/>
  <c r="G59" i="5"/>
  <c r="G32" i="5"/>
  <c r="G38" i="5"/>
  <c r="G81" i="5"/>
  <c r="G92" i="5"/>
  <c r="G49" i="5"/>
  <c r="G2" i="5"/>
  <c r="G42" i="5"/>
  <c r="G69" i="5"/>
  <c r="G63" i="5"/>
  <c r="G86" i="5"/>
  <c r="G45" i="5"/>
  <c r="G21" i="5"/>
  <c r="G77" i="5"/>
  <c r="G76" i="5"/>
  <c r="G9" i="5"/>
  <c r="G46" i="5"/>
  <c r="G54" i="5"/>
  <c r="G14" i="5"/>
  <c r="G35" i="5"/>
  <c r="G34" i="5"/>
  <c r="G85" i="5"/>
  <c r="G93" i="5"/>
  <c r="G24" i="5"/>
  <c r="G30" i="5"/>
  <c r="G5" i="5"/>
  <c r="G31" i="5"/>
  <c r="G53"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82A44C-B700-43F4-A5F9-C8D9EB1FC8D2}" name="Query from 10.9.10.59\SQLVP201606" type="1" refreshedVersion="6" savePassword="1" background="1" saveData="1">
    <dbPr connection="DRIVER=SQL Server Native Client 11.0;SERVER=10.9.10.59\SQLVP201606;UID=mt_internal_user;PWD=se@lf0n1nt3rn@l;APP=Microsoft Office;WSID=STAS-HP-LAPTOP;DATABASE=dw_motrpac;" command="{CALL dw_motrpac.dbo.usp_get_manifest_data ('', '', 0, ',', 0, ?)}"/>
    <parameters count="1">
      <parameter name="Parameter1" parameterType="cell" refreshOnChange="1" cell="config!$B$32"/>
    </parameters>
  </connection>
</connections>
</file>

<file path=xl/sharedStrings.xml><?xml version="1.0" encoding="utf-8"?>
<sst xmlns="http://schemas.openxmlformats.org/spreadsheetml/2006/main" count="20623" uniqueCount="4707">
  <si>
    <t>Participant ID</t>
  </si>
  <si>
    <t>SEX (1=M; 2=F)</t>
  </si>
  <si>
    <t>Known CoV2 +</t>
  </si>
  <si>
    <t>Long</t>
  </si>
  <si>
    <t>Y</t>
  </si>
  <si>
    <t>Sample #</t>
  </si>
  <si>
    <t>Box</t>
  </si>
  <si>
    <t>Position</t>
  </si>
  <si>
    <t>biospecimen ID</t>
  </si>
  <si>
    <t>aliquotID (Barcode)</t>
  </si>
  <si>
    <t>Species</t>
  </si>
  <si>
    <t>Tissue</t>
  </si>
  <si>
    <t>Specimen prep</t>
  </si>
  <si>
    <t>Sample volume (mL)</t>
  </si>
  <si>
    <t>Number of cells (x10^6)</t>
  </si>
  <si>
    <t>Cryopreservative used</t>
  </si>
  <si>
    <t>Manifest_ID</t>
  </si>
  <si>
    <t>Project</t>
  </si>
  <si>
    <t>Center name</t>
  </si>
  <si>
    <t>Ship date</t>
  </si>
  <si>
    <t>Comments</t>
  </si>
  <si>
    <t>Name</t>
  </si>
  <si>
    <t>Value</t>
  </si>
  <si>
    <t>B</t>
  </si>
  <si>
    <t>Manifest Id</t>
  </si>
  <si>
    <t>Shipment Date</t>
  </si>
  <si>
    <t>_aliquot_id</t>
  </si>
  <si>
    <t>_sample_id</t>
  </si>
  <si>
    <t>_program_id</t>
  </si>
  <si>
    <t>_program_name</t>
  </si>
  <si>
    <t>_study_id</t>
  </si>
  <si>
    <t>_study_name</t>
  </si>
  <si>
    <t>aliquot_id</t>
  </si>
  <si>
    <t>creation_date</t>
  </si>
  <si>
    <t>num_cells</t>
  </si>
  <si>
    <t>sample_id</t>
  </si>
  <si>
    <t>ship_date</t>
  </si>
  <si>
    <t>species</t>
  </si>
  <si>
    <t>specimen_prep</t>
  </si>
  <si>
    <t>tissue</t>
  </si>
  <si>
    <t>volume</t>
  </si>
  <si>
    <t>ECHO</t>
  </si>
  <si>
    <t>PaxGene</t>
  </si>
  <si>
    <t>Serum</t>
  </si>
  <si>
    <t>Validate vs MDB</t>
  </si>
  <si>
    <t>subject_id</t>
  </si>
  <si>
    <t>age</t>
  </si>
  <si>
    <t>sex_code</t>
  </si>
  <si>
    <t>sex</t>
  </si>
  <si>
    <t>A</t>
  </si>
  <si>
    <t>Age</t>
  </si>
  <si>
    <t>C</t>
  </si>
  <si>
    <t>D</t>
  </si>
  <si>
    <t>Study</t>
  </si>
  <si>
    <t>Sex</t>
  </si>
  <si>
    <t>Specimen Column</t>
  </si>
  <si>
    <t>Column letter on the "shipment" tab</t>
  </si>
  <si>
    <t>Hardcoded value of manifest id</t>
  </si>
  <si>
    <t>Project Name</t>
  </si>
  <si>
    <t>Hardcoded Project Name</t>
  </si>
  <si>
    <t>Hardcoded Shipping Date</t>
  </si>
  <si>
    <t>Hardcoded Center Name</t>
  </si>
  <si>
    <t>Center Name</t>
  </si>
  <si>
    <t>Save Created Manifests Path</t>
  </si>
  <si>
    <t>Save Created Metadata Files Path</t>
  </si>
  <si>
    <t>Manifest Delete Columns In Target</t>
  </si>
  <si>
    <t>Manifest Format Date Columns In Target</t>
  </si>
  <si>
    <t>Comma delimited list of columns to be formatted as date in the created file</t>
  </si>
  <si>
    <t>Comma delimited list of columns to be deleted in the created file; colulmns MUST be given in the descending order - first to delete will be the furtherst to the right one</t>
  </si>
  <si>
    <t>Automated Specimen Columns Processing</t>
  </si>
  <si>
    <t>_loaded_to_db</t>
  </si>
  <si>
    <t>_loaded_from_source</t>
  </si>
  <si>
    <t>List of columns corresponding to the specimen/timepoint combinations that will be processed, if "Process ALL…" option is selected in menu</t>
  </si>
  <si>
    <t>20_0157</t>
  </si>
  <si>
    <t>20_0160</t>
  </si>
  <si>
    <t>20_0162</t>
  </si>
  <si>
    <t>20_0163</t>
  </si>
  <si>
    <t>20_0165</t>
  </si>
  <si>
    <t>20_0167</t>
  </si>
  <si>
    <t>20_0168</t>
  </si>
  <si>
    <t>20_0169</t>
  </si>
  <si>
    <t>20_0170</t>
  </si>
  <si>
    <t>20_0177</t>
  </si>
  <si>
    <t>20_0179</t>
  </si>
  <si>
    <t>20_0182</t>
  </si>
  <si>
    <t>Sub</t>
  </si>
  <si>
    <t>20_0191</t>
  </si>
  <si>
    <t>20_0192</t>
  </si>
  <si>
    <t>20_0193</t>
  </si>
  <si>
    <t>20_0194</t>
  </si>
  <si>
    <t>20_0195</t>
  </si>
  <si>
    <t>20_0196</t>
  </si>
  <si>
    <t>20_0198</t>
  </si>
  <si>
    <t>20_0207</t>
  </si>
  <si>
    <t>20_0212</t>
  </si>
  <si>
    <t>20_0217</t>
  </si>
  <si>
    <t>20_0220</t>
  </si>
  <si>
    <t>20_0231</t>
  </si>
  <si>
    <t>serum</t>
  </si>
  <si>
    <t>SER</t>
  </si>
  <si>
    <t>ser</t>
  </si>
  <si>
    <t>paxgene</t>
  </si>
  <si>
    <t>pax</t>
  </si>
  <si>
    <t>PAX</t>
  </si>
  <si>
    <t>edta</t>
  </si>
  <si>
    <t>EDT</t>
  </si>
  <si>
    <t>edt</t>
  </si>
  <si>
    <t>vtm</t>
  </si>
  <si>
    <t>VTM</t>
  </si>
  <si>
    <t>SpecimenFullName</t>
  </si>
  <si>
    <t>EDTA</t>
  </si>
  <si>
    <t>VolumeBySpecPrep</t>
  </si>
  <si>
    <t>SpecimenAbbreviation</t>
  </si>
  <si>
    <t>Run Database refresh link on a fly</t>
  </si>
  <si>
    <t>https://docs.google.com/document/d/19zf-aAseIBh3G4BIP0roBd3pwUXKM7-E3wdw2fy1Wh8/edit?usp=sharing</t>
  </si>
  <si>
    <t>Help document</t>
  </si>
  <si>
    <t>Info</t>
  </si>
  <si>
    <t>TissueBySpecPrep</t>
  </si>
  <si>
    <t>blood</t>
  </si>
  <si>
    <t>nasal swab</t>
  </si>
  <si>
    <t>Long/Sub</t>
  </si>
  <si>
    <t>20_0244</t>
  </si>
  <si>
    <t>20_0245</t>
  </si>
  <si>
    <t>20_0246</t>
  </si>
  <si>
    <t>20_0250</t>
  </si>
  <si>
    <t>20_0252</t>
  </si>
  <si>
    <t>20_0254</t>
  </si>
  <si>
    <t>20_0255</t>
  </si>
  <si>
    <t>20_0256</t>
  </si>
  <si>
    <t>20_0262</t>
  </si>
  <si>
    <t>20_0267</t>
  </si>
  <si>
    <t>20_0546</t>
  </si>
  <si>
    <t>20_0555</t>
  </si>
  <si>
    <t>20_0656</t>
  </si>
  <si>
    <t>20_0865</t>
  </si>
  <si>
    <t>20_0866</t>
  </si>
  <si>
    <t>20_0867</t>
  </si>
  <si>
    <t>Sheet Assignment</t>
  </si>
  <si>
    <t>shipment</t>
  </si>
  <si>
    <t>study_demographic</t>
  </si>
  <si>
    <t>Participant Id_shipment</t>
  </si>
  <si>
    <t>Participant Id_study_demographic</t>
  </si>
  <si>
    <t>A,B,C,D,E,F,G,H,I,J,K,L,M,N,O,P,Q,R,S,T,U,V,W,X,Y,Z,AA,AB,AC,AD,AE,AF,AG,AH,AI,AJ,AK,AL,AM,AN,AO,AP,AQ,AR,AS,AT,AU,AV,AW,AX,AY,AZ,BA,BB,BC,BD,BE,BF,BG,BH,BI,BJ,BK,BL,BM,BN,BO,BP,BQ,BR,BS,BT,BU,BV,BW,BX,BY,BZ,CA,CB,CC,CD,CE,CF,CG,CH,CI,CJ,CK,CL,CM,CN,CO,CP,CQ,CR,CS,CT,CU,CV,</t>
  </si>
  <si>
    <t>cpt</t>
  </si>
  <si>
    <t>PBM</t>
  </si>
  <si>
    <t>PBMC</t>
  </si>
  <si>
    <t>pbm</t>
  </si>
  <si>
    <t>pbmc</t>
  </si>
  <si>
    <t>Subject Present In Demographic</t>
  </si>
  <si>
    <t>Metadata Delete Columns In Target</t>
  </si>
  <si>
    <t>metadata</t>
  </si>
  <si>
    <t>Column letter on the "metadata" tab refering to the position of the column with such name</t>
  </si>
  <si>
    <t>manifest</t>
  </si>
  <si>
    <t>Column letter on the "manifest" tab refering to the position of the column with such name</t>
  </si>
  <si>
    <t>Start validating if subject's information was provided in the demographic tab.</t>
  </si>
  <si>
    <t>Finish validating if subject's information was provided in the demographic tab.</t>
  </si>
  <si>
    <t>Start validating if aliquot ids exist in Metadata DB.</t>
  </si>
  <si>
    <t>Finish validating if aliquot ids exist in Metadata DB.</t>
  </si>
  <si>
    <t>Create Manifest files</t>
  </si>
  <si>
    <t>Create Metadata files</t>
  </si>
  <si>
    <t>Yes</t>
  </si>
  <si>
    <t>Identifies if metadata files will be created during processing. Expected values: TRUE, FALSE (or blank).</t>
  </si>
  <si>
    <t>Identifies if manifest files will be created during processing. Expected values: TRUE, FALSE (or blank).</t>
  </si>
  <si>
    <t>Expected values: TRUE, FALSE (or blank). If set to TRUE, the process will refresh the database link on each run Specimen Column processing</t>
  </si>
  <si>
    <t>20_0998</t>
  </si>
  <si>
    <t>20_0999</t>
  </si>
  <si>
    <t>20_1000</t>
  </si>
  <si>
    <t>20_1001</t>
  </si>
  <si>
    <t>20_1003</t>
  </si>
  <si>
    <t>20_1004</t>
  </si>
  <si>
    <t>20_1014</t>
  </si>
  <si>
    <t>20_1016</t>
  </si>
  <si>
    <t>20_1006</t>
  </si>
  <si>
    <t>20_1005</t>
  </si>
  <si>
    <t>20_0946</t>
  </si>
  <si>
    <t>Long/sub</t>
  </si>
  <si>
    <t>20_0917</t>
  </si>
  <si>
    <t>20_1009</t>
  </si>
  <si>
    <t>20_1010</t>
  </si>
  <si>
    <t>20_1011</t>
  </si>
  <si>
    <t>20_1015</t>
  </si>
  <si>
    <t>G</t>
  </si>
  <si>
    <r>
      <t xml:space="preserve">Column letter on the assigned tab. </t>
    </r>
    <r>
      <rPr>
        <sz val="11"/>
        <color rgb="FFFF0000"/>
        <rFont val="Calibri"/>
        <family val="2"/>
        <scheme val="minor"/>
      </rPr>
      <t>This value might be needed to be updated based on the actual data provided in the shipment</t>
    </r>
  </si>
  <si>
    <t>Column letter on the assigned tab. This value might be needed to be updated based on the actual data provided in the shipment</t>
  </si>
  <si>
    <t>Column letter on the "study_demographic" tab</t>
  </si>
  <si>
    <t>File Name Post-fix</t>
  </si>
  <si>
    <t>Hardcoded post-fix to be added to the created file name. Default value is blank.</t>
  </si>
  <si>
    <t>Time points</t>
  </si>
  <si>
    <t>T04</t>
  </si>
  <si>
    <t>T07</t>
  </si>
  <si>
    <t>T08</t>
  </si>
  <si>
    <t>T10</t>
  </si>
  <si>
    <t>T14</t>
  </si>
  <si>
    <t>T17</t>
  </si>
  <si>
    <t>T23</t>
  </si>
  <si>
    <t>T28</t>
  </si>
  <si>
    <t>T37</t>
  </si>
  <si>
    <t>T39</t>
  </si>
  <si>
    <t>T40</t>
  </si>
  <si>
    <t>T42</t>
  </si>
  <si>
    <t>Lab_stats_specimen_cell</t>
  </si>
  <si>
    <t>lab_stats</t>
  </si>
  <si>
    <t>Lab_stats_timepoints_row</t>
  </si>
  <si>
    <t>Lab_stats_timepoints_columns</t>
  </si>
  <si>
    <t>B,C,D,E,F,G,H,I,J,K,L,M</t>
  </si>
  <si>
    <t>Lab_stats_participants_row_range</t>
  </si>
  <si>
    <t>Row number where timepoints are specified</t>
  </si>
  <si>
    <t>Cell address where name/abbreviation of the specimen is provided</t>
  </si>
  <si>
    <t>Comma delimited list of columns where timepoints and associated participant (subject) ids are listed</t>
  </si>
  <si>
    <t>Range presenting "first:last" row that have to be checked for participant ids for the current Specimen value (see "Lab_stats_specimen_cell" parameter)</t>
  </si>
  <si>
    <t>Lab_stats_shipment_timepoint_start_column</t>
  </si>
  <si>
    <t>First column on the Shipment tab to be filled with produced timepoint information</t>
  </si>
  <si>
    <t>Shipment sent 6/22/2020</t>
  </si>
  <si>
    <t>Shipment received 6/23/2020</t>
  </si>
  <si>
    <t>Total Paxgene</t>
  </si>
  <si>
    <t>20_170</t>
  </si>
  <si>
    <t>20_217</t>
  </si>
  <si>
    <t>20_262</t>
  </si>
  <si>
    <t>20_1020</t>
  </si>
  <si>
    <t>Total EDTA</t>
  </si>
  <si>
    <t>5:21</t>
  </si>
  <si>
    <t>sst</t>
  </si>
  <si>
    <t>4 vials provided</t>
  </si>
  <si>
    <t>CommentsBySpecPrep</t>
  </si>
  <si>
    <t>ZZ1</t>
  </si>
  <si>
    <t>Extend Specimens to Plasma Starting Column #</t>
  </si>
  <si>
    <t>Extend Specimens to Plasma List</t>
  </si>
  <si>
    <t>List of specimen preps that has to be extended with the Plasma entries (i.e. each CPT entry should accompanied with a Plasma entry)</t>
  </si>
  <si>
    <t>Column number at which check for specimens required Plasma extensions should be started</t>
  </si>
  <si>
    <t>pla</t>
  </si>
  <si>
    <t>PLA</t>
  </si>
  <si>
    <t>plasma</t>
  </si>
  <si>
    <t>Plasma</t>
  </si>
  <si>
    <t>2 vials provided</t>
  </si>
  <si>
    <t>comments</t>
  </si>
  <si>
    <t>Repeat CoV2+</t>
  </si>
  <si>
    <t>T00 Collection Date</t>
  </si>
  <si>
    <t>Consent V3 (SNP authorized)</t>
  </si>
  <si>
    <t>y</t>
  </si>
  <si>
    <t>18</t>
  </si>
  <si>
    <t>19</t>
  </si>
  <si>
    <t>20</t>
  </si>
  <si>
    <t>22</t>
  </si>
  <si>
    <t>21</t>
  </si>
  <si>
    <t>23</t>
  </si>
  <si>
    <t>24</t>
  </si>
  <si>
    <t>29</t>
  </si>
  <si>
    <t>28</t>
  </si>
  <si>
    <t>All subject(s) were found in the 'demographics' tab.</t>
  </si>
  <si>
    <t>0001</t>
  </si>
  <si>
    <t>0002</t>
  </si>
  <si>
    <t>0003</t>
  </si>
  <si>
    <t>0004</t>
  </si>
  <si>
    <t>0005</t>
  </si>
  <si>
    <t>0006</t>
  </si>
  <si>
    <t>0007</t>
  </si>
  <si>
    <t>0008</t>
  </si>
  <si>
    <t>0009</t>
  </si>
  <si>
    <t>0010</t>
  </si>
  <si>
    <t>0011</t>
  </si>
  <si>
    <t>0012</t>
  </si>
  <si>
    <t>0013</t>
  </si>
  <si>
    <t>0014</t>
  </si>
  <si>
    <t>0015</t>
  </si>
  <si>
    <t>0016</t>
  </si>
  <si>
    <t>0017</t>
  </si>
  <si>
    <t>0018</t>
  </si>
  <si>
    <t>0019</t>
  </si>
  <si>
    <t>0020</t>
  </si>
  <si>
    <t>0021</t>
  </si>
  <si>
    <t>0022</t>
  </si>
  <si>
    <t>0023</t>
  </si>
  <si>
    <t>0024</t>
  </si>
  <si>
    <t>0025</t>
  </si>
  <si>
    <t>0026</t>
  </si>
  <si>
    <t>0027</t>
  </si>
  <si>
    <t>0028</t>
  </si>
  <si>
    <t>0029</t>
  </si>
  <si>
    <t>0030</t>
  </si>
  <si>
    <t>0031</t>
  </si>
  <si>
    <t>0032</t>
  </si>
  <si>
    <t>0033</t>
  </si>
  <si>
    <t>0034</t>
  </si>
  <si>
    <t>0035</t>
  </si>
  <si>
    <t>0036</t>
  </si>
  <si>
    <t>0037</t>
  </si>
  <si>
    <t>0038</t>
  </si>
  <si>
    <t>0039</t>
  </si>
  <si>
    <t>0040</t>
  </si>
  <si>
    <t>0042</t>
  </si>
  <si>
    <t>0043</t>
  </si>
  <si>
    <t>0044</t>
  </si>
  <si>
    <t>0045</t>
  </si>
  <si>
    <t>0046</t>
  </si>
  <si>
    <t>0047</t>
  </si>
  <si>
    <t>0048</t>
  </si>
  <si>
    <t>0049</t>
  </si>
  <si>
    <t>0050</t>
  </si>
  <si>
    <t>0051</t>
  </si>
  <si>
    <t>0052</t>
  </si>
  <si>
    <t>0053</t>
  </si>
  <si>
    <t>0054</t>
  </si>
  <si>
    <t>0055</t>
  </si>
  <si>
    <t>0056</t>
  </si>
  <si>
    <t>0057</t>
  </si>
  <si>
    <t>0058</t>
  </si>
  <si>
    <t>0059</t>
  </si>
  <si>
    <t>0060</t>
  </si>
  <si>
    <t>0061</t>
  </si>
  <si>
    <t>0062</t>
  </si>
  <si>
    <t>0063</t>
  </si>
  <si>
    <t>0064</t>
  </si>
  <si>
    <t>0065</t>
  </si>
  <si>
    <t>0066</t>
  </si>
  <si>
    <t>0067</t>
  </si>
  <si>
    <t>0068</t>
  </si>
  <si>
    <t>0069</t>
  </si>
  <si>
    <t>0070</t>
  </si>
  <si>
    <t>0071</t>
  </si>
  <si>
    <t>0072</t>
  </si>
  <si>
    <t>0073</t>
  </si>
  <si>
    <t>0074</t>
  </si>
  <si>
    <t>0075</t>
  </si>
  <si>
    <t>0076</t>
  </si>
  <si>
    <t>0077</t>
  </si>
  <si>
    <t>0078</t>
  </si>
  <si>
    <t>0079</t>
  </si>
  <si>
    <t>0080</t>
  </si>
  <si>
    <t>0081</t>
  </si>
  <si>
    <t>0082</t>
  </si>
  <si>
    <t>0083</t>
  </si>
  <si>
    <t>0084</t>
  </si>
  <si>
    <t>0085</t>
  </si>
  <si>
    <t>0086</t>
  </si>
  <si>
    <t>0087</t>
  </si>
  <si>
    <t>0088</t>
  </si>
  <si>
    <t>0089</t>
  </si>
  <si>
    <t>0090</t>
  </si>
  <si>
    <t>0091</t>
  </si>
  <si>
    <t>0092</t>
  </si>
  <si>
    <t>0093</t>
  </si>
  <si>
    <t>0094</t>
  </si>
  <si>
    <t>0095</t>
  </si>
  <si>
    <t>0096</t>
  </si>
  <si>
    <t>0097</t>
  </si>
  <si>
    <t>0098</t>
  </si>
  <si>
    <t>0099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</si>
  <si>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</si>
  <si>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</si>
  <si>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</si>
  <si>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</si>
  <si>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</si>
  <si>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</si>
  <si>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</si>
  <si>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</si>
  <si>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</si>
  <si>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</si>
  <si>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</si>
  <si>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</si>
  <si>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</si>
  <si>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</si>
  <si>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</si>
  <si>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</si>
  <si>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</si>
  <si>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</si>
  <si>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</si>
  <si>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</si>
  <si>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</si>
  <si>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</si>
  <si>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</si>
  <si>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</si>
  <si>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</si>
  <si>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</si>
  <si>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</si>
  <si>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</si>
  <si>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</si>
  <si>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</si>
  <si>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</si>
  <si>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</si>
  <si>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</si>
  <si>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</si>
  <si>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</si>
  <si>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</si>
  <si>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</si>
  <si>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</si>
  <si>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</si>
  <si>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</si>
  <si>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</si>
  <si>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</si>
  <si>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</si>
  <si>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</si>
  <si>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</si>
  <si>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</si>
  <si>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</si>
  <si>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</si>
  <si>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</si>
  <si>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</si>
  <si>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</si>
  <si>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</si>
  <si>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</si>
  <si>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</si>
  <si>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</si>
  <si>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</si>
  <si>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</si>
  <si>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</si>
  <si>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</si>
  <si>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</si>
  <si>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</si>
  <si>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</si>
  <si>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</si>
  <si>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</si>
  <si>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</si>
  <si>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</si>
  <si>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</si>
  <si>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</si>
  <si>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</si>
  <si>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</si>
  <si>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</si>
  <si>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</si>
  <si>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</si>
  <si>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</si>
  <si>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</si>
  <si>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</si>
  <si>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</si>
  <si>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</si>
  <si>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</si>
  <si>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</si>
  <si>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</si>
  <si>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</si>
  <si>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</si>
  <si>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</si>
  <si>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</si>
  <si>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</si>
  <si>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</si>
  <si>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</si>
  <si>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</si>
  <si>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</si>
  <si>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</si>
  <si>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</si>
  <si>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</si>
  <si>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</si>
  <si>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</si>
  <si>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</si>
  <si>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</si>
  <si>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</si>
  <si>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</si>
  <si>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</si>
  <si>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</si>
  <si>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</si>
  <si>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</si>
  <si>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</si>
  <si>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</si>
  <si>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</si>
  <si>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</si>
  <si>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</si>
  <si>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</si>
  <si>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</si>
  <si>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</si>
  <si>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</si>
  <si>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</si>
  <si>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</si>
  <si>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</si>
  <si>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</si>
  <si>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</si>
  <si>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</si>
  <si>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</si>
  <si>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</si>
  <si>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</si>
  <si>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</si>
  <si>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</si>
  <si>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</si>
  <si>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</si>
  <si>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</si>
  <si>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</si>
  <si>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</si>
  <si>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</si>
  <si>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</si>
  <si>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</si>
  <si>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</si>
  <si>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</si>
  <si>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</si>
  <si>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</si>
  <si>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</si>
  <si>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</si>
  <si>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</si>
  <si>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</si>
  <si>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</si>
  <si>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</si>
  <si>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</si>
  <si>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</si>
  <si>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</si>
  <si>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</si>
  <si>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</si>
  <si>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</si>
  <si>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</si>
  <si>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</si>
  <si>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</si>
  <si>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</si>
  <si>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</si>
  <si>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</si>
  <si>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</si>
  <si>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</si>
  <si>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</si>
  <si>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</si>
  <si>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</si>
  <si>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</si>
  <si>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</si>
  <si>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</si>
  <si>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</si>
  <si>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</si>
  <si>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</si>
  <si>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</si>
  <si>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</si>
  <si>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</si>
  <si>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</si>
  <si>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</si>
  <si>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</si>
  <si>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</si>
  <si>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</si>
  <si>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</si>
  <si>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</si>
  <si>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</si>
  <si>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</si>
  <si>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</si>
  <si>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</si>
  <si>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</si>
  <si>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</si>
  <si>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</si>
  <si>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</si>
  <si>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</si>
  <si>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</si>
  <si>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</si>
  <si>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</si>
  <si>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</si>
  <si>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</si>
  <si>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</si>
  <si>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</si>
  <si>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</si>
  <si>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</si>
  <si>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</si>
  <si>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</si>
  <si>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</si>
  <si>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</si>
  <si>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</si>
  <si>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</si>
  <si>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</si>
  <si>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</si>
  <si>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</si>
  <si>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</si>
  <si>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</si>
  <si>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</si>
  <si>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</si>
  <si>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</si>
  <si>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</si>
  <si>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</si>
  <si>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</si>
  <si>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</si>
  <si>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</si>
  <si>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</si>
  <si>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</si>
  <si>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</si>
  <si>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</si>
  <si>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</si>
  <si>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</si>
  <si>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</si>
  <si>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</si>
  <si>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</si>
  <si>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</si>
  <si>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</si>
  <si>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</si>
  <si>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</si>
  <si>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</si>
  <si>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</si>
  <si>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</si>
  <si>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</si>
  <si>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</si>
  <si>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</si>
  <si>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</si>
  <si>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</si>
  <si>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</si>
  <si>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</si>
  <si>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</si>
  <si>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</si>
  <si>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</si>
  <si>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</si>
  <si>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</si>
  <si>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</si>
  <si>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</si>
  <si>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</si>
  <si>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</si>
  <si>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</si>
  <si>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</si>
  <si>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</si>
  <si>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</si>
  <si>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</si>
  <si>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</si>
  <si>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</si>
  <si>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</si>
  <si>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</si>
  <si>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</si>
  <si>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</si>
  <si>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</si>
  <si>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</si>
  <si>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</si>
  <si>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</si>
  <si>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</si>
  <si>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</si>
  <si>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</si>
  <si>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</si>
  <si>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</si>
  <si>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</si>
  <si>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</si>
  <si>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</si>
  <si>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</si>
  <si>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</si>
  <si>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</si>
  <si>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</si>
  <si>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</si>
  <si>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</si>
  <si>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</si>
  <si>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</si>
  <si>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</si>
  <si>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</si>
  <si>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</si>
  <si>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</si>
  <si>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</si>
  <si>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</si>
  <si>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</si>
  <si>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</si>
  <si>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</si>
  <si>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</si>
  <si>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</si>
  <si>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</si>
  <si>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</si>
  <si>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</si>
  <si>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</si>
  <si>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</si>
  <si>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</si>
  <si>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</si>
  <si>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</si>
  <si>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</si>
  <si>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</si>
  <si>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</si>
  <si>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</si>
  <si>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</si>
  <si>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</si>
  <si>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</si>
  <si>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</si>
  <si>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</si>
  <si>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</si>
  <si>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</si>
  <si>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</si>
  <si>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</si>
  <si>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</si>
  <si>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</si>
  <si>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</si>
  <si>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</si>
  <si>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</si>
  <si>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</si>
  <si>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</si>
  <si>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</si>
  <si>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0416</t>
  </si>
  <si>
    <t>0417</t>
  </si>
  <si>
    <t>0418</t>
  </si>
  <si>
    <t>0419</t>
  </si>
  <si>
    <t>0420</t>
  </si>
  <si>
    <t>0421</t>
  </si>
  <si>
    <t>0422</t>
  </si>
  <si>
    <t>0423</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</si>
  <si>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</si>
  <si>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</si>
  <si>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</si>
  <si>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</si>
  <si>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</si>
  <si>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</si>
  <si>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</si>
  <si>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</si>
  <si>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</si>
  <si>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</si>
  <si>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</si>
  <si>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</si>
  <si>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</si>
  <si>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</si>
  <si>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</si>
  <si>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</si>
  <si>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</si>
  <si>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</si>
  <si>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</si>
  <si>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</si>
  <si>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</si>
  <si>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</si>
  <si>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</si>
  <si>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</si>
  <si>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</si>
  <si>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</si>
  <si>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</si>
  <si>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</si>
  <si>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</si>
  <si>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</si>
  <si>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</si>
  <si>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</si>
  <si>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</si>
  <si>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</si>
  <si>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</si>
  <si>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</si>
  <si>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</si>
  <si>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</si>
  <si>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</si>
  <si>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</si>
  <si>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</si>
  <si>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</si>
  <si>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</si>
  <si>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</si>
  <si>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</si>
  <si>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</si>
  <si>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</si>
  <si>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</si>
  <si>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</si>
  <si>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</si>
  <si>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</si>
  <si>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</si>
  <si>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</si>
  <si>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</si>
  <si>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</si>
  <si>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</si>
  <si>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</si>
  <si>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</si>
  <si>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</si>
  <si>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</si>
  <si>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</si>
  <si>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</si>
  <si>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</si>
  <si>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</si>
  <si>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</si>
  <si>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</si>
  <si>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</si>
  <si>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</si>
  <si>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</si>
  <si>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</si>
  <si>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</si>
  <si>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</si>
  <si>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</si>
  <si>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</si>
  <si>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</si>
  <si>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</si>
  <si>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</si>
  <si>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</si>
  <si>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</si>
  <si>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</si>
  <si>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</si>
  <si>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</si>
  <si>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</si>
  <si>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</si>
  <si>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</si>
  <si>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</si>
  <si>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</si>
  <si>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</si>
  <si>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</si>
  <si>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</si>
  <si>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</si>
  <si>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</si>
  <si>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</si>
  <si>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</si>
  <si>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</si>
  <si>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</si>
  <si>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</si>
  <si>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</si>
  <si>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</si>
  <si>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</si>
  <si>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0524</t>
  </si>
  <si>
    <t>0525</t>
  </si>
  <si>
    <t>0526</t>
  </si>
  <si>
    <t>0527</t>
  </si>
  <si>
    <t>0528</t>
  </si>
  <si>
    <t>0529</t>
  </si>
  <si>
    <t>0530</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</si>
  <si>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</si>
  <si>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</si>
  <si>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</si>
  <si>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</si>
  <si>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</si>
  <si>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</si>
  <si>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</si>
  <si>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</si>
  <si>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</si>
  <si>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</si>
  <si>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</si>
  <si>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</si>
  <si>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</si>
  <si>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</si>
  <si>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</si>
  <si>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</si>
  <si>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</si>
  <si>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</si>
  <si>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</si>
  <si>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</si>
  <si>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</si>
  <si>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</si>
  <si>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</si>
  <si>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</si>
  <si>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</si>
  <si>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</si>
  <si>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0557</t>
  </si>
  <si>
    <t>0558</t>
  </si>
  <si>
    <t>0559</t>
  </si>
  <si>
    <t>0560</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</si>
  <si>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</si>
  <si>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</si>
  <si>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</si>
  <si>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</si>
  <si>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</si>
  <si>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</si>
  <si>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</si>
  <si>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</si>
  <si>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</si>
  <si>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</si>
  <si>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</si>
  <si>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</si>
  <si>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</si>
  <si>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</si>
  <si>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</si>
  <si>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</si>
  <si>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</si>
  <si>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</si>
  <si>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</si>
  <si>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</si>
  <si>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</si>
  <si>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</si>
  <si>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</si>
  <si>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</si>
  <si>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</si>
  <si>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</si>
  <si>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</si>
  <si>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0588</t>
  </si>
  <si>
    <t>0589</t>
  </si>
  <si>
    <t>0590</t>
  </si>
  <si>
    <t>0591</t>
  </si>
  <si>
    <t>0592</t>
  </si>
  <si>
    <t>0593</t>
  </si>
  <si>
    <t>0594</t>
  </si>
  <si>
    <t>0595</t>
  </si>
  <si>
    <t>0596</t>
  </si>
  <si>
    <t>0597</t>
  </si>
  <si>
    <t>0598</t>
  </si>
  <si>
    <t>0599</t>
  </si>
  <si>
    <t>0600</t>
  </si>
  <si>
    <t>0601</t>
  </si>
  <si>
    <t>0602</t>
  </si>
  <si>
    <t>0603</t>
  </si>
  <si>
    <t>0604</t>
  </si>
  <si>
    <t>0605</t>
  </si>
  <si>
    <t>0606</t>
  </si>
  <si>
    <t>0607</t>
  </si>
  <si>
    <t>0608</t>
  </si>
  <si>
    <t>0609</t>
  </si>
  <si>
    <t>0610</t>
  </si>
  <si>
    <t>0611</t>
  </si>
  <si>
    <t>0612</t>
  </si>
  <si>
    <t>0613</t>
  </si>
  <si>
    <t>0614</t>
  </si>
  <si>
    <t>0615</t>
  </si>
  <si>
    <t>0616</t>
  </si>
  <si>
    <t>0617</t>
  </si>
  <si>
    <t>0618</t>
  </si>
  <si>
    <t>0619</t>
  </si>
  <si>
    <t>0620</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</si>
  <si>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</si>
  <si>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</si>
  <si>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</si>
  <si>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</si>
  <si>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</si>
  <si>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</si>
  <si>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</si>
  <si>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</si>
  <si>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</si>
  <si>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</si>
  <si>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</si>
  <si>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</si>
  <si>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</si>
  <si>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</si>
  <si>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</si>
  <si>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</si>
  <si>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</si>
  <si>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</si>
  <si>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</si>
  <si>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</si>
  <si>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</si>
  <si>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</si>
  <si>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</si>
  <si>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</si>
  <si>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</si>
  <si>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</si>
  <si>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</si>
  <si>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</si>
  <si>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</si>
  <si>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</si>
  <si>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</si>
  <si>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</si>
  <si>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</si>
  <si>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</si>
  <si>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</si>
  <si>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</si>
  <si>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</si>
  <si>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</si>
  <si>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</si>
  <si>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</si>
  <si>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</si>
  <si>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</si>
  <si>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</si>
  <si>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</si>
  <si>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</si>
  <si>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</si>
  <si>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</si>
  <si>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</si>
  <si>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</si>
  <si>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</si>
  <si>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</si>
  <si>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</si>
  <si>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</si>
  <si>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</si>
  <si>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</si>
  <si>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</si>
  <si>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</si>
  <si>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</si>
  <si>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</si>
  <si>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</si>
  <si>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</si>
  <si>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</si>
  <si>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</si>
  <si>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</si>
  <si>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</si>
  <si>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</si>
  <si>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</si>
  <si>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</si>
  <si>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</si>
  <si>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</si>
  <si>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</si>
  <si>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</si>
  <si>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</si>
  <si>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</si>
  <si>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</si>
  <si>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</si>
  <si>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</si>
  <si>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</si>
  <si>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</si>
  <si>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</si>
  <si>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</si>
  <si>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</si>
  <si>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</si>
  <si>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</si>
  <si>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</si>
  <si>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</si>
  <si>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</si>
  <si>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</si>
  <si>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</si>
  <si>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</si>
  <si>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</si>
  <si>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</si>
  <si>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</si>
  <si>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</si>
  <si>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</si>
  <si>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</si>
  <si>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</si>
  <si>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</si>
  <si>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</si>
  <si>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</si>
  <si>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</si>
  <si>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</si>
  <si>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</si>
  <si>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</si>
  <si>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</si>
  <si>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</si>
  <si>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</si>
  <si>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</si>
  <si>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</si>
  <si>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</si>
  <si>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</si>
  <si>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</si>
  <si>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</si>
  <si>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</si>
  <si>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</si>
  <si>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</si>
  <si>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</si>
  <si>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</si>
  <si>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</si>
  <si>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</si>
  <si>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</si>
  <si>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</si>
  <si>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</si>
  <si>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</si>
  <si>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</si>
  <si>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</si>
  <si>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0747</t>
  </si>
  <si>
    <t>0748</t>
  </si>
  <si>
    <t>0749</t>
  </si>
  <si>
    <t>0750</t>
  </si>
  <si>
    <t>0751</t>
  </si>
  <si>
    <t>0752</t>
  </si>
  <si>
    <t>0753</t>
  </si>
  <si>
    <t>0754</t>
  </si>
  <si>
    <t>0755</t>
  </si>
  <si>
    <t>0756</t>
  </si>
  <si>
    <t>0757</t>
  </si>
  <si>
    <t>0758</t>
  </si>
  <si>
    <t>0759</t>
  </si>
  <si>
    <t>0760</t>
  </si>
  <si>
    <t>0761</t>
  </si>
  <si>
    <t>0762</t>
  </si>
  <si>
    <t>0763</t>
  </si>
  <si>
    <t>0764</t>
  </si>
  <si>
    <t>0765</t>
  </si>
  <si>
    <t>0766</t>
  </si>
  <si>
    <t>0767</t>
  </si>
  <si>
    <t>0768</t>
  </si>
  <si>
    <t>0769</t>
  </si>
  <si>
    <t>0770</t>
  </si>
  <si>
    <t>0771</t>
  </si>
  <si>
    <t>0772</t>
  </si>
  <si>
    <t>0773</t>
  </si>
  <si>
    <t>0774</t>
  </si>
  <si>
    <t>0775</t>
  </si>
  <si>
    <t>0776</t>
  </si>
  <si>
    <t>0777</t>
  </si>
  <si>
    <t>0778</t>
  </si>
  <si>
    <t>0779</t>
  </si>
  <si>
    <t>0780</t>
  </si>
  <si>
    <t>0781</t>
  </si>
  <si>
    <t>0782</t>
  </si>
  <si>
    <t>0783</t>
  </si>
  <si>
    <t>0784</t>
  </si>
  <si>
    <t>0785</t>
  </si>
  <si>
    <t>0786</t>
  </si>
  <si>
    <t>0787</t>
  </si>
  <si>
    <t>0788</t>
  </si>
  <si>
    <t>0789</t>
  </si>
  <si>
    <t>0790</t>
  </si>
  <si>
    <t>0791</t>
  </si>
  <si>
    <t>0792</t>
  </si>
  <si>
    <t>0793</t>
  </si>
  <si>
    <t>0794</t>
  </si>
  <si>
    <t>0795</t>
  </si>
  <si>
    <t>0796</t>
  </si>
  <si>
    <t>0797</t>
  </si>
  <si>
    <t>0798</t>
  </si>
  <si>
    <t>0799</t>
  </si>
  <si>
    <t>0800</t>
  </si>
  <si>
    <t>0801</t>
  </si>
  <si>
    <t>0802</t>
  </si>
  <si>
    <t>0803</t>
  </si>
  <si>
    <t>0804</t>
  </si>
  <si>
    <t>0805</t>
  </si>
  <si>
    <t>0806</t>
  </si>
  <si>
    <t>0807</t>
  </si>
  <si>
    <t>0808</t>
  </si>
  <si>
    <t>0809</t>
  </si>
  <si>
    <t>0810</t>
  </si>
  <si>
    <t>0811</t>
  </si>
  <si>
    <t>0812</t>
  </si>
  <si>
    <t>0813</t>
  </si>
  <si>
    <t>0814</t>
  </si>
  <si>
    <t>0815</t>
  </si>
  <si>
    <t>0816</t>
  </si>
  <si>
    <t>0817</t>
  </si>
  <si>
    <t>0818</t>
  </si>
  <si>
    <t>0819</t>
  </si>
  <si>
    <t>0820</t>
  </si>
  <si>
    <t>0821</t>
  </si>
  <si>
    <t>0822</t>
  </si>
  <si>
    <t>0823</t>
  </si>
  <si>
    <t>0824</t>
  </si>
  <si>
    <t>0825</t>
  </si>
  <si>
    <t>0826</t>
  </si>
  <si>
    <t>0827</t>
  </si>
  <si>
    <t>0828</t>
  </si>
  <si>
    <t>0829</t>
  </si>
  <si>
    <t>0830</t>
  </si>
  <si>
    <t>0831</t>
  </si>
  <si>
    <t>0832</t>
  </si>
  <si>
    <t>0833</t>
  </si>
  <si>
    <t>0834</t>
  </si>
  <si>
    <t>0835</t>
  </si>
  <si>
    <t>0836</t>
  </si>
  <si>
    <t>0837</t>
  </si>
  <si>
    <t>0838</t>
  </si>
  <si>
    <t>0839</t>
  </si>
  <si>
    <t>0840</t>
  </si>
  <si>
    <t>0841</t>
  </si>
  <si>
    <t>0842</t>
  </si>
  <si>
    <t>0843</t>
  </si>
  <si>
    <t>0844</t>
  </si>
  <si>
    <t>0845</t>
  </si>
  <si>
    <t>0846</t>
  </si>
  <si>
    <t>0847</t>
  </si>
  <si>
    <t>0848</t>
  </si>
  <si>
    <t>0849</t>
  </si>
  <si>
    <t>0850</t>
  </si>
  <si>
    <t>0851</t>
  </si>
  <si>
    <t>0852</t>
  </si>
  <si>
    <t>0853</t>
  </si>
  <si>
    <t>0854</t>
  </si>
  <si>
    <t>0855</t>
  </si>
  <si>
    <t>0856</t>
  </si>
  <si>
    <t>0857</t>
  </si>
  <si>
    <t>0858</t>
  </si>
  <si>
    <t>0859</t>
  </si>
  <si>
    <t>0860</t>
  </si>
  <si>
    <t>0861</t>
  </si>
  <si>
    <t>0862</t>
  </si>
  <si>
    <t>0863</t>
  </si>
  <si>
    <t>0864</t>
  </si>
  <si>
    <t>0865</t>
  </si>
  <si>
    <t>0866</t>
  </si>
  <si>
    <t>0867</t>
  </si>
  <si>
    <t>0868</t>
  </si>
  <si>
    <t>0869</t>
  </si>
  <si>
    <t>0870</t>
  </si>
  <si>
    <t>0871</t>
  </si>
  <si>
    <t>0872</t>
  </si>
  <si>
    <t>0873</t>
  </si>
  <si>
    <t>0874</t>
  </si>
  <si>
    <t>0875</t>
  </si>
  <si>
    <t>0876</t>
  </si>
  <si>
    <t>0877</t>
  </si>
  <si>
    <t>0878</t>
  </si>
  <si>
    <t>0879</t>
  </si>
  <si>
    <t>0880</t>
  </si>
  <si>
    <t>0881</t>
  </si>
  <si>
    <t>0882</t>
  </si>
  <si>
    <t>0883</t>
  </si>
  <si>
    <t>0884</t>
  </si>
  <si>
    <t>0885</t>
  </si>
  <si>
    <t>0886</t>
  </si>
  <si>
    <t>0887</t>
  </si>
  <si>
    <t>0888</t>
  </si>
  <si>
    <t>0889</t>
  </si>
  <si>
    <t>0890</t>
  </si>
  <si>
    <t>0891</t>
  </si>
  <si>
    <t>0892</t>
  </si>
  <si>
    <t>0893</t>
  </si>
  <si>
    <t>0894</t>
  </si>
  <si>
    <t>0895</t>
  </si>
  <si>
    <t>0896</t>
  </si>
  <si>
    <t>0897</t>
  </si>
  <si>
    <t>0898</t>
  </si>
  <si>
    <t>0899</t>
  </si>
  <si>
    <t>0900</t>
  </si>
  <si>
    <t>0901</t>
  </si>
  <si>
    <t>0902</t>
  </si>
  <si>
    <t>0903</t>
  </si>
  <si>
    <t>0904</t>
  </si>
  <si>
    <t>0905</t>
  </si>
  <si>
    <t>0906</t>
  </si>
  <si>
    <t>0907</t>
  </si>
  <si>
    <t>0908</t>
  </si>
  <si>
    <t>0909</t>
  </si>
  <si>
    <t>0910</t>
  </si>
  <si>
    <t>0911</t>
  </si>
  <si>
    <t>0912</t>
  </si>
  <si>
    <t>0913</t>
  </si>
  <si>
    <t>0914</t>
  </si>
  <si>
    <t>0915</t>
  </si>
  <si>
    <t>0916</t>
  </si>
  <si>
    <t>0917</t>
  </si>
  <si>
    <t>0918</t>
  </si>
  <si>
    <t>0919</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</si>
  <si>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</si>
  <si>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</si>
  <si>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</si>
  <si>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</si>
  <si>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</si>
  <si>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</si>
  <si>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</si>
  <si>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</si>
  <si>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</si>
  <si>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</si>
  <si>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</si>
  <si>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</si>
  <si>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</si>
  <si>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</si>
  <si>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</si>
  <si>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</si>
  <si>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</si>
  <si>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</si>
  <si>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</si>
  <si>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</si>
  <si>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</si>
  <si>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</si>
  <si>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</si>
  <si>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</si>
  <si>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</si>
  <si>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</si>
  <si>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</si>
  <si>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</si>
  <si>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</si>
  <si>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</si>
  <si>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</si>
  <si>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</si>
  <si>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</si>
  <si>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</si>
  <si>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</si>
  <si>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0955</t>
  </si>
  <si>
    <t>0956</t>
  </si>
  <si>
    <t>0957</t>
  </si>
  <si>
    <t>0958</t>
  </si>
  <si>
    <t>0959</t>
  </si>
  <si>
    <t>0960</t>
  </si>
  <si>
    <t>0961</t>
  </si>
  <si>
    <t>0962</t>
  </si>
  <si>
    <t>0963</t>
  </si>
  <si>
    <t>0964</t>
  </si>
  <si>
    <t>0965</t>
  </si>
  <si>
    <t>0966</t>
  </si>
  <si>
    <t>0967</t>
  </si>
  <si>
    <t>0968</t>
  </si>
  <si>
    <t>0969</t>
  </si>
  <si>
    <t>0970</t>
  </si>
  <si>
    <t>0971</t>
  </si>
  <si>
    <t>0972</t>
  </si>
  <si>
    <t>0973</t>
  </si>
  <si>
    <t>0974</t>
  </si>
  <si>
    <t>0975</t>
  </si>
  <si>
    <t>0976</t>
  </si>
  <si>
    <t>0977</t>
  </si>
  <si>
    <t>0978</t>
  </si>
  <si>
    <t>0979</t>
  </si>
  <si>
    <t>0980</t>
  </si>
  <si>
    <t>0981</t>
  </si>
  <si>
    <t>0982</t>
  </si>
  <si>
    <t>0983</t>
  </si>
  <si>
    <t>0984</t>
  </si>
  <si>
    <t>0985</t>
  </si>
  <si>
    <t>0986</t>
  </si>
  <si>
    <t>0987</t>
  </si>
  <si>
    <t>0988</t>
  </si>
  <si>
    <t>0989</t>
  </si>
  <si>
    <t>0990</t>
  </si>
  <si>
    <t>0991</t>
  </si>
  <si>
    <t>0992</t>
  </si>
  <si>
    <t>0993</t>
  </si>
  <si>
    <t>0994</t>
  </si>
  <si>
    <t>0995</t>
  </si>
  <si>
    <t>0996</t>
  </si>
  <si>
    <t>0997</t>
  </si>
  <si>
    <t>0998</t>
  </si>
  <si>
    <t>0999</t>
  </si>
  <si>
    <t>1000</t>
  </si>
  <si>
    <t>1001</t>
  </si>
  <si>
    <t>1002</t>
  </si>
  <si>
    <t>1003</t>
  </si>
  <si>
    <t>1004</t>
  </si>
  <si>
    <t>1005</t>
  </si>
  <si>
    <t>1006</t>
  </si>
  <si>
    <t>1008</t>
  </si>
  <si>
    <t>1009</t>
  </si>
  <si>
    <t>1010</t>
  </si>
  <si>
    <t>1011</t>
  </si>
  <si>
    <t>1012</t>
  </si>
  <si>
    <t>1013</t>
  </si>
  <si>
    <t>1014</t>
  </si>
  <si>
    <t>1015</t>
  </si>
  <si>
    <t>1016</t>
  </si>
  <si>
    <t>1017</t>
  </si>
  <si>
    <t>1007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</si>
  <si>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</si>
  <si>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</si>
  <si>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</si>
  <si>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</si>
  <si>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</si>
  <si>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</si>
  <si>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</si>
  <si>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</si>
  <si>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</si>
  <si>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</si>
  <si>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</si>
  <si>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</si>
  <si>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</si>
  <si>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</si>
  <si>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</si>
  <si>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</si>
  <si>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</si>
  <si>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</si>
  <si>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</si>
  <si>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</si>
  <si>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</si>
  <si>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</si>
  <si>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</si>
  <si>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</si>
  <si>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</si>
  <si>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</si>
  <si>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</si>
  <si>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</si>
  <si>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</si>
  <si>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</si>
  <si>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</si>
  <si>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</si>
  <si>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</si>
  <si>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</si>
  <si>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</si>
  <si>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</si>
  <si>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</si>
  <si>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</si>
  <si>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</si>
  <si>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</si>
  <si>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</si>
  <si>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</si>
  <si>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</si>
  <si>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</si>
  <si>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</si>
  <si>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</si>
  <si>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</si>
  <si>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</si>
  <si>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</si>
  <si>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</si>
  <si>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</si>
  <si>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</si>
  <si>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</si>
  <si>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</si>
  <si>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</si>
  <si>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</si>
  <si>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</si>
  <si>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</si>
  <si>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</si>
  <si>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</si>
  <si>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</si>
  <si>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</si>
  <si>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</si>
  <si>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</si>
  <si>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</si>
  <si>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</si>
  <si>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</si>
  <si>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</si>
  <si>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</si>
  <si>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</si>
  <si>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</si>
  <si>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</si>
  <si>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</si>
  <si>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</si>
  <si>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</si>
  <si>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</si>
  <si>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</si>
  <si>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</si>
  <si>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</si>
  <si>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</si>
  <si>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</si>
  <si>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</si>
  <si>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</si>
  <si>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</si>
  <si>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</si>
  <si>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</si>
  <si>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</si>
  <si>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</si>
  <si>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</si>
  <si>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</si>
  <si>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</si>
  <si>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</si>
  <si>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</si>
  <si>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</si>
  <si>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</si>
  <si>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</si>
  <si>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</si>
  <si>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</si>
  <si>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</si>
  <si>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</si>
  <si>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</si>
  <si>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</si>
  <si>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</si>
  <si>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</si>
  <si>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</si>
  <si>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</si>
  <si>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</si>
  <si>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</si>
  <si>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</si>
  <si>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</si>
  <si>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</si>
  <si>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</si>
  <si>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</si>
  <si>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</si>
  <si>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</si>
  <si>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</si>
  <si>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</si>
  <si>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</si>
  <si>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</si>
  <si>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</si>
  <si>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</si>
  <si>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</si>
  <si>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</si>
  <si>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</si>
  <si>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</si>
  <si>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</si>
  <si>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</si>
  <si>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</si>
  <si>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</si>
  <si>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</si>
  <si>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</si>
  <si>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</si>
  <si>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</si>
  <si>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</si>
  <si>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</si>
  <si>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</si>
  <si>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</si>
  <si>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</si>
  <si>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</si>
  <si>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</si>
  <si>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</si>
  <si>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</si>
  <si>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</si>
  <si>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</si>
  <si>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</si>
  <si>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</si>
  <si>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</si>
  <si>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</si>
  <si>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</si>
  <si>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</si>
  <si>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</si>
  <si>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</si>
  <si>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</si>
  <si>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</si>
  <si>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</si>
  <si>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</si>
  <si>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</si>
  <si>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</si>
  <si>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</si>
  <si>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</si>
  <si>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</si>
  <si>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</si>
  <si>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</si>
  <si>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</si>
  <si>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</si>
  <si>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</si>
  <si>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</si>
  <si>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</si>
  <si>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</si>
  <si>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</si>
  <si>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</si>
  <si>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</si>
  <si>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</si>
  <si>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</si>
  <si>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</si>
  <si>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</si>
  <si>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</si>
  <si>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</si>
  <si>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</si>
  <si>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</si>
  <si>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</si>
  <si>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</si>
  <si>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</si>
  <si>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</si>
  <si>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</si>
  <si>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</si>
  <si>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</si>
  <si>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</si>
  <si>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</si>
  <si>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</si>
  <si>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</si>
  <si>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</si>
  <si>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</si>
  <si>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</si>
  <si>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</si>
  <si>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</si>
  <si>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</si>
  <si>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</si>
  <si>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</si>
  <si>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</si>
  <si>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</si>
  <si>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</si>
  <si>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</si>
  <si>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</si>
  <si>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</si>
  <si>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</si>
  <si>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</si>
  <si>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</si>
  <si>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</si>
  <si>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</si>
  <si>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</si>
  <si>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</si>
  <si>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</si>
  <si>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</si>
  <si>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</si>
  <si>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</si>
  <si>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</si>
  <si>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</si>
  <si>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</si>
  <si>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</si>
  <si>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</si>
  <si>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</si>
  <si>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</si>
  <si>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</si>
  <si>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</si>
  <si>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</si>
  <si>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</si>
  <si>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</si>
  <si>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</si>
  <si>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</si>
  <si>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</si>
  <si>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</si>
  <si>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</si>
  <si>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</si>
  <si>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</si>
  <si>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</si>
  <si>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</si>
  <si>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</si>
  <si>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</si>
  <si>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</si>
  <si>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</si>
  <si>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</si>
  <si>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</si>
  <si>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1262</t>
  </si>
  <si>
    <t>1263</t>
  </si>
  <si>
    <t>1264</t>
  </si>
  <si>
    <t>1265</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</si>
  <si>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</si>
  <si>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</si>
  <si>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</si>
  <si>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</si>
  <si>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</si>
  <si>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</si>
  <si>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</si>
  <si>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</si>
  <si>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</si>
  <si>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</si>
  <si>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</si>
  <si>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</si>
  <si>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</si>
  <si>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</si>
  <si>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</si>
  <si>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</si>
  <si>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</si>
  <si>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</si>
  <si>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</si>
  <si>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</si>
  <si>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</si>
  <si>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</si>
  <si>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</si>
  <si>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</si>
  <si>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</si>
  <si>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</si>
  <si>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</si>
  <si>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</si>
  <si>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</si>
  <si>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</si>
  <si>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</si>
  <si>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</si>
  <si>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</si>
  <si>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</si>
  <si>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</si>
  <si>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</si>
  <si>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</si>
  <si>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</si>
  <si>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</si>
  <si>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</si>
  <si>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</si>
  <si>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</si>
  <si>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</si>
  <si>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</si>
  <si>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</si>
  <si>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</si>
  <si>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</si>
  <si>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</si>
  <si>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</si>
  <si>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</si>
  <si>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</si>
  <si>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</si>
  <si>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</si>
  <si>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</si>
  <si>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</si>
  <si>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</si>
  <si>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</si>
  <si>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</si>
  <si>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</si>
  <si>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</si>
  <si>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</si>
  <si>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</si>
  <si>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</si>
  <si>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</si>
  <si>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</si>
  <si>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</si>
  <si>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</si>
  <si>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</si>
  <si>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</si>
  <si>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</si>
  <si>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</si>
  <si>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</si>
  <si>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</si>
  <si>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</si>
  <si>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</si>
  <si>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</si>
  <si>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</si>
  <si>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</si>
  <si>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</si>
  <si>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</si>
  <si>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</si>
  <si>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</si>
  <si>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</si>
  <si>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</si>
  <si>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</si>
  <si>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</si>
  <si>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</si>
  <si>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</si>
  <si>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</si>
  <si>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</si>
  <si>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</si>
  <si>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</si>
  <si>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</si>
  <si>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</si>
  <si>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</si>
  <si>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</si>
  <si>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</si>
  <si>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</si>
  <si>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</si>
  <si>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</si>
  <si>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</si>
  <si>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</si>
  <si>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</si>
  <si>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</si>
  <si>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</si>
  <si>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</si>
  <si>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</si>
  <si>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</si>
  <si>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</si>
  <si>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</si>
  <si>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</si>
  <si>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</si>
  <si>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</si>
  <si>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</si>
  <si>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</si>
  <si>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</si>
  <si>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</si>
  <si>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</si>
  <si>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</si>
  <si>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</si>
  <si>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</si>
  <si>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</si>
  <si>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</si>
  <si>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</si>
  <si>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</si>
  <si>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</si>
  <si>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</si>
  <si>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</si>
  <si>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</si>
  <si>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</si>
  <si>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</si>
  <si>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</si>
  <si>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</si>
  <si>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</si>
  <si>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</si>
  <si>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</si>
  <si>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</si>
  <si>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</si>
  <si>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</si>
  <si>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</si>
  <si>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</si>
  <si>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</si>
  <si>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</si>
  <si>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</si>
  <si>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</si>
  <si>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</si>
  <si>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</si>
  <si>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</si>
  <si>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</si>
  <si>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</si>
  <si>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</si>
  <si>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</si>
  <si>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</si>
  <si>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</si>
  <si>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</si>
  <si>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</si>
  <si>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</si>
  <si>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</si>
  <si>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</si>
  <si>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</si>
  <si>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</si>
  <si>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</si>
  <si>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</si>
  <si>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</si>
  <si>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</si>
  <si>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</si>
  <si>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</si>
  <si>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</si>
  <si>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</si>
  <si>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</si>
  <si>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</si>
  <si>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</si>
  <si>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</si>
  <si>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</si>
  <si>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</si>
  <si>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</si>
  <si>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</si>
  <si>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</si>
  <si>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</si>
  <si>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</si>
  <si>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</si>
  <si>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</si>
  <si>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</si>
  <si>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</si>
  <si>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</si>
  <si>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</si>
  <si>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</si>
  <si>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</si>
  <si>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</si>
  <si>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</si>
  <si>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</si>
  <si>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</si>
  <si>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</si>
  <si>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</si>
  <si>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</si>
  <si>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</si>
  <si>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</si>
  <si>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</si>
  <si>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</si>
  <si>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</si>
  <si>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</si>
  <si>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</si>
  <si>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</si>
  <si>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</si>
  <si>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</si>
  <si>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</si>
  <si>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</si>
  <si>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</si>
  <si>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</si>
  <si>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</si>
  <si>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</si>
  <si>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</si>
  <si>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</si>
  <si>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</si>
  <si>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</si>
  <si>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</si>
  <si>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</si>
  <si>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</si>
  <si>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</si>
  <si>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</si>
  <si>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</si>
  <si>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</si>
  <si>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</si>
  <si>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</si>
  <si>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</si>
  <si>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</si>
  <si>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</si>
  <si>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</si>
  <si>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</si>
  <si>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</si>
  <si>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</si>
  <si>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</si>
  <si>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</si>
  <si>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</si>
  <si>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</si>
  <si>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</si>
  <si>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</si>
  <si>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</si>
  <si>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</si>
  <si>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</si>
  <si>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</si>
  <si>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</si>
  <si>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</si>
  <si>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</si>
  <si>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</si>
  <si>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</si>
  <si>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</si>
  <si>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</si>
  <si>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</si>
  <si>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</si>
  <si>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</si>
  <si>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</si>
  <si>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</si>
  <si>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</si>
  <si>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</si>
  <si>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</si>
  <si>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</si>
  <si>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</si>
  <si>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</si>
  <si>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</si>
  <si>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</si>
  <si>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</si>
  <si>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</si>
  <si>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</si>
  <si>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</si>
  <si>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</si>
  <si>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</si>
  <si>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</si>
  <si>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</si>
  <si>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</si>
  <si>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</si>
  <si>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</si>
  <si>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</si>
  <si>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</si>
  <si>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</si>
  <si>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</si>
  <si>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</si>
  <si>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</si>
  <si>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</si>
  <si>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</si>
  <si>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</si>
  <si>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</si>
  <si>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</si>
  <si>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</si>
  <si>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</si>
  <si>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</si>
  <si>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</si>
  <si>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</si>
  <si>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</si>
  <si>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</si>
  <si>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</si>
  <si>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</si>
  <si>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</si>
  <si>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</si>
  <si>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</si>
  <si>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</si>
  <si>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</si>
  <si>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</si>
  <si>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</si>
  <si>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</si>
  <si>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</si>
  <si>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</si>
  <si>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</si>
  <si>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</si>
  <si>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</si>
  <si>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</si>
  <si>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</si>
  <si>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</si>
  <si>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</si>
  <si>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</si>
  <si>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</si>
  <si>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</si>
  <si>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</si>
  <si>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</si>
  <si>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</si>
  <si>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</si>
  <si>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</si>
  <si>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</si>
  <si>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</si>
  <si>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</si>
  <si>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</si>
  <si>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</si>
  <si>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</si>
  <si>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</si>
  <si>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</si>
  <si>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</si>
  <si>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</si>
  <si>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</si>
  <si>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</si>
  <si>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</si>
  <si>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</si>
  <si>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</si>
  <si>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</si>
  <si>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</si>
  <si>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</si>
  <si>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</si>
  <si>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</si>
  <si>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</si>
  <si>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</si>
  <si>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</si>
  <si>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</si>
  <si>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</si>
  <si>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</si>
  <si>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</si>
  <si>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</si>
  <si>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</si>
  <si>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</si>
  <si>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</si>
  <si>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</si>
  <si>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</si>
  <si>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</si>
  <si>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</si>
  <si>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</si>
  <si>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</si>
  <si>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</si>
  <si>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</si>
  <si>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</si>
  <si>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</si>
  <si>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</si>
  <si>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</si>
  <si>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</si>
  <si>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</si>
  <si>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</si>
  <si>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</si>
  <si>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</si>
  <si>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</si>
  <si>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</si>
  <si>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</si>
  <si>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</si>
  <si>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</si>
  <si>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</si>
  <si>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</si>
  <si>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</si>
  <si>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</si>
  <si>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</si>
  <si>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</si>
  <si>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</si>
  <si>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</si>
  <si>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</si>
  <si>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</si>
  <si>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</si>
  <si>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</si>
  <si>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</si>
  <si>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</si>
  <si>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</si>
  <si>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</si>
  <si>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</si>
  <si>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</si>
  <si>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</si>
  <si>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</si>
  <si>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</si>
  <si>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</si>
  <si>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</si>
  <si>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</si>
  <si>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</si>
  <si>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</si>
  <si>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</si>
  <si>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</si>
  <si>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</si>
  <si>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</si>
  <si>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</si>
  <si>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</si>
  <si>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</si>
  <si>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</si>
  <si>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</si>
  <si>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</si>
  <si>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</si>
  <si>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</si>
  <si>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</si>
  <si>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</si>
  <si>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</si>
  <si>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</si>
  <si>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</si>
  <si>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</si>
  <si>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</si>
  <si>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</si>
  <si>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</si>
  <si>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</si>
  <si>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</si>
  <si>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</si>
  <si>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</si>
  <si>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</si>
  <si>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</si>
  <si>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</si>
  <si>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</si>
  <si>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</si>
  <si>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</si>
  <si>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</si>
  <si>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</si>
  <si>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</si>
  <si>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</si>
  <si>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</si>
  <si>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</si>
  <si>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</si>
  <si>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</si>
  <si>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</si>
  <si>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</si>
  <si>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</si>
  <si>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</si>
  <si>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</si>
  <si>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</si>
  <si>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</si>
  <si>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</si>
  <si>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</si>
  <si>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</si>
  <si>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</si>
  <si>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</si>
  <si>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</si>
  <si>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</si>
  <si>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</si>
  <si>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</si>
  <si>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</si>
  <si>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</si>
  <si>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</si>
  <si>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</si>
  <si>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</si>
  <si>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</si>
  <si>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</si>
  <si>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</si>
  <si>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</si>
  <si>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</si>
  <si>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</si>
  <si>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</si>
  <si>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</si>
  <si>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</si>
  <si>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</si>
  <si>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</si>
  <si>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</si>
  <si>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</si>
  <si>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</si>
  <si>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</si>
  <si>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</si>
  <si>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</si>
  <si>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</si>
  <si>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</si>
  <si>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</si>
  <si>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</si>
  <si>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</si>
  <si>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</si>
  <si>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</si>
  <si>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</si>
  <si>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</si>
  <si>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</si>
  <si>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</si>
  <si>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</si>
  <si>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</si>
  <si>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</si>
  <si>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</si>
  <si>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</si>
  <si>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</si>
  <si>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</si>
  <si>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</si>
  <si>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</si>
  <si>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</si>
  <si>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</si>
  <si>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</si>
  <si>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</si>
  <si>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</si>
  <si>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</si>
  <si>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</si>
  <si>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</si>
  <si>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</si>
  <si>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</si>
  <si>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</si>
  <si>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</si>
  <si>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</si>
  <si>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</si>
  <si>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</si>
  <si>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</si>
  <si>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</si>
  <si>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</si>
  <si>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</si>
  <si>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</si>
  <si>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</si>
  <si>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</si>
  <si>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</si>
  <si>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</si>
  <si>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</si>
  <si>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</si>
  <si>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</si>
  <si>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</si>
  <si>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</si>
  <si>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</si>
  <si>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</si>
  <si>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</si>
  <si>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</si>
  <si>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</si>
  <si>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</si>
  <si>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</si>
  <si>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</si>
  <si>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</si>
  <si>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</si>
  <si>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</si>
  <si>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</si>
  <si>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</si>
  <si>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</si>
  <si>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</si>
  <si>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</si>
  <si>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</si>
  <si>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</si>
  <si>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</si>
  <si>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</si>
  <si>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</si>
  <si>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</si>
  <si>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</si>
  <si>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</si>
  <si>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</si>
  <si>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</si>
  <si>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</si>
  <si>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</si>
  <si>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</si>
  <si>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</si>
  <si>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</si>
  <si>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</si>
  <si>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</si>
  <si>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</si>
  <si>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</si>
  <si>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</si>
  <si>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</si>
  <si>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</si>
  <si>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</si>
  <si>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</si>
  <si>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</si>
  <si>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</si>
  <si>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</si>
  <si>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</si>
  <si>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</si>
  <si>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</si>
  <si>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</si>
  <si>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</si>
  <si>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</si>
  <si>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</si>
  <si>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</si>
  <si>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</si>
  <si>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</si>
  <si>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</si>
  <si>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</si>
  <si>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</si>
  <si>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</si>
  <si>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</si>
  <si>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</si>
  <si>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</si>
  <si>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</si>
  <si>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</si>
  <si>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</si>
  <si>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</si>
  <si>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</si>
  <si>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</si>
  <si>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</si>
  <si>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</si>
  <si>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</si>
  <si>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</si>
  <si>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</si>
  <si>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</si>
  <si>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</si>
  <si>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</si>
  <si>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</si>
  <si>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</si>
  <si>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</si>
  <si>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</si>
  <si>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</si>
  <si>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</si>
  <si>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</si>
  <si>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</si>
  <si>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</si>
  <si>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</si>
  <si>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</si>
  <si>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</si>
  <si>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</si>
  <si>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</si>
  <si>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</si>
  <si>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</si>
  <si>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</si>
  <si>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</si>
  <si>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</si>
  <si>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</si>
  <si>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</si>
  <si>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</si>
  <si>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</si>
  <si>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</si>
  <si>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</si>
  <si>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</si>
  <si>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</si>
  <si>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</si>
  <si>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</si>
  <si>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</si>
  <si>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</si>
  <si>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</si>
  <si>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</si>
  <si>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</si>
  <si>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</si>
  <si>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</si>
  <si>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</si>
  <si>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</si>
  <si>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</si>
  <si>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</si>
  <si>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</si>
  <si>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</si>
  <si>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</si>
  <si>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</si>
  <si>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</si>
  <si>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</si>
  <si>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</si>
  <si>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</si>
  <si>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</si>
  <si>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</si>
  <si>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</si>
  <si>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</si>
  <si>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</si>
  <si>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</si>
  <si>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</si>
  <si>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</si>
  <si>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</si>
  <si>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</si>
  <si>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</si>
  <si>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</si>
  <si>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</si>
  <si>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</si>
  <si>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</si>
  <si>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</si>
  <si>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</si>
  <si>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</si>
  <si>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</si>
  <si>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</si>
  <si>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</si>
  <si>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</si>
  <si>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</si>
  <si>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</si>
  <si>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</si>
  <si>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</si>
  <si>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</si>
  <si>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</si>
  <si>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</si>
  <si>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</si>
  <si>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</si>
  <si>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</si>
  <si>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</si>
  <si>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</si>
  <si>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</si>
  <si>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</si>
  <si>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</si>
  <si>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</si>
  <si>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</si>
  <si>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</si>
  <si>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</si>
  <si>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</si>
  <si>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</si>
  <si>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</si>
  <si>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</si>
  <si>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</si>
  <si>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</si>
  <si>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</si>
  <si>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</si>
  <si>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</si>
  <si>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</si>
  <si>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</si>
  <si>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</si>
  <si>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</si>
  <si>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</si>
  <si>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</si>
  <si>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</si>
  <si>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</si>
  <si>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</si>
  <si>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</si>
  <si>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</si>
  <si>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</si>
  <si>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</si>
  <si>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</si>
  <si>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</si>
  <si>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</si>
  <si>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</si>
  <si>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</si>
  <si>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</si>
  <si>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</si>
  <si>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</si>
  <si>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</si>
  <si>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</si>
  <si>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</si>
  <si>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</si>
  <si>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</si>
  <si>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</si>
  <si>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</si>
  <si>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</si>
  <si>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</si>
  <si>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</si>
  <si>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</si>
  <si>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</si>
  <si>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</si>
  <si>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</si>
  <si>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</si>
  <si>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</si>
  <si>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</si>
  <si>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</si>
  <si>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</si>
  <si>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</si>
  <si>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</si>
  <si>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</si>
  <si>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</si>
  <si>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</si>
  <si>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</si>
  <si>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</si>
  <si>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</si>
  <si>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</si>
  <si>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</si>
  <si>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</si>
  <si>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</si>
  <si>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</si>
  <si>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</si>
  <si>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</si>
  <si>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</si>
  <si>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</si>
  <si>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</si>
  <si>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</si>
  <si>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</si>
  <si>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</si>
  <si>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</si>
  <si>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</si>
  <si>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</si>
  <si>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</si>
  <si>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</si>
  <si>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</si>
  <si>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</si>
  <si>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</si>
  <si>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</si>
  <si>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</si>
  <si>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</si>
  <si>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</si>
  <si>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</si>
  <si>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</si>
  <si>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</si>
  <si>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</si>
  <si>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</si>
  <si>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</si>
  <si>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</si>
  <si>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</si>
  <si>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</si>
  <si>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</si>
  <si>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</si>
  <si>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</si>
  <si>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</si>
  <si>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</si>
  <si>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</si>
  <si>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</si>
  <si>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</si>
  <si>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</si>
  <si>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</si>
  <si>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</si>
  <si>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</si>
  <si>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</si>
  <si>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</si>
  <si>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</si>
  <si>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</si>
  <si>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</si>
  <si>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</si>
  <si>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</si>
  <si>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</si>
  <si>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</si>
  <si>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</si>
  <si>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</si>
  <si>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</si>
  <si>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</si>
  <si>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</si>
  <si>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</si>
  <si>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</si>
  <si>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</si>
  <si>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</si>
  <si>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</si>
  <si>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</si>
  <si>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</si>
  <si>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</si>
  <si>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</si>
  <si>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</si>
  <si>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</si>
  <si>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</si>
  <si>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</si>
  <si>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</si>
  <si>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</si>
  <si>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</si>
  <si>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</si>
  <si>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</si>
  <si>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</si>
  <si>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</si>
  <si>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</si>
  <si>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</si>
  <si>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</si>
  <si>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</si>
  <si>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</si>
  <si>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</si>
  <si>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</si>
  <si>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</si>
  <si>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</si>
  <si>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</si>
  <si>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</si>
  <si>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</si>
  <si>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</si>
  <si>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</si>
  <si>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</si>
  <si>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</si>
  <si>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</si>
  <si>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</si>
  <si>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</si>
  <si>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</si>
  <si>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</si>
  <si>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</si>
  <si>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</si>
  <si>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</si>
  <si>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</si>
  <si>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</si>
  <si>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</si>
  <si>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</si>
  <si>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</si>
  <si>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</si>
  <si>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</si>
  <si>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</si>
  <si>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</si>
  <si>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</si>
  <si>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</si>
  <si>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</si>
  <si>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</si>
  <si>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</si>
  <si>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</si>
  <si>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</si>
  <si>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</si>
  <si>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</si>
  <si>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</si>
  <si>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</si>
  <si>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</si>
  <si>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</si>
  <si>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</si>
  <si>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</si>
  <si>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</si>
  <si>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</si>
  <si>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</si>
  <si>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</si>
  <si>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</si>
  <si>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</si>
  <si>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</si>
  <si>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</si>
  <si>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</si>
  <si>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</si>
  <si>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</si>
  <si>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</si>
  <si>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</si>
  <si>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</si>
  <si>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</si>
  <si>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</si>
  <si>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</si>
  <si>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</si>
  <si>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</si>
  <si>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</si>
  <si>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</si>
  <si>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</si>
  <si>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</si>
  <si>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</si>
  <si>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</si>
  <si>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</si>
  <si>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</si>
  <si>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</si>
  <si>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</si>
  <si>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</si>
  <si>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</si>
  <si>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</si>
  <si>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</si>
  <si>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</si>
  <si>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</si>
  <si>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</si>
  <si>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</si>
  <si>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</si>
  <si>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</si>
  <si>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</si>
  <si>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</si>
  <si>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</si>
  <si>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</si>
  <si>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</si>
  <si>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</si>
  <si>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</si>
  <si>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</si>
  <si>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</si>
  <si>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</si>
  <si>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</si>
  <si>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</si>
  <si>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</si>
  <si>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</si>
  <si>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</si>
  <si>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</si>
  <si>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</si>
  <si>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</si>
  <si>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</si>
  <si>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</si>
  <si>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</si>
  <si>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</si>
  <si>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</si>
  <si>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</si>
  <si>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</si>
  <si>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</si>
  <si>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</si>
  <si>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</si>
  <si>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</si>
  <si>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</si>
  <si>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</si>
  <si>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</si>
  <si>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</si>
  <si>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</si>
  <si>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</si>
  <si>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</si>
  <si>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</si>
  <si>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</si>
  <si>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</si>
  <si>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</si>
  <si>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</si>
  <si>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</si>
  <si>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</si>
  <si>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</si>
  <si>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</si>
  <si>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</si>
  <si>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</si>
  <si>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</si>
  <si>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</si>
  <si>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</si>
  <si>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</si>
  <si>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</si>
  <si>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</si>
  <si>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</si>
  <si>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</si>
  <si>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</si>
  <si>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</si>
  <si>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</si>
  <si>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</si>
  <si>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</si>
  <si>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</si>
  <si>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</si>
  <si>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</si>
  <si>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</si>
  <si>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</si>
  <si>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</si>
  <si>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</si>
  <si>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</si>
  <si>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</si>
  <si>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</si>
  <si>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</si>
  <si>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</si>
  <si>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</si>
  <si>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</si>
  <si>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</si>
  <si>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</si>
  <si>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</si>
  <si>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</si>
  <si>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</si>
  <si>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</si>
  <si>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</si>
  <si>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</si>
  <si>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</si>
  <si>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</si>
  <si>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</si>
  <si>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</si>
  <si>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</si>
  <si>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</si>
  <si>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</si>
  <si>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</si>
  <si>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</si>
  <si>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</si>
  <si>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</si>
  <si>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</si>
  <si>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</si>
  <si>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</si>
  <si>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</si>
  <si>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</si>
  <si>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</si>
  <si>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</si>
  <si>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</si>
  <si>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</si>
  <si>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</si>
  <si>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</si>
  <si>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</si>
  <si>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</si>
  <si>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</si>
  <si>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</si>
  <si>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</si>
  <si>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2287</t>
  </si>
  <si>
    <t>2288</t>
  </si>
  <si>
    <t>2289</t>
  </si>
  <si>
    <t>2290</t>
  </si>
  <si>
    <t>2291</t>
  </si>
  <si>
    <t>2292</t>
  </si>
  <si>
    <t>2293</t>
  </si>
  <si>
    <t>2294</t>
  </si>
  <si>
    <t>2295</t>
  </si>
  <si>
    <t>2296</t>
  </si>
  <si>
    <t>2297</t>
  </si>
  <si>
    <t>2298</t>
  </si>
  <si>
    <t>2299</t>
  </si>
  <si>
    <t>2300</t>
  </si>
  <si>
    <t>2301</t>
  </si>
  <si>
    <t>2302</t>
  </si>
  <si>
    <t>2303</t>
  </si>
  <si>
    <t>2304</t>
  </si>
  <si>
    <t>2305</t>
  </si>
  <si>
    <t>2306</t>
  </si>
  <si>
    <t>2307</t>
  </si>
  <si>
    <t>2308</t>
  </si>
  <si>
    <t>2309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</si>
  <si>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</si>
  <si>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</si>
  <si>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</si>
  <si>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</si>
  <si>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</si>
  <si>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</si>
  <si>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</si>
  <si>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</si>
  <si>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</si>
  <si>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</si>
  <si>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</si>
  <si>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</si>
  <si>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</si>
  <si>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</si>
  <si>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</si>
  <si>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</si>
  <si>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</si>
  <si>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</si>
  <si>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</si>
  <si>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</si>
  <si>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</si>
  <si>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</si>
  <si>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</si>
  <si>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</si>
  <si>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</si>
  <si>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</si>
  <si>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</si>
  <si>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</si>
  <si>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</si>
  <si>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</si>
  <si>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</si>
  <si>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</si>
  <si>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</si>
  <si>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</si>
  <si>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</si>
  <si>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</si>
  <si>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</si>
  <si>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</si>
  <si>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</si>
  <si>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</si>
  <si>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</si>
  <si>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</si>
  <si>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</si>
  <si>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</si>
  <si>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</si>
  <si>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</si>
  <si>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</si>
  <si>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</si>
  <si>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</si>
  <si>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</si>
  <si>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</si>
  <si>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</si>
  <si>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</si>
  <si>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</si>
  <si>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</si>
  <si>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</si>
  <si>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</si>
  <si>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</si>
  <si>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</si>
  <si>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</si>
  <si>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</si>
  <si>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</si>
  <si>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</si>
  <si>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</si>
  <si>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</si>
  <si>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</si>
  <si>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</si>
  <si>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</si>
  <si>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</si>
  <si>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</si>
  <si>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</si>
  <si>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</si>
  <si>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</si>
  <si>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</si>
  <si>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</si>
  <si>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</si>
  <si>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</si>
  <si>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</si>
  <si>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</si>
  <si>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</si>
  <si>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</si>
  <si>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</si>
  <si>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</si>
  <si>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</si>
  <si>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</si>
  <si>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</si>
  <si>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</si>
  <si>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</si>
  <si>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</si>
  <si>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</si>
  <si>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2400</t>
  </si>
  <si>
    <t>2401</t>
  </si>
  <si>
    <t>2402</t>
  </si>
  <si>
    <t>2403</t>
  </si>
  <si>
    <t>2404</t>
  </si>
  <si>
    <t>2405</t>
  </si>
  <si>
    <t>2406</t>
  </si>
  <si>
    <t>2407</t>
  </si>
  <si>
    <t>2408</t>
  </si>
  <si>
    <t>2409</t>
  </si>
  <si>
    <t>2410</t>
  </si>
  <si>
    <t>2411</t>
  </si>
  <si>
    <t>2412</t>
  </si>
  <si>
    <t>2413</t>
  </si>
  <si>
    <t>2414</t>
  </si>
  <si>
    <t>2415</t>
  </si>
  <si>
    <t>2416</t>
  </si>
  <si>
    <t>2417</t>
  </si>
  <si>
    <t>2418</t>
  </si>
  <si>
    <t>2419</t>
  </si>
  <si>
    <t>2420</t>
  </si>
  <si>
    <t>2421</t>
  </si>
  <si>
    <t>2422</t>
  </si>
  <si>
    <t>2423</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</si>
  <si>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</si>
  <si>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</si>
  <si>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</si>
  <si>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</si>
  <si>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</si>
  <si>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</si>
  <si>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</si>
  <si>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</si>
  <si>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</si>
  <si>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</si>
  <si>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</si>
  <si>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</si>
  <si>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</si>
  <si>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</si>
  <si>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</si>
  <si>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</si>
  <si>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</si>
  <si>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</si>
  <si>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</si>
  <si>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</si>
  <si>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</si>
  <si>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</si>
  <si>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</si>
  <si>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</si>
  <si>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</si>
  <si>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</si>
  <si>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</si>
  <si>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</si>
  <si>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</si>
  <si>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2453</t>
  </si>
  <si>
    <t>2454</t>
  </si>
  <si>
    <t>2455</t>
  </si>
  <si>
    <t>2456</t>
  </si>
  <si>
    <t>2457</t>
  </si>
  <si>
    <t>2458</t>
  </si>
  <si>
    <t>2459</t>
  </si>
  <si>
    <t>2460</t>
  </si>
  <si>
    <t>2461</t>
  </si>
  <si>
    <t>2462</t>
  </si>
  <si>
    <t>2463</t>
  </si>
  <si>
    <t>2464</t>
  </si>
  <si>
    <t>2465</t>
  </si>
  <si>
    <t>2466</t>
  </si>
  <si>
    <t>2467</t>
  </si>
  <si>
    <t>2468</t>
  </si>
  <si>
    <t>2469</t>
  </si>
  <si>
    <t>2470</t>
  </si>
  <si>
    <t>2471</t>
  </si>
  <si>
    <t>2472</t>
  </si>
  <si>
    <t>2473</t>
  </si>
  <si>
    <t>2474</t>
  </si>
  <si>
    <t>2475</t>
  </si>
  <si>
    <t>2476</t>
  </si>
  <si>
    <t>2477</t>
  </si>
  <si>
    <t>2478</t>
  </si>
  <si>
    <t>2479</t>
  </si>
  <si>
    <t>2480</t>
  </si>
  <si>
    <t>2481</t>
  </si>
  <si>
    <t>2482</t>
  </si>
  <si>
    <t>2483</t>
  </si>
  <si>
    <t>2484</t>
  </si>
  <si>
    <t>2485</t>
  </si>
  <si>
    <t>2486</t>
  </si>
  <si>
    <t>2487</t>
  </si>
  <si>
    <t>2488</t>
  </si>
  <si>
    <t>2489</t>
  </si>
  <si>
    <t>2490</t>
  </si>
  <si>
    <t>2491</t>
  </si>
  <si>
    <t>2492</t>
  </si>
  <si>
    <t>2493</t>
  </si>
  <si>
    <t>2494</t>
  </si>
  <si>
    <t>2495</t>
  </si>
  <si>
    <t>2496</t>
  </si>
  <si>
    <t>2497</t>
  </si>
  <si>
    <t>2498</t>
  </si>
  <si>
    <t>2499</t>
  </si>
  <si>
    <t>2500</t>
  </si>
  <si>
    <t>2501</t>
  </si>
  <si>
    <t>2502</t>
  </si>
  <si>
    <t>2503</t>
  </si>
  <si>
    <t>2504</t>
  </si>
  <si>
    <t>2505</t>
  </si>
  <si>
    <t>2506</t>
  </si>
  <si>
    <t>2507</t>
  </si>
  <si>
    <t>2508</t>
  </si>
  <si>
    <t>2509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</si>
  <si>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</si>
  <si>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</si>
  <si>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</si>
  <si>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</si>
  <si>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</si>
  <si>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</si>
  <si>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</si>
  <si>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</si>
  <si>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</si>
  <si>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</si>
  <si>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</si>
  <si>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</si>
  <si>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</si>
  <si>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</si>
  <si>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</si>
  <si>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</si>
  <si>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</si>
  <si>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</si>
  <si>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</si>
  <si>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</si>
  <si>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</si>
  <si>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</si>
  <si>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</si>
  <si>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</si>
  <si>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</si>
  <si>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</si>
  <si>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</si>
  <si>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</si>
  <si>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</si>
  <si>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</si>
  <si>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</si>
  <si>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</si>
  <si>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</si>
  <si>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</si>
  <si>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</si>
  <si>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</si>
  <si>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</si>
  <si>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</si>
  <si>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</si>
  <si>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</si>
  <si>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</si>
  <si>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</si>
  <si>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</si>
  <si>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</si>
  <si>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</si>
  <si>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</si>
  <si>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</si>
  <si>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</si>
  <si>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</si>
  <si>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</si>
  <si>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</si>
  <si>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</si>
  <si>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</si>
  <si>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</si>
  <si>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</si>
  <si>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</si>
  <si>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</si>
  <si>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</si>
  <si>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</si>
  <si>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</si>
  <si>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</si>
  <si>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</si>
  <si>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</si>
  <si>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</si>
  <si>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</si>
  <si>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</si>
  <si>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</si>
  <si>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</si>
  <si>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2578</t>
  </si>
  <si>
    <t>2579</t>
  </si>
  <si>
    <t>2580</t>
  </si>
  <si>
    <t>2581</t>
  </si>
  <si>
    <t>2582</t>
  </si>
  <si>
    <t>2583</t>
  </si>
  <si>
    <t>2584</t>
  </si>
  <si>
    <t>2585</t>
  </si>
  <si>
    <t>2586</t>
  </si>
  <si>
    <t>2587</t>
  </si>
  <si>
    <t>2588</t>
  </si>
  <si>
    <t>2589</t>
  </si>
  <si>
    <t>2590</t>
  </si>
  <si>
    <t>2591</t>
  </si>
  <si>
    <t>2592</t>
  </si>
  <si>
    <t>2593</t>
  </si>
  <si>
    <t>2594</t>
  </si>
  <si>
    <t>2595</t>
  </si>
  <si>
    <t>2596</t>
  </si>
  <si>
    <t>2597</t>
  </si>
  <si>
    <t>2598</t>
  </si>
  <si>
    <t>2599</t>
  </si>
  <si>
    <t>2600</t>
  </si>
  <si>
    <t>2601</t>
  </si>
  <si>
    <t>2602</t>
  </si>
  <si>
    <t>2603</t>
  </si>
  <si>
    <t>2604</t>
  </si>
  <si>
    <t>2605</t>
  </si>
  <si>
    <t>2606</t>
  </si>
  <si>
    <t>2607</t>
  </si>
  <si>
    <t>2608</t>
  </si>
  <si>
    <t>2609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</si>
  <si>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</si>
  <si>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</si>
  <si>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</si>
  <si>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</si>
  <si>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</si>
  <si>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</si>
  <si>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</si>
  <si>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</si>
  <si>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</si>
  <si>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</si>
  <si>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</si>
  <si>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</si>
  <si>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</si>
  <si>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</si>
  <si>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</si>
  <si>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</si>
  <si>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</si>
  <si>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</si>
  <si>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</si>
  <si>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</si>
  <si>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</si>
  <si>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</si>
  <si>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</si>
  <si>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</si>
  <si>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</si>
  <si>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</si>
  <si>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</si>
  <si>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</si>
  <si>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</si>
  <si>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</si>
  <si>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</si>
  <si>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</si>
  <si>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</si>
  <si>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</si>
  <si>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</si>
  <si>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</si>
  <si>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</si>
  <si>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</si>
  <si>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</si>
  <si>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</si>
  <si>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</si>
  <si>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</si>
  <si>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</si>
  <si>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</si>
  <si>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</si>
  <si>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</si>
  <si>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</si>
  <si>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</si>
  <si>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</si>
  <si>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</si>
  <si>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</si>
  <si>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</si>
  <si>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</si>
  <si>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</si>
  <si>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</si>
  <si>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</si>
  <si>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</si>
  <si>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</si>
  <si>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</si>
  <si>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</si>
  <si>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</si>
  <si>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</si>
  <si>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</si>
  <si>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</si>
  <si>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</si>
  <si>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</si>
  <si>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</si>
  <si>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</si>
  <si>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</si>
  <si>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</si>
  <si>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</si>
  <si>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</si>
  <si>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</si>
  <si>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</si>
  <si>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</si>
  <si>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</si>
  <si>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</si>
  <si>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</si>
  <si>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</si>
  <si>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</si>
  <si>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</si>
  <si>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</si>
  <si>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</si>
  <si>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</si>
  <si>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</si>
  <si>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</si>
  <si>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</si>
  <si>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</si>
  <si>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</si>
  <si>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</si>
  <si>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2700</t>
  </si>
  <si>
    <t>2701</t>
  </si>
  <si>
    <t>2702</t>
  </si>
  <si>
    <t>2703</t>
  </si>
  <si>
    <t>2704</t>
  </si>
  <si>
    <t>2705</t>
  </si>
  <si>
    <t>2706</t>
  </si>
  <si>
    <t>2707</t>
  </si>
  <si>
    <t>2708</t>
  </si>
  <si>
    <t>2709</t>
  </si>
  <si>
    <t>2710</t>
  </si>
  <si>
    <t>2711</t>
  </si>
  <si>
    <t>2712</t>
  </si>
  <si>
    <t>2713</t>
  </si>
  <si>
    <t>2714</t>
  </si>
  <si>
    <t>2715</t>
  </si>
  <si>
    <t>2716</t>
  </si>
  <si>
    <t>2717</t>
  </si>
  <si>
    <t>2718</t>
  </si>
  <si>
    <t>2719</t>
  </si>
  <si>
    <t>2720</t>
  </si>
  <si>
    <t>2721</t>
  </si>
  <si>
    <t>2722</t>
  </si>
  <si>
    <t>2723</t>
  </si>
  <si>
    <t>2724</t>
  </si>
  <si>
    <t>2725</t>
  </si>
  <si>
    <t>2726</t>
  </si>
  <si>
    <t>2727</t>
  </si>
  <si>
    <t>2728</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</si>
  <si>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</si>
  <si>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</si>
  <si>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</si>
  <si>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</si>
  <si>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</si>
  <si>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</si>
  <si>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</si>
  <si>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</si>
  <si>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</si>
  <si>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</si>
  <si>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</si>
  <si>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</si>
  <si>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</si>
  <si>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</si>
  <si>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</si>
  <si>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</si>
  <si>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</si>
  <si>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</si>
  <si>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</si>
  <si>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</si>
  <si>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</si>
  <si>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</si>
  <si>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</si>
  <si>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</si>
  <si>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2753</t>
  </si>
  <si>
    <t>2754</t>
  </si>
  <si>
    <t>2755</t>
  </si>
  <si>
    <t>2756</t>
  </si>
  <si>
    <t>2757</t>
  </si>
  <si>
    <t>2758</t>
  </si>
  <si>
    <t>2759</t>
  </si>
  <si>
    <t>2760</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</si>
  <si>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</si>
  <si>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</si>
  <si>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</si>
  <si>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</si>
  <si>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</si>
  <si>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</si>
  <si>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</si>
  <si>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</si>
  <si>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</si>
  <si>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</si>
  <si>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</si>
  <si>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</si>
  <si>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</si>
  <si>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</si>
  <si>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</si>
  <si>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</si>
  <si>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</si>
  <si>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</si>
  <si>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</si>
  <si>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</si>
  <si>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</si>
  <si>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</si>
  <si>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</si>
  <si>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</si>
  <si>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</si>
  <si>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</si>
  <si>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</si>
  <si>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</si>
  <si>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</si>
  <si>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</si>
  <si>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</si>
  <si>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</si>
  <si>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</si>
  <si>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2794</t>
  </si>
  <si>
    <t>2795</t>
  </si>
  <si>
    <t>2796</t>
  </si>
  <si>
    <t>2797</t>
  </si>
  <si>
    <t>2798</t>
  </si>
  <si>
    <t>2799</t>
  </si>
  <si>
    <t>2800</t>
  </si>
  <si>
    <t>2801</t>
  </si>
  <si>
    <t>2802</t>
  </si>
  <si>
    <t>2803</t>
  </si>
  <si>
    <t>2804</t>
  </si>
  <si>
    <t>2805</t>
  </si>
  <si>
    <t>2806</t>
  </si>
  <si>
    <t>2807</t>
  </si>
  <si>
    <t>2808</t>
  </si>
  <si>
    <t>2809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</si>
  <si>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</si>
  <si>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</si>
  <si>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</si>
  <si>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</si>
  <si>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</si>
  <si>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</si>
  <si>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</si>
  <si>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</si>
  <si>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</si>
  <si>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</si>
  <si>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</si>
  <si>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</si>
  <si>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</si>
  <si>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</si>
  <si>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</si>
  <si>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</si>
  <si>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</si>
  <si>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</si>
  <si>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</si>
  <si>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</si>
  <si>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</si>
  <si>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</si>
  <si>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</si>
  <si>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</si>
  <si>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</si>
  <si>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</si>
  <si>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</si>
  <si>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</si>
  <si>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</si>
  <si>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</si>
  <si>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</si>
  <si>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</si>
  <si>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</si>
  <si>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</si>
  <si>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</si>
  <si>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</si>
  <si>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</si>
  <si>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</si>
  <si>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</si>
  <si>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</si>
  <si>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</si>
  <si>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</si>
  <si>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</si>
  <si>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</si>
  <si>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</si>
  <si>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</si>
  <si>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</si>
  <si>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</si>
  <si>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</si>
  <si>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</si>
  <si>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</si>
  <si>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</si>
  <si>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</si>
  <si>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</si>
  <si>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</si>
  <si>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</si>
  <si>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</si>
  <si>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</si>
  <si>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</si>
  <si>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</si>
  <si>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</si>
  <si>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</si>
  <si>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</si>
  <si>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</si>
  <si>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</si>
  <si>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</si>
  <si>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</si>
  <si>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</si>
  <si>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</si>
  <si>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</si>
  <si>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</si>
  <si>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</si>
  <si>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</si>
  <si>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</si>
  <si>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</si>
  <si>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</si>
  <si>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</si>
  <si>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</si>
  <si>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</si>
  <si>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2889</t>
  </si>
  <si>
    <t>2890</t>
  </si>
  <si>
    <t>2891</t>
  </si>
  <si>
    <t>2892</t>
  </si>
  <si>
    <t>2893</t>
  </si>
  <si>
    <t>2894</t>
  </si>
  <si>
    <t>2895</t>
  </si>
  <si>
    <t>2896</t>
  </si>
  <si>
    <t>2897</t>
  </si>
  <si>
    <t>2898</t>
  </si>
  <si>
    <t>2899</t>
  </si>
  <si>
    <t>2900</t>
  </si>
  <si>
    <t>2901</t>
  </si>
  <si>
    <t>2902</t>
  </si>
  <si>
    <t>2903</t>
  </si>
  <si>
    <t>2904</t>
  </si>
  <si>
    <t>2905</t>
  </si>
  <si>
    <t>2906</t>
  </si>
  <si>
    <t>2907</t>
  </si>
  <si>
    <t>2908</t>
  </si>
  <si>
    <t>2909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</si>
  <si>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</si>
  <si>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</si>
  <si>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</si>
  <si>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</si>
  <si>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</si>
  <si>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</si>
  <si>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</si>
  <si>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</si>
  <si>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</si>
  <si>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</si>
  <si>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</si>
  <si>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</si>
  <si>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</si>
  <si>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</si>
  <si>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</si>
  <si>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</si>
  <si>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</si>
  <si>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</si>
  <si>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</si>
  <si>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</si>
  <si>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</si>
  <si>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</si>
  <si>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</si>
  <si>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</si>
  <si>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</si>
  <si>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</si>
  <si>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</si>
  <si>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</si>
  <si>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</si>
  <si>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</si>
  <si>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</si>
  <si>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</si>
  <si>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</si>
  <si>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</si>
  <si>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</si>
  <si>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</si>
  <si>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</si>
  <si>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</si>
  <si>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</si>
  <si>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</si>
  <si>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</si>
  <si>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</si>
  <si>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</si>
  <si>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</si>
  <si>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</si>
  <si>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</si>
  <si>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</si>
  <si>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</si>
  <si>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</si>
  <si>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</si>
  <si>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</si>
  <si>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</si>
  <si>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</si>
  <si>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</si>
  <si>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</si>
  <si>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</si>
  <si>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</si>
  <si>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</si>
  <si>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</si>
  <si>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</si>
  <si>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2970</t>
  </si>
  <si>
    <t>2971</t>
  </si>
  <si>
    <t>2972</t>
  </si>
  <si>
    <t>2973</t>
  </si>
  <si>
    <t>2974</t>
  </si>
  <si>
    <t>2975</t>
  </si>
  <si>
    <t>2976</t>
  </si>
  <si>
    <t>2977</t>
  </si>
  <si>
    <t>2978</t>
  </si>
  <si>
    <t>2979</t>
  </si>
  <si>
    <t>2980</t>
  </si>
  <si>
    <t>2981</t>
  </si>
  <si>
    <t>2982</t>
  </si>
  <si>
    <t>2983</t>
  </si>
  <si>
    <t>2984</t>
  </si>
  <si>
    <t>2985</t>
  </si>
  <si>
    <t>2986</t>
  </si>
  <si>
    <t>2987</t>
  </si>
  <si>
    <t>2988</t>
  </si>
  <si>
    <t>2989</t>
  </si>
  <si>
    <t>2990</t>
  </si>
  <si>
    <t>2991</t>
  </si>
  <si>
    <t>2992</t>
  </si>
  <si>
    <t>2993</t>
  </si>
  <si>
    <t>2994</t>
  </si>
  <si>
    <t>2995</t>
  </si>
  <si>
    <t>2996</t>
  </si>
  <si>
    <t>2997</t>
  </si>
  <si>
    <t>2998</t>
  </si>
  <si>
    <t>2999</t>
  </si>
  <si>
    <t>3000</t>
  </si>
  <si>
    <t>3001</t>
  </si>
  <si>
    <t>3002</t>
  </si>
  <si>
    <t>3003</t>
  </si>
  <si>
    <t>3004</t>
  </si>
  <si>
    <t>3005</t>
  </si>
  <si>
    <t>3006</t>
  </si>
  <si>
    <t>3007</t>
  </si>
  <si>
    <t>3008</t>
  </si>
  <si>
    <t>3009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</si>
  <si>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</si>
  <si>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</si>
  <si>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</si>
  <si>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</si>
  <si>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</si>
  <si>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</si>
  <si>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</si>
  <si>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</si>
  <si>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</si>
  <si>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</si>
  <si>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</si>
  <si>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</si>
  <si>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</si>
  <si>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</si>
  <si>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</si>
  <si>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</si>
  <si>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</si>
  <si>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</si>
  <si>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</si>
  <si>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</si>
  <si>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</si>
  <si>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</si>
  <si>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</si>
  <si>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</si>
  <si>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</si>
  <si>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</si>
  <si>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</si>
  <si>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</si>
  <si>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</si>
  <si>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</si>
  <si>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3040</t>
  </si>
  <si>
    <t>3041</t>
  </si>
  <si>
    <t>3042</t>
  </si>
  <si>
    <t>3043</t>
  </si>
  <si>
    <t>3044</t>
  </si>
  <si>
    <t>3045</t>
  </si>
  <si>
    <t>3046</t>
  </si>
  <si>
    <t>3047</t>
  </si>
  <si>
    <t>3048</t>
  </si>
  <si>
    <t>3049</t>
  </si>
  <si>
    <t>3050</t>
  </si>
  <si>
    <t>3051</t>
  </si>
  <si>
    <t>3052</t>
  </si>
  <si>
    <t>3053</t>
  </si>
  <si>
    <t>3054</t>
  </si>
  <si>
    <t>3055</t>
  </si>
  <si>
    <t>3056</t>
  </si>
  <si>
    <t>3057</t>
  </si>
  <si>
    <t>3058</t>
  </si>
  <si>
    <t>3059</t>
  </si>
  <si>
    <t>3060</t>
  </si>
  <si>
    <t>3061</t>
  </si>
  <si>
    <t>3062</t>
  </si>
  <si>
    <t>3063</t>
  </si>
  <si>
    <t>3064</t>
  </si>
  <si>
    <t>3065</t>
  </si>
  <si>
    <t>3066</t>
  </si>
  <si>
    <t>3067</t>
  </si>
  <si>
    <t>3068</t>
  </si>
  <si>
    <t>3069</t>
  </si>
  <si>
    <t>3070</t>
  </si>
  <si>
    <t>3071</t>
  </si>
  <si>
    <t>3072</t>
  </si>
  <si>
    <t>3073</t>
  </si>
  <si>
    <t>3074</t>
  </si>
  <si>
    <t>3075</t>
  </si>
  <si>
    <t>3076</t>
  </si>
  <si>
    <t>3077</t>
  </si>
  <si>
    <t>3078</t>
  </si>
  <si>
    <t>3079</t>
  </si>
  <si>
    <t>3080</t>
  </si>
  <si>
    <t>3081</t>
  </si>
  <si>
    <t>3082</t>
  </si>
  <si>
    <t>3083</t>
  </si>
  <si>
    <t>3084</t>
  </si>
  <si>
    <t>3085</t>
  </si>
  <si>
    <t>3086</t>
  </si>
  <si>
    <t>3087</t>
  </si>
  <si>
    <t>3088</t>
  </si>
  <si>
    <t>3089</t>
  </si>
  <si>
    <t>3090</t>
  </si>
  <si>
    <t>3091</t>
  </si>
  <si>
    <t>3092</t>
  </si>
  <si>
    <t>3093</t>
  </si>
  <si>
    <t>3094</t>
  </si>
  <si>
    <t>3095</t>
  </si>
  <si>
    <t>3096</t>
  </si>
  <si>
    <t>3097</t>
  </si>
  <si>
    <t>3098</t>
  </si>
  <si>
    <t>3099</t>
  </si>
  <si>
    <t>3100</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</si>
  <si>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</si>
  <si>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</si>
  <si>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</si>
  <si>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</si>
  <si>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</si>
  <si>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</si>
  <si>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</si>
  <si>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</si>
  <si>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</si>
  <si>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</si>
  <si>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</si>
  <si>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</si>
  <si>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</si>
  <si>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</si>
  <si>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</si>
  <si>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</si>
  <si>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</si>
  <si>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</si>
  <si>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</si>
  <si>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</si>
  <si>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</si>
  <si>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</si>
  <si>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</si>
  <si>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</si>
  <si>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</si>
  <si>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</si>
  <si>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</si>
  <si>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</si>
  <si>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</si>
  <si>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</si>
  <si>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</si>
  <si>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</si>
  <si>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</si>
  <si>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</si>
  <si>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</si>
  <si>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</si>
  <si>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</si>
  <si>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</si>
  <si>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</si>
  <si>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</si>
  <si>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</si>
  <si>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</si>
  <si>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</si>
  <si>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</si>
  <si>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</si>
  <si>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</si>
  <si>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</si>
  <si>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</si>
  <si>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</si>
  <si>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</si>
  <si>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</si>
  <si>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</si>
  <si>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</si>
  <si>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</si>
  <si>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</si>
  <si>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</si>
  <si>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</si>
  <si>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</si>
  <si>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</si>
  <si>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</si>
  <si>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</si>
  <si>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</si>
  <si>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</si>
  <si>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</si>
  <si>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</si>
  <si>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</si>
  <si>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</si>
  <si>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</si>
  <si>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</si>
  <si>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</si>
  <si>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</si>
  <si>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</si>
  <si>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</si>
  <si>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</si>
  <si>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</si>
  <si>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</si>
  <si>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</si>
  <si>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</si>
  <si>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</si>
  <si>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</si>
  <si>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</si>
  <si>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</si>
  <si>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</si>
  <si>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</si>
  <si>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</si>
  <si>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</si>
  <si>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</si>
  <si>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</si>
  <si>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</si>
  <si>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</si>
  <si>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</si>
  <si>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</si>
  <si>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</si>
  <si>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</si>
  <si>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</si>
  <si>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</si>
  <si>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</si>
  <si>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</si>
  <si>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</si>
  <si>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3200</t>
  </si>
  <si>
    <t>3201</t>
  </si>
  <si>
    <t>3202</t>
  </si>
  <si>
    <t>3203</t>
  </si>
  <si>
    <t>3204</t>
  </si>
  <si>
    <t>3205</t>
  </si>
  <si>
    <t>3206</t>
  </si>
  <si>
    <t>3207</t>
  </si>
  <si>
    <t>3208</t>
  </si>
  <si>
    <t>3209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</si>
  <si>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</si>
  <si>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</si>
  <si>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</si>
  <si>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</si>
  <si>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</si>
  <si>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</si>
  <si>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</si>
  <si>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</si>
  <si>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</si>
  <si>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</si>
  <si>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</si>
  <si>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</si>
  <si>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</si>
  <si>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</si>
  <si>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</si>
  <si>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</si>
  <si>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</si>
  <si>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</si>
  <si>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</si>
  <si>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</si>
  <si>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</si>
  <si>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3231</t>
  </si>
  <si>
    <t>3232</t>
  </si>
  <si>
    <t>3233</t>
  </si>
  <si>
    <t>3234</t>
  </si>
  <si>
    <t>3235</t>
  </si>
  <si>
    <t>3236</t>
  </si>
  <si>
    <t>3237</t>
  </si>
  <si>
    <t>3238</t>
  </si>
  <si>
    <t>3239</t>
  </si>
  <si>
    <t>3240</t>
  </si>
  <si>
    <t>3241</t>
  </si>
  <si>
    <t>3242</t>
  </si>
  <si>
    <t>3243</t>
  </si>
  <si>
    <t>3244</t>
  </si>
  <si>
    <t>3245</t>
  </si>
  <si>
    <t>3246</t>
  </si>
  <si>
    <t>3247</t>
  </si>
  <si>
    <t>3248</t>
  </si>
  <si>
    <t>3249</t>
  </si>
  <si>
    <t>3250</t>
  </si>
  <si>
    <t>3251</t>
  </si>
  <si>
    <t>3252</t>
  </si>
  <si>
    <t>3253</t>
  </si>
  <si>
    <t>3254</t>
  </si>
  <si>
    <t>3255</t>
  </si>
  <si>
    <t>3256</t>
  </si>
  <si>
    <t>3257</t>
  </si>
  <si>
    <t>3258</t>
  </si>
  <si>
    <t>3259</t>
  </si>
  <si>
    <t>3260</t>
  </si>
  <si>
    <t>3261</t>
  </si>
  <si>
    <t>3262</t>
  </si>
  <si>
    <t>3263</t>
  </si>
  <si>
    <t>3264</t>
  </si>
  <si>
    <t>3265</t>
  </si>
  <si>
    <t>3266</t>
  </si>
  <si>
    <t>3267</t>
  </si>
  <si>
    <t>3268</t>
  </si>
  <si>
    <t>3269</t>
  </si>
  <si>
    <t>3270</t>
  </si>
  <si>
    <t>3271</t>
  </si>
  <si>
    <t>3272</t>
  </si>
  <si>
    <t>3273</t>
  </si>
  <si>
    <t>3274</t>
  </si>
  <si>
    <t>3275</t>
  </si>
  <si>
    <t>3276</t>
  </si>
  <si>
    <t>3277</t>
  </si>
  <si>
    <t>3278</t>
  </si>
  <si>
    <t>3279</t>
  </si>
  <si>
    <t>3280</t>
  </si>
  <si>
    <t>3281</t>
  </si>
  <si>
    <t>3282</t>
  </si>
  <si>
    <t>3283</t>
  </si>
  <si>
    <t>3284</t>
  </si>
  <si>
    <t>3285</t>
  </si>
  <si>
    <t>3286</t>
  </si>
  <si>
    <t>3287</t>
  </si>
  <si>
    <t>3288</t>
  </si>
  <si>
    <t>3289</t>
  </si>
  <si>
    <t>3290</t>
  </si>
  <si>
    <t>3291</t>
  </si>
  <si>
    <t>3292</t>
  </si>
  <si>
    <t>3293</t>
  </si>
  <si>
    <t>3294</t>
  </si>
  <si>
    <t>3295</t>
  </si>
  <si>
    <t>3296</t>
  </si>
  <si>
    <t>3297</t>
  </si>
  <si>
    <t>3298</t>
  </si>
  <si>
    <t>3299</t>
  </si>
  <si>
    <t>3300</t>
  </si>
  <si>
    <t>3301</t>
  </si>
  <si>
    <t>3302</t>
  </si>
  <si>
    <t>3303</t>
  </si>
  <si>
    <t>3304</t>
  </si>
  <si>
    <t>3305</t>
  </si>
  <si>
    <t>3306</t>
  </si>
  <si>
    <t>3307</t>
  </si>
  <si>
    <t>3308</t>
  </si>
  <si>
    <t>3309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</si>
  <si>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</si>
  <si>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</si>
  <si>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</si>
  <si>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</si>
  <si>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</si>
  <si>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</si>
  <si>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</si>
  <si>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</si>
  <si>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</si>
  <si>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</si>
  <si>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</si>
  <si>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</si>
  <si>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</si>
  <si>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</si>
  <si>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</si>
  <si>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</si>
  <si>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</si>
  <si>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</si>
  <si>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</si>
  <si>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</si>
  <si>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</si>
  <si>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</si>
  <si>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</si>
  <si>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</si>
  <si>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</si>
  <si>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</si>
  <si>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</si>
  <si>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</si>
  <si>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</si>
  <si>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</si>
  <si>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</si>
  <si>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</si>
  <si>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</si>
  <si>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</si>
  <si>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</si>
  <si>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</si>
  <si>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</si>
  <si>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</si>
  <si>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</si>
  <si>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</si>
  <si>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</si>
  <si>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</si>
  <si>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</si>
  <si>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</si>
  <si>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</si>
  <si>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</si>
  <si>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</si>
  <si>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</si>
  <si>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</si>
  <si>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</si>
  <si>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</si>
  <si>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</si>
  <si>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</si>
  <si>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</si>
  <si>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</si>
  <si>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</si>
  <si>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</si>
  <si>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</si>
  <si>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</si>
  <si>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</si>
  <si>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</si>
  <si>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</si>
  <si>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</si>
  <si>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</si>
  <si>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</si>
  <si>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</si>
  <si>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</si>
  <si>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</si>
  <si>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</si>
  <si>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</si>
  <si>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</si>
  <si>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</si>
  <si>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</si>
  <si>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</si>
  <si>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</si>
  <si>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</si>
  <si>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</si>
  <si>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</si>
  <si>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</si>
  <si>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</si>
  <si>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</si>
  <si>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</si>
  <si>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</si>
  <si>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</si>
  <si>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</si>
  <si>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</si>
  <si>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</si>
  <si>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</si>
  <si>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</si>
  <si>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</si>
  <si>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3400</t>
  </si>
  <si>
    <t>3401</t>
  </si>
  <si>
    <t>3402</t>
  </si>
  <si>
    <t>3403</t>
  </si>
  <si>
    <t>3404</t>
  </si>
  <si>
    <t>3405</t>
  </si>
  <si>
    <t>3406</t>
  </si>
  <si>
    <t>3407</t>
  </si>
  <si>
    <t>3408</t>
  </si>
  <si>
    <t>3409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</si>
  <si>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</si>
  <si>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</si>
  <si>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</si>
  <si>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</si>
  <si>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</si>
  <si>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</si>
  <si>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</si>
  <si>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</si>
  <si>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</si>
  <si>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</si>
  <si>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</si>
  <si>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</si>
  <si>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</si>
  <si>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</si>
  <si>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</si>
  <si>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</si>
  <si>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</si>
  <si>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</si>
  <si>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</si>
  <si>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</si>
  <si>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</si>
  <si>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</si>
  <si>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</si>
  <si>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3433</t>
  </si>
  <si>
    <t>3434</t>
  </si>
  <si>
    <t>3435</t>
  </si>
  <si>
    <t>3436</t>
  </si>
  <si>
    <t>3437</t>
  </si>
  <si>
    <t>3438</t>
  </si>
  <si>
    <t>3439</t>
  </si>
  <si>
    <t>3440</t>
  </si>
  <si>
    <t>3441</t>
  </si>
  <si>
    <t>3442</t>
  </si>
  <si>
    <t>3443</t>
  </si>
  <si>
    <t>3444</t>
  </si>
  <si>
    <t>3445</t>
  </si>
  <si>
    <t>3446</t>
  </si>
  <si>
    <t>3447</t>
  </si>
  <si>
    <t>3448</t>
  </si>
  <si>
    <t>3449</t>
  </si>
  <si>
    <t>3450</t>
  </si>
  <si>
    <t>3451</t>
  </si>
  <si>
    <t>3452</t>
  </si>
  <si>
    <t>3453</t>
  </si>
  <si>
    <t>3454</t>
  </si>
  <si>
    <t>3455</t>
  </si>
  <si>
    <t>3456</t>
  </si>
  <si>
    <t>3457</t>
  </si>
  <si>
    <t>3458</t>
  </si>
  <si>
    <t>3459</t>
  </si>
  <si>
    <t>3460</t>
  </si>
  <si>
    <t>3461</t>
  </si>
  <si>
    <t>3462</t>
  </si>
  <si>
    <t>3463</t>
  </si>
  <si>
    <t>3464</t>
  </si>
  <si>
    <t>3465</t>
  </si>
  <si>
    <t>3466</t>
  </si>
  <si>
    <t>3467</t>
  </si>
  <si>
    <t>3468</t>
  </si>
  <si>
    <t>3469</t>
  </si>
  <si>
    <t>3470</t>
  </si>
  <si>
    <t>3471</t>
  </si>
  <si>
    <t>3472</t>
  </si>
  <si>
    <t>3473</t>
  </si>
  <si>
    <t>3474</t>
  </si>
  <si>
    <t>3475</t>
  </si>
  <si>
    <t>3476</t>
  </si>
  <si>
    <t>3477</t>
  </si>
  <si>
    <t>3478</t>
  </si>
  <si>
    <t>3479</t>
  </si>
  <si>
    <t>Visit Date</t>
  </si>
  <si>
    <t>Heparin</t>
  </si>
  <si>
    <t>V01</t>
  </si>
  <si>
    <t>Hardcoded visit number for the shipment. Expected values: V01, V02, V03, etc. The value is set based on the time period, i.e. Feb. 2021 - July 2021 correspondes to V01.</t>
  </si>
  <si>
    <t>D:\MounSinai\Darpa\CHARM-study\CHARM2.0\test_manifest</t>
  </si>
  <si>
    <t>D:\MounSinai\Darpa\CHARM-study\CHARM2.0\test_metadata</t>
  </si>
  <si>
    <t>\\researchsan02a.mssm.edu\Shr1\neurology\Sealfon_Lab\Sample_Manifests\ECHO\CHARM2\ManifestsToProcess</t>
  </si>
  <si>
    <t>\\researchsan02a.mssm.edu\Shr1\neurology\Sealfon_Lab\Metadata_Processing\ECHO_CHARM2_feed</t>
  </si>
  <si>
    <t>M</t>
  </si>
  <si>
    <t>CHARM2</t>
  </si>
  <si>
    <t>Subject Visit number</t>
  </si>
  <si>
    <t>Sample_ID_Prefix</t>
  </si>
  <si>
    <t>Hardcoded string part that will be added in front of the sample id to all samples. "C2" stands for CHARM2</t>
  </si>
  <si>
    <t>heparin</t>
  </si>
  <si>
    <t>hpb</t>
  </si>
  <si>
    <t>HPB</t>
  </si>
  <si>
    <t>hpl</t>
  </si>
  <si>
    <t>HPL</t>
  </si>
  <si>
    <t>PBMC(heparin)</t>
  </si>
  <si>
    <t>Plasma(heparin)</t>
  </si>
  <si>
    <t>Camp Lejeune, NC</t>
  </si>
  <si>
    <t>Hardcoded collection location for the shipment. Free text, should correspond to the base camp where samples were collected</t>
  </si>
  <si>
    <t>Extend Specimens to Heparin Plasma List</t>
  </si>
  <si>
    <t>List of specimen preps that has to be extended with the HPB (Plasma from heparin) entries (i.e. each HPB entry should accompanied with a HPB entry)</t>
  </si>
  <si>
    <t>The Timepoint value 'V01' was recognized as valid.</t>
  </si>
  <si>
    <t>Lock Demographic Loading</t>
  </si>
  <si>
    <t>The expectation that the demographic file won't be updated for the CHARM2 study. Expected values: TRUE (no updates are allowed), FALSE: Updates are allowed</t>
  </si>
  <si>
    <t>pid</t>
  </si>
  <si>
    <t>Collection Site</t>
  </si>
  <si>
    <t>pbmc(heparin)</t>
  </si>
  <si>
    <t>plasma(heparin)</t>
  </si>
  <si>
    <t>CHARM2-2021-02-19</t>
  </si>
  <si>
    <t>visit_id</t>
  </si>
  <si>
    <t>S</t>
  </si>
  <si>
    <t>Date Collected</t>
  </si>
  <si>
    <t>Site Collected</t>
  </si>
  <si>
    <t>site_collected</t>
  </si>
  <si>
    <t>O,P</t>
  </si>
  <si>
    <t>C2-</t>
  </si>
  <si>
    <t>Start validating Visit Dates.</t>
  </si>
  <si>
    <t>Finish validating Visit Dates.</t>
  </si>
  <si>
    <t>WARNING</t>
  </si>
  <si>
    <t>Start validating of the following Specimen header 'PAX'.</t>
  </si>
  <si>
    <t>Provided specimen prep value 'PAX' was recognized and will be converted to 'PAX' abbreviation.</t>
  </si>
  <si>
    <t>Provided Specimen Prep value 'PAX' was recognized and will be converted to 'PaxGene' name.</t>
  </si>
  <si>
    <t>An assigned 'Volume' mapping '10' was found for the 'PAX' Specimen Prep abbreviation on the dictionary tab.</t>
  </si>
  <si>
    <t>An assigned 'Volume' mapping '10' was found for the 'PaxGene' Specimen Prep name on the dictionary tab.</t>
  </si>
  <si>
    <t>An assigned 'Tissue' mapping 'blood' was found for the 'PAX' Specimen Prep abbreviation on the dictionary tab.</t>
  </si>
  <si>
    <t>An assigned 'Tissue' mapping 'blood' was found for the 'PaxGene' Specimen Prep name on the dictionary tab.</t>
  </si>
  <si>
    <t>Finish validating of the following Specimen header 'PAX'.</t>
  </si>
  <si>
    <t>Start validating of the responses of the Specimen column 'E'.</t>
  </si>
  <si>
    <t>Finish validating of the responses of the Specimen column 'E'.</t>
  </si>
  <si>
    <t>saliva</t>
  </si>
  <si>
    <t>SLV</t>
  </si>
  <si>
    <t>slv</t>
  </si>
  <si>
    <t>Saliva</t>
  </si>
  <si>
    <t>Metadata DB study id</t>
  </si>
  <si>
    <t>Study id (integer value) associated with the study being processed. CHARM2 study id is 17.</t>
  </si>
  <si>
    <t xml:space="preserve">Column letter on the assigned tab. </t>
  </si>
  <si>
    <t>Last Loaded Shipment File</t>
  </si>
  <si>
    <t>Name of the last loaded shipment file. This value is updated automatically after each load of the shipment file</t>
  </si>
  <si>
    <t>21-02-22</t>
  </si>
  <si>
    <t>21-02-24</t>
  </si>
  <si>
    <t>21-02-25</t>
  </si>
  <si>
    <t>21-02-26</t>
  </si>
  <si>
    <t>No PAX collected</t>
  </si>
  <si>
    <t>21-03-01</t>
  </si>
  <si>
    <t>2021-03-01 MT SINAI MANIFEST.xlsx</t>
  </si>
  <si>
    <t>E</t>
  </si>
  <si>
    <t>All responses in the column 'E' are equal 'Y' or blank.</t>
  </si>
  <si>
    <t>C2-0119-V01-210225-HPB</t>
  </si>
  <si>
    <t>C2-0119-V01</t>
  </si>
  <si>
    <t>ECHO-CHARM2</t>
  </si>
  <si>
    <t/>
  </si>
  <si>
    <t>3.29</t>
  </si>
  <si>
    <t>2021-02-25</t>
  </si>
  <si>
    <t>Human</t>
  </si>
  <si>
    <t>0.329</t>
  </si>
  <si>
    <t>/mnt/researchsan02a/Sample_Manifests/ECHO/CHARM2/ManifestsToProcess/CHARM2_manifest_2021_02_25_V01_HPB_prepared_internally_BY20210303.xlsx</t>
  </si>
  <si>
    <t>C2-0119-V01-210225-HPL</t>
  </si>
  <si>
    <t>1</t>
  </si>
  <si>
    <t>/mnt/researchsan02a/Sample_Manifests/ECHO/CHARM2/ManifestsToProcess/CHARM2_manifest_2021_02_25_V01_HPL_prepared_internally_BY20210303.xlsx</t>
  </si>
  <si>
    <t>C2-0119-V01-210225-PAX</t>
  </si>
  <si>
    <t>2021-03-01</t>
  </si>
  <si>
    <t>10</t>
  </si>
  <si>
    <t>/mnt/researchsan02a/Sample_Manifests/ECHO/CHARM2/ManifestsToProcess/CHARM2_manifest_2021_03_01_V01_PAX_prepared_internally_BY20210303.xlsx</t>
  </si>
  <si>
    <t>C2-0119-V01-210225-PBM</t>
  </si>
  <si>
    <t>2</t>
  </si>
  <si>
    <t>/mnt/researchsan02a/Sample_Manifests/ECHO/CHARM2/ManifestsToProcess/CHARM2_manifest_2021_03_01_V01_PBM_prepared_internally_BY20210303.xlsx</t>
  </si>
  <si>
    <t>C2-0119-V01-210225-PLA</t>
  </si>
  <si>
    <t>/mnt/researchsan02a/Sample_Manifests/ECHO/CHARM2/ManifestsToProcess/CHARM2_manifest_2021_03_01_V01_PLA_prepared_internally_BY20210303.xlsx</t>
  </si>
  <si>
    <t>C2-0119-V01-210225-SER</t>
  </si>
  <si>
    <t>/mnt/researchsan02a/Sample_Manifests/ECHO/CHARM2/ManifestsToProcess/CHARM2_manifest_2021_03_01_V01_SER_prepared_internally_BY20210303.xlsx</t>
  </si>
  <si>
    <t>C2-0119-V01-210225-VTM</t>
  </si>
  <si>
    <t>0.75</t>
  </si>
  <si>
    <t>/mnt/researchsan02a/Sample_Manifests/ECHO/CHARM2/ManifestsToProcess/CHARM2_manifest_2021_03_01_V01_VTM_prepared_internally_BY20210303.xlsx</t>
  </si>
  <si>
    <t>C2-0211-V01-210225-HPB</t>
  </si>
  <si>
    <t>C2-0211-V01</t>
  </si>
  <si>
    <t>6.45</t>
  </si>
  <si>
    <t>0.645</t>
  </si>
  <si>
    <t>C2-0211-V01-210225-HPL</t>
  </si>
  <si>
    <t>C2-0211-V01-210225-PAX</t>
  </si>
  <si>
    <t>C2-0211-V01-210225-PBM</t>
  </si>
  <si>
    <t>C2-0211-V01-210225-PLA</t>
  </si>
  <si>
    <t>C2-0211-V01-210225-SER</t>
  </si>
  <si>
    <t>C2-0211-V01-210225-VTM</t>
  </si>
  <si>
    <t>C2-0220-V01-210222-PAX</t>
  </si>
  <si>
    <t>C2-0220-V01</t>
  </si>
  <si>
    <t>C2-0220-V01-210222-SER</t>
  </si>
  <si>
    <t>C2-0220-V01-210222-VTM</t>
  </si>
  <si>
    <t>C2-0261-V01-210224-PAX</t>
  </si>
  <si>
    <t>C2-0261-V01</t>
  </si>
  <si>
    <t>C2-0261-V01-210224-PBM</t>
  </si>
  <si>
    <t>C2-0261-V01-210224-PLA</t>
  </si>
  <si>
    <t>C2-0261-V01-210224-SER</t>
  </si>
  <si>
    <t>C2-0261-V01-210224-VTM</t>
  </si>
  <si>
    <t>C2-0309-V01-210226-HPB</t>
  </si>
  <si>
    <t>C2-0309-V01</t>
  </si>
  <si>
    <t>4.46</t>
  </si>
  <si>
    <t>2021-02-26</t>
  </si>
  <si>
    <t>0.446</t>
  </si>
  <si>
    <t>/mnt/researchsan02a/Sample_Manifests/ECHO/CHARM2/ManifestsToProcess/CHARM2_manifest_2021_02_26_V01_HPB_prepared_internally_BY20210303.xlsx</t>
  </si>
  <si>
    <t>C2-0309-V01-210226-HPL</t>
  </si>
  <si>
    <t>/mnt/researchsan02a/Sample_Manifests/ECHO/CHARM2/ManifestsToProcess/CHARM2_manifest_2021_02_26_V01_HPL_prepared_internally_BY20210303.xlsx</t>
  </si>
  <si>
    <t>C2-0309-V01-210226-PAX</t>
  </si>
  <si>
    <t>C2-0309-V01-210226-PBM</t>
  </si>
  <si>
    <t>C2-0309-V01-210226-PLA</t>
  </si>
  <si>
    <t>C2-0309-V01-210226-SER</t>
  </si>
  <si>
    <t>C2-0309-V01-210226-VTM</t>
  </si>
  <si>
    <t>C2-0311-V01-210226-HPB</t>
  </si>
  <si>
    <t>C2-0311-V01</t>
  </si>
  <si>
    <t>8.1</t>
  </si>
  <si>
    <t>0.81</t>
  </si>
  <si>
    <t>C2-0311-V01-210226-HPL</t>
  </si>
  <si>
    <t>C2-0311-V01-210226-PAX</t>
  </si>
  <si>
    <t>C2-0311-V01-210226-PBM</t>
  </si>
  <si>
    <t>C2-0311-V01-210226-PLA</t>
  </si>
  <si>
    <t>C2-0311-V01-210226-SER</t>
  </si>
  <si>
    <t>C2-0311-V01-210226-VTM</t>
  </si>
  <si>
    <t>C2-0332-V01-210224-PAX</t>
  </si>
  <si>
    <t>C2-0332-V01</t>
  </si>
  <si>
    <t>C2-0332-V01-210224-PBM</t>
  </si>
  <si>
    <t>C2-0332-V01-210224-PLA</t>
  </si>
  <si>
    <t>C2-0332-V01-210224-SER</t>
  </si>
  <si>
    <t>C2-0332-V01-210224-VTM</t>
  </si>
  <si>
    <t>C2-0368-V01-210226-HPB</t>
  </si>
  <si>
    <t>C2-0368-V01</t>
  </si>
  <si>
    <t>4.3</t>
  </si>
  <si>
    <t>0.43</t>
  </si>
  <si>
    <t>C2-0368-V01-210226-HPL</t>
  </si>
  <si>
    <t>C2-0368-V01-210226-PAX</t>
  </si>
  <si>
    <t>C2-0368-V01-210226-PBM</t>
  </si>
  <si>
    <t>C2-0368-V01-210226-PLA</t>
  </si>
  <si>
    <t>C2-0368-V01-210226-SER</t>
  </si>
  <si>
    <t>C2-0368-V01-210226-VTM</t>
  </si>
  <si>
    <t>C2-0369-V01-210226-HPB</t>
  </si>
  <si>
    <t>C2-0369-V01</t>
  </si>
  <si>
    <t>6.3</t>
  </si>
  <si>
    <t>0.63</t>
  </si>
  <si>
    <t>C2-0369-V01-210226-HPL</t>
  </si>
  <si>
    <t>C2-0369-V01-210226-PAX</t>
  </si>
  <si>
    <t>C2-0369-V01-210226-PBM</t>
  </si>
  <si>
    <t>C2-0369-V01-210226-PLA</t>
  </si>
  <si>
    <t>C2-0369-V01-210226-SER</t>
  </si>
  <si>
    <t>C2-0369-V01-210226-VTM</t>
  </si>
  <si>
    <t>C2-0371-V01-210225-HPB</t>
  </si>
  <si>
    <t>C2-0371-V01</t>
  </si>
  <si>
    <t>3.24</t>
  </si>
  <si>
    <t>0.324</t>
  </si>
  <si>
    <t>C2-0371-V01-210225-HPL</t>
  </si>
  <si>
    <t>C2-0371-V01-210225-PAX</t>
  </si>
  <si>
    <t>C2-0371-V01-210225-PBM</t>
  </si>
  <si>
    <t>C2-0371-V01-210225-PLA</t>
  </si>
  <si>
    <t>C2-0371-V01-210225-SER</t>
  </si>
  <si>
    <t>C2-0371-V01-210225-VTM</t>
  </si>
  <si>
    <t>C2-0374-V01-210301-HPB</t>
  </si>
  <si>
    <t>C2-0374-V01</t>
  </si>
  <si>
    <t>2.63</t>
  </si>
  <si>
    <t>0.263</t>
  </si>
  <si>
    <t>/mnt/researchsan02a/Sample_Manifests/ECHO/CHARM2/ManifestsToProcess/CHARM2_manifest_2021_03_01_V01_HPB_prepared_internally_BY20210303.xlsx</t>
  </si>
  <si>
    <t>C2-0374-V01-210301-HPL</t>
  </si>
  <si>
    <t>/mnt/researchsan02a/Sample_Manifests/ECHO/CHARM2/ManifestsToProcess/CHARM2_manifest_2021_03_01_V01_HPL_prepared_internally_BY20210303.xlsx</t>
  </si>
  <si>
    <t>C2-0374-V01-210301-PAX</t>
  </si>
  <si>
    <t>C2-0374-V01-210301-SER</t>
  </si>
  <si>
    <t>C2-0374-V01-210301-VTM</t>
  </si>
  <si>
    <t>C2-0378-V01-210222-PAX</t>
  </si>
  <si>
    <t>C2-0378-V01</t>
  </si>
  <si>
    <t>C2-0378-V01-210222-SER</t>
  </si>
  <si>
    <t>C2-0378-V01-210222-VTM</t>
  </si>
  <si>
    <t>C2-0379-V01-210226-PBM</t>
  </si>
  <si>
    <t>C2-0379-V01</t>
  </si>
  <si>
    <t>C2-0379-V01-210226-PLA</t>
  </si>
  <si>
    <t>C2-0379-V01-210226-SER</t>
  </si>
  <si>
    <t>C2-0379-V01-210226-VTM</t>
  </si>
  <si>
    <t>C2-0397-V01-210225-HPB</t>
  </si>
  <si>
    <t>C2-0397-V01</t>
  </si>
  <si>
    <t>1.9</t>
  </si>
  <si>
    <t>0.19</t>
  </si>
  <si>
    <t>C2-0397-V01-210225-HPL</t>
  </si>
  <si>
    <t>C2-0397-V01-210225-PAX</t>
  </si>
  <si>
    <t>C2-0397-V01-210225-PBM</t>
  </si>
  <si>
    <t>C2-0397-V01-210225-PLA</t>
  </si>
  <si>
    <t>C2-0397-V01-210225-SER</t>
  </si>
  <si>
    <t>C2-0397-V01-210225-VTM</t>
  </si>
  <si>
    <t>C2-0401-V01-210226-HPB</t>
  </si>
  <si>
    <t>C2-0401-V01</t>
  </si>
  <si>
    <t>1.39</t>
  </si>
  <si>
    <t>0.139</t>
  </si>
  <si>
    <t>C2-0401-V01-210226-HPL</t>
  </si>
  <si>
    <t>C2-0401-V01-210226-PAX</t>
  </si>
  <si>
    <t>C2-0401-V01-210226-PBM</t>
  </si>
  <si>
    <t>C2-0401-V01-210226-PLA</t>
  </si>
  <si>
    <t>C2-0401-V01-210226-SER</t>
  </si>
  <si>
    <t>C2-0401-V01-210226-VTM</t>
  </si>
  <si>
    <t>C2-0429-V01-210226-HPB</t>
  </si>
  <si>
    <t>C2-0429-V01</t>
  </si>
  <si>
    <t>4.5</t>
  </si>
  <si>
    <t>0.45</t>
  </si>
  <si>
    <t>C2-0429-V01-210226-HPL</t>
  </si>
  <si>
    <t>C2-0429-V01-210226-PAX</t>
  </si>
  <si>
    <t>C2-0429-V01-210226-PBM</t>
  </si>
  <si>
    <t>C2-0429-V01-210226-PLA</t>
  </si>
  <si>
    <t>C2-0429-V01-210226-SER</t>
  </si>
  <si>
    <t>C2-0429-V01-210226-VTM</t>
  </si>
  <si>
    <t>C2-0492-V01-210224-PAX</t>
  </si>
  <si>
    <t>C2-0492-V01</t>
  </si>
  <si>
    <t>C2-0492-V01-210224-PBM</t>
  </si>
  <si>
    <t>C2-0492-V01-210224-PLA</t>
  </si>
  <si>
    <t>C2-0492-V01-210224-SER</t>
  </si>
  <si>
    <t>C2-0492-V01-210224-VTM</t>
  </si>
  <si>
    <t>C2-0500-V01-210225-HPB</t>
  </si>
  <si>
    <t>C2-0500-V01</t>
  </si>
  <si>
    <t>4.45</t>
  </si>
  <si>
    <t>0.445</t>
  </si>
  <si>
    <t>C2-0500-V01-210225-HPL</t>
  </si>
  <si>
    <t>C2-0500-V01-210225-PAX</t>
  </si>
  <si>
    <t>C2-0500-V01-210225-PBM</t>
  </si>
  <si>
    <t>C2-0500-V01-210225-PLA</t>
  </si>
  <si>
    <t>C2-0500-V01-210225-SER</t>
  </si>
  <si>
    <t>C2-0500-V01-210225-VTM</t>
  </si>
  <si>
    <t>C2-0505-V01-210226-HPB</t>
  </si>
  <si>
    <t>C2-0505-V01</t>
  </si>
  <si>
    <t>3.36</t>
  </si>
  <si>
    <t>0.336</t>
  </si>
  <si>
    <t>C2-0505-V01-210226-HPL</t>
  </si>
  <si>
    <t>C2-0505-V01-210226-PAX</t>
  </si>
  <si>
    <t>C2-0505-V01-210226-PBM</t>
  </si>
  <si>
    <t>C2-0505-V01-210226-PLA</t>
  </si>
  <si>
    <t>C2-0505-V01-210226-SER</t>
  </si>
  <si>
    <t>C2-0505-V01-210226-VTM</t>
  </si>
  <si>
    <t>C2-0551-V01-210225-HPB</t>
  </si>
  <si>
    <t>C2-0551-V01</t>
  </si>
  <si>
    <t>4.06</t>
  </si>
  <si>
    <t>0.406</t>
  </si>
  <si>
    <t>C2-0551-V01-210225-HPL</t>
  </si>
  <si>
    <t>C2-0551-V01-210225-PAX</t>
  </si>
  <si>
    <t>C2-0551-V01-210225-PBM</t>
  </si>
  <si>
    <t>C2-0551-V01-210225-PLA</t>
  </si>
  <si>
    <t>C2-0551-V01-210225-SER</t>
  </si>
  <si>
    <t>C2-0551-V01-210225-VTM</t>
  </si>
  <si>
    <t>C2-0560-V01-210225-HPB</t>
  </si>
  <si>
    <t>C2-0560-V01</t>
  </si>
  <si>
    <t>3.91</t>
  </si>
  <si>
    <t>0.391</t>
  </si>
  <si>
    <t>C2-0560-V01-210225-HPL</t>
  </si>
  <si>
    <t>C2-0560-V01-210225-PAX</t>
  </si>
  <si>
    <t>C2-0560-V01-210225-PBM</t>
  </si>
  <si>
    <t>C2-0560-V01-210225-PLA</t>
  </si>
  <si>
    <t>C2-0560-V01-210225-SER</t>
  </si>
  <si>
    <t>C2-0560-V01-210225-VTM</t>
  </si>
  <si>
    <t>C2-0562-V01-210226-HPB</t>
  </si>
  <si>
    <t>C2-0562-V01</t>
  </si>
  <si>
    <t>2.53</t>
  </si>
  <si>
    <t>0.253</t>
  </si>
  <si>
    <t>C2-0562-V01-210226-HPL</t>
  </si>
  <si>
    <t>C2-0562-V01-210226-PAX</t>
  </si>
  <si>
    <t>C2-0562-V01-210226-PBM</t>
  </si>
  <si>
    <t>C2-0562-V01-210226-PLA</t>
  </si>
  <si>
    <t>C2-0562-V01-210226-SER</t>
  </si>
  <si>
    <t>C2-0562-V01-210226-VTM</t>
  </si>
  <si>
    <t>C2-0567-V01-210224-PAX</t>
  </si>
  <si>
    <t>C2-0567-V01</t>
  </si>
  <si>
    <t>C2-0567-V01-210224-PBM</t>
  </si>
  <si>
    <t>C2-0567-V01-210224-PLA</t>
  </si>
  <si>
    <t>C2-0567-V01-210224-SER</t>
  </si>
  <si>
    <t>C2-0567-V01-210224-VTM</t>
  </si>
  <si>
    <t>C2-0572-V01-210226-HPB</t>
  </si>
  <si>
    <t>C2-0572-V01</t>
  </si>
  <si>
    <t>4.39</t>
  </si>
  <si>
    <t>0.439</t>
  </si>
  <si>
    <t>C2-0572-V01-210226-HPL</t>
  </si>
  <si>
    <t>C2-0572-V01-210226-PAX</t>
  </si>
  <si>
    <t>C2-0572-V01-210226-PBM</t>
  </si>
  <si>
    <t>C2-0572-V01-210226-PLA</t>
  </si>
  <si>
    <t>C2-0572-V01-210226-SER</t>
  </si>
  <si>
    <t>C2-0572-V01-210226-VTM</t>
  </si>
  <si>
    <t>C2-0594-V01-210225-HPB</t>
  </si>
  <si>
    <t>C2-0594-V01</t>
  </si>
  <si>
    <t>4.55</t>
  </si>
  <si>
    <t>0.455</t>
  </si>
  <si>
    <t>C2-0594-V01-210225-HPL</t>
  </si>
  <si>
    <t>C2-0594-V01-210225-PAX</t>
  </si>
  <si>
    <t>C2-0594-V01-210225-PBM</t>
  </si>
  <si>
    <t>C2-0594-V01-210225-PLA</t>
  </si>
  <si>
    <t>C2-0594-V01-210225-SER</t>
  </si>
  <si>
    <t>C2-0594-V01-210225-VTM</t>
  </si>
  <si>
    <t>C2-0608-V01-210226-HPB</t>
  </si>
  <si>
    <t>C2-0608-V01</t>
  </si>
  <si>
    <t>4.35</t>
  </si>
  <si>
    <t>0.435</t>
  </si>
  <si>
    <t>C2-0608-V01-210226-HPL</t>
  </si>
  <si>
    <t>C2-0608-V01-210226-PAX</t>
  </si>
  <si>
    <t>C2-0608-V01-210226-PBM</t>
  </si>
  <si>
    <t>C2-0608-V01-210226-PLA</t>
  </si>
  <si>
    <t>C2-0608-V01-210226-SER</t>
  </si>
  <si>
    <t>C2-0608-V01-210226-VTM</t>
  </si>
  <si>
    <t>C2-0634-V01-210226-HPB</t>
  </si>
  <si>
    <t>C2-0634-V01</t>
  </si>
  <si>
    <t>6.82</t>
  </si>
  <si>
    <t>0.682</t>
  </si>
  <si>
    <t>C2-0634-V01-210226-HPL</t>
  </si>
  <si>
    <t>C2-0634-V01-210226-PAX</t>
  </si>
  <si>
    <t>C2-0634-V01-210226-PBM</t>
  </si>
  <si>
    <t>C2-0634-V01-210226-PLA</t>
  </si>
  <si>
    <t>C2-0634-V01-210226-SER</t>
  </si>
  <si>
    <t>C2-0634-V01-210226-VTM</t>
  </si>
  <si>
    <t>C2-0640-V01-210226-HPB</t>
  </si>
  <si>
    <t>C2-0640-V01</t>
  </si>
  <si>
    <t>4.84</t>
  </si>
  <si>
    <t>0.484</t>
  </si>
  <si>
    <t>C2-0640-V01-210226-HPL</t>
  </si>
  <si>
    <t>C2-0640-V01-210226-PAX</t>
  </si>
  <si>
    <t>C2-0640-V01-210226-PBM</t>
  </si>
  <si>
    <t>C2-0640-V01-210226-PLA</t>
  </si>
  <si>
    <t>C2-0640-V01-210226-SER</t>
  </si>
  <si>
    <t>C2-0640-V01-210226-VTM</t>
  </si>
  <si>
    <t>C2-0648-V01-210226-HPB</t>
  </si>
  <si>
    <t>C2-0648-V01</t>
  </si>
  <si>
    <t>C2-0648-V01-210226-HPL</t>
  </si>
  <si>
    <t>C2-0648-V01-210226-PAX</t>
  </si>
  <si>
    <t>C2-0648-V01-210226-PBM</t>
  </si>
  <si>
    <t>C2-0648-V01-210226-PLA</t>
  </si>
  <si>
    <t>C2-0648-V01-210226-SER</t>
  </si>
  <si>
    <t>C2-0648-V01-210226-VTM</t>
  </si>
  <si>
    <t>C2-0657-V01-210224-PAX</t>
  </si>
  <si>
    <t>C2-0657-V01</t>
  </si>
  <si>
    <t>C2-0657-V01-210224-PBM</t>
  </si>
  <si>
    <t>C2-0657-V01-210224-PLA</t>
  </si>
  <si>
    <t>C2-0657-V01-210224-SER</t>
  </si>
  <si>
    <t>C2-0657-V01-210224-VTM</t>
  </si>
  <si>
    <t>C2-0665-V01-210225-HPB</t>
  </si>
  <si>
    <t>C2-0665-V01</t>
  </si>
  <si>
    <t>2.67</t>
  </si>
  <si>
    <t>0.267</t>
  </si>
  <si>
    <t>C2-0665-V01-210225-HPL</t>
  </si>
  <si>
    <t>C2-0665-V01-210225-PAX</t>
  </si>
  <si>
    <t>C2-0665-V01-210225-PBM</t>
  </si>
  <si>
    <t>C2-0665-V01-210225-PLA</t>
  </si>
  <si>
    <t>C2-0665-V01-210225-SER</t>
  </si>
  <si>
    <t>C2-0665-V01-210225-VTM</t>
  </si>
  <si>
    <t>C2-0684-V01-210226-HPB</t>
  </si>
  <si>
    <t>C2-0684-V01</t>
  </si>
  <si>
    <t>3.85</t>
  </si>
  <si>
    <t>0.385</t>
  </si>
  <si>
    <t>C2-0684-V01-210226-HPL</t>
  </si>
  <si>
    <t>C2-0684-V01-210226-PAX</t>
  </si>
  <si>
    <t>C2-0684-V01-210226-PBM</t>
  </si>
  <si>
    <t>C2-0684-V01-210226-PLA</t>
  </si>
  <si>
    <t>C2-0684-V01-210226-SER</t>
  </si>
  <si>
    <t>C2-0684-V01-210226-VTM</t>
  </si>
  <si>
    <t>C2-0693-V01-210226-HPB</t>
  </si>
  <si>
    <t>C2-0693-V01</t>
  </si>
  <si>
    <t>6.97</t>
  </si>
  <si>
    <t>0.697</t>
  </si>
  <si>
    <t>C2-0693-V01-210226-HPL</t>
  </si>
  <si>
    <t>C2-0693-V01-210226-PAX</t>
  </si>
  <si>
    <t>C2-0693-V01-210226-PBM</t>
  </si>
  <si>
    <t>C2-0693-V01-210226-PLA</t>
  </si>
  <si>
    <t>C2-0693-V01-210226-SER</t>
  </si>
  <si>
    <t>C2-0693-V01-210226-VTM</t>
  </si>
  <si>
    <t>C2-0733-V01-210224-PAX</t>
  </si>
  <si>
    <t>C2-0733-V01</t>
  </si>
  <si>
    <t>C2-0733-V01-210224-PBM</t>
  </si>
  <si>
    <t>C2-0733-V01-210224-PLA</t>
  </si>
  <si>
    <t>C2-0733-V01-210224-SER</t>
  </si>
  <si>
    <t>C2-0733-V01-210224-VTM</t>
  </si>
  <si>
    <t>C2-0798-V01-210226-HPB</t>
  </si>
  <si>
    <t>C2-0798-V01</t>
  </si>
  <si>
    <t>7.9</t>
  </si>
  <si>
    <t>0.79</t>
  </si>
  <si>
    <t>C2-0798-V01-210226-HPL</t>
  </si>
  <si>
    <t>C2-0798-V01-210226-PAX</t>
  </si>
  <si>
    <t>C2-0798-V01-210226-PBM</t>
  </si>
  <si>
    <t>C2-0798-V01-210226-PLA</t>
  </si>
  <si>
    <t>C2-0798-V01-210226-SER</t>
  </si>
  <si>
    <t>C2-0798-V01-210226-VTM</t>
  </si>
  <si>
    <t>C2-0801-V01-210225-HPB</t>
  </si>
  <si>
    <t>C2-0801-V01</t>
  </si>
  <si>
    <t>3.57</t>
  </si>
  <si>
    <t>0.357</t>
  </si>
  <si>
    <t>C2-0801-V01-210225-HPL</t>
  </si>
  <si>
    <t>C2-0801-V01-210225-PAX</t>
  </si>
  <si>
    <t>C2-0801-V01-210225-PBM</t>
  </si>
  <si>
    <t>C2-0801-V01-210225-PLA</t>
  </si>
  <si>
    <t>C2-0801-V01-210225-SER</t>
  </si>
  <si>
    <t>C2-0801-V01-210225-VTM</t>
  </si>
  <si>
    <t>C2-0861-V01-210224-PAX</t>
  </si>
  <si>
    <t>C2-0861-V01</t>
  </si>
  <si>
    <t>C2-0861-V01-210224-PBM</t>
  </si>
  <si>
    <t>C2-0861-V01-210224-PLA</t>
  </si>
  <si>
    <t>C2-0861-V01-210224-SER</t>
  </si>
  <si>
    <t>C2-0861-V01-210224-VTM</t>
  </si>
  <si>
    <t>C2-0904-V01-210222-PAX</t>
  </si>
  <si>
    <t>C2-0904-V01</t>
  </si>
  <si>
    <t>C2-0904-V01-210222-SER</t>
  </si>
  <si>
    <t>C2-0904-V01-210222-VTM</t>
  </si>
  <si>
    <t>C2-0913-V01-210225-HPB</t>
  </si>
  <si>
    <t>C2-0913-V01</t>
  </si>
  <si>
    <t>3.93</t>
  </si>
  <si>
    <t>0.393</t>
  </si>
  <si>
    <t>C2-0913-V01-210225-HPL</t>
  </si>
  <si>
    <t>C2-0913-V01-210225-PAX</t>
  </si>
  <si>
    <t>C2-0913-V01-210225-PBM</t>
  </si>
  <si>
    <t>C2-0913-V01-210225-PLA</t>
  </si>
  <si>
    <t>C2-0913-V01-210225-SER</t>
  </si>
  <si>
    <t>C2-0913-V01-210225-VTM</t>
  </si>
  <si>
    <t>C2-0919-V01-210226-HPB</t>
  </si>
  <si>
    <t>C2-0919-V01</t>
  </si>
  <si>
    <t>4.74</t>
  </si>
  <si>
    <t>0.474</t>
  </si>
  <si>
    <t>C2-0919-V01-210226-HPL</t>
  </si>
  <si>
    <t>C2-0919-V01-210226-PAX</t>
  </si>
  <si>
    <t>C2-0919-V01-210226-PBM</t>
  </si>
  <si>
    <t>C2-0919-V01-210226-PLA</t>
  </si>
  <si>
    <t>C2-0919-V01-210226-SER</t>
  </si>
  <si>
    <t>C2-0919-V01-210226-VTM</t>
  </si>
  <si>
    <t>C2-0933-V01-210301-HPB</t>
  </si>
  <si>
    <t>C2-0933-V01</t>
  </si>
  <si>
    <t>2.43</t>
  </si>
  <si>
    <t>0.243</t>
  </si>
  <si>
    <t>C2-0933-V01-210301-HPL</t>
  </si>
  <si>
    <t>C2-0933-V01-210301-PAX</t>
  </si>
  <si>
    <t>C2-0933-V01-210301-SER</t>
  </si>
  <si>
    <t>C2-0933-V01-210301-VTM</t>
  </si>
  <si>
    <t>C2-0936-V01-210225-HPB</t>
  </si>
  <si>
    <t>C2-0936-V01</t>
  </si>
  <si>
    <t>4.33</t>
  </si>
  <si>
    <t>0.433</t>
  </si>
  <si>
    <t>C2-0936-V01-210225-HPL</t>
  </si>
  <si>
    <t>C2-0936-V01-210225-PAX</t>
  </si>
  <si>
    <t>C2-0936-V01-210225-PBM</t>
  </si>
  <si>
    <t>C2-0936-V01-210225-PLA</t>
  </si>
  <si>
    <t>C2-0936-V01-210225-SER</t>
  </si>
  <si>
    <t>C2-0936-V01-210225-VTM</t>
  </si>
  <si>
    <t>C2-0965-V01-210225-HPB</t>
  </si>
  <si>
    <t>C2-0965-V01</t>
  </si>
  <si>
    <t>4</t>
  </si>
  <si>
    <t>0.4</t>
  </si>
  <si>
    <t>C2-0965-V01-210225-HPL</t>
  </si>
  <si>
    <t>C2-0965-V01-210225-PAX</t>
  </si>
  <si>
    <t>C2-0965-V01-210225-PBM</t>
  </si>
  <si>
    <t>C2-0965-V01-210225-PLA</t>
  </si>
  <si>
    <t>C2-0965-V01-210225-SER</t>
  </si>
  <si>
    <t>C2-0965-V01-210225-VTM</t>
  </si>
  <si>
    <t>C2-0976-V01-210225-HPB</t>
  </si>
  <si>
    <t>C2-0976-V01</t>
  </si>
  <si>
    <t>2.19</t>
  </si>
  <si>
    <t>0.219</t>
  </si>
  <si>
    <t>C2-0976-V01-210225-HPL</t>
  </si>
  <si>
    <t>C2-0976-V01-210225-PAX</t>
  </si>
  <si>
    <t>C2-0976-V01-210225-PBM</t>
  </si>
  <si>
    <t>C2-0976-V01-210225-PLA</t>
  </si>
  <si>
    <t>C2-0976-V01-210225-SER</t>
  </si>
  <si>
    <t>C2-0976-V01-210225-VTM</t>
  </si>
  <si>
    <t>C2-1038-V01-210301-HPB</t>
  </si>
  <si>
    <t>C2-1038-V01</t>
  </si>
  <si>
    <t>9.84</t>
  </si>
  <si>
    <t>0.984</t>
  </si>
  <si>
    <t>C2-1038-V01-210301-HPL</t>
  </si>
  <si>
    <t>C2-1038-V01-210301-PAX</t>
  </si>
  <si>
    <t>C2-1038-V01-210301-SER</t>
  </si>
  <si>
    <t>C2-1038-V01-210301-VTM</t>
  </si>
  <si>
    <t>C2-1142-V01-210301-HPB</t>
  </si>
  <si>
    <t>C2-1142-V01</t>
  </si>
  <si>
    <t>8.45</t>
  </si>
  <si>
    <t>0.845</t>
  </si>
  <si>
    <t>C2-1142-V01-210301-HPL</t>
  </si>
  <si>
    <t>C2-1142-V01-210301-PAX</t>
  </si>
  <si>
    <t>C2-1142-V01-210301-SER</t>
  </si>
  <si>
    <t>C2-1142-V01-210301-VTM</t>
  </si>
  <si>
    <t>C2-1148-V01-210226-HPB</t>
  </si>
  <si>
    <t>C2-1148-V01</t>
  </si>
  <si>
    <t>5.25</t>
  </si>
  <si>
    <t>0.525</t>
  </si>
  <si>
    <t>C2-1148-V01-210226-HPL</t>
  </si>
  <si>
    <t>C2-1148-V01-210226-PAX</t>
  </si>
  <si>
    <t>C2-1148-V01-210226-PBM</t>
  </si>
  <si>
    <t>C2-1148-V01-210226-PLA</t>
  </si>
  <si>
    <t>C2-1148-V01-210226-SER</t>
  </si>
  <si>
    <t>C2-1148-V01-210226-VTM</t>
  </si>
  <si>
    <t>C2-1154-V01-210225-HPB</t>
  </si>
  <si>
    <t>C2-1154-V01</t>
  </si>
  <si>
    <t>6.13</t>
  </si>
  <si>
    <t>0.613</t>
  </si>
  <si>
    <t>C2-1154-V01-210225-HPL</t>
  </si>
  <si>
    <t>C2-1154-V01-210225-PAX</t>
  </si>
  <si>
    <t>C2-1154-V01-210225-PBM</t>
  </si>
  <si>
    <t>C2-1154-V01-210225-PLA</t>
  </si>
  <si>
    <t>C2-1154-V01-210225-SER</t>
  </si>
  <si>
    <t>C2-1154-V01-210225-VTM</t>
  </si>
  <si>
    <t>C2-1166-V01-210225-HPB</t>
  </si>
  <si>
    <t>C2-1166-V01</t>
  </si>
  <si>
    <t>1.74</t>
  </si>
  <si>
    <t>0.174</t>
  </si>
  <si>
    <t>C2-1166-V01-210225-HPL</t>
  </si>
  <si>
    <t>C2-1166-V01-210225-PAX</t>
  </si>
  <si>
    <t>C2-1166-V01-210225-PBM</t>
  </si>
  <si>
    <t>C2-1166-V01-210225-PLA</t>
  </si>
  <si>
    <t>C2-1166-V01-210225-SER</t>
  </si>
  <si>
    <t>C2-1166-V01-210225-VTM</t>
  </si>
  <si>
    <t>C2-1181-V01-210224-PAX</t>
  </si>
  <si>
    <t>C2-1181-V01</t>
  </si>
  <si>
    <t>C2-1181-V01-210224-PBM</t>
  </si>
  <si>
    <t>C2-1181-V01-210224-PLA</t>
  </si>
  <si>
    <t>C2-1181-V01-210224-SER</t>
  </si>
  <si>
    <t>C2-1181-V01-210224-VTM</t>
  </si>
  <si>
    <t>C2-1236-V01-210224-PAX</t>
  </si>
  <si>
    <t>C2-1236-V01</t>
  </si>
  <si>
    <t>C2-1236-V01-210224-PBM</t>
  </si>
  <si>
    <t>C2-1236-V01-210224-PLA</t>
  </si>
  <si>
    <t>C2-1236-V01-210224-SER</t>
  </si>
  <si>
    <t>C2-1236-V01-210224-VTM</t>
  </si>
  <si>
    <t>C2-1291-V01-210225-HPB</t>
  </si>
  <si>
    <t>C2-1291-V01</t>
  </si>
  <si>
    <t>5.01</t>
  </si>
  <si>
    <t>0.501</t>
  </si>
  <si>
    <t>C2-1291-V01-210225-HPL</t>
  </si>
  <si>
    <t>C2-1291-V01-210225-PAX</t>
  </si>
  <si>
    <t>C2-1291-V01-210225-PBM</t>
  </si>
  <si>
    <t>C2-1291-V01-210225-PLA</t>
  </si>
  <si>
    <t>C2-1291-V01-210225-SER</t>
  </si>
  <si>
    <t>C2-1291-V01-210225-VTM</t>
  </si>
  <si>
    <t>C2-1303-V01-210225-HPB</t>
  </si>
  <si>
    <t>C2-1303-V01</t>
  </si>
  <si>
    <t>4.91</t>
  </si>
  <si>
    <t>0.491</t>
  </si>
  <si>
    <t>C2-1303-V01-210225-HPL</t>
  </si>
  <si>
    <t>C2-1303-V01-210225-PAX</t>
  </si>
  <si>
    <t>C2-1303-V01-210225-PBM</t>
  </si>
  <si>
    <t>C2-1303-V01-210225-PLA</t>
  </si>
  <si>
    <t>C2-1303-V01-210225-SER</t>
  </si>
  <si>
    <t>C2-1303-V01-210225-VTM</t>
  </si>
  <si>
    <t>C2-1338-V01-210226-HPB</t>
  </si>
  <si>
    <t>C2-1338-V01</t>
  </si>
  <si>
    <t>9.06</t>
  </si>
  <si>
    <t>0.906</t>
  </si>
  <si>
    <t>C2-1338-V01-210226-HPL</t>
  </si>
  <si>
    <t>C2-1338-V01-210226-PAX</t>
  </si>
  <si>
    <t>C2-1338-V01-210226-PBM</t>
  </si>
  <si>
    <t>C2-1338-V01-210226-PLA</t>
  </si>
  <si>
    <t>C2-1338-V01-210226-SER</t>
  </si>
  <si>
    <t>C2-1338-V01-210226-VTM</t>
  </si>
  <si>
    <t>C2-1356-V01-210226-HPB</t>
  </si>
  <si>
    <t>C2-1356-V01</t>
  </si>
  <si>
    <t>1.65</t>
  </si>
  <si>
    <t>0.165</t>
  </si>
  <si>
    <t>C2-1356-V01-210226-HPL</t>
  </si>
  <si>
    <t>C2-1356-V01-210226-PAX</t>
  </si>
  <si>
    <t>C2-1356-V01-210226-PBM</t>
  </si>
  <si>
    <t>C2-1356-V01-210226-PLA</t>
  </si>
  <si>
    <t>C2-1356-V01-210226-SER</t>
  </si>
  <si>
    <t>C2-1356-V01-210226-VTM</t>
  </si>
  <si>
    <t>C2-1357-V01-210224-PAX</t>
  </si>
  <si>
    <t>C2-1357-V01</t>
  </si>
  <si>
    <t>C2-1357-V01-210224-PBM</t>
  </si>
  <si>
    <t>C2-1357-V01-210224-PLA</t>
  </si>
  <si>
    <t>C2-1357-V01-210224-SER</t>
  </si>
  <si>
    <t>C2-1357-V01-210224-VTM</t>
  </si>
  <si>
    <t>C2-1365-V01-210225-HPB</t>
  </si>
  <si>
    <t>C2-1365-V01</t>
  </si>
  <si>
    <t>5.5</t>
  </si>
  <si>
    <t>0.55</t>
  </si>
  <si>
    <t>C2-1365-V01-210225-HPL</t>
  </si>
  <si>
    <t>C2-1365-V01-210225-PAX</t>
  </si>
  <si>
    <t>C2-1365-V01-210225-PBM</t>
  </si>
  <si>
    <t>C2-1365-V01-210225-PLA</t>
  </si>
  <si>
    <t>C2-1365-V01-210225-SER</t>
  </si>
  <si>
    <t>C2-1365-V01-210225-VTM</t>
  </si>
  <si>
    <t>C2-1400-V01-210224-PAX</t>
  </si>
  <si>
    <t>C2-1400-V01</t>
  </si>
  <si>
    <t>C2-1400-V01-210224-PBM</t>
  </si>
  <si>
    <t>C2-1400-V01-210224-PLA</t>
  </si>
  <si>
    <t>C2-1400-V01-210224-SER</t>
  </si>
  <si>
    <t>C2-1400-V01-210224-VTM</t>
  </si>
  <si>
    <t>C2-1462-V01-210226-HPB</t>
  </si>
  <si>
    <t>C2-1462-V01</t>
  </si>
  <si>
    <t>5.4</t>
  </si>
  <si>
    <t>0.54</t>
  </si>
  <si>
    <t>C2-1462-V01-210226-HPL</t>
  </si>
  <si>
    <t>C2-1462-V01-210226-PAX</t>
  </si>
  <si>
    <t>C2-1462-V01-210226-PBM</t>
  </si>
  <si>
    <t>C2-1462-V01-210226-PLA</t>
  </si>
  <si>
    <t>C2-1462-V01-210226-SER</t>
  </si>
  <si>
    <t>C2-1462-V01-210226-VTM</t>
  </si>
  <si>
    <t>C2-1475-V01-210225-HPB</t>
  </si>
  <si>
    <t>C2-1475-V01</t>
  </si>
  <si>
    <t>3.05</t>
  </si>
  <si>
    <t>0.305</t>
  </si>
  <si>
    <t>C2-1475-V01-210225-HPL</t>
  </si>
  <si>
    <t>C2-1475-V01-210225-PAX</t>
  </si>
  <si>
    <t>C2-1475-V01-210225-PBM</t>
  </si>
  <si>
    <t>C2-1475-V01-210225-PLA</t>
  </si>
  <si>
    <t>C2-1475-V01-210225-SER</t>
  </si>
  <si>
    <t>C2-1475-V01-210225-VTM</t>
  </si>
  <si>
    <t>C2-1527-V01-210222-PAX</t>
  </si>
  <si>
    <t>C2-1527-V01</t>
  </si>
  <si>
    <t>C2-1527-V01-210222-SER</t>
  </si>
  <si>
    <t>C2-1527-V01-210222-VTM</t>
  </si>
  <si>
    <t>C2-1540-V01-210224-PAX</t>
  </si>
  <si>
    <t>C2-1540-V01</t>
  </si>
  <si>
    <t>C2-1540-V01-210224-PBM</t>
  </si>
  <si>
    <t>C2-1540-V01-210224-PLA</t>
  </si>
  <si>
    <t>C2-1540-V01-210224-SER</t>
  </si>
  <si>
    <t>C2-1540-V01-210224-VTM</t>
  </si>
  <si>
    <t>C2-1546-V01-210226-HPB</t>
  </si>
  <si>
    <t>C2-1546-V01</t>
  </si>
  <si>
    <t>4.58</t>
  </si>
  <si>
    <t>0.458</t>
  </si>
  <si>
    <t>C2-1546-V01-210226-HPL</t>
  </si>
  <si>
    <t>C2-1546-V01-210226-PAX</t>
  </si>
  <si>
    <t>C2-1546-V01-210226-PBM</t>
  </si>
  <si>
    <t>C2-1546-V01-210226-PLA</t>
  </si>
  <si>
    <t>C2-1546-V01-210226-SER</t>
  </si>
  <si>
    <t>C2-1546-V01-210226-VTM</t>
  </si>
  <si>
    <t>C2-1549-V01-210224-PAX</t>
  </si>
  <si>
    <t>C2-1549-V01</t>
  </si>
  <si>
    <t>C2-1549-V01-210224-PBM</t>
  </si>
  <si>
    <t>C2-1549-V01-210224-PLA</t>
  </si>
  <si>
    <t>C2-1549-V01-210224-SER</t>
  </si>
  <si>
    <t>C2-1549-V01-210224-VTM</t>
  </si>
  <si>
    <t>C2-1579-V01-210224-PAX</t>
  </si>
  <si>
    <t>C2-1579-V01</t>
  </si>
  <si>
    <t>C2-1579-V01-210224-PBM</t>
  </si>
  <si>
    <t>C2-1579-V01-210224-PLA</t>
  </si>
  <si>
    <t>C2-1579-V01-210224-SER</t>
  </si>
  <si>
    <t>C2-1579-V01-210224-VTM</t>
  </si>
  <si>
    <t>C2-1581-V01-210219-HPB</t>
  </si>
  <si>
    <t>C2-1581-V01</t>
  </si>
  <si>
    <t>2/19/2021</t>
  </si>
  <si>
    <t>2021-02-19</t>
  </si>
  <si>
    <t>0.25</t>
  </si>
  <si>
    <t>/mnt/researchsan02a/Sample_Manifests/ECHO/CHARM2/ManifestsToProcess/CHARM2_manifest_2021_02_19_V01_HPB_prepared_internally.xlsx</t>
  </si>
  <si>
    <t>C2-1581-V01-210219-PAX</t>
  </si>
  <si>
    <t>C2-1581-V01-210219-SER</t>
  </si>
  <si>
    <t>C2-1581-V01-210219-VTM</t>
  </si>
  <si>
    <t>C2-1600-V01-210226-HPB</t>
  </si>
  <si>
    <t>C2-1600-V01</t>
  </si>
  <si>
    <t>2.16</t>
  </si>
  <si>
    <t>0.216</t>
  </si>
  <si>
    <t>C2-1600-V01-210226-HPL</t>
  </si>
  <si>
    <t>C2-1600-V01-210226-PAX</t>
  </si>
  <si>
    <t>C2-1600-V01-210226-PBM</t>
  </si>
  <si>
    <t>C2-1600-V01-210226-PLA</t>
  </si>
  <si>
    <t>C2-1600-V01-210226-SER</t>
  </si>
  <si>
    <t>C2-1600-V01-210226-VTM</t>
  </si>
  <si>
    <t>C2-1608-V01-210226-HPB</t>
  </si>
  <si>
    <t>C2-1608-V01</t>
  </si>
  <si>
    <t>5.8</t>
  </si>
  <si>
    <t>0.58</t>
  </si>
  <si>
    <t>C2-1608-V01-210226-HPL</t>
  </si>
  <si>
    <t>C2-1608-V01-210226-PAX</t>
  </si>
  <si>
    <t>C2-1608-V01-210226-PBM</t>
  </si>
  <si>
    <t>C2-1608-V01-210226-PLA</t>
  </si>
  <si>
    <t>C2-1608-V01-210226-SER</t>
  </si>
  <si>
    <t>C2-1608-V01-210226-VTM</t>
  </si>
  <si>
    <t>C2-1611-V01-210224-PAX</t>
  </si>
  <si>
    <t>C2-1611-V01</t>
  </si>
  <si>
    <t>C2-1611-V01-210224-PBM</t>
  </si>
  <si>
    <t>C2-1611-V01-210224-PLA</t>
  </si>
  <si>
    <t>C2-1611-V01-210224-SER</t>
  </si>
  <si>
    <t>C2-1611-V01-210224-VTM</t>
  </si>
  <si>
    <t>C2-1647-V01-210225-HPB</t>
  </si>
  <si>
    <t>C2-1647-V01</t>
  </si>
  <si>
    <t>5.76</t>
  </si>
  <si>
    <t>0.576</t>
  </si>
  <si>
    <t>C2-1647-V01-210225-HPL</t>
  </si>
  <si>
    <t>C2-1647-V01-210225-PAX</t>
  </si>
  <si>
    <t>C2-1647-V01-210225-PBM</t>
  </si>
  <si>
    <t>C2-1647-V01-210225-PLA</t>
  </si>
  <si>
    <t>C2-1647-V01-210225-SER</t>
  </si>
  <si>
    <t>C2-1647-V01-210225-VTM</t>
  </si>
  <si>
    <t>C2-1653-V01-210301-HPB</t>
  </si>
  <si>
    <t>C2-1653-V01</t>
  </si>
  <si>
    <t>8.92</t>
  </si>
  <si>
    <t>0.892</t>
  </si>
  <si>
    <t>C2-1653-V01-210301-HPL</t>
  </si>
  <si>
    <t>C2-1653-V01-210301-PAX</t>
  </si>
  <si>
    <t>C2-1653-V01-210301-SER</t>
  </si>
  <si>
    <t>C2-1653-V01-210301-VTM</t>
  </si>
  <si>
    <t>C2-1654-V01-210224-PAX</t>
  </si>
  <si>
    <t>C2-1654-V01</t>
  </si>
  <si>
    <t>C2-1654-V01-210224-PBM</t>
  </si>
  <si>
    <t>C2-1654-V01-210224-PLA</t>
  </si>
  <si>
    <t>C2-1654-V01-210224-SER</t>
  </si>
  <si>
    <t>C2-1654-V01-210224-VTM</t>
  </si>
  <si>
    <t>C2-1691-V01-210301-HPB</t>
  </si>
  <si>
    <t>C2-1691-V01</t>
  </si>
  <si>
    <t>4.72</t>
  </si>
  <si>
    <t>0.472</t>
  </si>
  <si>
    <t>C2-1691-V01-210301-HPL</t>
  </si>
  <si>
    <t>C2-1691-V01-210301-PAX</t>
  </si>
  <si>
    <t>C2-1691-V01-210301-SER</t>
  </si>
  <si>
    <t>C2-1691-V01-210301-VTM</t>
  </si>
  <si>
    <t>C2-1745-V01-210225-HPB</t>
  </si>
  <si>
    <t>C2-1745-V01</t>
  </si>
  <si>
    <t>4.66</t>
  </si>
  <si>
    <t>0.466</t>
  </si>
  <si>
    <t>C2-1745-V01-210225-HPL</t>
  </si>
  <si>
    <t>C2-1745-V01-210225-PAX</t>
  </si>
  <si>
    <t>C2-1745-V01-210225-PBM</t>
  </si>
  <si>
    <t>C2-1745-V01-210225-PLA</t>
  </si>
  <si>
    <t>C2-1745-V01-210225-SER</t>
  </si>
  <si>
    <t>C2-1745-V01-210225-VTM</t>
  </si>
  <si>
    <t>C2-1746-V01-210301-HPB</t>
  </si>
  <si>
    <t>C2-1746-V01</t>
  </si>
  <si>
    <t>6.91</t>
  </si>
  <si>
    <t>0.691</t>
  </si>
  <si>
    <t>C2-1746-V01-210301-HPL</t>
  </si>
  <si>
    <t>C2-1746-V01-210301-PAX</t>
  </si>
  <si>
    <t>C2-1746-V01-210301-SER</t>
  </si>
  <si>
    <t>C2-1746-V01-210301-VTM</t>
  </si>
  <si>
    <t>C2-1747-V01-210224-PAX</t>
  </si>
  <si>
    <t>C2-1747-V01</t>
  </si>
  <si>
    <t>C2-1747-V01-210224-PBM</t>
  </si>
  <si>
    <t>C2-1747-V01-210224-PLA</t>
  </si>
  <si>
    <t>C2-1747-V01-210224-SER</t>
  </si>
  <si>
    <t>C2-1747-V01-210224-VTM</t>
  </si>
  <si>
    <t>C2-1784-V01-210224-PAX</t>
  </si>
  <si>
    <t>C2-1784-V01</t>
  </si>
  <si>
    <t>C2-1784-V01-210224-PBM</t>
  </si>
  <si>
    <t>C2-1784-V01-210224-PLA</t>
  </si>
  <si>
    <t>C2-1784-V01-210224-SER</t>
  </si>
  <si>
    <t>C2-1784-V01-210224-VTM</t>
  </si>
  <si>
    <t>C2-1790-V01-210301-HPB</t>
  </si>
  <si>
    <t>C2-1790-V01</t>
  </si>
  <si>
    <t>9.64</t>
  </si>
  <si>
    <t>0.964</t>
  </si>
  <si>
    <t>C2-1790-V01-210301-HPL</t>
  </si>
  <si>
    <t>C2-1790-V01-210301-PAX</t>
  </si>
  <si>
    <t>C2-1790-V01-210301-SER</t>
  </si>
  <si>
    <t>C2-1790-V01-210301-VTM</t>
  </si>
  <si>
    <t>C2-1808-V01-210225-HPB</t>
  </si>
  <si>
    <t>C2-1808-V01</t>
  </si>
  <si>
    <t>5.07</t>
  </si>
  <si>
    <t>0.507</t>
  </si>
  <si>
    <t>C2-1808-V01-210225-HPL</t>
  </si>
  <si>
    <t>C2-1808-V01-210225-PAX</t>
  </si>
  <si>
    <t>C2-1808-V01-210225-PBM</t>
  </si>
  <si>
    <t>C2-1808-V01-210225-PLA</t>
  </si>
  <si>
    <t>C2-1808-V01-210225-SER</t>
  </si>
  <si>
    <t>C2-1808-V01-210225-VTM</t>
  </si>
  <si>
    <t>C2-1848-V01-210224-PAX</t>
  </si>
  <si>
    <t>C2-1848-V01</t>
  </si>
  <si>
    <t>C2-1848-V01-210224-PBM</t>
  </si>
  <si>
    <t>C2-1848-V01-210224-PLA</t>
  </si>
  <si>
    <t>C2-1848-V01-210224-SER</t>
  </si>
  <si>
    <t>C2-1848-V01-210224-VTM</t>
  </si>
  <si>
    <t>C2-1862-V01-210301-HPB</t>
  </si>
  <si>
    <t>C2-1862-V01</t>
  </si>
  <si>
    <t>5.75</t>
  </si>
  <si>
    <t>0.575</t>
  </si>
  <si>
    <t>C2-1862-V01-210301-HPL</t>
  </si>
  <si>
    <t>C2-1862-V01-210301-PAX</t>
  </si>
  <si>
    <t>C2-1862-V01-210301-SER</t>
  </si>
  <si>
    <t>C2-1862-V01-210301-VTM</t>
  </si>
  <si>
    <t>C2-1883-V01-210301-HPB</t>
  </si>
  <si>
    <t>C2-1883-V01</t>
  </si>
  <si>
    <t>8.76</t>
  </si>
  <si>
    <t>0.876</t>
  </si>
  <si>
    <t>C2-1883-V01-210301-HPL</t>
  </si>
  <si>
    <t>C2-1883-V01-210301-PAX</t>
  </si>
  <si>
    <t>C2-1883-V01-210301-SER</t>
  </si>
  <si>
    <t>C2-1883-V01-210301-VTM</t>
  </si>
  <si>
    <t>C2-1995-V01-210225-HPB</t>
  </si>
  <si>
    <t>C2-1995-V01</t>
  </si>
  <si>
    <t>2.76</t>
  </si>
  <si>
    <t>0.276</t>
  </si>
  <si>
    <t>C2-1995-V01-210225-HPL</t>
  </si>
  <si>
    <t>C2-1995-V01-210225-PAX</t>
  </si>
  <si>
    <t>C2-1995-V01-210225-PBM</t>
  </si>
  <si>
    <t>C2-1995-V01-210225-PLA</t>
  </si>
  <si>
    <t>C2-1995-V01-210225-SER</t>
  </si>
  <si>
    <t>C2-1995-V01-210225-VTM</t>
  </si>
  <si>
    <t>C2-2067-V01-210224-PAX</t>
  </si>
  <si>
    <t>C2-2067-V01</t>
  </si>
  <si>
    <t>C2-2067-V01-210224-PBM</t>
  </si>
  <si>
    <t>C2-2067-V01-210224-PLA</t>
  </si>
  <si>
    <t>C2-2067-V01-210224-SER</t>
  </si>
  <si>
    <t>C2-2067-V01-210224-VTM</t>
  </si>
  <si>
    <t>C2-2236-V01-210301-HPB</t>
  </si>
  <si>
    <t>C2-2236-V01</t>
  </si>
  <si>
    <t>5</t>
  </si>
  <si>
    <t>0.5</t>
  </si>
  <si>
    <t>C2-2236-V01-210301-HPL</t>
  </si>
  <si>
    <t>C2-2236-V01-210301-PAX</t>
  </si>
  <si>
    <t>C2-2236-V01-210301-SER</t>
  </si>
  <si>
    <t>C2-2236-V01-210301-VTM</t>
  </si>
  <si>
    <t>C2-2627-V01-210301-HPB</t>
  </si>
  <si>
    <t>C2-2627-V01</t>
  </si>
  <si>
    <t>7.46</t>
  </si>
  <si>
    <t>0.746</t>
  </si>
  <si>
    <t>C2-2627-V01-210301-HPL</t>
  </si>
  <si>
    <t>C2-2627-V01-210301-PAX</t>
  </si>
  <si>
    <t>C2-2627-V01-210301-SER</t>
  </si>
  <si>
    <t>C2-2627-V01-210301-VTM</t>
  </si>
  <si>
    <t>C2-2925-V01-210301-HPB</t>
  </si>
  <si>
    <t>C2-2925-V01</t>
  </si>
  <si>
    <t>C2-2925-V01-210301-HPL</t>
  </si>
  <si>
    <t>C2-2925-V01-210301-PAX</t>
  </si>
  <si>
    <t>C2-2925-V01-210301-SER</t>
  </si>
  <si>
    <t>C2-2925-V01-210301-VTM</t>
  </si>
  <si>
    <t>C2-2959-V01-210301-HPB</t>
  </si>
  <si>
    <t>C2-2959-V01</t>
  </si>
  <si>
    <t>5.57</t>
  </si>
  <si>
    <t>0.557</t>
  </si>
  <si>
    <t>C2-2959-V01-210301-HPL</t>
  </si>
  <si>
    <t>C2-2959-V01-210301-PAX</t>
  </si>
  <si>
    <t>C2-2959-V01-210301-SER</t>
  </si>
  <si>
    <t>C2-2959-V01-210301-VTM</t>
  </si>
  <si>
    <t>C2-3031-V01-210301-HPB</t>
  </si>
  <si>
    <t>C2-3031-V01</t>
  </si>
  <si>
    <t>8.32</t>
  </si>
  <si>
    <t>0.832</t>
  </si>
  <si>
    <t>C2-3031-V01-210301-HPL</t>
  </si>
  <si>
    <t>C2-3031-V01-210301-PAX</t>
  </si>
  <si>
    <t>C2-3031-V01-210301-SER</t>
  </si>
  <si>
    <t>C2-3031-V01-210301-VTM</t>
  </si>
  <si>
    <t>C2-3089-V01-210301-HPB</t>
  </si>
  <si>
    <t>C2-3089-V01</t>
  </si>
  <si>
    <t>2.83</t>
  </si>
  <si>
    <t>0.283</t>
  </si>
  <si>
    <t>C2-3089-V01-210301-HPL</t>
  </si>
  <si>
    <t>C2-3089-V01-210301-PAX</t>
  </si>
  <si>
    <t>C2-3089-V01-210301-SER</t>
  </si>
  <si>
    <t>C2-3089-V01-210301-VTM</t>
  </si>
  <si>
    <t>C2-3196-V01-210301-HPB</t>
  </si>
  <si>
    <t>C2-3196-V01</t>
  </si>
  <si>
    <t>6.17</t>
  </si>
  <si>
    <t>0.617</t>
  </si>
  <si>
    <t>C2-3196-V01-210301-HPL</t>
  </si>
  <si>
    <t>C2-3196-V01-210301-PAX</t>
  </si>
  <si>
    <t>C2-3196-V01-210301-SER</t>
  </si>
  <si>
    <t>C2-3196-V01-210301-VTM</t>
  </si>
  <si>
    <t>C2-3223-V01-210301-HPB</t>
  </si>
  <si>
    <t>C2-3223-V01</t>
  </si>
  <si>
    <t>10.6</t>
  </si>
  <si>
    <t>1.06</t>
  </si>
  <si>
    <t>C2-3223-V01-210301-HPL</t>
  </si>
  <si>
    <t>C2-3223-V01-210301-PAX</t>
  </si>
  <si>
    <t>C2-3223-V01-210301-SER</t>
  </si>
  <si>
    <t>C2-3223-V01-210301-VTM</t>
  </si>
  <si>
    <t>C2-3316-V01-210301-HPB</t>
  </si>
  <si>
    <t>C2-3316-V01</t>
  </si>
  <si>
    <t>11.6</t>
  </si>
  <si>
    <t>1.16</t>
  </si>
  <si>
    <t>C2-3316-V01-210301-HPL</t>
  </si>
  <si>
    <t>C2-3316-V01-210301-PAX</t>
  </si>
  <si>
    <t>C2-3316-V01-210301-SER</t>
  </si>
  <si>
    <t>C2-3316-V01-210301-VTM</t>
  </si>
  <si>
    <t>C2-3321-V01-210301-HPB</t>
  </si>
  <si>
    <t>C2-3321-V01</t>
  </si>
  <si>
    <t>6</t>
  </si>
  <si>
    <t>0.6</t>
  </si>
  <si>
    <t>C2-3321-V01-210301-HPL</t>
  </si>
  <si>
    <t>C2-3321-V01-210301-PAX</t>
  </si>
  <si>
    <t>C2-3321-V01-210301-SER</t>
  </si>
  <si>
    <t>C2-3321-V01-210301-VTM</t>
  </si>
  <si>
    <t>C2-3372-V01-210301-HPB</t>
  </si>
  <si>
    <t>C2-3372-V01</t>
  </si>
  <si>
    <t>9.04</t>
  </si>
  <si>
    <t>0.904</t>
  </si>
  <si>
    <t>C2-3372-V01-210301-HPL</t>
  </si>
  <si>
    <t>C2-3372-V01-210301-PAX</t>
  </si>
  <si>
    <t>C2-3372-V01-210301-SER</t>
  </si>
  <si>
    <t>C2-3372-V01-210301-VTM</t>
  </si>
  <si>
    <t>C2-3406-V01-210301-HPB</t>
  </si>
  <si>
    <t>C2-3406-V01</t>
  </si>
  <si>
    <t>5.29</t>
  </si>
  <si>
    <t>0.529</t>
  </si>
  <si>
    <t>C2-3406-V01-210301-HPL</t>
  </si>
  <si>
    <t>C2-3406-V01-210301-PAX</t>
  </si>
  <si>
    <t>C2-3406-V01-210301-SER</t>
  </si>
  <si>
    <t>C2-3406-V01-210301-VTM</t>
  </si>
  <si>
    <t>C2-3449-V01-210301-HPB</t>
  </si>
  <si>
    <t>C2-3449-V01</t>
  </si>
  <si>
    <t>11.4</t>
  </si>
  <si>
    <t>1.14</t>
  </si>
  <si>
    <t>C2-3449-V01-210301-HPL</t>
  </si>
  <si>
    <t>C2-3449-V01-210301-PAX</t>
  </si>
  <si>
    <t>C2-3449-V01-210301-SER</t>
  </si>
  <si>
    <t>C2-3449-V01-210301-VTM</t>
  </si>
  <si>
    <t>C,D,E,F,G,H</t>
  </si>
  <si>
    <t>There are 96 aliquot(s) that already exists in Metdata DB. To check details of this issue, run validation separately for the column 'E' only and check the 'manifest' tab for details.</t>
  </si>
  <si>
    <t>Start creating new 'manifest' file in 'D:\MounSinai\Darpa\CHARM-study\CHARM2.0\test_manifest' folder.</t>
  </si>
  <si>
    <t>Finish creating new 'manifest' file.</t>
  </si>
  <si>
    <t>Start creating new 'metadata' file in 'D:\MounSinai\Darpa\CHARM-study\CHARM2.0\test_metadata' folder.</t>
  </si>
  <si>
    <t>Finish creating new 'metadata' file.</t>
  </si>
  <si>
    <t>Start processing data for the 'PAX' Specimen (column E).</t>
  </si>
  <si>
    <t>Start validating tasks for the Specimen column 'E'.</t>
  </si>
  <si>
    <t>Finish validating tasks for the Specimen column 'E'. Some issues or warnings were identified - see previous log entries.</t>
  </si>
  <si>
    <t>Proceeding to create manifest and metadata files for the 'PAX' Specimen combination.</t>
  </si>
  <si>
    <t>New manifest file was created - D:\MounSinai\Darpa\CHARM-study\CHARM2.0\test_manifest\CHARM2_manifest_2021_02_20_V01_PAX_prepared_internally.xlsx</t>
  </si>
  <si>
    <t>New metadata file was created - D:\MounSinai\Darpa\CHARM-study\CHARM2.0\test_metadata\CHARM2_metadata_2021_02_20_V01_PAX_prepared_internally.xlsx</t>
  </si>
  <si>
    <t>Finish creating manifest and metadata files for the 'PAX' Specimen combination.</t>
  </si>
  <si>
    <t>Finish processing data for the 'PAX' Specimen.</t>
  </si>
  <si>
    <t>visit_number</t>
  </si>
  <si>
    <t>C2-0472-V01-210302-HPB</t>
  </si>
  <si>
    <t>C2-0472-V01</t>
  </si>
  <si>
    <t>21-03-02</t>
  </si>
  <si>
    <t>2021-03-02</t>
  </si>
  <si>
    <t>/mnt/researchsan02a/Sample_Manifests/ECHO/CHARM2/ManifestsToProcess/CHARM2_manifest_2021_03_02_V01_HPB_prepared_internally_BY20210304.xlsx</t>
  </si>
  <si>
    <t>C2-0472-V01-210302-HPL</t>
  </si>
  <si>
    <t>/mnt/researchsan02a/Sample_Manifests/ECHO/CHARM2/ManifestsToProcess/CHARM2_manifest_2021_03_02_V01_HPL_prepared_internally_BY20210304.xlsx</t>
  </si>
  <si>
    <t>C2-1055-V01-210302-HPB</t>
  </si>
  <si>
    <t>C2-1055-V01</t>
  </si>
  <si>
    <t>C2-1055-V01-210302-HPL</t>
  </si>
  <si>
    <t>C2-1822-V01-210302-HPB</t>
  </si>
  <si>
    <t>C2-1822-V01</t>
  </si>
  <si>
    <t>C2-1822-V01-210302-HPL</t>
  </si>
  <si>
    <t>C2-1969-V01-210302-HPB</t>
  </si>
  <si>
    <t>C2-1969-V01</t>
  </si>
  <si>
    <t>C2-1969-V01-210302-HPL</t>
  </si>
  <si>
    <t>C2-2098-V01-210302-HPB</t>
  </si>
  <si>
    <t>C2-2098-V01</t>
  </si>
  <si>
    <t>C2-2098-V01-210302-HPL</t>
  </si>
  <si>
    <t>C2-2311-V01-210302-HPB</t>
  </si>
  <si>
    <t>C2-2311-V01</t>
  </si>
  <si>
    <t>C2-2311-V01-210302-HPL</t>
  </si>
  <si>
    <t>C2-2534-V01-210302-HPB</t>
  </si>
  <si>
    <t>C2-2534-V01</t>
  </si>
  <si>
    <t>C2-2534-V01-210302-HPL</t>
  </si>
  <si>
    <t>C2-2598-V01-210302-HPB</t>
  </si>
  <si>
    <t>C2-2598-V01</t>
  </si>
  <si>
    <t>C2-2598-V01-210302-HPL</t>
  </si>
  <si>
    <t>C2-2600-V01-210302-HPB</t>
  </si>
  <si>
    <t>C2-2600-V01</t>
  </si>
  <si>
    <t>C2-2600-V01-210302-HPL</t>
  </si>
  <si>
    <t>C2-2674-V01-210302-HPB</t>
  </si>
  <si>
    <t>C2-2674-V01</t>
  </si>
  <si>
    <t>C2-2674-V01-210302-HPL</t>
  </si>
  <si>
    <t>C2-2798-V01-210302-HPB</t>
  </si>
  <si>
    <t>C2-2798-V01</t>
  </si>
  <si>
    <t>C2-2798-V01-210302-HPL</t>
  </si>
  <si>
    <t>C2-2898-V01-210302-HPB</t>
  </si>
  <si>
    <t>C2-2898-V01</t>
  </si>
  <si>
    <t>C2-2898-V01-210302-HPL</t>
  </si>
  <si>
    <t>C2-2937-V01-210302-HPB</t>
  </si>
  <si>
    <t>C2-2937-V01</t>
  </si>
  <si>
    <t>C2-2937-V01-210302-HPL</t>
  </si>
  <si>
    <t>C2-2989-V01-210302-HPB</t>
  </si>
  <si>
    <t>C2-2989-V01</t>
  </si>
  <si>
    <t>C2-2989-V01-210302-HPL</t>
  </si>
  <si>
    <t>C2-3090-V01-210302-HPB</t>
  </si>
  <si>
    <t>C2-3090-V01</t>
  </si>
  <si>
    <t>C2-3090-V01-210302-HPL</t>
  </si>
  <si>
    <t>C2-3135-V01-210302-HPB</t>
  </si>
  <si>
    <t>C2-3135-V01</t>
  </si>
  <si>
    <t>C2-3135-V01-210302-HPL</t>
  </si>
  <si>
    <t>C2-3184-V01-210302-HPB</t>
  </si>
  <si>
    <t>C2-3184-V01</t>
  </si>
  <si>
    <t>C2-3184-V01-210302-HPL</t>
  </si>
  <si>
    <t>C2-3229-V01-210302-HPB</t>
  </si>
  <si>
    <t>C2-3229-V01</t>
  </si>
  <si>
    <t>C2-3229-V01-210302-HPL</t>
  </si>
  <si>
    <t>C2-3230-V01-210302-HPB</t>
  </si>
  <si>
    <t>C2-3230-V01</t>
  </si>
  <si>
    <t>C2-3230-V01-210302-HPL</t>
  </si>
  <si>
    <t>C2-3252-V01-210302-HPB</t>
  </si>
  <si>
    <t>C2-3252-V01</t>
  </si>
  <si>
    <t>C2-3252-V01-210302-HPL</t>
  </si>
  <si>
    <t>C2-3455-V01-210302-HPB</t>
  </si>
  <si>
    <t>C2-3455-V01</t>
  </si>
  <si>
    <t>C2-3455-V01-210302-HPL</t>
  </si>
  <si>
    <t>C2-3474-V01-210302-HPB</t>
  </si>
  <si>
    <t>C2-3474-V01</t>
  </si>
  <si>
    <t>C2-3474-V01-210302-HPL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</si>
</sst>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dd"/>
  </numFmts>
  <fonts count="17" x14ac:knownFonts="1">
    <font>
      <sz val="11"/>
      <color theme="1"/>
      <name val="Calibri"/>
      <family val="2"/>
      <scheme val="minor"/>
    </font>
    <font>
      <b/>
      <sz val="11"/>
      <color theme="1"/>
      <name val="Calibri"/>
      <family val="2"/>
      <scheme val="minor"/>
    </font>
    <font>
      <b/>
      <sz val="11"/>
      <color theme="0"/>
      <name val="Calibri"/>
      <family val="2"/>
      <scheme val="minor"/>
    </font>
    <font>
      <sz val="11"/>
      <color rgb="FFFF0000"/>
      <name val="Calibri"/>
      <family val="2"/>
      <scheme val="minor"/>
    </font>
    <font>
      <u/>
      <sz val="11"/>
      <color theme="10"/>
      <name val="Calibri"/>
      <family val="2"/>
      <scheme val="minor"/>
    </font>
    <font>
      <sz val="8"/>
      <name val="Calibri"/>
      <family val="2"/>
      <scheme val="minor"/>
    </font>
    <font>
      <sz val="11"/>
      <name val="Calibri"/>
      <family val="2"/>
      <scheme val="minor"/>
    </font>
    <font>
      <sz val="11"/>
      <color rgb="FF000000"/>
      <name val="Calibri"/>
      <family val="2"/>
      <scheme val="minor"/>
    </font>
    <font>
      <sz val="11"/>
      <color rgb="FF000000"/>
      <name val="Calibri"/>
      <family val="2"/>
    </font>
    <font>
      <b/>
      <sz val="10"/>
      <color rgb="FF000000"/>
      <name val="Arial"/>
      <family val="2"/>
    </font>
    <font>
      <sz val="10"/>
      <color theme="1"/>
      <name val="Arial"/>
      <family val="2"/>
    </font>
    <font>
      <b/>
      <i/>
      <sz val="10"/>
      <color theme="1"/>
      <name val="Arial"/>
      <family val="2"/>
    </font>
    <font>
      <b/>
      <sz val="10"/>
      <color theme="1"/>
      <name val="Arial"/>
      <family val="2"/>
    </font>
    <font>
      <sz val="10"/>
      <color theme="1"/>
      <name val="Times New Roman"/>
      <family val="1"/>
    </font>
    <font>
      <sz val="12"/>
      <name val="Calibri"/>
      <family val="2"/>
      <scheme val="minor"/>
    </font>
    <font>
      <sz val="12"/>
      <color theme="1"/>
      <name val="Calibri"/>
      <family val="2"/>
      <scheme val="minor"/>
    </font>
    <font>
      <sz val="11"/>
      <color rgb="FF0000FF"/>
      <name val="Calibri"/>
      <family val="2"/>
      <scheme val="minor"/>
    </font>
  </fonts>
  <fills count="6">
    <fill>
      <patternFill patternType="none"/>
    </fill>
    <fill>
      <patternFill patternType="gray125"/>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rgb="FFFFFFFF"/>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66">
    <xf numFmtId="0" fontId="0" fillId="0" borderId="0" xfId="0"/>
    <xf numFmtId="0" fontId="0" fillId="0" borderId="0" xfId="0" applyAlignment="1">
      <alignment horizontal="center"/>
    </xf>
    <xf numFmtId="0" fontId="0" fillId="0" borderId="0" xfId="0" applyAlignment="1">
      <alignment horizontal="left"/>
    </xf>
    <xf numFmtId="0" fontId="0" fillId="0" borderId="1" xfId="0" applyBorder="1" applyAlignment="1">
      <alignment horizontal="center"/>
    </xf>
    <xf numFmtId="0" fontId="0" fillId="0" borderId="1" xfId="0" applyBorder="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xf numFmtId="14" fontId="0" fillId="0" borderId="0" xfId="0" applyNumberFormat="1" applyAlignment="1">
      <alignment horizontal="center" wrapText="1"/>
    </xf>
    <xf numFmtId="22" fontId="0" fillId="0" borderId="0" xfId="0" applyNumberFormat="1"/>
    <xf numFmtId="0" fontId="2" fillId="2" borderId="0" xfId="0" applyFont="1" applyFill="1" applyAlignment="1">
      <alignment horizontal="center" wrapText="1"/>
    </xf>
    <xf numFmtId="0" fontId="1" fillId="0" borderId="0" xfId="0" applyFont="1"/>
    <xf numFmtId="0" fontId="0" fillId="3" borderId="0" xfId="0" applyFill="1"/>
    <xf numFmtId="0" fontId="4" fillId="0" borderId="0" xfId="1"/>
    <xf numFmtId="0" fontId="0" fillId="4" borderId="0" xfId="0" applyFill="1"/>
    <xf numFmtId="0" fontId="1" fillId="0" borderId="0" xfId="0" applyFont="1" applyAlignment="1">
      <alignment horizontal="center"/>
    </xf>
    <xf numFmtId="0" fontId="1" fillId="3" borderId="0" xfId="0" applyFont="1" applyFill="1" applyAlignment="1">
      <alignment horizontal="center"/>
    </xf>
    <xf numFmtId="0" fontId="0" fillId="4" borderId="0" xfId="0" applyFill="1" applyAlignment="1">
      <alignment horizontal="center"/>
    </xf>
    <xf numFmtId="14" fontId="0" fillId="4" borderId="0" xfId="0" applyNumberFormat="1" applyFill="1" applyAlignment="1">
      <alignment horizontal="center"/>
    </xf>
    <xf numFmtId="49" fontId="0" fillId="0" borderId="1" xfId="0" applyNumberFormat="1" applyBorder="1" applyAlignment="1">
      <alignment horizontal="center"/>
    </xf>
    <xf numFmtId="49" fontId="0" fillId="0" borderId="1" xfId="0" applyNumberFormat="1" applyBorder="1" applyAlignment="1">
      <alignment horizontal="center" vertical="center"/>
    </xf>
    <xf numFmtId="0" fontId="0" fillId="0" borderId="2" xfId="0" applyBorder="1" applyAlignment="1">
      <alignment horizontal="center"/>
    </xf>
    <xf numFmtId="0" fontId="4" fillId="0" borderId="0" xfId="1" applyAlignment="1">
      <alignment horizontal="left"/>
    </xf>
    <xf numFmtId="0" fontId="0" fillId="0" borderId="0" xfId="0" applyAlignment="1"/>
    <xf numFmtId="0" fontId="1" fillId="0" borderId="0" xfId="0" applyFont="1" applyAlignment="1"/>
    <xf numFmtId="0" fontId="7" fillId="0" borderId="0" xfId="0" applyFont="1" applyAlignment="1">
      <alignment horizontal="center"/>
    </xf>
    <xf numFmtId="22" fontId="0" fillId="0" borderId="0" xfId="0" applyNumberFormat="1" applyAlignment="1">
      <alignment horizontal="center"/>
    </xf>
    <xf numFmtId="0" fontId="7" fillId="0" borderId="0" xfId="0" applyFont="1" applyAlignment="1">
      <alignment horizontal="left"/>
    </xf>
    <xf numFmtId="49" fontId="6" fillId="0" borderId="1" xfId="0" applyNumberFormat="1" applyFont="1" applyBorder="1" applyAlignment="1">
      <alignment horizontal="center"/>
    </xf>
    <xf numFmtId="0" fontId="0" fillId="3" borderId="0" xfId="0" applyFont="1" applyFill="1" applyAlignment="1">
      <alignment horizontal="center"/>
    </xf>
    <xf numFmtId="0" fontId="1" fillId="3" borderId="0" xfId="0" applyFont="1" applyFill="1" applyAlignment="1">
      <alignment horizontal="left"/>
    </xf>
    <xf numFmtId="0" fontId="0" fillId="0" borderId="3" xfId="0" applyBorder="1" applyAlignment="1">
      <alignment horizontal="center"/>
    </xf>
    <xf numFmtId="49" fontId="8" fillId="0" borderId="1" xfId="0" applyNumberFormat="1" applyFont="1" applyBorder="1" applyAlignment="1">
      <alignment horizontal="center" vertical="center" readingOrder="1"/>
    </xf>
    <xf numFmtId="0" fontId="9" fillId="5" borderId="4" xfId="0" applyFont="1" applyFill="1" applyBorder="1" applyAlignment="1">
      <alignment wrapText="1"/>
    </xf>
    <xf numFmtId="0" fontId="10" fillId="0" borderId="4" xfId="0" applyFont="1" applyBorder="1" applyAlignment="1">
      <alignment wrapText="1"/>
    </xf>
    <xf numFmtId="0" fontId="11" fillId="0" borderId="4" xfId="0" applyFont="1" applyBorder="1" applyAlignment="1">
      <alignment wrapText="1"/>
    </xf>
    <xf numFmtId="20" fontId="0" fillId="0" borderId="0" xfId="0" quotePrefix="1" applyNumberFormat="1" applyAlignment="1">
      <alignment horizontal="center"/>
    </xf>
    <xf numFmtId="0" fontId="10" fillId="0" borderId="4" xfId="0" applyFont="1" applyBorder="1" applyAlignment="1">
      <alignment vertical="center"/>
    </xf>
    <xf numFmtId="0" fontId="12" fillId="0" borderId="4" xfId="0" applyFont="1" applyBorder="1" applyAlignment="1">
      <alignment wrapText="1"/>
    </xf>
    <xf numFmtId="0" fontId="13" fillId="0" borderId="1" xfId="0" applyFont="1" applyBorder="1" applyAlignment="1">
      <alignment horizontal="center"/>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0" fontId="15" fillId="0" borderId="1" xfId="0" applyFont="1" applyBorder="1" applyAlignment="1">
      <alignment horizontal="center"/>
    </xf>
    <xf numFmtId="14" fontId="0" fillId="0" borderId="1" xfId="0" applyNumberFormat="1" applyBorder="1" applyAlignment="1">
      <alignment horizontal="center"/>
    </xf>
    <xf numFmtId="15" fontId="0" fillId="0" borderId="1" xfId="0" applyNumberFormat="1" applyBorder="1" applyAlignment="1">
      <alignment horizontal="center"/>
    </xf>
    <xf numFmtId="15" fontId="6" fillId="0" borderId="1" xfId="0" applyNumberFormat="1" applyFont="1" applyBorder="1" applyAlignment="1">
      <alignment horizontal="center"/>
    </xf>
    <xf numFmtId="1" fontId="0" fillId="0" borderId="1" xfId="0" applyNumberFormat="1" applyBorder="1" applyAlignment="1">
      <alignment horizontal="center"/>
    </xf>
    <xf numFmtId="49" fontId="0" fillId="0" borderId="2" xfId="0" applyNumberFormat="1" applyBorder="1" applyAlignment="1">
      <alignment horizontal="center"/>
    </xf>
    <xf numFmtId="49" fontId="6" fillId="0" borderId="2" xfId="0" applyNumberFormat="1" applyFont="1" applyBorder="1" applyAlignment="1">
      <alignment horizontal="center"/>
    </xf>
    <xf numFmtId="0" fontId="15" fillId="0" borderId="1" xfId="0" applyFont="1" applyBorder="1" applyAlignment="1">
      <alignment horizontal="left" vertical="center"/>
    </xf>
    <xf numFmtId="49" fontId="6" fillId="0" borderId="5" xfId="0" applyNumberFormat="1" applyFont="1" applyBorder="1" applyAlignment="1">
      <alignment horizontal="center"/>
    </xf>
    <xf numFmtId="0" fontId="0" fillId="0" borderId="5" xfId="0" applyBorder="1" applyAlignment="1">
      <alignment horizontal="center"/>
    </xf>
    <xf numFmtId="0" fontId="14" fillId="0" borderId="1" xfId="0" applyFont="1" applyBorder="1" applyAlignment="1">
      <alignment horizontal="center"/>
    </xf>
    <xf numFmtId="14" fontId="15" fillId="0" borderId="1" xfId="0" applyNumberFormat="1" applyFont="1" applyBorder="1" applyAlignment="1">
      <alignment horizontal="center"/>
    </xf>
    <xf numFmtId="0" fontId="0" fillId="0" borderId="0" xfId="0" applyNumberFormat="1"/>
    <xf numFmtId="0" fontId="0" fillId="0" borderId="0" xfId="0" quotePrefix="1" applyNumberFormat="1"/>
    <xf numFmtId="0" fontId="1" fillId="0" borderId="0" xfId="0" applyFont="1" applyFill="1" applyAlignment="1">
      <alignment horizontal="left"/>
    </xf>
    <xf numFmtId="0" fontId="0" fillId="0" borderId="1" xfId="0" quotePrefix="1" applyBorder="1" applyAlignment="1">
      <alignment horizontal="center"/>
    </xf>
    <xf numFmtId="0" fontId="16" fillId="0" borderId="0" xfId="0" applyFont="1" applyAlignment="1">
      <alignment horizontal="center"/>
    </xf>
    <xf numFmtId="0" fontId="16" fillId="0" borderId="0" xfId="0" applyFont="1" applyAlignment="1">
      <alignment horizontal="left"/>
    </xf>
    <xf numFmtId="0" fontId="0" fillId="0" borderId="0" xfId="0" applyFill="1"/>
    <xf numFmtId="0" fontId="1" fillId="0" borderId="0" xfId="0" applyFont="1" applyFill="1" applyAlignment="1">
      <alignment horizontal="center"/>
    </xf>
    <xf numFmtId="0" fontId="0" fillId="0" borderId="0" xfId="0" applyFont="1" applyFill="1" applyAlignment="1">
      <alignment horizontal="center"/>
    </xf>
    <xf numFmtId="49" fontId="0" fillId="0" borderId="0" xfId="0" applyNumberFormat="1"/>
    <xf numFmtId="49" fontId="0" fillId="0" borderId="1" xfId="0" quotePrefix="1" applyNumberFormat="1" applyBorder="1" applyAlignment="1">
      <alignment horizontal="center"/>
    </xf>
    <xf numFmtId="164" fontId="0" fillId="0" borderId="1" xfId="0" applyNumberFormat="1" applyBorder="1" applyAlignment="1">
      <alignment horizontal="center"/>
    </xf>
  </cellXfs>
  <cellStyles count="2">
    <cellStyle name="Hyperlink" xfId="1" builtinId="8"/>
    <cellStyle name="Normal" xfId="0" builtinId="0"/>
  </cellStyles>
  <dxfs count="5">
    <dxf>
      <numFmt numFmtId="27" formatCode="m/d/yyyy\ h:mm"/>
    </dxf>
    <dxf>
      <font>
        <color rgb="FFC00000"/>
      </font>
      <fill>
        <patternFill>
          <bgColor rgb="FFFFCCCC"/>
        </patternFill>
      </fill>
    </dxf>
    <dxf>
      <font>
        <color theme="9" tint="-0.24994659260841701"/>
      </font>
      <fill>
        <patternFill>
          <bgColor theme="9" tint="0.79998168889431442"/>
        </patternFill>
      </fill>
    </dxf>
    <dxf>
      <font>
        <color rgb="FF006100"/>
      </font>
      <fill>
        <patternFill>
          <bgColor rgb="FFC6EFCE"/>
        </patternFill>
      </fill>
    </dxf>
    <dxf>
      <font>
        <color rgb="FFC00000"/>
      </font>
      <fill>
        <patternFill>
          <bgColor theme="5" tint="0.79998168889431442"/>
        </patternFill>
      </fill>
    </dxf>
  </dxfs>
  <tableStyles count="0" defaultTableStyle="TableStyleMedium2" defaultPivotStyle="PivotStyleLight16"/>
  <colors>
    <mruColors>
      <color rgb="FFFFCCCC"/>
      <color rgb="FFFFB2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10.160.20.65_SSQL_2016" connectionId="1" xr16:uid="{55DE2012-FF14-4BED-A50C-FD6256C1FEB4}" autoFormatId="16" applyNumberFormats="0" applyBorderFormats="0" applyFontFormats="0" applyPatternFormats="0" applyAlignmentFormats="0" applyWidthHeightFormats="0">
  <queryTableRefresh nextId="21">
    <queryTableFields count="18">
      <queryTableField id="1" name="_aliquot_id" tableColumnId="1"/>
      <queryTableField id="2" name="_sample_id" tableColumnId="2"/>
      <queryTableField id="3" name="_program_id" tableColumnId="3"/>
      <queryTableField id="4" name="_program_name" tableColumnId="4"/>
      <queryTableField id="5" name="_study_id" tableColumnId="5"/>
      <queryTableField id="6" name="_study_name" tableColumnId="6"/>
      <queryTableField id="7" name="aliquot_id" tableColumnId="7"/>
      <queryTableField id="8" name="creation_date" tableColumnId="8"/>
      <queryTableField id="9" name="num_cells" tableColumnId="9"/>
      <queryTableField id="10" name="sample_id" tableColumnId="10"/>
      <queryTableField id="11" name="ship_date" tableColumnId="11"/>
      <queryTableField id="12" name="species" tableColumnId="12"/>
      <queryTableField id="13" name="specimen_prep" tableColumnId="13"/>
      <queryTableField id="14" name="tissue" tableColumnId="14"/>
      <queryTableField id="15" name="volume" tableColumnId="15"/>
      <queryTableField id="18" name="_loaded_to_db" tableColumnId="16"/>
      <queryTableField id="19" name="_loaded_from_source" tableColumnId="17"/>
      <queryTableField id="20" name="comments"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1DA1E8-F291-4F8F-BC73-B5372888BFBD}" name="Table_Query_from_10.160.20.65_SSQL_2016" displayName="Table_Query_from_10.160.20.65_SSQL_2016" ref="A1:R616" tableType="queryTable" totalsRowShown="0">
  <autoFilter ref="A1:R616" xr:uid="{D00C17A7-9A42-4794-8DAA-61BEE52AC7BC}"/>
  <tableColumns count="18">
    <tableColumn id="1" xr3:uid="{3377FB01-8058-49C2-84D2-218F7FF800AC}" uniqueName="1" name="_aliquot_id" queryTableFieldId="1"/>
    <tableColumn id="2" xr3:uid="{5AAEF19B-4EA0-49A5-B8C3-DA941C11473C}" uniqueName="2" name="_sample_id" queryTableFieldId="2"/>
    <tableColumn id="3" xr3:uid="{E00558A6-4A4F-4B2A-B6C5-7F3B1E27E1C5}" uniqueName="3" name="_program_id" queryTableFieldId="3"/>
    <tableColumn id="4" xr3:uid="{6A083FFE-61AD-4DD6-A81E-A1A3531F5060}" uniqueName="4" name="_program_name" queryTableFieldId="4"/>
    <tableColumn id="5" xr3:uid="{7DA95177-5536-4478-907F-9402A394E572}" uniqueName="5" name="_study_id" queryTableFieldId="5"/>
    <tableColumn id="6" xr3:uid="{B1F1BB6E-E091-4C70-A807-510107A8E094}" uniqueName="6" name="_study_name" queryTableFieldId="6"/>
    <tableColumn id="7" xr3:uid="{B79EA424-067D-4D9A-802D-069465307926}" uniqueName="7" name="aliquot_id" queryTableFieldId="7"/>
    <tableColumn id="8" xr3:uid="{4342137D-9379-4E1F-9B45-A4BE27CC72F6}" uniqueName="8" name="creation_date" queryTableFieldId="8"/>
    <tableColumn id="9" xr3:uid="{FB615B37-A980-4A15-A18C-570769D69AB5}" uniqueName="9" name="num_cells" queryTableFieldId="9"/>
    <tableColumn id="10" xr3:uid="{6102B4D3-FF43-4B5F-9AF6-B2F069BFCB0D}" uniqueName="10" name="sample_id" queryTableFieldId="10"/>
    <tableColumn id="11" xr3:uid="{B2322E8B-3D3E-400F-9E73-891F9190127C}" uniqueName="11" name="ship_date" queryTableFieldId="11"/>
    <tableColumn id="12" xr3:uid="{BF8317D3-7F40-4BB9-A846-E7A2A339F5BC}" uniqueName="12" name="species" queryTableFieldId="12"/>
    <tableColumn id="13" xr3:uid="{0A6ADEA3-4864-4A68-82FF-373F32B5DB9E}" uniqueName="13" name="specimen_prep" queryTableFieldId="13"/>
    <tableColumn id="14" xr3:uid="{EEA509AA-A494-4FDC-9BE9-19AA3C1A9900}" uniqueName="14" name="tissue" queryTableFieldId="14"/>
    <tableColumn id="15" xr3:uid="{32C9EB09-9ABE-41CE-81D3-9ADD90CD569F}" uniqueName="15" name="volume" queryTableFieldId="15"/>
    <tableColumn id="16" xr3:uid="{1057C76C-35CA-463B-9F4E-DC1E069033C7}" uniqueName="16" name="_loaded_to_db" queryTableFieldId="18" dataDxfId="0"/>
    <tableColumn id="17" xr3:uid="{474B3641-7815-4CE1-ACBB-6466A4C9F1FB}" uniqueName="17" name="_loaded_from_source" queryTableFieldId="19"/>
    <tableColumn id="18" xr3:uid="{1B2FDE8A-2797-4E27-B1EA-1824F360B743}" uniqueName="18" name="comments" queryTableFieldId="2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file:///\\researchsan02a.mssm.edu\Shr1\neurology\Sealfon_Lab\Metadata_Processing\ECHO_CHARM2_feed" TargetMode="External"/><Relationship Id="rId1" Type="http://schemas.openxmlformats.org/officeDocument/2006/relationships/hyperlink" Target="file:///\\researchsan02a.mssm.edu\Shr1\neurology\Sealfon_Lab\Sample_Manifests\ECHO\CHARM2\ManifestsToProces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240"/>
  <sheetViews>
    <sheetView workbookViewId="0">
      <pane xSplit="1" ySplit="1" topLeftCell="B2" activePane="bottomRight" state="frozen"/>
      <selection pane="topRight" activeCell="G1" sqref="G1"/>
      <selection pane="bottomLeft" activeCell="A3" sqref="A3"/>
      <selection pane="bottomRight" sqref="A1:XFD1048576"/>
    </sheetView>
  </sheetViews>
  <sheetFormatPr defaultColWidth="8.7109375" defaultRowHeight="15" x14ac:dyDescent="0.25"/>
  <cols>
    <col min="1" max="1" width="14.85546875" style="63" customWidth="1"/>
    <col min="2" max="2" width="10.140625" customWidth="1"/>
    <col min="3" max="3" width="9.85546875" customWidth="1"/>
    <col min="9" max="9" width="20.28515625" customWidth="1"/>
  </cols>
  <sheetData>
    <row r="1" spans="1:8" s="1" customFormat="1" x14ac:dyDescent="0.25">
      <c r="A1" s="19" t="s">
        <v>0</v>
      </c>
      <c r="B1" s="1" t="s">
        <v>3721</v>
      </c>
      <c r="C1" s="3" t="s">
        <v>108</v>
      </c>
      <c r="D1" s="3" t="s">
        <v>43</v>
      </c>
      <c r="E1" s="3" t="s">
        <v>103</v>
      </c>
      <c r="F1" s="3" t="s">
        <v>3722</v>
      </c>
      <c r="G1" s="3" t="s">
        <v>145</v>
      </c>
      <c r="H1" s="3" t="s">
        <v>232</v>
      </c>
    </row>
    <row r="2" spans="1:8" x14ac:dyDescent="0.25">
      <c r="A2" s="57" t="s">
        <v>1822</v>
      </c>
      <c r="B2" s="65">
        <v>44246</v>
      </c>
      <c r="C2" s="3" t="s">
        <v>4</v>
      </c>
      <c r="D2" s="3" t="s">
        <v>4</v>
      </c>
      <c r="E2" s="3" t="s">
        <v>4</v>
      </c>
      <c r="F2" s="3"/>
      <c r="G2" s="3"/>
      <c r="H2" s="3"/>
    </row>
    <row r="3" spans="1:8" x14ac:dyDescent="0.25">
      <c r="A3" s="19" t="s">
        <v>466</v>
      </c>
      <c r="B3" s="19" t="s">
        <v>3782</v>
      </c>
      <c r="C3" s="3" t="s">
        <v>4</v>
      </c>
      <c r="D3" s="3" t="s">
        <v>4</v>
      </c>
      <c r="E3" s="3" t="s">
        <v>4</v>
      </c>
      <c r="F3" s="3"/>
      <c r="G3" s="3"/>
      <c r="H3" s="3"/>
    </row>
    <row r="4" spans="1:8" x14ac:dyDescent="0.25">
      <c r="A4" s="64" t="s">
        <v>623</v>
      </c>
      <c r="B4" s="19" t="s">
        <v>3782</v>
      </c>
      <c r="C4" s="3" t="s">
        <v>4</v>
      </c>
      <c r="D4" s="3" t="s">
        <v>4</v>
      </c>
      <c r="E4" s="3" t="s">
        <v>4</v>
      </c>
      <c r="F4" s="3"/>
      <c r="G4" s="3"/>
      <c r="H4" s="3"/>
    </row>
    <row r="5" spans="1:8" x14ac:dyDescent="0.25">
      <c r="A5" s="64" t="s">
        <v>1149</v>
      </c>
      <c r="B5" s="19" t="s">
        <v>3782</v>
      </c>
      <c r="C5" s="3" t="s">
        <v>4</v>
      </c>
      <c r="D5" s="3" t="s">
        <v>4</v>
      </c>
      <c r="E5" s="3" t="s">
        <v>4</v>
      </c>
      <c r="F5" s="3"/>
      <c r="G5" s="3"/>
      <c r="H5" s="3"/>
    </row>
    <row r="6" spans="1:8" x14ac:dyDescent="0.25">
      <c r="A6" s="64" t="s">
        <v>1768</v>
      </c>
      <c r="B6" s="19" t="s">
        <v>3782</v>
      </c>
      <c r="C6" s="3" t="s">
        <v>4</v>
      </c>
      <c r="D6" s="3" t="s">
        <v>4</v>
      </c>
      <c r="E6" s="3" t="s">
        <v>4</v>
      </c>
      <c r="F6" s="3"/>
      <c r="G6" s="3"/>
      <c r="H6" s="3"/>
    </row>
    <row r="7" spans="1:8" x14ac:dyDescent="0.25">
      <c r="A7" s="19" t="s">
        <v>506</v>
      </c>
      <c r="B7" s="19" t="s">
        <v>3783</v>
      </c>
      <c r="C7" s="3" t="s">
        <v>4</v>
      </c>
      <c r="D7" s="3" t="s">
        <v>4</v>
      </c>
      <c r="E7" s="3" t="s">
        <v>4</v>
      </c>
      <c r="F7" s="3"/>
      <c r="G7" s="3" t="s">
        <v>4</v>
      </c>
      <c r="H7" s="3" t="s">
        <v>4</v>
      </c>
    </row>
    <row r="8" spans="1:8" x14ac:dyDescent="0.25">
      <c r="A8" s="64" t="s">
        <v>577</v>
      </c>
      <c r="B8" s="19" t="s">
        <v>3783</v>
      </c>
      <c r="C8" s="3" t="s">
        <v>4</v>
      </c>
      <c r="D8" s="3" t="s">
        <v>4</v>
      </c>
      <c r="E8" s="3" t="s">
        <v>4</v>
      </c>
      <c r="F8" s="3"/>
      <c r="G8" s="3" t="s">
        <v>4</v>
      </c>
      <c r="H8" s="3" t="s">
        <v>4</v>
      </c>
    </row>
    <row r="9" spans="1:8" x14ac:dyDescent="0.25">
      <c r="A9" s="64" t="s">
        <v>737</v>
      </c>
      <c r="B9" s="19" t="s">
        <v>3783</v>
      </c>
      <c r="C9" s="3" t="s">
        <v>4</v>
      </c>
      <c r="D9" s="3" t="s">
        <v>4</v>
      </c>
      <c r="E9" s="3" t="s">
        <v>4</v>
      </c>
      <c r="F9" s="3"/>
      <c r="G9" s="3" t="s">
        <v>4</v>
      </c>
      <c r="H9" s="3" t="s">
        <v>4</v>
      </c>
    </row>
    <row r="10" spans="1:8" x14ac:dyDescent="0.25">
      <c r="A10" s="64" t="s">
        <v>812</v>
      </c>
      <c r="B10" s="19" t="s">
        <v>3783</v>
      </c>
      <c r="C10" s="3" t="s">
        <v>4</v>
      </c>
      <c r="D10" s="3" t="s">
        <v>4</v>
      </c>
      <c r="E10" s="3" t="s">
        <v>4</v>
      </c>
      <c r="F10" s="3"/>
      <c r="G10" s="3" t="s">
        <v>4</v>
      </c>
      <c r="H10" s="3" t="s">
        <v>4</v>
      </c>
    </row>
    <row r="11" spans="1:8" x14ac:dyDescent="0.25">
      <c r="A11" s="64" t="s">
        <v>902</v>
      </c>
      <c r="B11" s="19" t="s">
        <v>3783</v>
      </c>
      <c r="C11" s="3" t="s">
        <v>4</v>
      </c>
      <c r="D11" s="3" t="s">
        <v>4</v>
      </c>
      <c r="E11" s="3" t="s">
        <v>4</v>
      </c>
      <c r="F11" s="3"/>
      <c r="G11" s="3" t="s">
        <v>4</v>
      </c>
      <c r="H11" s="3" t="s">
        <v>4</v>
      </c>
    </row>
    <row r="12" spans="1:8" x14ac:dyDescent="0.25">
      <c r="A12" s="64" t="s">
        <v>978</v>
      </c>
      <c r="B12" s="19" t="s">
        <v>3783</v>
      </c>
      <c r="C12" s="3" t="s">
        <v>4</v>
      </c>
      <c r="D12" s="3" t="s">
        <v>4</v>
      </c>
      <c r="E12" s="3" t="s">
        <v>4</v>
      </c>
      <c r="F12" s="3"/>
      <c r="G12" s="3" t="s">
        <v>4</v>
      </c>
      <c r="H12" s="3" t="s">
        <v>4</v>
      </c>
    </row>
    <row r="13" spans="1:8" x14ac:dyDescent="0.25">
      <c r="A13" s="64" t="s">
        <v>1106</v>
      </c>
      <c r="B13" s="19" t="s">
        <v>3783</v>
      </c>
      <c r="C13" s="3" t="s">
        <v>4</v>
      </c>
      <c r="D13" s="3" t="s">
        <v>4</v>
      </c>
      <c r="E13" s="3" t="s">
        <v>4</v>
      </c>
      <c r="F13" s="3"/>
      <c r="G13" s="3" t="s">
        <v>4</v>
      </c>
      <c r="H13" s="3" t="s">
        <v>4</v>
      </c>
    </row>
    <row r="14" spans="1:8" x14ac:dyDescent="0.25">
      <c r="A14" s="64" t="s">
        <v>1426</v>
      </c>
      <c r="B14" s="19" t="s">
        <v>3783</v>
      </c>
      <c r="C14" s="3" t="s">
        <v>4</v>
      </c>
      <c r="D14" s="3" t="s">
        <v>4</v>
      </c>
      <c r="E14" s="3" t="s">
        <v>4</v>
      </c>
      <c r="F14" s="3"/>
      <c r="G14" s="3" t="s">
        <v>4</v>
      </c>
      <c r="H14" s="3" t="s">
        <v>4</v>
      </c>
    </row>
    <row r="15" spans="1:8" x14ac:dyDescent="0.25">
      <c r="A15" s="64" t="s">
        <v>1481</v>
      </c>
      <c r="B15" s="19" t="s">
        <v>3783</v>
      </c>
      <c r="C15" s="3" t="s">
        <v>4</v>
      </c>
      <c r="D15" s="3" t="s">
        <v>4</v>
      </c>
      <c r="E15" s="3" t="s">
        <v>4</v>
      </c>
      <c r="F15" s="3"/>
      <c r="G15" s="3" t="s">
        <v>4</v>
      </c>
      <c r="H15" s="3" t="s">
        <v>4</v>
      </c>
    </row>
    <row r="16" spans="1:8" x14ac:dyDescent="0.25">
      <c r="A16" s="64" t="s">
        <v>1599</v>
      </c>
      <c r="B16" s="19" t="s">
        <v>3783</v>
      </c>
      <c r="C16" s="3" t="s">
        <v>4</v>
      </c>
      <c r="D16" s="3" t="s">
        <v>4</v>
      </c>
      <c r="E16" s="3" t="s">
        <v>4</v>
      </c>
      <c r="F16" s="3"/>
      <c r="G16" s="3" t="s">
        <v>4</v>
      </c>
      <c r="H16" s="3" t="s">
        <v>4</v>
      </c>
    </row>
    <row r="17" spans="1:8" x14ac:dyDescent="0.25">
      <c r="A17" s="64" t="s">
        <v>1642</v>
      </c>
      <c r="B17" s="19" t="s">
        <v>3783</v>
      </c>
      <c r="C17" s="3" t="s">
        <v>4</v>
      </c>
      <c r="D17" s="3" t="s">
        <v>4</v>
      </c>
      <c r="E17" s="3" t="s">
        <v>4</v>
      </c>
      <c r="F17" s="3"/>
      <c r="G17" s="3" t="s">
        <v>4</v>
      </c>
      <c r="H17" s="3" t="s">
        <v>4</v>
      </c>
    </row>
    <row r="18" spans="1:8" x14ac:dyDescent="0.25">
      <c r="A18" s="64" t="s">
        <v>1781</v>
      </c>
      <c r="B18" s="19" t="s">
        <v>3783</v>
      </c>
      <c r="C18" s="3" t="s">
        <v>4</v>
      </c>
      <c r="D18" s="3" t="s">
        <v>4</v>
      </c>
      <c r="E18" s="3" t="s">
        <v>4</v>
      </c>
      <c r="F18" s="3"/>
      <c r="G18" s="3" t="s">
        <v>4</v>
      </c>
      <c r="H18" s="3" t="s">
        <v>4</v>
      </c>
    </row>
    <row r="19" spans="1:8" x14ac:dyDescent="0.25">
      <c r="A19" s="64" t="s">
        <v>1790</v>
      </c>
      <c r="B19" s="19" t="s">
        <v>3783</v>
      </c>
      <c r="C19" s="3" t="s">
        <v>4</v>
      </c>
      <c r="D19" s="3" t="s">
        <v>4</v>
      </c>
      <c r="E19" s="3" t="s">
        <v>4</v>
      </c>
      <c r="F19" s="3"/>
      <c r="G19" s="3" t="s">
        <v>4</v>
      </c>
      <c r="H19" s="3" t="s">
        <v>4</v>
      </c>
    </row>
    <row r="20" spans="1:8" x14ac:dyDescent="0.25">
      <c r="A20" s="64" t="s">
        <v>1820</v>
      </c>
      <c r="B20" s="19" t="s">
        <v>3783</v>
      </c>
      <c r="C20" s="3" t="s">
        <v>4</v>
      </c>
      <c r="D20" s="3" t="s">
        <v>4</v>
      </c>
      <c r="E20" s="3" t="s">
        <v>4</v>
      </c>
      <c r="F20" s="3"/>
      <c r="G20" s="3" t="s">
        <v>4</v>
      </c>
      <c r="H20" s="3" t="s">
        <v>4</v>
      </c>
    </row>
    <row r="21" spans="1:8" x14ac:dyDescent="0.25">
      <c r="A21" s="64" t="s">
        <v>1852</v>
      </c>
      <c r="B21" s="19" t="s">
        <v>3783</v>
      </c>
      <c r="C21" s="3" t="s">
        <v>4</v>
      </c>
      <c r="D21" s="3" t="s">
        <v>4</v>
      </c>
      <c r="E21" s="3" t="s">
        <v>4</v>
      </c>
      <c r="F21" s="3"/>
      <c r="G21" s="3" t="s">
        <v>4</v>
      </c>
      <c r="H21" s="3" t="s">
        <v>4</v>
      </c>
    </row>
    <row r="22" spans="1:8" x14ac:dyDescent="0.25">
      <c r="A22" s="64" t="s">
        <v>1895</v>
      </c>
      <c r="B22" s="19" t="s">
        <v>3783</v>
      </c>
      <c r="C22" s="3" t="s">
        <v>4</v>
      </c>
      <c r="D22" s="3" t="s">
        <v>4</v>
      </c>
      <c r="E22" s="3" t="s">
        <v>4</v>
      </c>
      <c r="F22" s="3"/>
      <c r="G22" s="3" t="s">
        <v>4</v>
      </c>
      <c r="H22" s="3" t="s">
        <v>4</v>
      </c>
    </row>
    <row r="23" spans="1:8" x14ac:dyDescent="0.25">
      <c r="A23" s="64" t="s">
        <v>1988</v>
      </c>
      <c r="B23" s="19" t="s">
        <v>3783</v>
      </c>
      <c r="C23" s="3" t="s">
        <v>4</v>
      </c>
      <c r="D23" s="3" t="s">
        <v>4</v>
      </c>
      <c r="E23" s="3" t="s">
        <v>4</v>
      </c>
      <c r="F23" s="3"/>
      <c r="G23" s="3" t="s">
        <v>4</v>
      </c>
      <c r="H23" s="3" t="s">
        <v>4</v>
      </c>
    </row>
    <row r="24" spans="1:8" x14ac:dyDescent="0.25">
      <c r="A24" s="64" t="s">
        <v>2025</v>
      </c>
      <c r="B24" s="19" t="s">
        <v>3783</v>
      </c>
      <c r="C24" s="3" t="s">
        <v>4</v>
      </c>
      <c r="D24" s="3" t="s">
        <v>4</v>
      </c>
      <c r="E24" s="3" t="s">
        <v>4</v>
      </c>
      <c r="F24" s="3"/>
      <c r="G24" s="3" t="s">
        <v>4</v>
      </c>
      <c r="H24" s="3" t="s">
        <v>4</v>
      </c>
    </row>
    <row r="25" spans="1:8" x14ac:dyDescent="0.25">
      <c r="A25" s="64" t="s">
        <v>2089</v>
      </c>
      <c r="B25" s="19" t="s">
        <v>3783</v>
      </c>
      <c r="C25" s="3" t="s">
        <v>4</v>
      </c>
      <c r="D25" s="3" t="s">
        <v>4</v>
      </c>
      <c r="E25" s="3" t="s">
        <v>4</v>
      </c>
      <c r="F25" s="3"/>
      <c r="G25" s="3" t="s">
        <v>4</v>
      </c>
      <c r="H25" s="3" t="s">
        <v>4</v>
      </c>
    </row>
    <row r="26" spans="1:8" x14ac:dyDescent="0.25">
      <c r="A26" s="64" t="s">
        <v>2308</v>
      </c>
      <c r="B26" s="19" t="s">
        <v>3783</v>
      </c>
      <c r="C26" s="3" t="s">
        <v>4</v>
      </c>
      <c r="D26" s="3" t="s">
        <v>4</v>
      </c>
      <c r="E26" s="3" t="s">
        <v>4</v>
      </c>
      <c r="F26" s="3"/>
      <c r="G26" s="3" t="s">
        <v>4</v>
      </c>
      <c r="H26" s="3" t="s">
        <v>4</v>
      </c>
    </row>
    <row r="27" spans="1:8" x14ac:dyDescent="0.25">
      <c r="A27" s="19" t="s">
        <v>366</v>
      </c>
      <c r="B27" s="19" t="s">
        <v>3784</v>
      </c>
      <c r="C27" s="3" t="s">
        <v>4</v>
      </c>
      <c r="D27" s="3" t="s">
        <v>4</v>
      </c>
      <c r="E27" s="3" t="s">
        <v>4</v>
      </c>
      <c r="F27" s="3"/>
      <c r="G27" s="3" t="s">
        <v>4</v>
      </c>
      <c r="H27" s="3" t="s">
        <v>4</v>
      </c>
    </row>
    <row r="28" spans="1:8" x14ac:dyDescent="0.25">
      <c r="A28" s="64" t="s">
        <v>457</v>
      </c>
      <c r="B28" s="19" t="s">
        <v>3784</v>
      </c>
      <c r="C28" s="3" t="s">
        <v>4</v>
      </c>
      <c r="D28" s="3" t="s">
        <v>4</v>
      </c>
      <c r="E28" s="3" t="s">
        <v>4</v>
      </c>
      <c r="F28" s="3"/>
      <c r="G28" s="3" t="s">
        <v>4</v>
      </c>
      <c r="H28" s="3" t="s">
        <v>4</v>
      </c>
    </row>
    <row r="29" spans="1:8" x14ac:dyDescent="0.25">
      <c r="A29" s="64" t="s">
        <v>616</v>
      </c>
      <c r="B29" s="19" t="s">
        <v>3784</v>
      </c>
      <c r="C29" s="3" t="s">
        <v>4</v>
      </c>
      <c r="D29" s="3" t="s">
        <v>4</v>
      </c>
      <c r="E29" s="3" t="s">
        <v>4</v>
      </c>
      <c r="F29" s="3"/>
      <c r="G29" s="3" t="s">
        <v>4</v>
      </c>
      <c r="H29" s="3" t="s">
        <v>4</v>
      </c>
    </row>
    <row r="30" spans="1:8" x14ac:dyDescent="0.25">
      <c r="A30" s="64" t="s">
        <v>642</v>
      </c>
      <c r="B30" s="19" t="s">
        <v>3784</v>
      </c>
      <c r="C30" s="3" t="s">
        <v>4</v>
      </c>
      <c r="D30" s="3" t="s">
        <v>4</v>
      </c>
      <c r="E30" s="3" t="s">
        <v>4</v>
      </c>
      <c r="F30" s="3"/>
      <c r="G30" s="3" t="s">
        <v>4</v>
      </c>
      <c r="H30" s="3" t="s">
        <v>4</v>
      </c>
    </row>
    <row r="31" spans="1:8" x14ac:dyDescent="0.25">
      <c r="A31" s="64" t="s">
        <v>745</v>
      </c>
      <c r="B31" s="19" t="s">
        <v>3784</v>
      </c>
      <c r="C31" s="3" t="s">
        <v>4</v>
      </c>
      <c r="D31" s="3" t="s">
        <v>4</v>
      </c>
      <c r="E31" s="3" t="s">
        <v>4</v>
      </c>
      <c r="F31" s="3"/>
      <c r="G31" s="3" t="s">
        <v>4</v>
      </c>
      <c r="H31" s="3" t="s">
        <v>4</v>
      </c>
    </row>
    <row r="32" spans="1:8" x14ac:dyDescent="0.25">
      <c r="A32" s="64" t="s">
        <v>796</v>
      </c>
      <c r="B32" s="19" t="s">
        <v>3784</v>
      </c>
      <c r="C32" s="3" t="s">
        <v>4</v>
      </c>
      <c r="D32" s="3" t="s">
        <v>4</v>
      </c>
      <c r="E32" s="3" t="s">
        <v>4</v>
      </c>
      <c r="F32" s="3"/>
      <c r="G32" s="3" t="s">
        <v>4</v>
      </c>
      <c r="H32" s="3" t="s">
        <v>4</v>
      </c>
    </row>
    <row r="33" spans="1:8" x14ac:dyDescent="0.25">
      <c r="A33" s="64" t="s">
        <v>805</v>
      </c>
      <c r="B33" s="19" t="s">
        <v>3784</v>
      </c>
      <c r="C33" s="3" t="s">
        <v>4</v>
      </c>
      <c r="D33" s="3" t="s">
        <v>4</v>
      </c>
      <c r="E33" s="3" t="s">
        <v>4</v>
      </c>
      <c r="F33" s="3"/>
      <c r="G33" s="3" t="s">
        <v>4</v>
      </c>
      <c r="H33" s="3" t="s">
        <v>4</v>
      </c>
    </row>
    <row r="34" spans="1:8" x14ac:dyDescent="0.25">
      <c r="A34" s="64" t="s">
        <v>839</v>
      </c>
      <c r="B34" s="19" t="s">
        <v>3784</v>
      </c>
      <c r="C34" s="3" t="s">
        <v>4</v>
      </c>
      <c r="D34" s="3" t="s">
        <v>4</v>
      </c>
      <c r="E34" s="3" t="s">
        <v>4</v>
      </c>
      <c r="F34" s="3"/>
      <c r="G34" s="3" t="s">
        <v>4</v>
      </c>
      <c r="H34" s="3" t="s">
        <v>4</v>
      </c>
    </row>
    <row r="35" spans="1:8" x14ac:dyDescent="0.25">
      <c r="A35" s="64" t="s">
        <v>910</v>
      </c>
      <c r="B35" s="19" t="s">
        <v>3784</v>
      </c>
      <c r="C35" s="3" t="s">
        <v>4</v>
      </c>
      <c r="D35" s="3" t="s">
        <v>4</v>
      </c>
      <c r="E35" s="3" t="s">
        <v>4</v>
      </c>
      <c r="F35" s="3"/>
      <c r="G35" s="3" t="s">
        <v>4</v>
      </c>
      <c r="H35" s="3" t="s">
        <v>4</v>
      </c>
    </row>
    <row r="36" spans="1:8" x14ac:dyDescent="0.25">
      <c r="A36" s="64" t="s">
        <v>1046</v>
      </c>
      <c r="B36" s="19" t="s">
        <v>3784</v>
      </c>
      <c r="C36" s="3" t="s">
        <v>4</v>
      </c>
      <c r="D36" s="3" t="s">
        <v>4</v>
      </c>
      <c r="E36" s="3" t="s">
        <v>4</v>
      </c>
      <c r="F36" s="3"/>
      <c r="G36" s="3" t="s">
        <v>4</v>
      </c>
      <c r="H36" s="3" t="s">
        <v>4</v>
      </c>
    </row>
    <row r="37" spans="1:8" x14ac:dyDescent="0.25">
      <c r="A37" s="64" t="s">
        <v>1158</v>
      </c>
      <c r="B37" s="19" t="s">
        <v>3784</v>
      </c>
      <c r="C37" s="3" t="s">
        <v>4</v>
      </c>
      <c r="D37" s="3" t="s">
        <v>4</v>
      </c>
      <c r="E37" s="3" t="s">
        <v>4</v>
      </c>
      <c r="F37" s="3"/>
      <c r="G37" s="3" t="s">
        <v>4</v>
      </c>
      <c r="H37" s="3" t="s">
        <v>4</v>
      </c>
    </row>
    <row r="38" spans="1:8" x14ac:dyDescent="0.25">
      <c r="A38" s="64" t="s">
        <v>1181</v>
      </c>
      <c r="B38" s="19" t="s">
        <v>3784</v>
      </c>
      <c r="C38" s="3" t="s">
        <v>4</v>
      </c>
      <c r="D38" s="3" t="s">
        <v>4</v>
      </c>
      <c r="E38" s="3" t="s">
        <v>4</v>
      </c>
      <c r="F38" s="3"/>
      <c r="G38" s="3" t="s">
        <v>4</v>
      </c>
      <c r="H38" s="3" t="s">
        <v>4</v>
      </c>
    </row>
    <row r="39" spans="1:8" x14ac:dyDescent="0.25">
      <c r="A39" s="64" t="s">
        <v>1210</v>
      </c>
      <c r="B39" s="19" t="s">
        <v>3784</v>
      </c>
      <c r="C39" s="3" t="s">
        <v>4</v>
      </c>
      <c r="D39" s="3" t="s">
        <v>4</v>
      </c>
      <c r="E39" s="3" t="s">
        <v>4</v>
      </c>
      <c r="F39" s="3"/>
      <c r="G39" s="3" t="s">
        <v>4</v>
      </c>
      <c r="H39" s="3" t="s">
        <v>4</v>
      </c>
    </row>
    <row r="40" spans="1:8" x14ac:dyDescent="0.25">
      <c r="A40" s="64" t="s">
        <v>1221</v>
      </c>
      <c r="B40" s="19" t="s">
        <v>3784</v>
      </c>
      <c r="C40" s="3" t="s">
        <v>4</v>
      </c>
      <c r="D40" s="3" t="s">
        <v>4</v>
      </c>
      <c r="E40" s="3" t="s">
        <v>4</v>
      </c>
      <c r="F40" s="3"/>
      <c r="G40" s="3" t="s">
        <v>4</v>
      </c>
      <c r="H40" s="3" t="s">
        <v>4</v>
      </c>
    </row>
    <row r="41" spans="1:8" x14ac:dyDescent="0.25">
      <c r="A41" s="64" t="s">
        <v>1399</v>
      </c>
      <c r="B41" s="19" t="s">
        <v>3784</v>
      </c>
      <c r="C41" s="3" t="s">
        <v>4</v>
      </c>
      <c r="D41" s="3" t="s">
        <v>4</v>
      </c>
      <c r="E41" s="3" t="s">
        <v>4</v>
      </c>
      <c r="F41" s="3"/>
      <c r="G41" s="3" t="s">
        <v>4</v>
      </c>
      <c r="H41" s="3" t="s">
        <v>4</v>
      </c>
    </row>
    <row r="42" spans="1:8" x14ac:dyDescent="0.25">
      <c r="A42" s="64" t="s">
        <v>1411</v>
      </c>
      <c r="B42" s="19" t="s">
        <v>3784</v>
      </c>
      <c r="C42" s="3" t="s">
        <v>4</v>
      </c>
      <c r="D42" s="3" t="s">
        <v>4</v>
      </c>
      <c r="E42" s="3" t="s">
        <v>4</v>
      </c>
      <c r="F42" s="3"/>
      <c r="G42" s="3" t="s">
        <v>4</v>
      </c>
      <c r="H42" s="3" t="s">
        <v>4</v>
      </c>
    </row>
    <row r="43" spans="1:8" x14ac:dyDescent="0.25">
      <c r="A43" s="64" t="s">
        <v>1533</v>
      </c>
      <c r="B43" s="19" t="s">
        <v>3784</v>
      </c>
      <c r="C43" s="3" t="s">
        <v>4</v>
      </c>
      <c r="D43" s="3" t="s">
        <v>4</v>
      </c>
      <c r="E43" s="3" t="s">
        <v>4</v>
      </c>
      <c r="F43" s="3"/>
      <c r="G43" s="3" t="s">
        <v>4</v>
      </c>
      <c r="H43" s="3" t="s">
        <v>4</v>
      </c>
    </row>
    <row r="44" spans="1:8" x14ac:dyDescent="0.25">
      <c r="A44" s="64" t="s">
        <v>1545</v>
      </c>
      <c r="B44" s="19" t="s">
        <v>3784</v>
      </c>
      <c r="C44" s="3" t="s">
        <v>4</v>
      </c>
      <c r="D44" s="3" t="s">
        <v>4</v>
      </c>
      <c r="E44" s="3" t="s">
        <v>4</v>
      </c>
      <c r="F44" s="3"/>
      <c r="G44" s="3" t="s">
        <v>4</v>
      </c>
      <c r="H44" s="3" t="s">
        <v>4</v>
      </c>
    </row>
    <row r="45" spans="1:8" x14ac:dyDescent="0.25">
      <c r="A45" s="64" t="s">
        <v>1607</v>
      </c>
      <c r="B45" s="19" t="s">
        <v>3784</v>
      </c>
      <c r="C45" s="3" t="s">
        <v>4</v>
      </c>
      <c r="D45" s="3" t="s">
        <v>4</v>
      </c>
      <c r="E45" s="3" t="s">
        <v>4</v>
      </c>
      <c r="F45" s="3"/>
      <c r="G45" s="3" t="s">
        <v>4</v>
      </c>
      <c r="H45" s="3" t="s">
        <v>4</v>
      </c>
    </row>
    <row r="46" spans="1:8" x14ac:dyDescent="0.25">
      <c r="A46" s="64" t="s">
        <v>1717</v>
      </c>
      <c r="B46" s="19" t="s">
        <v>3784</v>
      </c>
      <c r="C46" s="3" t="s">
        <v>4</v>
      </c>
      <c r="D46" s="3" t="s">
        <v>4</v>
      </c>
      <c r="E46" s="3" t="s">
        <v>4</v>
      </c>
      <c r="F46" s="3"/>
      <c r="G46" s="3" t="s">
        <v>4</v>
      </c>
      <c r="H46" s="3" t="s">
        <v>4</v>
      </c>
    </row>
    <row r="47" spans="1:8" x14ac:dyDescent="0.25">
      <c r="A47" s="64" t="s">
        <v>1888</v>
      </c>
      <c r="B47" s="19" t="s">
        <v>3784</v>
      </c>
      <c r="C47" s="3" t="s">
        <v>4</v>
      </c>
      <c r="D47" s="3" t="s">
        <v>4</v>
      </c>
      <c r="E47" s="3" t="s">
        <v>4</v>
      </c>
      <c r="F47" s="3"/>
      <c r="G47" s="3" t="s">
        <v>4</v>
      </c>
      <c r="H47" s="3" t="s">
        <v>4</v>
      </c>
    </row>
    <row r="48" spans="1:8" x14ac:dyDescent="0.25">
      <c r="A48" s="64" t="s">
        <v>1986</v>
      </c>
      <c r="B48" s="19" t="s">
        <v>3784</v>
      </c>
      <c r="C48" s="3" t="s">
        <v>4</v>
      </c>
      <c r="D48" s="3" t="s">
        <v>4</v>
      </c>
      <c r="E48" s="3" t="s">
        <v>4</v>
      </c>
      <c r="F48" s="3"/>
      <c r="G48" s="3" t="s">
        <v>4</v>
      </c>
      <c r="H48" s="3" t="s">
        <v>4</v>
      </c>
    </row>
    <row r="49" spans="1:9" x14ac:dyDescent="0.25">
      <c r="A49" s="64" t="s">
        <v>2049</v>
      </c>
      <c r="B49" s="19" t="s">
        <v>3784</v>
      </c>
      <c r="C49" s="3" t="s">
        <v>4</v>
      </c>
      <c r="D49" s="3" t="s">
        <v>4</v>
      </c>
      <c r="E49" s="3" t="s">
        <v>4</v>
      </c>
      <c r="F49" s="3"/>
      <c r="G49" s="3" t="s">
        <v>4</v>
      </c>
      <c r="H49" s="3" t="s">
        <v>4</v>
      </c>
    </row>
    <row r="50" spans="1:9" x14ac:dyDescent="0.25">
      <c r="A50" s="64" t="s">
        <v>2236</v>
      </c>
      <c r="B50" s="19" t="s">
        <v>3784</v>
      </c>
      <c r="C50" s="3" t="s">
        <v>4</v>
      </c>
      <c r="D50" s="3" t="s">
        <v>4</v>
      </c>
      <c r="E50" s="3" t="s">
        <v>4</v>
      </c>
      <c r="F50" s="3"/>
      <c r="G50" s="3" t="s">
        <v>4</v>
      </c>
      <c r="H50" s="3" t="s">
        <v>4</v>
      </c>
    </row>
    <row r="51" spans="1:9" x14ac:dyDescent="0.25">
      <c r="A51" s="19" t="s">
        <v>554</v>
      </c>
      <c r="B51" s="19" t="s">
        <v>3785</v>
      </c>
      <c r="C51" s="3" t="s">
        <v>4</v>
      </c>
      <c r="D51" s="3" t="s">
        <v>4</v>
      </c>
      <c r="E51" s="3" t="s">
        <v>4</v>
      </c>
      <c r="F51" s="3"/>
      <c r="G51" s="3" t="s">
        <v>4</v>
      </c>
      <c r="H51" s="3" t="s">
        <v>4</v>
      </c>
    </row>
    <row r="52" spans="1:9" x14ac:dyDescent="0.25">
      <c r="A52" s="64" t="s">
        <v>556</v>
      </c>
      <c r="B52" s="19" t="s">
        <v>3785</v>
      </c>
      <c r="C52" s="3" t="s">
        <v>4</v>
      </c>
      <c r="D52" s="3" t="s">
        <v>4</v>
      </c>
      <c r="E52" s="3" t="s">
        <v>4</v>
      </c>
      <c r="F52" s="3"/>
      <c r="G52" s="3" t="s">
        <v>4</v>
      </c>
      <c r="H52" s="3" t="s">
        <v>4</v>
      </c>
    </row>
    <row r="53" spans="1:9" x14ac:dyDescent="0.25">
      <c r="A53" s="64" t="s">
        <v>613</v>
      </c>
      <c r="B53" s="19" t="s">
        <v>3785</v>
      </c>
      <c r="C53" s="3" t="s">
        <v>4</v>
      </c>
      <c r="D53" s="3" t="s">
        <v>4</v>
      </c>
      <c r="E53" s="3" t="s">
        <v>4</v>
      </c>
      <c r="F53" s="3"/>
      <c r="G53" s="3" t="s">
        <v>4</v>
      </c>
      <c r="H53" s="3" t="s">
        <v>4</v>
      </c>
    </row>
    <row r="54" spans="1:9" x14ac:dyDescent="0.25">
      <c r="A54" s="64" t="s">
        <v>614</v>
      </c>
      <c r="B54" s="19" t="s">
        <v>3785</v>
      </c>
      <c r="C54" s="3" t="s">
        <v>4</v>
      </c>
      <c r="D54" s="3" t="s">
        <v>4</v>
      </c>
      <c r="E54" s="3" t="s">
        <v>4</v>
      </c>
      <c r="F54" s="3"/>
      <c r="G54" s="3" t="s">
        <v>4</v>
      </c>
      <c r="H54" s="3" t="s">
        <v>4</v>
      </c>
    </row>
    <row r="55" spans="1:9" x14ac:dyDescent="0.25">
      <c r="A55" s="64" t="s">
        <v>624</v>
      </c>
      <c r="B55" s="19" t="s">
        <v>3785</v>
      </c>
      <c r="C55" s="3" t="s">
        <v>4</v>
      </c>
      <c r="D55" s="3" t="s">
        <v>4</v>
      </c>
      <c r="E55" s="3"/>
      <c r="F55" s="3"/>
      <c r="G55" s="3" t="s">
        <v>4</v>
      </c>
      <c r="H55" s="3" t="s">
        <v>4</v>
      </c>
      <c r="I55" t="s">
        <v>3786</v>
      </c>
    </row>
    <row r="56" spans="1:9" x14ac:dyDescent="0.25">
      <c r="A56" s="64" t="s">
        <v>646</v>
      </c>
      <c r="B56" s="19" t="s">
        <v>3785</v>
      </c>
      <c r="C56" s="3" t="s">
        <v>4</v>
      </c>
      <c r="D56" s="3" t="s">
        <v>4</v>
      </c>
      <c r="E56" s="3" t="s">
        <v>4</v>
      </c>
      <c r="F56" s="3"/>
      <c r="G56" s="3" t="s">
        <v>4</v>
      </c>
      <c r="H56" s="3" t="s">
        <v>4</v>
      </c>
    </row>
    <row r="57" spans="1:9" x14ac:dyDescent="0.25">
      <c r="A57" s="64" t="s">
        <v>674</v>
      </c>
      <c r="B57" s="19" t="s">
        <v>3785</v>
      </c>
      <c r="C57" s="3" t="s">
        <v>4</v>
      </c>
      <c r="D57" s="3" t="s">
        <v>4</v>
      </c>
      <c r="E57" s="3" t="s">
        <v>4</v>
      </c>
      <c r="F57" s="3"/>
      <c r="G57" s="3" t="s">
        <v>4</v>
      </c>
      <c r="H57" s="3" t="s">
        <v>4</v>
      </c>
    </row>
    <row r="58" spans="1:9" x14ac:dyDescent="0.25">
      <c r="A58" s="64" t="s">
        <v>750</v>
      </c>
      <c r="B58" s="19" t="s">
        <v>3785</v>
      </c>
      <c r="C58" s="3" t="s">
        <v>4</v>
      </c>
      <c r="D58" s="3" t="s">
        <v>4</v>
      </c>
      <c r="E58" s="3" t="s">
        <v>4</v>
      </c>
      <c r="F58" s="3"/>
      <c r="G58" s="3" t="s">
        <v>4</v>
      </c>
      <c r="H58" s="3" t="s">
        <v>4</v>
      </c>
    </row>
    <row r="59" spans="1:9" x14ac:dyDescent="0.25">
      <c r="A59" s="64" t="s">
        <v>807</v>
      </c>
      <c r="B59" s="19" t="s">
        <v>3785</v>
      </c>
      <c r="C59" s="3" t="s">
        <v>4</v>
      </c>
      <c r="D59" s="3" t="s">
        <v>4</v>
      </c>
      <c r="E59" s="3" t="s">
        <v>4</v>
      </c>
      <c r="F59" s="3"/>
      <c r="G59" s="3" t="s">
        <v>4</v>
      </c>
      <c r="H59" s="3" t="s">
        <v>4</v>
      </c>
    </row>
    <row r="60" spans="1:9" x14ac:dyDescent="0.25">
      <c r="A60" s="64" t="s">
        <v>817</v>
      </c>
      <c r="B60" s="19" t="s">
        <v>3785</v>
      </c>
      <c r="C60" s="3" t="s">
        <v>4</v>
      </c>
      <c r="D60" s="3" t="s">
        <v>4</v>
      </c>
      <c r="E60" s="3" t="s">
        <v>4</v>
      </c>
      <c r="F60" s="3"/>
      <c r="G60" s="3" t="s">
        <v>4</v>
      </c>
      <c r="H60" s="3" t="s">
        <v>4</v>
      </c>
    </row>
    <row r="61" spans="1:9" x14ac:dyDescent="0.25">
      <c r="A61" s="64" t="s">
        <v>853</v>
      </c>
      <c r="B61" s="19" t="s">
        <v>3785</v>
      </c>
      <c r="C61" s="3" t="s">
        <v>4</v>
      </c>
      <c r="D61" s="3" t="s">
        <v>4</v>
      </c>
      <c r="E61" s="3" t="s">
        <v>4</v>
      </c>
      <c r="F61" s="3"/>
      <c r="G61" s="3" t="s">
        <v>4</v>
      </c>
      <c r="H61" s="3" t="s">
        <v>4</v>
      </c>
    </row>
    <row r="62" spans="1:9" x14ac:dyDescent="0.25">
      <c r="A62" s="64" t="s">
        <v>879</v>
      </c>
      <c r="B62" s="19" t="s">
        <v>3785</v>
      </c>
      <c r="C62" s="3" t="s">
        <v>4</v>
      </c>
      <c r="D62" s="3" t="s">
        <v>4</v>
      </c>
      <c r="E62" s="3" t="s">
        <v>4</v>
      </c>
      <c r="F62" s="3"/>
      <c r="G62" s="3" t="s">
        <v>4</v>
      </c>
      <c r="H62" s="3" t="s">
        <v>4</v>
      </c>
    </row>
    <row r="63" spans="1:9" x14ac:dyDescent="0.25">
      <c r="A63" s="64" t="s">
        <v>885</v>
      </c>
      <c r="B63" s="19" t="s">
        <v>3785</v>
      </c>
      <c r="C63" s="3" t="s">
        <v>4</v>
      </c>
      <c r="D63" s="3" t="s">
        <v>4</v>
      </c>
      <c r="E63" s="3" t="s">
        <v>4</v>
      </c>
      <c r="F63" s="3"/>
      <c r="G63" s="3" t="s">
        <v>4</v>
      </c>
      <c r="H63" s="3" t="s">
        <v>4</v>
      </c>
    </row>
    <row r="64" spans="1:9" x14ac:dyDescent="0.25">
      <c r="A64" s="64" t="s">
        <v>893</v>
      </c>
      <c r="B64" s="19" t="s">
        <v>3785</v>
      </c>
      <c r="C64" s="3" t="s">
        <v>4</v>
      </c>
      <c r="D64" s="3" t="s">
        <v>4</v>
      </c>
      <c r="E64" s="3" t="s">
        <v>4</v>
      </c>
      <c r="F64" s="3"/>
      <c r="G64" s="3" t="s">
        <v>4</v>
      </c>
      <c r="H64" s="3" t="s">
        <v>4</v>
      </c>
    </row>
    <row r="65" spans="1:8" x14ac:dyDescent="0.25">
      <c r="A65" s="64" t="s">
        <v>929</v>
      </c>
      <c r="B65" s="19" t="s">
        <v>3785</v>
      </c>
      <c r="C65" s="3" t="s">
        <v>4</v>
      </c>
      <c r="D65" s="3" t="s">
        <v>4</v>
      </c>
      <c r="E65" s="3" t="s">
        <v>4</v>
      </c>
      <c r="F65" s="3"/>
      <c r="G65" s="3" t="s">
        <v>4</v>
      </c>
      <c r="H65" s="3" t="s">
        <v>4</v>
      </c>
    </row>
    <row r="66" spans="1:8" x14ac:dyDescent="0.25">
      <c r="A66" s="64" t="s">
        <v>938</v>
      </c>
      <c r="B66" s="19" t="s">
        <v>3785</v>
      </c>
      <c r="C66" s="3" t="s">
        <v>4</v>
      </c>
      <c r="D66" s="3" t="s">
        <v>4</v>
      </c>
      <c r="E66" s="3" t="s">
        <v>4</v>
      </c>
      <c r="F66" s="3"/>
      <c r="G66" s="3" t="s">
        <v>4</v>
      </c>
      <c r="H66" s="3" t="s">
        <v>4</v>
      </c>
    </row>
    <row r="67" spans="1:8" x14ac:dyDescent="0.25">
      <c r="A67" s="64" t="s">
        <v>1043</v>
      </c>
      <c r="B67" s="19" t="s">
        <v>3785</v>
      </c>
      <c r="C67" s="3" t="s">
        <v>4</v>
      </c>
      <c r="D67" s="3" t="s">
        <v>4</v>
      </c>
      <c r="E67" s="3" t="s">
        <v>4</v>
      </c>
      <c r="F67" s="3"/>
      <c r="G67" s="3" t="s">
        <v>4</v>
      </c>
      <c r="H67" s="3" t="s">
        <v>4</v>
      </c>
    </row>
    <row r="68" spans="1:8" x14ac:dyDescent="0.25">
      <c r="A68" s="64" t="s">
        <v>1164</v>
      </c>
      <c r="B68" s="19" t="s">
        <v>3785</v>
      </c>
      <c r="C68" s="3" t="s">
        <v>4</v>
      </c>
      <c r="D68" s="3" t="s">
        <v>4</v>
      </c>
      <c r="E68" s="3" t="s">
        <v>4</v>
      </c>
      <c r="F68" s="3"/>
      <c r="G68" s="3" t="s">
        <v>4</v>
      </c>
      <c r="H68" s="3" t="s">
        <v>4</v>
      </c>
    </row>
    <row r="69" spans="1:8" x14ac:dyDescent="0.25">
      <c r="A69" s="64" t="s">
        <v>1393</v>
      </c>
      <c r="B69" s="19" t="s">
        <v>3785</v>
      </c>
      <c r="C69" s="3" t="s">
        <v>4</v>
      </c>
      <c r="D69" s="3" t="s">
        <v>4</v>
      </c>
      <c r="E69" s="3" t="s">
        <v>4</v>
      </c>
      <c r="F69" s="3"/>
      <c r="G69" s="3" t="s">
        <v>4</v>
      </c>
      <c r="H69" s="3" t="s">
        <v>4</v>
      </c>
    </row>
    <row r="70" spans="1:8" x14ac:dyDescent="0.25">
      <c r="A70" s="64" t="s">
        <v>1580</v>
      </c>
      <c r="B70" s="19" t="s">
        <v>3785</v>
      </c>
      <c r="C70" s="3" t="s">
        <v>4</v>
      </c>
      <c r="D70" s="3" t="s">
        <v>4</v>
      </c>
      <c r="E70" s="3" t="s">
        <v>4</v>
      </c>
      <c r="F70" s="3"/>
      <c r="G70" s="3" t="s">
        <v>4</v>
      </c>
      <c r="H70" s="3" t="s">
        <v>4</v>
      </c>
    </row>
    <row r="71" spans="1:8" x14ac:dyDescent="0.25">
      <c r="A71" s="64" t="s">
        <v>1598</v>
      </c>
      <c r="B71" s="19" t="s">
        <v>3785</v>
      </c>
      <c r="C71" s="3" t="s">
        <v>4</v>
      </c>
      <c r="D71" s="3" t="s">
        <v>4</v>
      </c>
      <c r="E71" s="3" t="s">
        <v>4</v>
      </c>
      <c r="F71" s="3"/>
      <c r="G71" s="3" t="s">
        <v>4</v>
      </c>
      <c r="H71" s="3" t="s">
        <v>4</v>
      </c>
    </row>
    <row r="72" spans="1:8" x14ac:dyDescent="0.25">
      <c r="A72" s="64" t="s">
        <v>1704</v>
      </c>
      <c r="B72" s="19" t="s">
        <v>3785</v>
      </c>
      <c r="C72" s="3" t="s">
        <v>4</v>
      </c>
      <c r="D72" s="3" t="s">
        <v>4</v>
      </c>
      <c r="E72" s="3" t="s">
        <v>4</v>
      </c>
      <c r="F72" s="3"/>
      <c r="G72" s="3" t="s">
        <v>4</v>
      </c>
      <c r="H72" s="3" t="s">
        <v>4</v>
      </c>
    </row>
    <row r="73" spans="1:8" x14ac:dyDescent="0.25">
      <c r="A73" s="64" t="s">
        <v>1787</v>
      </c>
      <c r="B73" s="19" t="s">
        <v>3785</v>
      </c>
      <c r="C73" s="3" t="s">
        <v>4</v>
      </c>
      <c r="D73" s="3" t="s">
        <v>4</v>
      </c>
      <c r="E73" s="3" t="s">
        <v>4</v>
      </c>
      <c r="F73" s="3"/>
      <c r="G73" s="3" t="s">
        <v>4</v>
      </c>
      <c r="H73" s="3" t="s">
        <v>4</v>
      </c>
    </row>
    <row r="74" spans="1:8" x14ac:dyDescent="0.25">
      <c r="A74" s="64" t="s">
        <v>1841</v>
      </c>
      <c r="B74" s="19" t="s">
        <v>3785</v>
      </c>
      <c r="C74" s="3" t="s">
        <v>4</v>
      </c>
      <c r="D74" s="3" t="s">
        <v>4</v>
      </c>
      <c r="E74" s="3" t="s">
        <v>4</v>
      </c>
      <c r="F74" s="3"/>
      <c r="G74" s="3" t="s">
        <v>4</v>
      </c>
      <c r="H74" s="3" t="s">
        <v>4</v>
      </c>
    </row>
    <row r="75" spans="1:8" x14ac:dyDescent="0.25">
      <c r="A75" s="64" t="s">
        <v>1849</v>
      </c>
      <c r="B75" s="19" t="s">
        <v>3785</v>
      </c>
      <c r="C75" s="3" t="s">
        <v>4</v>
      </c>
      <c r="D75" s="3" t="s">
        <v>4</v>
      </c>
      <c r="E75" s="3" t="s">
        <v>4</v>
      </c>
      <c r="F75" s="3"/>
      <c r="G75" s="3" t="s">
        <v>4</v>
      </c>
      <c r="H75" s="3" t="s">
        <v>4</v>
      </c>
    </row>
    <row r="76" spans="1:8" x14ac:dyDescent="0.25">
      <c r="A76" s="19" t="s">
        <v>619</v>
      </c>
      <c r="B76" s="19" t="s">
        <v>3787</v>
      </c>
      <c r="C76" s="3" t="s">
        <v>4</v>
      </c>
      <c r="D76" s="3" t="s">
        <v>4</v>
      </c>
      <c r="E76" s="3" t="s">
        <v>4</v>
      </c>
      <c r="F76" s="3" t="s">
        <v>4</v>
      </c>
      <c r="G76" s="3"/>
      <c r="H76" s="3"/>
    </row>
    <row r="77" spans="1:8" x14ac:dyDescent="0.25">
      <c r="A77" s="64" t="s">
        <v>1178</v>
      </c>
      <c r="B77" s="19" t="s">
        <v>3787</v>
      </c>
      <c r="C77" s="3" t="s">
        <v>4</v>
      </c>
      <c r="D77" s="3" t="s">
        <v>4</v>
      </c>
      <c r="E77" s="3" t="s">
        <v>4</v>
      </c>
      <c r="F77" s="3" t="s">
        <v>4</v>
      </c>
      <c r="G77" s="3"/>
      <c r="H77" s="3"/>
    </row>
    <row r="78" spans="1:8" x14ac:dyDescent="0.25">
      <c r="A78" s="64" t="s">
        <v>1283</v>
      </c>
      <c r="B78" s="19" t="s">
        <v>3787</v>
      </c>
      <c r="C78" s="3" t="s">
        <v>4</v>
      </c>
      <c r="D78" s="3" t="s">
        <v>4</v>
      </c>
      <c r="E78" s="3" t="s">
        <v>4</v>
      </c>
      <c r="F78" s="3" t="s">
        <v>4</v>
      </c>
      <c r="G78" s="3"/>
      <c r="H78" s="3"/>
    </row>
    <row r="79" spans="1:8" x14ac:dyDescent="0.25">
      <c r="A79" s="64" t="s">
        <v>1387</v>
      </c>
      <c r="B79" s="19" t="s">
        <v>3787</v>
      </c>
      <c r="C79" s="3" t="s">
        <v>4</v>
      </c>
      <c r="D79" s="3" t="s">
        <v>4</v>
      </c>
      <c r="E79" s="3" t="s">
        <v>4</v>
      </c>
      <c r="F79" s="3" t="s">
        <v>4</v>
      </c>
      <c r="G79" s="3"/>
      <c r="H79" s="3"/>
    </row>
    <row r="80" spans="1:8" x14ac:dyDescent="0.25">
      <c r="A80" s="64" t="s">
        <v>1894</v>
      </c>
      <c r="B80" s="19" t="s">
        <v>3787</v>
      </c>
      <c r="C80" s="3" t="s">
        <v>4</v>
      </c>
      <c r="D80" s="3" t="s">
        <v>4</v>
      </c>
      <c r="E80" s="3" t="s">
        <v>4</v>
      </c>
      <c r="F80" s="3" t="s">
        <v>4</v>
      </c>
      <c r="G80" s="3"/>
      <c r="H80" s="3"/>
    </row>
    <row r="81" spans="1:8" x14ac:dyDescent="0.25">
      <c r="A81" s="64" t="s">
        <v>1932</v>
      </c>
      <c r="B81" s="19" t="s">
        <v>3787</v>
      </c>
      <c r="C81" s="3" t="s">
        <v>4</v>
      </c>
      <c r="D81" s="3" t="s">
        <v>4</v>
      </c>
      <c r="E81" s="3" t="s">
        <v>4</v>
      </c>
      <c r="F81" s="3" t="s">
        <v>4</v>
      </c>
      <c r="G81" s="3"/>
      <c r="H81" s="3"/>
    </row>
    <row r="82" spans="1:8" x14ac:dyDescent="0.25">
      <c r="A82" s="64" t="s">
        <v>1987</v>
      </c>
      <c r="B82" s="19" t="s">
        <v>3787</v>
      </c>
      <c r="C82" s="3" t="s">
        <v>4</v>
      </c>
      <c r="D82" s="3" t="s">
        <v>4</v>
      </c>
      <c r="E82" s="3" t="s">
        <v>4</v>
      </c>
      <c r="F82" s="3" t="s">
        <v>4</v>
      </c>
      <c r="G82" s="3"/>
      <c r="H82" s="3"/>
    </row>
    <row r="83" spans="1:8" x14ac:dyDescent="0.25">
      <c r="A83" s="64" t="s">
        <v>2031</v>
      </c>
      <c r="B83" s="19" t="s">
        <v>3787</v>
      </c>
      <c r="C83" s="3" t="s">
        <v>4</v>
      </c>
      <c r="D83" s="3" t="s">
        <v>4</v>
      </c>
      <c r="E83" s="3" t="s">
        <v>4</v>
      </c>
      <c r="F83" s="3" t="s">
        <v>4</v>
      </c>
      <c r="G83" s="3"/>
      <c r="H83" s="3"/>
    </row>
    <row r="84" spans="1:8" x14ac:dyDescent="0.25">
      <c r="A84" s="64" t="s">
        <v>2103</v>
      </c>
      <c r="B84" s="19" t="s">
        <v>3787</v>
      </c>
      <c r="C84" s="3" t="s">
        <v>4</v>
      </c>
      <c r="D84" s="3" t="s">
        <v>4</v>
      </c>
      <c r="E84" s="3" t="s">
        <v>4</v>
      </c>
      <c r="F84" s="3" t="s">
        <v>4</v>
      </c>
      <c r="G84" s="3"/>
      <c r="H84" s="3"/>
    </row>
    <row r="85" spans="1:8" x14ac:dyDescent="0.25">
      <c r="A85" s="64" t="s">
        <v>2124</v>
      </c>
      <c r="B85" s="19" t="s">
        <v>3787</v>
      </c>
      <c r="C85" s="3" t="s">
        <v>4</v>
      </c>
      <c r="D85" s="3" t="s">
        <v>4</v>
      </c>
      <c r="E85" s="3" t="s">
        <v>4</v>
      </c>
      <c r="F85" s="3" t="s">
        <v>4</v>
      </c>
      <c r="G85" s="3"/>
      <c r="H85" s="3"/>
    </row>
    <row r="86" spans="1:8" x14ac:dyDescent="0.25">
      <c r="A86" s="64" t="s">
        <v>2477</v>
      </c>
      <c r="B86" s="19" t="s">
        <v>3787</v>
      </c>
      <c r="C86" s="3" t="s">
        <v>4</v>
      </c>
      <c r="D86" s="3" t="s">
        <v>4</v>
      </c>
      <c r="E86" s="3" t="s">
        <v>4</v>
      </c>
      <c r="F86" s="3" t="s">
        <v>4</v>
      </c>
      <c r="G86" s="3"/>
      <c r="H86" s="3"/>
    </row>
    <row r="87" spans="1:8" x14ac:dyDescent="0.25">
      <c r="A87" s="64" t="s">
        <v>2868</v>
      </c>
      <c r="B87" s="19" t="s">
        <v>3787</v>
      </c>
      <c r="C87" s="3" t="s">
        <v>4</v>
      </c>
      <c r="D87" s="3" t="s">
        <v>4</v>
      </c>
      <c r="E87" s="3" t="s">
        <v>4</v>
      </c>
      <c r="F87" s="3" t="s">
        <v>4</v>
      </c>
      <c r="G87" s="3"/>
      <c r="H87" s="3"/>
    </row>
    <row r="88" spans="1:8" x14ac:dyDescent="0.25">
      <c r="A88" s="64" t="s">
        <v>3166</v>
      </c>
      <c r="B88" s="19" t="s">
        <v>3787</v>
      </c>
      <c r="C88" s="3" t="s">
        <v>4</v>
      </c>
      <c r="D88" s="3" t="s">
        <v>4</v>
      </c>
      <c r="E88" s="3" t="s">
        <v>4</v>
      </c>
      <c r="F88" s="3" t="s">
        <v>4</v>
      </c>
      <c r="G88" s="3"/>
      <c r="H88" s="3"/>
    </row>
    <row r="89" spans="1:8" x14ac:dyDescent="0.25">
      <c r="A89" s="64" t="s">
        <v>3200</v>
      </c>
      <c r="B89" s="19" t="s">
        <v>3787</v>
      </c>
      <c r="C89" s="3" t="s">
        <v>4</v>
      </c>
      <c r="D89" s="3" t="s">
        <v>4</v>
      </c>
      <c r="E89" s="3" t="s">
        <v>4</v>
      </c>
      <c r="F89" s="3" t="s">
        <v>4</v>
      </c>
      <c r="G89" s="3"/>
      <c r="H89" s="3"/>
    </row>
    <row r="90" spans="1:8" x14ac:dyDescent="0.25">
      <c r="A90" s="64" t="s">
        <v>3272</v>
      </c>
      <c r="B90" s="19" t="s">
        <v>3787</v>
      </c>
      <c r="C90" s="3" t="s">
        <v>4</v>
      </c>
      <c r="D90" s="3" t="s">
        <v>4</v>
      </c>
      <c r="E90" s="3" t="s">
        <v>4</v>
      </c>
      <c r="F90" s="3" t="s">
        <v>4</v>
      </c>
      <c r="G90" s="3"/>
      <c r="H90" s="3"/>
    </row>
    <row r="91" spans="1:8" x14ac:dyDescent="0.25">
      <c r="A91" s="64" t="s">
        <v>3330</v>
      </c>
      <c r="B91" s="19" t="s">
        <v>3787</v>
      </c>
      <c r="C91" s="3" t="s">
        <v>4</v>
      </c>
      <c r="D91" s="3" t="s">
        <v>4</v>
      </c>
      <c r="E91" s="3" t="s">
        <v>4</v>
      </c>
      <c r="F91" s="3" t="s">
        <v>4</v>
      </c>
      <c r="G91" s="3"/>
      <c r="H91" s="3"/>
    </row>
    <row r="92" spans="1:8" x14ac:dyDescent="0.25">
      <c r="A92" s="64" t="s">
        <v>3437</v>
      </c>
      <c r="B92" s="19" t="s">
        <v>3787</v>
      </c>
      <c r="C92" s="3" t="s">
        <v>4</v>
      </c>
      <c r="D92" s="3" t="s">
        <v>4</v>
      </c>
      <c r="E92" s="3" t="s">
        <v>4</v>
      </c>
      <c r="F92" s="3" t="s">
        <v>4</v>
      </c>
      <c r="G92" s="3"/>
      <c r="H92" s="3"/>
    </row>
    <row r="93" spans="1:8" x14ac:dyDescent="0.25">
      <c r="A93" s="64" t="s">
        <v>3464</v>
      </c>
      <c r="B93" s="19" t="s">
        <v>3787</v>
      </c>
      <c r="C93" s="3" t="s">
        <v>4</v>
      </c>
      <c r="D93" s="3" t="s">
        <v>4</v>
      </c>
      <c r="E93" s="3" t="s">
        <v>4</v>
      </c>
      <c r="F93" s="3" t="s">
        <v>4</v>
      </c>
      <c r="G93" s="3"/>
      <c r="H93" s="3"/>
    </row>
    <row r="94" spans="1:8" x14ac:dyDescent="0.25">
      <c r="A94" s="64" t="s">
        <v>3557</v>
      </c>
      <c r="B94" s="19" t="s">
        <v>3787</v>
      </c>
      <c r="C94" s="3" t="s">
        <v>4</v>
      </c>
      <c r="D94" s="3" t="s">
        <v>4</v>
      </c>
      <c r="E94" s="3" t="s">
        <v>4</v>
      </c>
      <c r="F94" s="3" t="s">
        <v>4</v>
      </c>
      <c r="G94" s="3"/>
      <c r="H94" s="3"/>
    </row>
    <row r="95" spans="1:8" x14ac:dyDescent="0.25">
      <c r="A95" s="64" t="s">
        <v>3562</v>
      </c>
      <c r="B95" s="19" t="s">
        <v>3787</v>
      </c>
      <c r="C95" s="3" t="s">
        <v>4</v>
      </c>
      <c r="D95" s="3" t="s">
        <v>4</v>
      </c>
      <c r="E95" s="3" t="s">
        <v>4</v>
      </c>
      <c r="F95" s="3" t="s">
        <v>4</v>
      </c>
      <c r="G95" s="3"/>
      <c r="H95" s="3"/>
    </row>
    <row r="96" spans="1:8" x14ac:dyDescent="0.25">
      <c r="A96" s="64" t="s">
        <v>3613</v>
      </c>
      <c r="B96" s="19" t="s">
        <v>3787</v>
      </c>
      <c r="C96" s="3" t="s">
        <v>4</v>
      </c>
      <c r="D96" s="3" t="s">
        <v>4</v>
      </c>
      <c r="E96" s="3" t="s">
        <v>4</v>
      </c>
      <c r="F96" s="3" t="s">
        <v>4</v>
      </c>
      <c r="G96" s="3"/>
      <c r="H96" s="3"/>
    </row>
    <row r="97" spans="1:8" x14ac:dyDescent="0.25">
      <c r="A97" s="64" t="s">
        <v>3647</v>
      </c>
      <c r="B97" s="19" t="s">
        <v>3787</v>
      </c>
      <c r="C97" s="3" t="s">
        <v>4</v>
      </c>
      <c r="D97" s="3" t="s">
        <v>4</v>
      </c>
      <c r="E97" s="3" t="s">
        <v>4</v>
      </c>
      <c r="F97" s="3" t="s">
        <v>4</v>
      </c>
      <c r="G97" s="3"/>
      <c r="H97" s="3"/>
    </row>
    <row r="98" spans="1:8" x14ac:dyDescent="0.25">
      <c r="A98" s="64" t="s">
        <v>3690</v>
      </c>
      <c r="B98" s="19" t="s">
        <v>3787</v>
      </c>
      <c r="C98" s="3" t="s">
        <v>4</v>
      </c>
      <c r="D98" s="3" t="s">
        <v>4</v>
      </c>
      <c r="E98" s="3" t="s">
        <v>4</v>
      </c>
      <c r="F98" s="3" t="s">
        <v>4</v>
      </c>
      <c r="G98" s="3"/>
      <c r="H98" s="3"/>
    </row>
    <row r="99" spans="1:8" x14ac:dyDescent="0.25">
      <c r="A99" s="19"/>
      <c r="B99" s="19"/>
      <c r="C99" s="3"/>
      <c r="D99" s="3"/>
      <c r="E99" s="3"/>
      <c r="F99" s="3"/>
      <c r="G99" s="3"/>
      <c r="H99" s="3"/>
    </row>
    <row r="100" spans="1:8" x14ac:dyDescent="0.25">
      <c r="A100" s="19"/>
      <c r="B100" s="19"/>
      <c r="C100" s="3"/>
      <c r="D100" s="3"/>
      <c r="E100" s="3"/>
      <c r="F100" s="3"/>
      <c r="G100" s="3"/>
      <c r="H100" s="3"/>
    </row>
    <row r="101" spans="1:8" x14ac:dyDescent="0.25">
      <c r="A101" s="19"/>
      <c r="B101" s="19"/>
      <c r="C101" s="3"/>
      <c r="D101" s="3"/>
      <c r="E101" s="3"/>
      <c r="F101" s="3"/>
      <c r="G101" s="3"/>
      <c r="H101" s="3"/>
    </row>
    <row r="102" spans="1:8" x14ac:dyDescent="0.25">
      <c r="A102" s="19"/>
      <c r="B102" s="19"/>
      <c r="C102" s="3"/>
      <c r="D102" s="3"/>
      <c r="E102" s="3"/>
      <c r="F102" s="3"/>
      <c r="G102" s="3"/>
      <c r="H102" s="3"/>
    </row>
    <row r="103" spans="1:8" x14ac:dyDescent="0.25">
      <c r="A103" s="19"/>
      <c r="B103" s="19"/>
      <c r="C103" s="3"/>
      <c r="D103" s="3"/>
      <c r="E103" s="3"/>
      <c r="F103" s="3"/>
      <c r="G103" s="3"/>
      <c r="H103" s="3"/>
    </row>
    <row r="104" spans="1:8" x14ac:dyDescent="0.25">
      <c r="A104" s="19"/>
      <c r="B104" s="19"/>
      <c r="C104" s="3"/>
      <c r="D104" s="3"/>
      <c r="E104" s="3"/>
      <c r="F104" s="3"/>
      <c r="G104" s="3"/>
      <c r="H104" s="3"/>
    </row>
    <row r="105" spans="1:8" x14ac:dyDescent="0.25">
      <c r="A105" s="19"/>
      <c r="B105" s="19"/>
      <c r="C105" s="3"/>
      <c r="D105" s="3"/>
      <c r="E105" s="3"/>
      <c r="F105" s="3"/>
      <c r="G105" s="3"/>
      <c r="H105" s="3"/>
    </row>
    <row r="106" spans="1:8" x14ac:dyDescent="0.25">
      <c r="A106" s="19"/>
      <c r="B106" s="19"/>
      <c r="C106" s="3"/>
      <c r="D106" s="3"/>
      <c r="E106" s="3"/>
      <c r="F106" s="3"/>
      <c r="G106" s="3"/>
      <c r="H106" s="3"/>
    </row>
    <row r="107" spans="1:8" x14ac:dyDescent="0.25">
      <c r="A107" s="19"/>
      <c r="B107" s="19"/>
      <c r="C107" s="3"/>
      <c r="D107" s="3"/>
      <c r="E107" s="3"/>
      <c r="F107" s="3"/>
      <c r="G107" s="3"/>
      <c r="H107" s="3"/>
    </row>
    <row r="108" spans="1:8" x14ac:dyDescent="0.25">
      <c r="A108" s="19"/>
      <c r="B108" s="19"/>
      <c r="C108" s="3"/>
      <c r="D108" s="3"/>
      <c r="E108" s="3"/>
      <c r="F108" s="3"/>
      <c r="G108" s="3"/>
      <c r="H108" s="3"/>
    </row>
    <row r="109" spans="1:8" x14ac:dyDescent="0.25">
      <c r="A109" s="19"/>
      <c r="B109" s="19"/>
      <c r="C109" s="3"/>
      <c r="D109" s="3"/>
      <c r="E109" s="3"/>
      <c r="F109" s="3"/>
      <c r="G109" s="3"/>
      <c r="H109" s="3"/>
    </row>
    <row r="110" spans="1:8" x14ac:dyDescent="0.25">
      <c r="A110" s="19"/>
      <c r="B110" s="19"/>
      <c r="C110" s="3"/>
      <c r="D110" s="3"/>
      <c r="E110" s="3"/>
      <c r="F110" s="3"/>
      <c r="G110" s="3"/>
      <c r="H110" s="3"/>
    </row>
    <row r="111" spans="1:8" x14ac:dyDescent="0.25">
      <c r="A111" s="19"/>
      <c r="B111" s="19"/>
      <c r="C111" s="3"/>
      <c r="D111" s="3"/>
      <c r="E111" s="3"/>
      <c r="F111" s="3"/>
      <c r="G111" s="3"/>
      <c r="H111" s="3"/>
    </row>
    <row r="112" spans="1:8" x14ac:dyDescent="0.25">
      <c r="A112" s="19"/>
      <c r="B112" s="19"/>
      <c r="C112" s="3"/>
      <c r="D112" s="3"/>
      <c r="E112" s="3"/>
      <c r="F112" s="3"/>
      <c r="G112" s="3"/>
      <c r="H112" s="3"/>
    </row>
    <row r="113" spans="1:8" x14ac:dyDescent="0.25">
      <c r="A113" s="19"/>
      <c r="B113" s="19"/>
      <c r="C113" s="3"/>
      <c r="D113" s="3"/>
      <c r="E113" s="3"/>
      <c r="F113" s="3"/>
      <c r="G113" s="3"/>
      <c r="H113" s="3"/>
    </row>
    <row r="114" spans="1:8" x14ac:dyDescent="0.25">
      <c r="A114" s="19"/>
      <c r="B114" s="19"/>
      <c r="C114" s="3"/>
      <c r="D114" s="3"/>
      <c r="E114" s="3"/>
      <c r="F114" s="3"/>
      <c r="G114" s="3"/>
      <c r="H114" s="3"/>
    </row>
    <row r="115" spans="1:8" x14ac:dyDescent="0.25">
      <c r="A115" s="19"/>
      <c r="B115" s="19"/>
      <c r="C115" s="3"/>
      <c r="D115" s="3"/>
      <c r="E115" s="3"/>
      <c r="F115" s="3"/>
      <c r="G115" s="3"/>
      <c r="H115" s="3"/>
    </row>
    <row r="116" spans="1:8" x14ac:dyDescent="0.25">
      <c r="A116" s="19"/>
      <c r="B116" s="19"/>
      <c r="C116" s="3"/>
      <c r="D116" s="3"/>
      <c r="E116" s="3"/>
      <c r="F116" s="3"/>
      <c r="G116" s="3"/>
      <c r="H116" s="3"/>
    </row>
    <row r="117" spans="1:8" x14ac:dyDescent="0.25">
      <c r="A117" s="19"/>
      <c r="B117" s="19"/>
      <c r="C117" s="3"/>
      <c r="D117" s="3"/>
      <c r="E117" s="3"/>
      <c r="F117" s="3"/>
      <c r="G117" s="3"/>
      <c r="H117" s="3"/>
    </row>
    <row r="118" spans="1:8" x14ac:dyDescent="0.25">
      <c r="A118" s="19"/>
      <c r="B118" s="19"/>
      <c r="C118" s="3"/>
      <c r="D118" s="3"/>
      <c r="E118" s="3"/>
      <c r="F118" s="3"/>
      <c r="G118" s="3"/>
      <c r="H118" s="3"/>
    </row>
    <row r="119" spans="1:8" x14ac:dyDescent="0.25">
      <c r="A119" s="19"/>
      <c r="B119" s="19"/>
      <c r="C119" s="3"/>
      <c r="D119" s="3"/>
      <c r="E119" s="3"/>
      <c r="F119" s="3"/>
      <c r="G119" s="3"/>
      <c r="H119" s="3"/>
    </row>
    <row r="120" spans="1:8" x14ac:dyDescent="0.25">
      <c r="A120" s="19"/>
      <c r="B120" s="19"/>
      <c r="C120" s="3"/>
      <c r="D120" s="3"/>
      <c r="E120" s="3"/>
      <c r="F120" s="3"/>
      <c r="G120" s="3"/>
      <c r="H120" s="3"/>
    </row>
    <row r="121" spans="1:8" x14ac:dyDescent="0.25">
      <c r="A121" s="19"/>
      <c r="B121" s="19"/>
      <c r="C121" s="3"/>
      <c r="D121" s="3"/>
      <c r="E121" s="3"/>
      <c r="F121" s="3"/>
      <c r="G121" s="3"/>
      <c r="H121" s="3"/>
    </row>
    <row r="122" spans="1:8" x14ac:dyDescent="0.25">
      <c r="A122" s="19"/>
      <c r="B122" s="19"/>
      <c r="C122" s="3"/>
      <c r="D122" s="3"/>
      <c r="E122" s="3"/>
      <c r="F122" s="3"/>
      <c r="G122" s="3"/>
      <c r="H122" s="3"/>
    </row>
    <row r="123" spans="1:8" x14ac:dyDescent="0.25">
      <c r="A123" s="19"/>
      <c r="B123" s="19"/>
      <c r="C123" s="3"/>
      <c r="D123" s="3"/>
      <c r="E123" s="3"/>
      <c r="F123" s="3"/>
      <c r="G123" s="3"/>
      <c r="H123" s="3"/>
    </row>
    <row r="124" spans="1:8" x14ac:dyDescent="0.25">
      <c r="A124" s="19"/>
      <c r="B124" s="19"/>
      <c r="C124" s="3"/>
      <c r="D124" s="3"/>
      <c r="E124" s="3"/>
      <c r="F124" s="3"/>
      <c r="G124" s="3"/>
      <c r="H124" s="3"/>
    </row>
    <row r="125" spans="1:8" x14ac:dyDescent="0.25">
      <c r="A125" s="19"/>
      <c r="B125" s="19"/>
      <c r="C125" s="3"/>
      <c r="D125" s="3"/>
      <c r="E125" s="3"/>
      <c r="F125" s="3"/>
      <c r="G125" s="3"/>
      <c r="H125" s="3"/>
    </row>
    <row r="126" spans="1:8" x14ac:dyDescent="0.25">
      <c r="A126" s="19"/>
      <c r="B126" s="19"/>
      <c r="C126" s="3"/>
      <c r="D126" s="3"/>
      <c r="E126" s="3"/>
      <c r="F126" s="3"/>
      <c r="G126" s="3"/>
      <c r="H126" s="3"/>
    </row>
    <row r="127" spans="1:8" x14ac:dyDescent="0.25">
      <c r="A127" s="19"/>
      <c r="B127" s="19"/>
      <c r="C127" s="3"/>
      <c r="D127" s="3"/>
      <c r="E127" s="3"/>
      <c r="F127" s="3"/>
      <c r="G127" s="3"/>
      <c r="H127" s="3"/>
    </row>
    <row r="128" spans="1:8" x14ac:dyDescent="0.25">
      <c r="A128" s="19"/>
      <c r="B128" s="19"/>
      <c r="C128" s="3"/>
      <c r="D128" s="3"/>
      <c r="E128" s="3"/>
      <c r="F128" s="3"/>
      <c r="G128" s="3"/>
      <c r="H128" s="3"/>
    </row>
    <row r="129" spans="1:8" x14ac:dyDescent="0.25">
      <c r="A129" s="19"/>
      <c r="B129" s="19"/>
      <c r="C129" s="3"/>
      <c r="D129" s="3"/>
      <c r="E129" s="3"/>
      <c r="F129" s="3"/>
      <c r="G129" s="3"/>
      <c r="H129" s="3"/>
    </row>
    <row r="130" spans="1:8" x14ac:dyDescent="0.25">
      <c r="A130" s="19"/>
      <c r="B130" s="19"/>
      <c r="C130" s="3"/>
      <c r="D130" s="3"/>
      <c r="E130" s="3"/>
      <c r="F130" s="3"/>
      <c r="G130" s="3"/>
      <c r="H130" s="3"/>
    </row>
    <row r="131" spans="1:8" x14ac:dyDescent="0.25">
      <c r="A131" s="19"/>
      <c r="B131" s="19"/>
      <c r="C131" s="3"/>
      <c r="D131" s="3"/>
      <c r="E131" s="3"/>
      <c r="F131" s="3"/>
      <c r="G131" s="3"/>
      <c r="H131" s="3"/>
    </row>
    <row r="132" spans="1:8" x14ac:dyDescent="0.25">
      <c r="A132" s="19"/>
      <c r="B132" s="19"/>
      <c r="C132" s="3"/>
      <c r="D132" s="3"/>
      <c r="E132" s="3"/>
      <c r="F132" s="3"/>
      <c r="G132" s="3"/>
      <c r="H132" s="3"/>
    </row>
    <row r="133" spans="1:8" x14ac:dyDescent="0.25">
      <c r="A133" s="19"/>
      <c r="B133" s="19"/>
      <c r="C133" s="3"/>
      <c r="D133" s="3"/>
      <c r="E133" s="3"/>
      <c r="F133" s="3"/>
      <c r="G133" s="3"/>
      <c r="H133" s="3"/>
    </row>
    <row r="134" spans="1:8" x14ac:dyDescent="0.25">
      <c r="A134" s="19"/>
      <c r="B134" s="19"/>
      <c r="C134" s="3"/>
      <c r="D134" s="3"/>
      <c r="E134" s="3"/>
      <c r="F134" s="3"/>
      <c r="G134" s="3"/>
      <c r="H134" s="3"/>
    </row>
    <row r="135" spans="1:8" x14ac:dyDescent="0.25">
      <c r="A135" s="19"/>
      <c r="B135" s="19"/>
      <c r="C135" s="3"/>
      <c r="D135" s="3"/>
      <c r="E135" s="3"/>
      <c r="F135" s="3"/>
      <c r="G135" s="3"/>
      <c r="H135" s="3"/>
    </row>
    <row r="136" spans="1:8" x14ac:dyDescent="0.25">
      <c r="A136" s="19"/>
      <c r="B136" s="19"/>
      <c r="C136" s="3"/>
      <c r="D136" s="3"/>
      <c r="E136" s="3"/>
      <c r="F136" s="3"/>
      <c r="G136" s="3"/>
      <c r="H136" s="3"/>
    </row>
    <row r="137" spans="1:8" x14ac:dyDescent="0.25">
      <c r="A137" s="19"/>
      <c r="B137" s="19"/>
      <c r="C137" s="3"/>
      <c r="D137" s="3"/>
      <c r="E137" s="3"/>
      <c r="F137" s="3"/>
      <c r="G137" s="3"/>
      <c r="H137" s="3"/>
    </row>
    <row r="138" spans="1:8" x14ac:dyDescent="0.25">
      <c r="A138" s="19"/>
      <c r="B138" s="19"/>
      <c r="C138" s="3"/>
      <c r="D138" s="3"/>
      <c r="E138" s="3"/>
      <c r="F138" s="3"/>
      <c r="G138" s="3"/>
      <c r="H138" s="3"/>
    </row>
    <row r="139" spans="1:8" x14ac:dyDescent="0.25">
      <c r="A139" s="19"/>
      <c r="B139" s="19"/>
      <c r="C139" s="3"/>
      <c r="D139" s="3"/>
      <c r="E139" s="3"/>
      <c r="F139" s="3"/>
      <c r="G139" s="3"/>
      <c r="H139" s="3"/>
    </row>
    <row r="140" spans="1:8" x14ac:dyDescent="0.25">
      <c r="A140" s="19"/>
      <c r="B140" s="19"/>
      <c r="C140" s="3"/>
      <c r="D140" s="3"/>
      <c r="E140" s="3"/>
      <c r="F140" s="3"/>
      <c r="G140" s="3"/>
      <c r="H140" s="3"/>
    </row>
    <row r="141" spans="1:8" x14ac:dyDescent="0.25">
      <c r="A141" s="19"/>
      <c r="B141" s="19"/>
      <c r="C141" s="3"/>
      <c r="D141" s="3"/>
      <c r="E141" s="3"/>
      <c r="F141" s="3"/>
      <c r="G141" s="3"/>
      <c r="H141" s="3"/>
    </row>
    <row r="142" spans="1:8" x14ac:dyDescent="0.25">
      <c r="A142" s="19"/>
      <c r="B142" s="19"/>
      <c r="C142" s="3"/>
      <c r="D142" s="3"/>
      <c r="E142" s="3"/>
      <c r="F142" s="3"/>
      <c r="G142" s="3"/>
      <c r="H142" s="3"/>
    </row>
    <row r="143" spans="1:8" x14ac:dyDescent="0.25">
      <c r="A143" s="19"/>
      <c r="B143" s="19"/>
      <c r="C143" s="3"/>
      <c r="D143" s="3"/>
      <c r="E143" s="3"/>
      <c r="F143" s="3"/>
      <c r="G143" s="3"/>
      <c r="H143" s="3"/>
    </row>
    <row r="144" spans="1:8" x14ac:dyDescent="0.25">
      <c r="A144" s="19"/>
      <c r="B144" s="19"/>
      <c r="C144" s="3"/>
      <c r="D144" s="3"/>
      <c r="E144" s="3"/>
      <c r="F144" s="3"/>
      <c r="G144" s="3"/>
      <c r="H144" s="3"/>
    </row>
    <row r="145" spans="1:8" x14ac:dyDescent="0.25">
      <c r="A145" s="19"/>
      <c r="B145" s="19"/>
      <c r="C145" s="3"/>
      <c r="D145" s="3"/>
      <c r="E145" s="3"/>
      <c r="F145" s="3"/>
      <c r="G145" s="3"/>
      <c r="H145" s="3"/>
    </row>
    <row r="146" spans="1:8" x14ac:dyDescent="0.25">
      <c r="A146" s="19"/>
      <c r="B146" s="19"/>
      <c r="C146" s="3"/>
      <c r="D146" s="3"/>
      <c r="E146" s="3"/>
      <c r="F146" s="3"/>
      <c r="G146" s="3"/>
      <c r="H146" s="3"/>
    </row>
    <row r="147" spans="1:8" x14ac:dyDescent="0.25">
      <c r="A147" s="19"/>
      <c r="B147" s="19"/>
      <c r="C147" s="3"/>
      <c r="D147" s="3"/>
      <c r="E147" s="3"/>
      <c r="F147" s="3"/>
      <c r="G147" s="3"/>
      <c r="H147" s="3"/>
    </row>
    <row r="148" spans="1:8" x14ac:dyDescent="0.25">
      <c r="A148" s="19"/>
      <c r="B148" s="19"/>
      <c r="C148" s="3"/>
      <c r="D148" s="3"/>
      <c r="E148" s="3"/>
      <c r="F148" s="3"/>
      <c r="G148" s="3"/>
      <c r="H148" s="3"/>
    </row>
    <row r="149" spans="1:8" x14ac:dyDescent="0.25">
      <c r="A149" s="19"/>
      <c r="B149" s="19"/>
      <c r="C149" s="3"/>
      <c r="D149" s="3"/>
      <c r="E149" s="3"/>
      <c r="F149" s="3"/>
      <c r="G149" s="3"/>
      <c r="H149" s="3"/>
    </row>
    <row r="150" spans="1:8" x14ac:dyDescent="0.25">
      <c r="A150" s="19"/>
      <c r="B150" s="19"/>
      <c r="C150" s="3"/>
      <c r="D150" s="3"/>
      <c r="E150" s="3"/>
      <c r="F150" s="3"/>
      <c r="G150" s="3"/>
      <c r="H150" s="3"/>
    </row>
    <row r="151" spans="1:8" x14ac:dyDescent="0.25">
      <c r="A151" s="19"/>
      <c r="B151" s="19"/>
      <c r="C151" s="3"/>
      <c r="D151" s="3"/>
      <c r="E151" s="3"/>
      <c r="F151" s="3"/>
      <c r="G151" s="3"/>
      <c r="H151" s="3"/>
    </row>
    <row r="152" spans="1:8" x14ac:dyDescent="0.25">
      <c r="A152" s="19"/>
      <c r="B152" s="19"/>
      <c r="C152" s="3"/>
      <c r="D152" s="3"/>
      <c r="E152" s="3"/>
      <c r="F152" s="3"/>
      <c r="G152" s="3"/>
      <c r="H152" s="3"/>
    </row>
    <row r="153" spans="1:8" x14ac:dyDescent="0.25">
      <c r="A153" s="19"/>
      <c r="B153" s="19"/>
      <c r="C153" s="3"/>
      <c r="D153" s="3"/>
      <c r="E153" s="3"/>
      <c r="F153" s="3"/>
      <c r="G153" s="3"/>
      <c r="H153" s="3"/>
    </row>
    <row r="154" spans="1:8" x14ac:dyDescent="0.25">
      <c r="A154" s="19"/>
      <c r="B154" s="19"/>
      <c r="C154" s="3"/>
      <c r="D154" s="3"/>
      <c r="E154" s="3"/>
      <c r="F154" s="3"/>
      <c r="G154" s="3"/>
      <c r="H154" s="3"/>
    </row>
    <row r="155" spans="1:8" x14ac:dyDescent="0.25">
      <c r="A155" s="19"/>
      <c r="B155" s="19"/>
      <c r="C155" s="3"/>
      <c r="D155" s="3"/>
      <c r="E155" s="3"/>
      <c r="F155" s="3"/>
      <c r="G155" s="3"/>
      <c r="H155" s="3"/>
    </row>
    <row r="156" spans="1:8" x14ac:dyDescent="0.25">
      <c r="A156" s="19"/>
      <c r="B156" s="19"/>
      <c r="C156" s="3"/>
      <c r="D156" s="3"/>
      <c r="E156" s="3"/>
      <c r="F156" s="3"/>
      <c r="G156" s="3"/>
      <c r="H156" s="3"/>
    </row>
    <row r="157" spans="1:8" x14ac:dyDescent="0.25">
      <c r="A157" s="19"/>
      <c r="B157" s="19"/>
      <c r="C157" s="3"/>
      <c r="D157" s="3"/>
      <c r="E157" s="3"/>
      <c r="F157" s="3"/>
      <c r="G157" s="3"/>
      <c r="H157" s="3"/>
    </row>
    <row r="158" spans="1:8" x14ac:dyDescent="0.25">
      <c r="A158" s="19"/>
      <c r="B158" s="19"/>
      <c r="C158" s="3"/>
      <c r="D158" s="3"/>
      <c r="E158" s="3"/>
      <c r="F158" s="3"/>
      <c r="G158" s="3"/>
      <c r="H158" s="3"/>
    </row>
    <row r="159" spans="1:8" x14ac:dyDescent="0.25">
      <c r="A159" s="19"/>
      <c r="B159" s="19"/>
      <c r="C159" s="3"/>
      <c r="D159" s="3"/>
      <c r="E159" s="3"/>
      <c r="F159" s="3"/>
      <c r="G159" s="3"/>
      <c r="H159" s="3"/>
    </row>
    <row r="160" spans="1:8" x14ac:dyDescent="0.25">
      <c r="A160" s="19"/>
      <c r="B160" s="19"/>
      <c r="C160" s="3"/>
      <c r="D160" s="3"/>
      <c r="E160" s="3"/>
      <c r="F160" s="3"/>
      <c r="G160" s="3"/>
      <c r="H160" s="3"/>
    </row>
    <row r="161" spans="1:8" x14ac:dyDescent="0.25">
      <c r="A161" s="19"/>
      <c r="B161" s="19"/>
      <c r="C161" s="3"/>
      <c r="D161" s="3"/>
      <c r="E161" s="3"/>
      <c r="F161" s="3"/>
      <c r="G161" s="3"/>
      <c r="H161" s="3"/>
    </row>
    <row r="162" spans="1:8" x14ac:dyDescent="0.25">
      <c r="A162" s="19"/>
      <c r="B162" s="19"/>
      <c r="C162" s="3"/>
      <c r="D162" s="3"/>
      <c r="E162" s="3"/>
      <c r="F162" s="3"/>
      <c r="G162" s="3"/>
      <c r="H162" s="3"/>
    </row>
    <row r="163" spans="1:8" x14ac:dyDescent="0.25">
      <c r="A163" s="19"/>
      <c r="B163" s="19"/>
      <c r="C163" s="3"/>
      <c r="D163" s="3"/>
      <c r="E163" s="3"/>
      <c r="F163" s="3"/>
      <c r="G163" s="3"/>
      <c r="H163" s="3"/>
    </row>
    <row r="164" spans="1:8" x14ac:dyDescent="0.25">
      <c r="A164" s="19"/>
      <c r="B164" s="19"/>
      <c r="C164" s="3"/>
      <c r="D164" s="3"/>
      <c r="E164" s="3"/>
      <c r="F164" s="3"/>
      <c r="G164" s="3"/>
      <c r="H164" s="3"/>
    </row>
    <row r="165" spans="1:8" x14ac:dyDescent="0.25">
      <c r="A165" s="19"/>
      <c r="B165" s="19"/>
      <c r="C165" s="3"/>
      <c r="D165" s="3"/>
      <c r="E165" s="3"/>
      <c r="F165" s="3"/>
      <c r="G165" s="3"/>
      <c r="H165" s="3"/>
    </row>
    <row r="166" spans="1:8" x14ac:dyDescent="0.25">
      <c r="A166" s="19"/>
      <c r="B166" s="19"/>
      <c r="C166" s="3"/>
      <c r="D166" s="3"/>
      <c r="E166" s="3"/>
      <c r="F166" s="3"/>
      <c r="G166" s="3"/>
      <c r="H166" s="3"/>
    </row>
    <row r="167" spans="1:8" x14ac:dyDescent="0.25">
      <c r="A167" s="19"/>
      <c r="B167" s="19"/>
      <c r="C167" s="3"/>
      <c r="D167" s="3"/>
      <c r="E167" s="3"/>
      <c r="F167" s="3"/>
      <c r="G167" s="3"/>
      <c r="H167" s="3"/>
    </row>
    <row r="168" spans="1:8" x14ac:dyDescent="0.25">
      <c r="A168" s="19"/>
      <c r="B168" s="19"/>
      <c r="C168" s="3"/>
      <c r="D168" s="3"/>
      <c r="E168" s="3"/>
      <c r="F168" s="3"/>
      <c r="G168" s="3"/>
      <c r="H168" s="3"/>
    </row>
    <row r="169" spans="1:8" x14ac:dyDescent="0.25">
      <c r="A169" s="19"/>
      <c r="B169" s="19"/>
      <c r="C169" s="3"/>
      <c r="D169" s="3"/>
      <c r="E169" s="3"/>
      <c r="F169" s="3"/>
      <c r="G169" s="3"/>
      <c r="H169" s="3"/>
    </row>
    <row r="170" spans="1:8" x14ac:dyDescent="0.25">
      <c r="A170" s="19"/>
      <c r="B170" s="19"/>
      <c r="C170" s="3"/>
      <c r="D170" s="3"/>
      <c r="E170" s="3"/>
      <c r="F170" s="3"/>
      <c r="G170" s="3"/>
      <c r="H170" s="3"/>
    </row>
    <row r="171" spans="1:8" x14ac:dyDescent="0.25">
      <c r="A171" s="19"/>
      <c r="B171" s="19"/>
      <c r="C171" s="3"/>
      <c r="D171" s="3"/>
      <c r="E171" s="3"/>
      <c r="F171" s="3"/>
      <c r="G171" s="3"/>
      <c r="H171" s="3"/>
    </row>
    <row r="172" spans="1:8" x14ac:dyDescent="0.25">
      <c r="A172" s="19"/>
      <c r="B172" s="19"/>
      <c r="C172" s="3"/>
      <c r="D172" s="3"/>
      <c r="E172" s="3"/>
      <c r="F172" s="3"/>
      <c r="G172" s="3"/>
      <c r="H172" s="3"/>
    </row>
    <row r="173" spans="1:8" x14ac:dyDescent="0.25">
      <c r="A173" s="19"/>
      <c r="B173" s="19"/>
      <c r="C173" s="3"/>
      <c r="D173" s="3"/>
      <c r="E173" s="3"/>
      <c r="F173" s="3"/>
      <c r="G173" s="3"/>
      <c r="H173" s="3"/>
    </row>
    <row r="174" spans="1:8" x14ac:dyDescent="0.25">
      <c r="A174" s="19"/>
      <c r="B174" s="19"/>
      <c r="C174" s="3"/>
      <c r="D174" s="3"/>
      <c r="E174" s="3"/>
      <c r="F174" s="3"/>
      <c r="G174" s="3"/>
      <c r="H174" s="3"/>
    </row>
    <row r="175" spans="1:8" x14ac:dyDescent="0.25">
      <c r="A175" s="19"/>
      <c r="B175" s="19"/>
      <c r="C175" s="3"/>
      <c r="D175" s="3"/>
      <c r="E175" s="3"/>
      <c r="F175" s="3"/>
      <c r="G175" s="3"/>
      <c r="H175" s="3"/>
    </row>
    <row r="176" spans="1:8" x14ac:dyDescent="0.25">
      <c r="A176" s="19"/>
      <c r="B176" s="19"/>
      <c r="C176" s="3"/>
      <c r="D176" s="3"/>
      <c r="E176" s="3"/>
      <c r="F176" s="3"/>
      <c r="G176" s="3"/>
      <c r="H176" s="3"/>
    </row>
    <row r="177" spans="1:8" x14ac:dyDescent="0.25">
      <c r="A177" s="19"/>
      <c r="B177" s="19"/>
      <c r="C177" s="3"/>
      <c r="D177" s="3"/>
      <c r="E177" s="3"/>
      <c r="F177" s="3"/>
      <c r="G177" s="3"/>
      <c r="H177" s="3"/>
    </row>
    <row r="178" spans="1:8" x14ac:dyDescent="0.25">
      <c r="A178" s="19"/>
      <c r="B178" s="19"/>
      <c r="C178" s="3"/>
      <c r="D178" s="3"/>
      <c r="E178" s="3"/>
      <c r="F178" s="3"/>
      <c r="G178" s="3"/>
      <c r="H178" s="3"/>
    </row>
    <row r="179" spans="1:8" x14ac:dyDescent="0.25">
      <c r="A179" s="19"/>
      <c r="B179" s="19"/>
      <c r="C179" s="3"/>
      <c r="D179" s="3"/>
      <c r="E179" s="3"/>
      <c r="F179" s="3"/>
      <c r="G179" s="3"/>
      <c r="H179" s="3"/>
    </row>
    <row r="180" spans="1:8" x14ac:dyDescent="0.25">
      <c r="A180" s="19"/>
      <c r="B180" s="19"/>
      <c r="C180" s="3"/>
      <c r="D180" s="3"/>
      <c r="E180" s="3"/>
      <c r="F180" s="3"/>
      <c r="G180" s="3"/>
      <c r="H180" s="3"/>
    </row>
    <row r="181" spans="1:8" x14ac:dyDescent="0.25">
      <c r="A181" s="19"/>
      <c r="B181" s="19"/>
      <c r="C181" s="3"/>
      <c r="D181" s="3"/>
      <c r="E181" s="3"/>
      <c r="F181" s="3"/>
      <c r="G181" s="3"/>
      <c r="H181" s="3"/>
    </row>
    <row r="182" spans="1:8" x14ac:dyDescent="0.25">
      <c r="A182" s="19"/>
      <c r="B182" s="19"/>
      <c r="C182" s="3"/>
      <c r="D182" s="3"/>
      <c r="E182" s="3"/>
      <c r="F182" s="3"/>
      <c r="G182" s="3"/>
      <c r="H182" s="3"/>
    </row>
    <row r="183" spans="1:8" x14ac:dyDescent="0.25">
      <c r="A183" s="19"/>
      <c r="B183" s="19"/>
      <c r="C183" s="3"/>
      <c r="D183" s="3"/>
      <c r="E183" s="3"/>
      <c r="F183" s="3"/>
      <c r="G183" s="3"/>
      <c r="H183" s="3"/>
    </row>
    <row r="184" spans="1:8" x14ac:dyDescent="0.25">
      <c r="A184" s="19"/>
      <c r="B184" s="19"/>
      <c r="C184" s="3"/>
      <c r="D184" s="3"/>
      <c r="E184" s="3"/>
      <c r="F184" s="3"/>
      <c r="G184" s="3"/>
      <c r="H184" s="3"/>
    </row>
    <row r="185" spans="1:8" x14ac:dyDescent="0.25">
      <c r="A185" s="19"/>
      <c r="B185" s="19"/>
      <c r="C185" s="3"/>
      <c r="D185" s="3"/>
      <c r="E185" s="3"/>
      <c r="F185" s="3"/>
      <c r="G185" s="3"/>
      <c r="H185" s="3"/>
    </row>
    <row r="186" spans="1:8" x14ac:dyDescent="0.25">
      <c r="A186" s="19"/>
      <c r="B186" s="19"/>
      <c r="C186" s="3"/>
      <c r="D186" s="3"/>
      <c r="E186" s="3"/>
      <c r="F186" s="3"/>
      <c r="G186" s="3"/>
      <c r="H186" s="3"/>
    </row>
    <row r="187" spans="1:8" x14ac:dyDescent="0.25">
      <c r="A187" s="19"/>
      <c r="B187" s="19"/>
      <c r="C187" s="3"/>
      <c r="D187" s="3"/>
      <c r="E187" s="3"/>
      <c r="F187" s="3"/>
      <c r="G187" s="3"/>
      <c r="H187" s="3"/>
    </row>
    <row r="188" spans="1:8" x14ac:dyDescent="0.25">
      <c r="A188" s="19"/>
      <c r="B188" s="19"/>
      <c r="C188" s="3"/>
      <c r="D188" s="3"/>
      <c r="E188" s="3"/>
      <c r="F188" s="3"/>
      <c r="G188" s="3"/>
      <c r="H188" s="3"/>
    </row>
    <row r="189" spans="1:8" x14ac:dyDescent="0.25">
      <c r="A189" s="19"/>
      <c r="B189" s="19"/>
      <c r="C189" s="3"/>
      <c r="D189" s="3"/>
      <c r="E189" s="3"/>
      <c r="F189" s="3"/>
      <c r="G189" s="3"/>
      <c r="H189" s="3"/>
    </row>
    <row r="190" spans="1:8" x14ac:dyDescent="0.25">
      <c r="A190" s="19"/>
      <c r="B190" s="19"/>
      <c r="C190" s="3"/>
      <c r="D190" s="3"/>
      <c r="E190" s="3"/>
      <c r="F190" s="3"/>
      <c r="G190" s="3"/>
      <c r="H190" s="3"/>
    </row>
    <row r="191" spans="1:8" x14ac:dyDescent="0.25">
      <c r="A191" s="19"/>
      <c r="B191" s="19"/>
      <c r="C191" s="3"/>
      <c r="D191" s="3"/>
      <c r="E191" s="3"/>
      <c r="F191" s="3"/>
      <c r="G191" s="3"/>
      <c r="H191" s="3"/>
    </row>
    <row r="192" spans="1:8" x14ac:dyDescent="0.25">
      <c r="A192" s="19"/>
      <c r="B192" s="19"/>
      <c r="C192" s="3"/>
      <c r="D192" s="3"/>
      <c r="E192" s="3"/>
      <c r="F192" s="3"/>
      <c r="G192" s="3"/>
      <c r="H192" s="3"/>
    </row>
    <row r="193" spans="1:8" x14ac:dyDescent="0.25">
      <c r="A193" s="19"/>
      <c r="B193" s="19"/>
      <c r="C193" s="3"/>
      <c r="D193" s="3"/>
      <c r="E193" s="3"/>
      <c r="F193" s="3"/>
      <c r="G193" s="3"/>
      <c r="H193" s="3"/>
    </row>
    <row r="194" spans="1:8" x14ac:dyDescent="0.25">
      <c r="A194" s="19"/>
      <c r="B194" s="19"/>
      <c r="C194" s="3"/>
      <c r="D194" s="3"/>
      <c r="E194" s="3"/>
      <c r="F194" s="3"/>
      <c r="G194" s="3"/>
      <c r="H194" s="3"/>
    </row>
    <row r="195" spans="1:8" x14ac:dyDescent="0.25">
      <c r="A195" s="19"/>
      <c r="B195" s="19"/>
      <c r="C195" s="3"/>
      <c r="D195" s="3"/>
      <c r="E195" s="3"/>
      <c r="F195" s="3"/>
      <c r="G195" s="3"/>
      <c r="H195" s="3"/>
    </row>
    <row r="196" spans="1:8" x14ac:dyDescent="0.25">
      <c r="A196" s="19"/>
      <c r="B196" s="19"/>
      <c r="C196" s="3"/>
      <c r="D196" s="3"/>
      <c r="E196" s="3"/>
      <c r="F196" s="3"/>
      <c r="G196" s="3"/>
      <c r="H196" s="3"/>
    </row>
    <row r="197" spans="1:8" x14ac:dyDescent="0.25">
      <c r="A197" s="19"/>
      <c r="B197" s="19"/>
      <c r="C197" s="3"/>
      <c r="D197" s="3"/>
      <c r="E197" s="3"/>
      <c r="F197" s="3"/>
      <c r="G197" s="3"/>
      <c r="H197" s="3"/>
    </row>
    <row r="198" spans="1:8" x14ac:dyDescent="0.25">
      <c r="A198" s="19"/>
      <c r="B198" s="19"/>
      <c r="C198" s="3"/>
      <c r="D198" s="3"/>
      <c r="E198" s="3"/>
      <c r="F198" s="3"/>
      <c r="G198" s="3"/>
      <c r="H198" s="3"/>
    </row>
    <row r="199" spans="1:8" x14ac:dyDescent="0.25">
      <c r="A199" s="19"/>
      <c r="B199" s="19"/>
      <c r="C199" s="3"/>
      <c r="D199" s="3"/>
      <c r="E199" s="3"/>
      <c r="F199" s="3"/>
      <c r="G199" s="3"/>
      <c r="H199" s="3"/>
    </row>
    <row r="200" spans="1:8" x14ac:dyDescent="0.25">
      <c r="A200" s="19"/>
      <c r="B200" s="19"/>
      <c r="C200" s="3"/>
      <c r="D200" s="3"/>
      <c r="E200" s="3"/>
      <c r="F200" s="3"/>
      <c r="G200" s="3"/>
      <c r="H200" s="3"/>
    </row>
    <row r="201" spans="1:8" x14ac:dyDescent="0.25">
      <c r="A201" s="19"/>
      <c r="B201" s="19"/>
      <c r="C201" s="3"/>
      <c r="D201" s="3"/>
      <c r="E201" s="3"/>
      <c r="F201" s="3"/>
      <c r="G201" s="3"/>
      <c r="H201" s="3"/>
    </row>
    <row r="202" spans="1:8" x14ac:dyDescent="0.25">
      <c r="A202" s="19"/>
      <c r="B202" s="19"/>
      <c r="C202" s="3"/>
      <c r="D202" s="3"/>
      <c r="E202" s="3"/>
      <c r="F202" s="3"/>
      <c r="G202" s="3"/>
      <c r="H202" s="3"/>
    </row>
    <row r="203" spans="1:8" x14ac:dyDescent="0.25">
      <c r="A203" s="19"/>
      <c r="B203" s="19"/>
      <c r="C203" s="3"/>
      <c r="D203" s="3"/>
      <c r="E203" s="3"/>
      <c r="F203" s="3"/>
      <c r="G203" s="3"/>
      <c r="H203" s="3"/>
    </row>
    <row r="204" spans="1:8" x14ac:dyDescent="0.25">
      <c r="A204" s="19"/>
      <c r="B204" s="19"/>
      <c r="C204" s="3"/>
      <c r="D204" s="3"/>
      <c r="E204" s="3"/>
      <c r="F204" s="3"/>
      <c r="G204" s="3"/>
      <c r="H204" s="3"/>
    </row>
    <row r="205" spans="1:8" x14ac:dyDescent="0.25">
      <c r="A205" s="19"/>
      <c r="B205" s="19"/>
      <c r="C205" s="3"/>
      <c r="D205" s="3"/>
      <c r="E205" s="3"/>
      <c r="F205" s="3"/>
      <c r="G205" s="3"/>
      <c r="H205" s="3"/>
    </row>
    <row r="206" spans="1:8" x14ac:dyDescent="0.25">
      <c r="A206" s="19"/>
      <c r="B206" s="19"/>
      <c r="C206" s="3"/>
      <c r="D206" s="3"/>
      <c r="E206" s="3"/>
      <c r="F206" s="3"/>
      <c r="G206" s="3"/>
      <c r="H206" s="3"/>
    </row>
    <row r="207" spans="1:8" x14ac:dyDescent="0.25">
      <c r="A207" s="19"/>
      <c r="B207" s="19"/>
      <c r="C207" s="3"/>
      <c r="D207" s="3"/>
      <c r="E207" s="3"/>
      <c r="F207" s="3"/>
      <c r="G207" s="3"/>
      <c r="H207" s="3"/>
    </row>
    <row r="208" spans="1:8" x14ac:dyDescent="0.25">
      <c r="A208" s="19"/>
      <c r="B208" s="19"/>
      <c r="C208" s="3"/>
      <c r="D208" s="3"/>
      <c r="E208" s="3"/>
      <c r="F208" s="3"/>
      <c r="G208" s="3"/>
      <c r="H208" s="3"/>
    </row>
    <row r="209" spans="1:8" x14ac:dyDescent="0.25">
      <c r="A209" s="19"/>
      <c r="B209" s="19"/>
      <c r="C209" s="3"/>
      <c r="D209" s="3"/>
      <c r="E209" s="3"/>
      <c r="F209" s="3"/>
      <c r="G209" s="3"/>
      <c r="H209" s="3"/>
    </row>
    <row r="210" spans="1:8" x14ac:dyDescent="0.25">
      <c r="A210" s="19"/>
      <c r="B210" s="19"/>
      <c r="C210" s="3"/>
      <c r="D210" s="3"/>
      <c r="E210" s="3"/>
      <c r="F210" s="3"/>
      <c r="G210" s="3"/>
      <c r="H210" s="3"/>
    </row>
    <row r="211" spans="1:8" x14ac:dyDescent="0.25">
      <c r="A211" s="19"/>
      <c r="B211" s="19"/>
      <c r="C211" s="3"/>
      <c r="D211" s="3"/>
      <c r="E211" s="3"/>
      <c r="F211" s="3"/>
      <c r="G211" s="3"/>
      <c r="H211" s="3"/>
    </row>
    <row r="212" spans="1:8" x14ac:dyDescent="0.25">
      <c r="A212" s="19"/>
      <c r="B212" s="19"/>
      <c r="C212" s="3"/>
      <c r="D212" s="3"/>
      <c r="E212" s="3"/>
      <c r="F212" s="3"/>
      <c r="G212" s="3"/>
      <c r="H212" s="3"/>
    </row>
    <row r="213" spans="1:8" x14ac:dyDescent="0.25">
      <c r="A213" s="19"/>
      <c r="B213" s="19"/>
      <c r="C213" s="3"/>
      <c r="D213" s="3"/>
      <c r="E213" s="3"/>
      <c r="F213" s="3"/>
      <c r="G213" s="3"/>
      <c r="H213" s="3"/>
    </row>
    <row r="214" spans="1:8" x14ac:dyDescent="0.25">
      <c r="A214" s="19"/>
      <c r="B214" s="19"/>
      <c r="C214" s="3"/>
      <c r="D214" s="3"/>
      <c r="E214" s="3"/>
      <c r="F214" s="3"/>
      <c r="G214" s="3"/>
      <c r="H214" s="3"/>
    </row>
    <row r="215" spans="1:8" x14ac:dyDescent="0.25">
      <c r="A215" s="19"/>
      <c r="B215" s="19"/>
      <c r="C215" s="3"/>
      <c r="D215" s="3"/>
      <c r="E215" s="3"/>
      <c r="F215" s="3"/>
      <c r="G215" s="3"/>
      <c r="H215" s="3"/>
    </row>
    <row r="216" spans="1:8" x14ac:dyDescent="0.25">
      <c r="A216" s="19"/>
      <c r="B216" s="19"/>
      <c r="C216" s="3"/>
      <c r="D216" s="3"/>
      <c r="E216" s="3"/>
      <c r="F216" s="3"/>
      <c r="G216" s="3"/>
      <c r="H216" s="3"/>
    </row>
    <row r="217" spans="1:8" x14ac:dyDescent="0.25">
      <c r="A217" s="19"/>
      <c r="B217" s="19"/>
      <c r="C217" s="3"/>
      <c r="D217" s="3"/>
      <c r="E217" s="3"/>
      <c r="F217" s="3"/>
      <c r="G217" s="3"/>
      <c r="H217" s="3"/>
    </row>
    <row r="218" spans="1:8" x14ac:dyDescent="0.25">
      <c r="A218" s="19"/>
      <c r="B218" s="19"/>
      <c r="C218" s="3"/>
      <c r="D218" s="3"/>
      <c r="E218" s="3"/>
      <c r="F218" s="3"/>
      <c r="G218" s="3"/>
      <c r="H218" s="3"/>
    </row>
    <row r="219" spans="1:8" x14ac:dyDescent="0.25">
      <c r="A219" s="19"/>
      <c r="B219" s="19"/>
      <c r="C219" s="3"/>
      <c r="D219" s="3"/>
      <c r="E219" s="3"/>
      <c r="F219" s="3"/>
      <c r="G219" s="3"/>
      <c r="H219" s="3"/>
    </row>
    <row r="220" spans="1:8" x14ac:dyDescent="0.25">
      <c r="A220" s="19"/>
      <c r="B220" s="19"/>
      <c r="C220" s="3"/>
      <c r="D220" s="3"/>
      <c r="E220" s="3"/>
      <c r="F220" s="3"/>
      <c r="G220" s="3"/>
      <c r="H220" s="3"/>
    </row>
    <row r="221" spans="1:8" x14ac:dyDescent="0.25">
      <c r="A221" s="19"/>
      <c r="B221" s="19"/>
      <c r="C221" s="3"/>
      <c r="D221" s="3"/>
      <c r="E221" s="3"/>
      <c r="F221" s="3"/>
      <c r="G221" s="3"/>
      <c r="H221" s="3"/>
    </row>
    <row r="222" spans="1:8" x14ac:dyDescent="0.25">
      <c r="A222" s="19"/>
      <c r="B222" s="19"/>
      <c r="C222" s="3"/>
      <c r="D222" s="3"/>
      <c r="E222" s="3"/>
      <c r="F222" s="3"/>
      <c r="G222" s="3"/>
      <c r="H222" s="3"/>
    </row>
    <row r="223" spans="1:8" x14ac:dyDescent="0.25">
      <c r="A223" s="19"/>
      <c r="B223" s="19"/>
      <c r="C223" s="3"/>
      <c r="D223" s="3"/>
      <c r="E223" s="3"/>
      <c r="F223" s="3"/>
      <c r="G223" s="3"/>
      <c r="H223" s="3"/>
    </row>
    <row r="224" spans="1:8" x14ac:dyDescent="0.25">
      <c r="A224" s="19"/>
      <c r="B224" s="19"/>
      <c r="C224" s="3"/>
      <c r="D224" s="3"/>
      <c r="E224" s="3"/>
      <c r="F224" s="3"/>
      <c r="G224" s="3"/>
      <c r="H224" s="3"/>
    </row>
    <row r="225" spans="1:8" x14ac:dyDescent="0.25">
      <c r="A225" s="19"/>
      <c r="B225" s="19"/>
      <c r="C225" s="3"/>
      <c r="D225" s="3"/>
      <c r="E225" s="3"/>
      <c r="F225" s="3"/>
      <c r="G225" s="3"/>
      <c r="H225" s="3"/>
    </row>
    <row r="226" spans="1:8" x14ac:dyDescent="0.25">
      <c r="A226" s="19"/>
      <c r="B226" s="19"/>
      <c r="C226" s="3"/>
      <c r="D226" s="3"/>
      <c r="E226" s="3"/>
      <c r="F226" s="3"/>
      <c r="G226" s="3"/>
      <c r="H226" s="3"/>
    </row>
    <row r="227" spans="1:8" x14ac:dyDescent="0.25">
      <c r="A227" s="19"/>
      <c r="B227" s="19"/>
      <c r="C227" s="3"/>
      <c r="D227" s="3"/>
      <c r="E227" s="3"/>
      <c r="F227" s="3"/>
      <c r="G227" s="3"/>
      <c r="H227" s="3"/>
    </row>
    <row r="228" spans="1:8" x14ac:dyDescent="0.25">
      <c r="A228" s="19"/>
      <c r="B228" s="19"/>
      <c r="C228" s="3"/>
      <c r="D228" s="3"/>
      <c r="E228" s="3"/>
      <c r="F228" s="3"/>
      <c r="G228" s="3"/>
      <c r="H228" s="3"/>
    </row>
    <row r="229" spans="1:8" x14ac:dyDescent="0.25">
      <c r="A229" s="19"/>
      <c r="B229" s="19"/>
      <c r="C229" s="3"/>
      <c r="D229" s="3"/>
      <c r="E229" s="3"/>
      <c r="F229" s="3"/>
      <c r="G229" s="3"/>
      <c r="H229" s="3"/>
    </row>
    <row r="230" spans="1:8" x14ac:dyDescent="0.25">
      <c r="A230" s="19"/>
      <c r="B230" s="19"/>
      <c r="C230" s="3"/>
      <c r="D230" s="3"/>
      <c r="E230" s="3"/>
      <c r="F230" s="3"/>
      <c r="G230" s="3"/>
      <c r="H230" s="3"/>
    </row>
    <row r="231" spans="1:8" x14ac:dyDescent="0.25">
      <c r="A231" s="19"/>
      <c r="B231" s="19"/>
      <c r="C231" s="3"/>
      <c r="D231" s="3"/>
      <c r="E231" s="3"/>
      <c r="F231" s="3"/>
      <c r="G231" s="3"/>
      <c r="H231" s="3"/>
    </row>
    <row r="232" spans="1:8" x14ac:dyDescent="0.25">
      <c r="A232" s="19"/>
      <c r="B232" s="19"/>
      <c r="C232" s="3"/>
      <c r="D232" s="3"/>
      <c r="E232" s="3"/>
      <c r="F232" s="3"/>
      <c r="G232" s="3"/>
      <c r="H232" s="3"/>
    </row>
    <row r="233" spans="1:8" x14ac:dyDescent="0.25">
      <c r="A233" s="19"/>
      <c r="B233" s="19"/>
      <c r="C233" s="3"/>
      <c r="D233" s="3"/>
      <c r="E233" s="3"/>
      <c r="F233" s="3"/>
      <c r="G233" s="3"/>
      <c r="H233" s="3"/>
    </row>
    <row r="234" spans="1:8" x14ac:dyDescent="0.25">
      <c r="A234" s="19"/>
      <c r="B234" s="19"/>
      <c r="C234" s="3"/>
      <c r="D234" s="3"/>
      <c r="E234" s="3"/>
      <c r="F234" s="3"/>
      <c r="G234" s="3"/>
      <c r="H234" s="3"/>
    </row>
    <row r="235" spans="1:8" x14ac:dyDescent="0.25">
      <c r="A235" s="19"/>
      <c r="B235" s="19"/>
      <c r="C235" s="3"/>
      <c r="D235" s="3"/>
      <c r="E235" s="3"/>
      <c r="F235" s="3"/>
      <c r="G235" s="3"/>
      <c r="H235" s="3"/>
    </row>
    <row r="236" spans="1:8" x14ac:dyDescent="0.25">
      <c r="A236" s="19"/>
      <c r="B236" s="19"/>
      <c r="C236" s="3"/>
      <c r="D236" s="3"/>
      <c r="E236" s="3"/>
      <c r="F236" s="3"/>
      <c r="G236" s="3"/>
      <c r="H236" s="3"/>
    </row>
    <row r="237" spans="1:8" x14ac:dyDescent="0.25">
      <c r="A237" s="19"/>
      <c r="B237" s="19"/>
      <c r="C237" s="3"/>
      <c r="D237" s="3"/>
      <c r="E237" s="3"/>
      <c r="F237" s="3"/>
      <c r="G237" s="3"/>
      <c r="H237" s="3"/>
    </row>
    <row r="238" spans="1:8" x14ac:dyDescent="0.25">
      <c r="A238" s="19"/>
      <c r="B238" s="19"/>
      <c r="C238" s="3"/>
      <c r="D238" s="3"/>
      <c r="E238" s="3"/>
      <c r="F238" s="3"/>
      <c r="G238" s="3"/>
      <c r="H238" s="3"/>
    </row>
    <row r="239" spans="1:8" x14ac:dyDescent="0.25">
      <c r="A239" s="19"/>
      <c r="B239" s="19"/>
      <c r="C239" s="3"/>
      <c r="D239" s="3"/>
      <c r="E239" s="3"/>
      <c r="F239" s="3"/>
      <c r="G239" s="3"/>
      <c r="H239" s="3"/>
    </row>
    <row r="240" spans="1:8" x14ac:dyDescent="0.25">
      <c r="A240" s="19"/>
      <c r="B240" s="19"/>
      <c r="C240" s="3"/>
      <c r="D240" s="3"/>
      <c r="E240" s="3"/>
      <c r="F240" s="3"/>
      <c r="G240" s="3"/>
      <c r="H240" s="3"/>
    </row>
  </sheetData>
  <phoneticPr fontId="5"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C3B05-163F-47BF-A82D-07CAE011070D}">
  <sheetPr codeName="Sheet9"/>
  <dimension ref="A1:N48"/>
  <sheetViews>
    <sheetView workbookViewId="0">
      <selection activeCell="A5" sqref="A5:XFD5"/>
    </sheetView>
  </sheetViews>
  <sheetFormatPr defaultRowHeight="15" x14ac:dyDescent="0.25"/>
  <cols>
    <col min="1" max="1" width="13" customWidth="1"/>
    <col min="13" max="13" width="11.85546875" customWidth="1"/>
  </cols>
  <sheetData>
    <row r="1" spans="1:13" ht="15.75" thickBot="1" x14ac:dyDescent="0.3">
      <c r="A1" s="37" t="s">
        <v>212</v>
      </c>
      <c r="B1" s="34"/>
      <c r="C1" s="34"/>
      <c r="D1" s="34"/>
      <c r="E1" s="34"/>
      <c r="F1" s="34"/>
      <c r="G1" s="34"/>
      <c r="H1" s="34"/>
      <c r="I1" s="34"/>
      <c r="J1" s="34"/>
      <c r="K1" s="34"/>
      <c r="L1" s="34"/>
      <c r="M1" s="34"/>
    </row>
    <row r="2" spans="1:13" ht="15.75" thickBot="1" x14ac:dyDescent="0.3">
      <c r="A2" s="37" t="s">
        <v>213</v>
      </c>
      <c r="B2" s="34"/>
      <c r="C2" s="34"/>
      <c r="D2" s="34"/>
      <c r="E2" s="34"/>
      <c r="F2" s="34"/>
      <c r="G2" s="34"/>
      <c r="H2" s="34"/>
      <c r="I2" s="34"/>
      <c r="J2" s="34"/>
      <c r="K2" s="34"/>
      <c r="L2" s="34"/>
      <c r="M2" s="34"/>
    </row>
    <row r="3" spans="1:13" ht="15.75" thickBot="1" x14ac:dyDescent="0.3">
      <c r="A3" s="33" t="s">
        <v>103</v>
      </c>
      <c r="B3" s="34"/>
      <c r="C3" s="34"/>
      <c r="D3" s="34"/>
      <c r="E3" s="34"/>
      <c r="F3" s="34"/>
      <c r="G3" s="34"/>
      <c r="H3" s="34"/>
      <c r="I3" s="34"/>
      <c r="J3" s="34"/>
      <c r="K3" s="34"/>
      <c r="L3" s="34"/>
      <c r="M3" s="34"/>
    </row>
    <row r="4" spans="1:13" ht="15.75" thickBot="1" x14ac:dyDescent="0.3">
      <c r="A4" s="34" t="s">
        <v>187</v>
      </c>
      <c r="B4" s="35" t="s">
        <v>188</v>
      </c>
      <c r="C4" s="35" t="s">
        <v>189</v>
      </c>
      <c r="D4" s="35" t="s">
        <v>190</v>
      </c>
      <c r="E4" s="35" t="s">
        <v>191</v>
      </c>
      <c r="F4" s="35" t="s">
        <v>192</v>
      </c>
      <c r="G4" s="35" t="s">
        <v>193</v>
      </c>
      <c r="H4" s="35" t="s">
        <v>194</v>
      </c>
      <c r="I4" s="35" t="s">
        <v>195</v>
      </c>
      <c r="J4" s="35" t="s">
        <v>196</v>
      </c>
      <c r="K4" s="35" t="s">
        <v>197</v>
      </c>
      <c r="L4" s="35" t="s">
        <v>198</v>
      </c>
      <c r="M4" s="35" t="s">
        <v>199</v>
      </c>
    </row>
    <row r="5" spans="1:13" ht="17.25" customHeight="1" thickBot="1" x14ac:dyDescent="0.3">
      <c r="A5" s="34" t="s">
        <v>0</v>
      </c>
      <c r="B5" s="34" t="s">
        <v>93</v>
      </c>
      <c r="C5" s="34" t="s">
        <v>93</v>
      </c>
      <c r="D5" s="34" t="s">
        <v>173</v>
      </c>
      <c r="E5" s="34" t="s">
        <v>174</v>
      </c>
      <c r="F5" s="34" t="s">
        <v>176</v>
      </c>
      <c r="G5" s="34" t="s">
        <v>134</v>
      </c>
      <c r="H5" s="34" t="s">
        <v>131</v>
      </c>
      <c r="I5" s="34" t="s">
        <v>131</v>
      </c>
      <c r="J5" s="34" t="s">
        <v>81</v>
      </c>
      <c r="K5" s="34" t="s">
        <v>75</v>
      </c>
      <c r="L5" s="34" t="s">
        <v>81</v>
      </c>
      <c r="M5" s="34" t="s">
        <v>73</v>
      </c>
    </row>
    <row r="6" spans="1:13" ht="15.75" thickBot="1" x14ac:dyDescent="0.3">
      <c r="A6" s="34"/>
      <c r="B6" s="34" t="s">
        <v>130</v>
      </c>
      <c r="C6" s="34" t="s">
        <v>130</v>
      </c>
      <c r="D6" s="34" t="s">
        <v>172</v>
      </c>
      <c r="E6" s="34"/>
      <c r="F6" s="34" t="s">
        <v>174</v>
      </c>
      <c r="G6" s="34" t="s">
        <v>134</v>
      </c>
      <c r="H6" s="34"/>
      <c r="I6" s="34" t="s">
        <v>133</v>
      </c>
      <c r="J6" s="34" t="s">
        <v>94</v>
      </c>
      <c r="K6" s="34" t="s">
        <v>76</v>
      </c>
      <c r="L6" s="34" t="s">
        <v>95</v>
      </c>
      <c r="M6" s="34" t="s">
        <v>74</v>
      </c>
    </row>
    <row r="7" spans="1:13" ht="15.75" thickBot="1" x14ac:dyDescent="0.3">
      <c r="A7" s="34"/>
      <c r="B7" s="34" t="s">
        <v>132</v>
      </c>
      <c r="C7" s="34" t="s">
        <v>164</v>
      </c>
      <c r="D7" s="34"/>
      <c r="E7" s="34"/>
      <c r="F7" s="34" t="s">
        <v>173</v>
      </c>
      <c r="G7" s="34" t="s">
        <v>135</v>
      </c>
      <c r="H7" s="34"/>
      <c r="I7" s="34"/>
      <c r="J7" s="34" t="s">
        <v>95</v>
      </c>
      <c r="K7" s="34" t="s">
        <v>79</v>
      </c>
      <c r="L7" s="34" t="s">
        <v>129</v>
      </c>
      <c r="M7" s="34" t="s">
        <v>75</v>
      </c>
    </row>
    <row r="8" spans="1:13" ht="15.75" thickBot="1" x14ac:dyDescent="0.3">
      <c r="A8" s="34"/>
      <c r="B8" s="34"/>
      <c r="C8" s="34" t="s">
        <v>165</v>
      </c>
      <c r="D8" s="34"/>
      <c r="E8" s="34"/>
      <c r="F8" s="34" t="s">
        <v>172</v>
      </c>
      <c r="G8" s="34" t="s">
        <v>136</v>
      </c>
      <c r="H8" s="34"/>
      <c r="I8" s="34"/>
      <c r="J8" s="34" t="s">
        <v>127</v>
      </c>
      <c r="K8" s="34" t="s">
        <v>82</v>
      </c>
      <c r="L8" s="34"/>
      <c r="M8" s="34" t="s">
        <v>76</v>
      </c>
    </row>
    <row r="9" spans="1:13" ht="15.75" thickBot="1" x14ac:dyDescent="0.3">
      <c r="A9" s="34"/>
      <c r="B9" s="34"/>
      <c r="C9" s="34" t="s">
        <v>166</v>
      </c>
      <c r="D9" s="34"/>
      <c r="E9" s="34"/>
      <c r="F9" s="34"/>
      <c r="G9" s="34"/>
      <c r="H9" s="34"/>
      <c r="I9" s="34"/>
      <c r="J9" s="34" t="s">
        <v>129</v>
      </c>
      <c r="K9" s="34" t="s">
        <v>83</v>
      </c>
      <c r="L9" s="34"/>
      <c r="M9" s="34" t="s">
        <v>77</v>
      </c>
    </row>
    <row r="10" spans="1:13" ht="15.75" thickBot="1" x14ac:dyDescent="0.3">
      <c r="A10" s="34"/>
      <c r="B10" s="34"/>
      <c r="C10" s="34" t="s">
        <v>167</v>
      </c>
      <c r="D10" s="34"/>
      <c r="E10" s="34"/>
      <c r="F10" s="34"/>
      <c r="G10" s="34"/>
      <c r="H10" s="34"/>
      <c r="I10" s="34"/>
      <c r="J10" s="34"/>
      <c r="K10" s="34" t="s">
        <v>84</v>
      </c>
      <c r="L10" s="34"/>
      <c r="M10" s="34" t="s">
        <v>78</v>
      </c>
    </row>
    <row r="11" spans="1:13" ht="15.75" thickBot="1" x14ac:dyDescent="0.3">
      <c r="A11" s="34"/>
      <c r="B11" s="34"/>
      <c r="C11" s="34" t="s">
        <v>168</v>
      </c>
      <c r="D11" s="34"/>
      <c r="E11" s="34"/>
      <c r="F11" s="34"/>
      <c r="G11" s="34"/>
      <c r="H11" s="34"/>
      <c r="I11" s="34"/>
      <c r="J11" s="34"/>
      <c r="K11" s="34" t="s">
        <v>86</v>
      </c>
      <c r="L11" s="34"/>
      <c r="M11" s="34" t="s">
        <v>79</v>
      </c>
    </row>
    <row r="12" spans="1:13" ht="15.75" thickBot="1" x14ac:dyDescent="0.3">
      <c r="A12" s="34"/>
      <c r="B12" s="34"/>
      <c r="C12" s="34" t="s">
        <v>169</v>
      </c>
      <c r="D12" s="34"/>
      <c r="E12" s="34"/>
      <c r="F12" s="34"/>
      <c r="G12" s="34"/>
      <c r="H12" s="34"/>
      <c r="I12" s="34"/>
      <c r="J12" s="34"/>
      <c r="K12" s="34" t="s">
        <v>87</v>
      </c>
      <c r="L12" s="34"/>
      <c r="M12" s="34" t="s">
        <v>83</v>
      </c>
    </row>
    <row r="13" spans="1:13" ht="15.75" thickBot="1" x14ac:dyDescent="0.3">
      <c r="A13" s="34"/>
      <c r="B13" s="34"/>
      <c r="C13" s="34" t="s">
        <v>170</v>
      </c>
      <c r="D13" s="34"/>
      <c r="E13" s="34"/>
      <c r="F13" s="34"/>
      <c r="G13" s="34"/>
      <c r="H13" s="34"/>
      <c r="I13" s="34"/>
      <c r="J13" s="34"/>
      <c r="K13" s="34" t="s">
        <v>89</v>
      </c>
      <c r="L13" s="34"/>
      <c r="M13" s="34" t="s">
        <v>87</v>
      </c>
    </row>
    <row r="14" spans="1:13" ht="15.75" thickBot="1" x14ac:dyDescent="0.3">
      <c r="A14" s="34"/>
      <c r="B14" s="34"/>
      <c r="C14" s="34" t="s">
        <v>180</v>
      </c>
      <c r="D14" s="34"/>
      <c r="E14" s="34"/>
      <c r="F14" s="34"/>
      <c r="G14" s="34"/>
      <c r="H14" s="34"/>
      <c r="I14" s="34"/>
      <c r="J14" s="34"/>
      <c r="K14" s="34" t="s">
        <v>90</v>
      </c>
      <c r="L14" s="34"/>
      <c r="M14" s="34" t="s">
        <v>88</v>
      </c>
    </row>
    <row r="15" spans="1:13" ht="15.75" thickBot="1" x14ac:dyDescent="0.3">
      <c r="A15" s="34"/>
      <c r="B15" s="34"/>
      <c r="C15" s="34" t="s">
        <v>171</v>
      </c>
      <c r="D15" s="34"/>
      <c r="E15" s="34"/>
      <c r="F15" s="34"/>
      <c r="G15" s="34"/>
      <c r="H15" s="34"/>
      <c r="I15" s="34"/>
      <c r="J15" s="34"/>
      <c r="K15" s="34" t="s">
        <v>91</v>
      </c>
      <c r="L15" s="34"/>
      <c r="M15" s="34" t="s">
        <v>89</v>
      </c>
    </row>
    <row r="16" spans="1:13" ht="15.75" thickBot="1" x14ac:dyDescent="0.3">
      <c r="A16" s="34"/>
      <c r="B16" s="34"/>
      <c r="C16" s="34"/>
      <c r="D16" s="34"/>
      <c r="E16" s="34"/>
      <c r="F16" s="34"/>
      <c r="G16" s="34"/>
      <c r="H16" s="34"/>
      <c r="I16" s="34"/>
      <c r="J16" s="34"/>
      <c r="K16" s="34" t="s">
        <v>92</v>
      </c>
      <c r="L16" s="34"/>
      <c r="M16" s="34" t="s">
        <v>91</v>
      </c>
    </row>
    <row r="17" spans="1:14" ht="15.75" thickBot="1" x14ac:dyDescent="0.3">
      <c r="A17" s="34"/>
      <c r="B17" s="34"/>
      <c r="C17" s="34"/>
      <c r="D17" s="34"/>
      <c r="E17" s="34"/>
      <c r="F17" s="34"/>
      <c r="G17" s="34"/>
      <c r="H17" s="34"/>
      <c r="I17" s="34"/>
      <c r="J17" s="34"/>
      <c r="K17" s="34" t="s">
        <v>121</v>
      </c>
      <c r="L17" s="34"/>
      <c r="M17" s="34" t="s">
        <v>94</v>
      </c>
    </row>
    <row r="18" spans="1:14" ht="15.75" thickBot="1" x14ac:dyDescent="0.3">
      <c r="A18" s="34"/>
      <c r="B18" s="34"/>
      <c r="C18" s="34"/>
      <c r="D18" s="34"/>
      <c r="E18" s="34"/>
      <c r="F18" s="34"/>
      <c r="G18" s="34"/>
      <c r="H18" s="34"/>
      <c r="I18" s="34"/>
      <c r="J18" s="34"/>
      <c r="K18" s="34" t="s">
        <v>122</v>
      </c>
      <c r="L18" s="34"/>
      <c r="M18" s="34" t="s">
        <v>96</v>
      </c>
    </row>
    <row r="19" spans="1:14" ht="15.75" thickBot="1" x14ac:dyDescent="0.3">
      <c r="A19" s="34"/>
      <c r="B19" s="34"/>
      <c r="C19" s="34"/>
      <c r="D19" s="34"/>
      <c r="E19" s="34"/>
      <c r="F19" s="34"/>
      <c r="G19" s="34"/>
      <c r="H19" s="34"/>
      <c r="I19" s="34"/>
      <c r="J19" s="34"/>
      <c r="K19" s="34" t="s">
        <v>123</v>
      </c>
      <c r="L19" s="34"/>
      <c r="M19" s="34" t="s">
        <v>97</v>
      </c>
    </row>
    <row r="20" spans="1:14" ht="15.75" thickBot="1" x14ac:dyDescent="0.3">
      <c r="A20" s="34"/>
      <c r="B20" s="34"/>
      <c r="C20" s="34"/>
      <c r="D20" s="34"/>
      <c r="E20" s="34"/>
      <c r="F20" s="34"/>
      <c r="G20" s="34"/>
      <c r="H20" s="34"/>
      <c r="I20" s="34"/>
      <c r="J20" s="34"/>
      <c r="K20" s="34" t="s">
        <v>126</v>
      </c>
      <c r="L20" s="34"/>
      <c r="M20" s="34" t="s">
        <v>122</v>
      </c>
    </row>
    <row r="21" spans="1:14" ht="15.75" thickBot="1" x14ac:dyDescent="0.3">
      <c r="A21" s="34"/>
      <c r="B21" s="34"/>
      <c r="C21" s="34"/>
      <c r="D21" s="34"/>
      <c r="E21" s="34"/>
      <c r="F21" s="34"/>
      <c r="G21" s="34"/>
      <c r="H21" s="34"/>
      <c r="I21" s="34"/>
      <c r="J21" s="34"/>
      <c r="K21" s="34" t="s">
        <v>128</v>
      </c>
      <c r="L21" s="34"/>
      <c r="M21" s="34" t="s">
        <v>124</v>
      </c>
    </row>
    <row r="22" spans="1:14" ht="15.75" thickBot="1" x14ac:dyDescent="0.3">
      <c r="A22" s="34"/>
      <c r="B22" s="34"/>
      <c r="C22" s="34"/>
      <c r="D22" s="34"/>
      <c r="E22" s="34"/>
      <c r="F22" s="34"/>
      <c r="G22" s="34"/>
      <c r="H22" s="34"/>
      <c r="I22" s="34"/>
      <c r="J22" s="34"/>
      <c r="K22" s="34"/>
      <c r="L22" s="34"/>
      <c r="M22" s="34" t="s">
        <v>125</v>
      </c>
    </row>
    <row r="23" spans="1:14" ht="15.75" thickBot="1" x14ac:dyDescent="0.3">
      <c r="A23" s="34" t="s">
        <v>214</v>
      </c>
      <c r="B23" s="34">
        <v>3</v>
      </c>
      <c r="C23" s="34">
        <v>11</v>
      </c>
      <c r="D23" s="34">
        <v>2</v>
      </c>
      <c r="E23" s="34">
        <v>1</v>
      </c>
      <c r="F23" s="34">
        <v>4</v>
      </c>
      <c r="G23" s="34">
        <v>4</v>
      </c>
      <c r="H23" s="34">
        <v>1</v>
      </c>
      <c r="I23" s="34">
        <v>2</v>
      </c>
      <c r="J23" s="34">
        <v>5</v>
      </c>
      <c r="K23" s="34">
        <v>17</v>
      </c>
      <c r="L23" s="34">
        <v>3</v>
      </c>
      <c r="M23" s="34">
        <v>18</v>
      </c>
      <c r="N23" s="11">
        <f>SUM(B23:M23)</f>
        <v>71</v>
      </c>
    </row>
    <row r="24" spans="1:14" ht="15.75" thickBot="1" x14ac:dyDescent="0.3">
      <c r="A24" s="34"/>
      <c r="B24" s="34"/>
      <c r="C24" s="34"/>
      <c r="D24" s="34"/>
      <c r="E24" s="34"/>
      <c r="F24" s="34"/>
      <c r="G24" s="34"/>
      <c r="H24" s="34"/>
      <c r="I24" s="34"/>
      <c r="J24" s="34"/>
      <c r="K24" s="34"/>
      <c r="L24" s="34"/>
      <c r="M24" s="34"/>
    </row>
    <row r="25" spans="1:14" ht="15.75" thickBot="1" x14ac:dyDescent="0.3">
      <c r="A25" s="38" t="s">
        <v>110</v>
      </c>
      <c r="B25" s="34"/>
      <c r="C25" s="34"/>
      <c r="D25" s="34"/>
      <c r="E25" s="34"/>
      <c r="F25" s="34"/>
      <c r="G25" s="34"/>
      <c r="H25" s="34"/>
      <c r="I25" s="34"/>
      <c r="J25" s="34"/>
      <c r="K25" s="34"/>
      <c r="L25" s="34"/>
      <c r="M25" s="34"/>
    </row>
    <row r="26" spans="1:14" ht="15.75" thickBot="1" x14ac:dyDescent="0.3">
      <c r="A26" s="34"/>
      <c r="B26" s="34"/>
      <c r="C26" s="34"/>
      <c r="D26" s="34"/>
      <c r="E26" s="34"/>
      <c r="F26" s="34"/>
      <c r="G26" s="34"/>
      <c r="H26" s="34"/>
      <c r="I26" s="34"/>
      <c r="J26" s="34"/>
      <c r="K26" s="34"/>
      <c r="L26" s="34"/>
      <c r="M26" s="34"/>
    </row>
    <row r="27" spans="1:14" ht="15.75" thickBot="1" x14ac:dyDescent="0.3">
      <c r="A27" s="34" t="s">
        <v>187</v>
      </c>
      <c r="B27" s="35" t="s">
        <v>188</v>
      </c>
      <c r="C27" s="35" t="s">
        <v>189</v>
      </c>
      <c r="D27" s="35" t="s">
        <v>191</v>
      </c>
      <c r="E27" s="35" t="s">
        <v>193</v>
      </c>
      <c r="F27" s="35" t="s">
        <v>194</v>
      </c>
      <c r="G27" s="35" t="s">
        <v>195</v>
      </c>
      <c r="H27" s="35" t="s">
        <v>196</v>
      </c>
      <c r="I27" s="35" t="s">
        <v>197</v>
      </c>
      <c r="J27" s="35" t="s">
        <v>198</v>
      </c>
      <c r="K27" s="35" t="s">
        <v>199</v>
      </c>
      <c r="L27" s="34"/>
      <c r="M27" s="34"/>
    </row>
    <row r="28" spans="1:14" ht="18.75" customHeight="1" thickBot="1" x14ac:dyDescent="0.3">
      <c r="A28" s="34" t="s">
        <v>0</v>
      </c>
      <c r="B28" s="34" t="s">
        <v>93</v>
      </c>
      <c r="C28" s="34" t="s">
        <v>93</v>
      </c>
      <c r="D28" s="34" t="s">
        <v>167</v>
      </c>
      <c r="E28" s="34" t="s">
        <v>134</v>
      </c>
      <c r="F28" s="34" t="s">
        <v>131</v>
      </c>
      <c r="G28" s="34" t="s">
        <v>131</v>
      </c>
      <c r="H28" s="34" t="s">
        <v>81</v>
      </c>
      <c r="I28" s="34" t="s">
        <v>75</v>
      </c>
      <c r="J28" s="34" t="s">
        <v>215</v>
      </c>
      <c r="K28" s="34" t="s">
        <v>73</v>
      </c>
      <c r="L28" s="34"/>
      <c r="M28" s="34"/>
    </row>
    <row r="29" spans="1:14" ht="15.75" thickBot="1" x14ac:dyDescent="0.3">
      <c r="A29" s="34"/>
      <c r="B29" s="34" t="s">
        <v>130</v>
      </c>
      <c r="C29" s="34" t="s">
        <v>164</v>
      </c>
      <c r="D29" s="34" t="s">
        <v>177</v>
      </c>
      <c r="E29" s="34" t="s">
        <v>134</v>
      </c>
      <c r="F29" s="34"/>
      <c r="G29" s="34" t="s">
        <v>133</v>
      </c>
      <c r="H29" s="34" t="s">
        <v>94</v>
      </c>
      <c r="I29" s="34" t="s">
        <v>76</v>
      </c>
      <c r="J29" s="34" t="s">
        <v>216</v>
      </c>
      <c r="K29" s="34" t="s">
        <v>74</v>
      </c>
      <c r="L29" s="34"/>
      <c r="M29" s="34"/>
    </row>
    <row r="30" spans="1:14" ht="15.75" thickBot="1" x14ac:dyDescent="0.3">
      <c r="A30" s="34"/>
      <c r="B30" s="34" t="s">
        <v>132</v>
      </c>
      <c r="C30" s="34" t="s">
        <v>165</v>
      </c>
      <c r="D30" s="34" t="s">
        <v>178</v>
      </c>
      <c r="E30" s="34" t="s">
        <v>135</v>
      </c>
      <c r="F30" s="34"/>
      <c r="G30" s="34"/>
      <c r="H30" s="34" t="s">
        <v>95</v>
      </c>
      <c r="I30" s="34" t="s">
        <v>79</v>
      </c>
      <c r="J30" s="34" t="s">
        <v>217</v>
      </c>
      <c r="K30" s="34" t="s">
        <v>75</v>
      </c>
      <c r="L30" s="34"/>
      <c r="M30" s="34"/>
    </row>
    <row r="31" spans="1:14" ht="15.75" thickBot="1" x14ac:dyDescent="0.3">
      <c r="A31" s="34"/>
      <c r="B31" s="34"/>
      <c r="C31" s="34" t="s">
        <v>166</v>
      </c>
      <c r="D31" s="34" t="s">
        <v>179</v>
      </c>
      <c r="E31" s="34" t="s">
        <v>136</v>
      </c>
      <c r="F31" s="34"/>
      <c r="G31" s="34"/>
      <c r="H31" s="34" t="s">
        <v>127</v>
      </c>
      <c r="I31" s="34" t="s">
        <v>82</v>
      </c>
      <c r="J31" s="34"/>
      <c r="K31" s="34" t="s">
        <v>76</v>
      </c>
      <c r="L31" s="34"/>
      <c r="M31" s="34"/>
    </row>
    <row r="32" spans="1:14" ht="15.75" thickBot="1" x14ac:dyDescent="0.3">
      <c r="A32" s="34"/>
      <c r="B32" s="34"/>
      <c r="C32" s="34" t="s">
        <v>167</v>
      </c>
      <c r="D32" s="34" t="s">
        <v>180</v>
      </c>
      <c r="E32" s="34"/>
      <c r="F32" s="34"/>
      <c r="G32" s="34"/>
      <c r="H32" s="34" t="s">
        <v>129</v>
      </c>
      <c r="I32" s="34" t="s">
        <v>83</v>
      </c>
      <c r="J32" s="34"/>
      <c r="K32" s="34" t="s">
        <v>77</v>
      </c>
      <c r="L32" s="34"/>
      <c r="M32" s="34"/>
    </row>
    <row r="33" spans="1:14" ht="15.75" thickBot="1" x14ac:dyDescent="0.3">
      <c r="A33" s="34"/>
      <c r="B33" s="34"/>
      <c r="C33" s="34" t="s">
        <v>168</v>
      </c>
      <c r="D33" s="34" t="s">
        <v>218</v>
      </c>
      <c r="E33" s="34"/>
      <c r="F33" s="34"/>
      <c r="G33" s="34"/>
      <c r="H33" s="34"/>
      <c r="I33" s="34" t="s">
        <v>84</v>
      </c>
      <c r="J33" s="34"/>
      <c r="K33" s="34" t="s">
        <v>78</v>
      </c>
      <c r="L33" s="34"/>
      <c r="M33" s="34"/>
    </row>
    <row r="34" spans="1:14" ht="15.75" thickBot="1" x14ac:dyDescent="0.3">
      <c r="A34" s="34"/>
      <c r="B34" s="34"/>
      <c r="C34" s="34" t="s">
        <v>169</v>
      </c>
      <c r="D34" s="34"/>
      <c r="E34" s="34"/>
      <c r="F34" s="34"/>
      <c r="G34" s="34"/>
      <c r="H34" s="34"/>
      <c r="I34" s="34" t="s">
        <v>86</v>
      </c>
      <c r="J34" s="34"/>
      <c r="K34" s="34" t="s">
        <v>79</v>
      </c>
      <c r="L34" s="34"/>
      <c r="M34" s="34"/>
    </row>
    <row r="35" spans="1:14" ht="15.75" thickBot="1" x14ac:dyDescent="0.3">
      <c r="A35" s="34"/>
      <c r="B35" s="34"/>
      <c r="C35" s="34" t="s">
        <v>170</v>
      </c>
      <c r="D35" s="34"/>
      <c r="E35" s="34"/>
      <c r="F35" s="34"/>
      <c r="G35" s="34"/>
      <c r="H35" s="34"/>
      <c r="I35" s="34" t="s">
        <v>89</v>
      </c>
      <c r="J35" s="34"/>
      <c r="K35" s="34" t="s">
        <v>80</v>
      </c>
      <c r="L35" s="34"/>
      <c r="M35" s="34"/>
    </row>
    <row r="36" spans="1:14" ht="15.75" thickBot="1" x14ac:dyDescent="0.3">
      <c r="A36" s="34"/>
      <c r="B36" s="34"/>
      <c r="C36" s="34" t="s">
        <v>180</v>
      </c>
      <c r="D36" s="34"/>
      <c r="E36" s="34"/>
      <c r="F36" s="34"/>
      <c r="G36" s="34"/>
      <c r="H36" s="34"/>
      <c r="I36" s="34" t="s">
        <v>90</v>
      </c>
      <c r="J36" s="34"/>
      <c r="K36" s="34" t="s">
        <v>87</v>
      </c>
      <c r="L36" s="34"/>
      <c r="M36" s="34"/>
    </row>
    <row r="37" spans="1:14" ht="15.75" thickBot="1" x14ac:dyDescent="0.3">
      <c r="A37" s="34"/>
      <c r="B37" s="34"/>
      <c r="C37" s="34" t="s">
        <v>171</v>
      </c>
      <c r="D37" s="34"/>
      <c r="E37" s="34"/>
      <c r="F37" s="34"/>
      <c r="G37" s="34"/>
      <c r="H37" s="34"/>
      <c r="I37" s="34" t="s">
        <v>91</v>
      </c>
      <c r="J37" s="34"/>
      <c r="K37" s="34" t="s">
        <v>88</v>
      </c>
      <c r="L37" s="34"/>
      <c r="M37" s="34"/>
    </row>
    <row r="38" spans="1:14" ht="15.75" thickBot="1" x14ac:dyDescent="0.3">
      <c r="A38" s="34"/>
      <c r="B38" s="34"/>
      <c r="C38" s="34"/>
      <c r="D38" s="34"/>
      <c r="E38" s="34"/>
      <c r="F38" s="34"/>
      <c r="G38" s="34"/>
      <c r="H38" s="34"/>
      <c r="I38" s="34" t="s">
        <v>92</v>
      </c>
      <c r="J38" s="34"/>
      <c r="K38" s="34" t="s">
        <v>89</v>
      </c>
      <c r="L38" s="34"/>
      <c r="M38" s="34"/>
    </row>
    <row r="39" spans="1:14" ht="15.75" thickBot="1" x14ac:dyDescent="0.3">
      <c r="A39" s="34"/>
      <c r="B39" s="34"/>
      <c r="C39" s="34"/>
      <c r="D39" s="34"/>
      <c r="E39" s="34"/>
      <c r="F39" s="34"/>
      <c r="G39" s="34"/>
      <c r="H39" s="34"/>
      <c r="I39" s="34" t="s">
        <v>121</v>
      </c>
      <c r="J39" s="34"/>
      <c r="K39" s="34" t="s">
        <v>91</v>
      </c>
      <c r="L39" s="34"/>
      <c r="M39" s="34"/>
    </row>
    <row r="40" spans="1:14" ht="15.75" thickBot="1" x14ac:dyDescent="0.3">
      <c r="A40" s="34"/>
      <c r="B40" s="34"/>
      <c r="C40" s="34"/>
      <c r="D40" s="34"/>
      <c r="E40" s="34"/>
      <c r="F40" s="34"/>
      <c r="G40" s="34"/>
      <c r="H40" s="34"/>
      <c r="I40" s="34" t="s">
        <v>122</v>
      </c>
      <c r="J40" s="34"/>
      <c r="K40" s="34" t="s">
        <v>92</v>
      </c>
      <c r="L40" s="34"/>
      <c r="M40" s="34"/>
    </row>
    <row r="41" spans="1:14" ht="15.75" thickBot="1" x14ac:dyDescent="0.3">
      <c r="A41" s="34"/>
      <c r="B41" s="34"/>
      <c r="C41" s="34"/>
      <c r="D41" s="34"/>
      <c r="E41" s="34"/>
      <c r="F41" s="34"/>
      <c r="G41" s="34"/>
      <c r="H41" s="34"/>
      <c r="I41" s="34" t="s">
        <v>123</v>
      </c>
      <c r="J41" s="34"/>
      <c r="K41" s="34" t="s">
        <v>94</v>
      </c>
      <c r="L41" s="34"/>
      <c r="M41" s="34"/>
    </row>
    <row r="42" spans="1:14" ht="15.75" thickBot="1" x14ac:dyDescent="0.3">
      <c r="A42" s="34"/>
      <c r="B42" s="34"/>
      <c r="C42" s="34"/>
      <c r="D42" s="34"/>
      <c r="E42" s="34"/>
      <c r="F42" s="34"/>
      <c r="G42" s="34"/>
      <c r="H42" s="34"/>
      <c r="I42" s="34" t="s">
        <v>126</v>
      </c>
      <c r="J42" s="34"/>
      <c r="K42" s="34" t="s">
        <v>96</v>
      </c>
      <c r="L42" s="34"/>
      <c r="M42" s="34"/>
    </row>
    <row r="43" spans="1:14" ht="15.75" thickBot="1" x14ac:dyDescent="0.3">
      <c r="A43" s="34"/>
      <c r="B43" s="34"/>
      <c r="C43" s="34"/>
      <c r="D43" s="34"/>
      <c r="E43" s="34"/>
      <c r="F43" s="34"/>
      <c r="G43" s="34"/>
      <c r="H43" s="34"/>
      <c r="I43" s="34" t="s">
        <v>128</v>
      </c>
      <c r="J43" s="34"/>
      <c r="K43" s="34" t="s">
        <v>97</v>
      </c>
      <c r="L43" s="34"/>
      <c r="M43" s="34"/>
    </row>
    <row r="44" spans="1:14" ht="15.75" thickBot="1" x14ac:dyDescent="0.3">
      <c r="A44" s="34"/>
      <c r="B44" s="34"/>
      <c r="C44" s="34"/>
      <c r="D44" s="34"/>
      <c r="E44" s="34"/>
      <c r="F44" s="34"/>
      <c r="G44" s="34"/>
      <c r="H44" s="34"/>
      <c r="I44" s="34"/>
      <c r="J44" s="34"/>
      <c r="K44" s="34" t="s">
        <v>122</v>
      </c>
      <c r="L44" s="34"/>
      <c r="M44" s="34"/>
    </row>
    <row r="45" spans="1:14" ht="15.75" thickBot="1" x14ac:dyDescent="0.3">
      <c r="A45" s="34"/>
      <c r="B45" s="34"/>
      <c r="C45" s="34"/>
      <c r="D45" s="34"/>
      <c r="E45" s="34"/>
      <c r="F45" s="34"/>
      <c r="G45" s="34"/>
      <c r="H45" s="34"/>
      <c r="I45" s="34"/>
      <c r="J45" s="34"/>
      <c r="K45" s="34" t="s">
        <v>124</v>
      </c>
      <c r="L45" s="34"/>
      <c r="M45" s="34"/>
    </row>
    <row r="46" spans="1:14" ht="15.75" thickBot="1" x14ac:dyDescent="0.3">
      <c r="A46" s="34"/>
      <c r="B46" s="34"/>
      <c r="C46" s="34"/>
      <c r="D46" s="34"/>
      <c r="E46" s="34"/>
      <c r="F46" s="34"/>
      <c r="G46" s="34"/>
      <c r="H46" s="34"/>
      <c r="I46" s="34"/>
      <c r="J46" s="34"/>
      <c r="K46" s="34" t="s">
        <v>125</v>
      </c>
      <c r="L46" s="34"/>
      <c r="M46" s="34"/>
    </row>
    <row r="47" spans="1:14" ht="15.75" thickBot="1" x14ac:dyDescent="0.3">
      <c r="A47" s="34"/>
      <c r="B47" s="34"/>
      <c r="C47" s="34"/>
      <c r="D47" s="34"/>
      <c r="E47" s="34"/>
      <c r="F47" s="34"/>
      <c r="G47" s="34"/>
      <c r="H47" s="34"/>
      <c r="I47" s="34"/>
      <c r="J47" s="34"/>
      <c r="K47" s="34" t="s">
        <v>130</v>
      </c>
      <c r="L47" s="34"/>
      <c r="M47" s="34"/>
    </row>
    <row r="48" spans="1:14" x14ac:dyDescent="0.25">
      <c r="A48" t="s">
        <v>219</v>
      </c>
      <c r="B48">
        <v>3</v>
      </c>
      <c r="C48">
        <v>10</v>
      </c>
      <c r="D48">
        <v>6</v>
      </c>
      <c r="E48">
        <v>4</v>
      </c>
      <c r="F48">
        <v>1</v>
      </c>
      <c r="G48">
        <v>2</v>
      </c>
      <c r="H48">
        <v>5</v>
      </c>
      <c r="I48">
        <v>16</v>
      </c>
      <c r="J48">
        <v>3</v>
      </c>
      <c r="K48">
        <v>20</v>
      </c>
      <c r="N48" s="11">
        <f>SUM(B48:K48)</f>
        <v>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0C101-93A7-4422-A0F0-383971CE478B}">
  <sheetPr codeName="Sheet8"/>
  <dimension ref="A1:H3473"/>
  <sheetViews>
    <sheetView workbookViewId="0">
      <selection activeCell="A27" sqref="A27"/>
    </sheetView>
  </sheetViews>
  <sheetFormatPr defaultRowHeight="15.75" x14ac:dyDescent="0.25"/>
  <cols>
    <col min="1" max="1" width="14.28515625" style="3" customWidth="1"/>
    <col min="2" max="2" width="8.85546875" style="42"/>
    <col min="3" max="3" width="8.85546875" style="3"/>
    <col min="4" max="4" width="22.7109375" style="3" customWidth="1"/>
    <col min="5" max="6" width="8.85546875" style="42"/>
    <col min="7" max="7" width="20.42578125" style="3" customWidth="1"/>
    <col min="8" max="8" width="20" style="42" customWidth="1"/>
  </cols>
  <sheetData>
    <row r="1" spans="1:8" ht="31.5" x14ac:dyDescent="0.25">
      <c r="A1" s="39" t="s">
        <v>0</v>
      </c>
      <c r="B1" s="40" t="s">
        <v>53</v>
      </c>
      <c r="C1" s="39" t="s">
        <v>50</v>
      </c>
      <c r="D1" s="39" t="s">
        <v>1</v>
      </c>
      <c r="E1" s="41" t="s">
        <v>2</v>
      </c>
      <c r="F1" s="41" t="s">
        <v>235</v>
      </c>
      <c r="G1" s="39" t="s">
        <v>236</v>
      </c>
      <c r="H1" s="40" t="s">
        <v>237</v>
      </c>
    </row>
    <row r="2" spans="1:8" x14ac:dyDescent="0.25">
      <c r="A2" s="19" t="s">
        <v>249</v>
      </c>
      <c r="B2" s="42" t="s">
        <v>85</v>
      </c>
      <c r="C2" s="3">
        <v>20</v>
      </c>
      <c r="D2" s="3">
        <v>2</v>
      </c>
      <c r="G2" s="43">
        <v>43959</v>
      </c>
    </row>
    <row r="3" spans="1:8" x14ac:dyDescent="0.25">
      <c r="A3" s="19" t="s">
        <v>250</v>
      </c>
      <c r="B3" s="42" t="s">
        <v>85</v>
      </c>
      <c r="C3" s="3">
        <v>20</v>
      </c>
      <c r="D3" s="3">
        <v>2</v>
      </c>
      <c r="G3" s="43">
        <v>43959</v>
      </c>
    </row>
    <row r="4" spans="1:8" x14ac:dyDescent="0.25">
      <c r="A4" s="19" t="s">
        <v>251</v>
      </c>
      <c r="B4" s="42" t="s">
        <v>85</v>
      </c>
      <c r="C4" s="3">
        <v>21</v>
      </c>
      <c r="D4" s="3">
        <v>2</v>
      </c>
      <c r="G4" s="43">
        <v>43959</v>
      </c>
    </row>
    <row r="5" spans="1:8" x14ac:dyDescent="0.25">
      <c r="A5" s="19" t="s">
        <v>252</v>
      </c>
      <c r="B5" s="42" t="s">
        <v>85</v>
      </c>
      <c r="C5" s="3">
        <v>20</v>
      </c>
      <c r="D5" s="3">
        <v>2</v>
      </c>
      <c r="G5" s="43">
        <v>43959</v>
      </c>
    </row>
    <row r="6" spans="1:8" x14ac:dyDescent="0.25">
      <c r="A6" s="19" t="s">
        <v>253</v>
      </c>
      <c r="B6" s="42" t="s">
        <v>85</v>
      </c>
      <c r="C6" s="3">
        <v>20</v>
      </c>
      <c r="D6" s="3">
        <v>2</v>
      </c>
      <c r="E6" s="42" t="s">
        <v>160</v>
      </c>
      <c r="G6" s="43">
        <v>43959</v>
      </c>
    </row>
    <row r="7" spans="1:8" x14ac:dyDescent="0.25">
      <c r="A7" s="19" t="s">
        <v>254</v>
      </c>
      <c r="B7" s="42" t="s">
        <v>85</v>
      </c>
      <c r="C7" s="3">
        <v>19</v>
      </c>
      <c r="D7" s="3">
        <v>2</v>
      </c>
      <c r="G7" s="43">
        <v>43959</v>
      </c>
    </row>
    <row r="8" spans="1:8" x14ac:dyDescent="0.25">
      <c r="A8" s="19" t="s">
        <v>255</v>
      </c>
      <c r="B8" s="42" t="s">
        <v>85</v>
      </c>
      <c r="C8" s="3">
        <v>20</v>
      </c>
      <c r="D8" s="3">
        <v>1</v>
      </c>
      <c r="G8" s="43">
        <v>43959</v>
      </c>
    </row>
    <row r="9" spans="1:8" x14ac:dyDescent="0.25">
      <c r="A9" s="19" t="s">
        <v>256</v>
      </c>
      <c r="B9" s="42" t="s">
        <v>85</v>
      </c>
      <c r="C9" s="3">
        <v>18</v>
      </c>
      <c r="D9" s="3">
        <v>1</v>
      </c>
      <c r="G9" s="43">
        <v>43959</v>
      </c>
    </row>
    <row r="10" spans="1:8" x14ac:dyDescent="0.25">
      <c r="A10" s="19" t="s">
        <v>257</v>
      </c>
      <c r="B10" s="42" t="s">
        <v>85</v>
      </c>
      <c r="C10" s="3">
        <v>19</v>
      </c>
      <c r="D10" s="3">
        <v>1</v>
      </c>
      <c r="G10" s="43">
        <v>43959</v>
      </c>
    </row>
    <row r="11" spans="1:8" x14ac:dyDescent="0.25">
      <c r="A11" s="19" t="s">
        <v>258</v>
      </c>
      <c r="B11" s="42" t="s">
        <v>85</v>
      </c>
      <c r="C11" s="3">
        <v>18</v>
      </c>
      <c r="D11" s="3">
        <v>2</v>
      </c>
      <c r="G11" s="43">
        <v>43959</v>
      </c>
    </row>
    <row r="12" spans="1:8" x14ac:dyDescent="0.25">
      <c r="A12" s="19" t="s">
        <v>259</v>
      </c>
      <c r="B12" s="42" t="s">
        <v>85</v>
      </c>
      <c r="C12" s="3">
        <v>18</v>
      </c>
      <c r="D12" s="3">
        <v>2</v>
      </c>
      <c r="G12" s="43">
        <v>43959</v>
      </c>
    </row>
    <row r="13" spans="1:8" x14ac:dyDescent="0.25">
      <c r="A13" s="19" t="s">
        <v>260</v>
      </c>
      <c r="B13" s="42" t="s">
        <v>85</v>
      </c>
      <c r="C13" s="3">
        <v>19</v>
      </c>
      <c r="D13" s="3">
        <v>1</v>
      </c>
      <c r="G13" s="43">
        <v>43959</v>
      </c>
    </row>
    <row r="14" spans="1:8" x14ac:dyDescent="0.25">
      <c r="A14" s="19" t="s">
        <v>261</v>
      </c>
      <c r="B14" s="42" t="s">
        <v>85</v>
      </c>
      <c r="C14" s="3">
        <v>19</v>
      </c>
      <c r="D14" s="3">
        <v>1</v>
      </c>
      <c r="G14" s="43">
        <v>43959</v>
      </c>
    </row>
    <row r="15" spans="1:8" x14ac:dyDescent="0.25">
      <c r="A15" s="19" t="s">
        <v>262</v>
      </c>
      <c r="B15" s="42" t="s">
        <v>85</v>
      </c>
      <c r="C15" s="3">
        <v>18</v>
      </c>
      <c r="D15" s="3">
        <v>1</v>
      </c>
      <c r="G15" s="43">
        <v>43959</v>
      </c>
    </row>
    <row r="16" spans="1:8" x14ac:dyDescent="0.25">
      <c r="A16" s="19" t="s">
        <v>263</v>
      </c>
      <c r="B16" s="42" t="s">
        <v>85</v>
      </c>
      <c r="C16" s="3">
        <v>23</v>
      </c>
      <c r="D16" s="3">
        <v>1</v>
      </c>
      <c r="G16" s="43">
        <v>43959</v>
      </c>
    </row>
    <row r="17" spans="1:7" x14ac:dyDescent="0.25">
      <c r="A17" s="19" t="s">
        <v>264</v>
      </c>
      <c r="B17" s="42" t="s">
        <v>85</v>
      </c>
      <c r="C17" s="3">
        <v>20</v>
      </c>
      <c r="D17" s="3">
        <v>1</v>
      </c>
      <c r="G17" s="43">
        <v>43959</v>
      </c>
    </row>
    <row r="18" spans="1:7" x14ac:dyDescent="0.25">
      <c r="A18" s="19" t="s">
        <v>265</v>
      </c>
      <c r="B18" s="42" t="s">
        <v>85</v>
      </c>
      <c r="C18" s="3">
        <v>18</v>
      </c>
      <c r="D18" s="3">
        <v>2</v>
      </c>
      <c r="G18" s="43">
        <v>43959</v>
      </c>
    </row>
    <row r="19" spans="1:7" x14ac:dyDescent="0.25">
      <c r="A19" s="19" t="s">
        <v>266</v>
      </c>
      <c r="B19" s="42" t="s">
        <v>85</v>
      </c>
      <c r="C19" s="3">
        <v>18</v>
      </c>
      <c r="D19" s="3">
        <v>2</v>
      </c>
      <c r="G19" s="43">
        <v>43959</v>
      </c>
    </row>
    <row r="20" spans="1:7" x14ac:dyDescent="0.25">
      <c r="A20" s="19" t="s">
        <v>267</v>
      </c>
      <c r="B20" s="42" t="s">
        <v>85</v>
      </c>
      <c r="C20" s="3">
        <v>22</v>
      </c>
      <c r="D20" s="3">
        <v>1</v>
      </c>
      <c r="E20" s="42" t="s">
        <v>160</v>
      </c>
      <c r="F20" s="42" t="s">
        <v>160</v>
      </c>
      <c r="G20" s="43">
        <v>43959</v>
      </c>
    </row>
    <row r="21" spans="1:7" x14ac:dyDescent="0.25">
      <c r="A21" s="19" t="s">
        <v>268</v>
      </c>
      <c r="B21" s="42" t="s">
        <v>85</v>
      </c>
      <c r="C21" s="3">
        <v>21</v>
      </c>
      <c r="D21" s="3">
        <v>1</v>
      </c>
      <c r="G21" s="43">
        <v>43959</v>
      </c>
    </row>
    <row r="22" spans="1:7" x14ac:dyDescent="0.25">
      <c r="A22" s="19" t="s">
        <v>269</v>
      </c>
      <c r="B22" s="42" t="s">
        <v>85</v>
      </c>
      <c r="C22" s="3">
        <v>22</v>
      </c>
      <c r="D22" s="3">
        <v>1</v>
      </c>
      <c r="G22" s="43">
        <v>43959</v>
      </c>
    </row>
    <row r="23" spans="1:7" x14ac:dyDescent="0.25">
      <c r="A23" s="19" t="s">
        <v>270</v>
      </c>
      <c r="B23" s="42" t="s">
        <v>85</v>
      </c>
      <c r="C23" s="3">
        <v>20</v>
      </c>
      <c r="D23" s="3">
        <v>1</v>
      </c>
      <c r="G23" s="43">
        <v>43959</v>
      </c>
    </row>
    <row r="24" spans="1:7" x14ac:dyDescent="0.25">
      <c r="A24" s="19" t="s">
        <v>271</v>
      </c>
      <c r="B24" s="42" t="s">
        <v>85</v>
      </c>
      <c r="C24" s="3">
        <v>23</v>
      </c>
      <c r="D24" s="3">
        <v>1</v>
      </c>
      <c r="G24" s="43">
        <v>43959</v>
      </c>
    </row>
    <row r="25" spans="1:7" x14ac:dyDescent="0.25">
      <c r="A25" s="19" t="s">
        <v>272</v>
      </c>
      <c r="B25" s="42" t="s">
        <v>85</v>
      </c>
      <c r="C25" s="3">
        <v>21</v>
      </c>
      <c r="D25" s="3">
        <v>1</v>
      </c>
      <c r="G25" s="43">
        <v>43959</v>
      </c>
    </row>
    <row r="26" spans="1:7" x14ac:dyDescent="0.25">
      <c r="A26" s="19" t="s">
        <v>273</v>
      </c>
      <c r="B26" s="42" t="s">
        <v>85</v>
      </c>
      <c r="C26" s="3">
        <v>20</v>
      </c>
      <c r="D26" s="3">
        <v>1</v>
      </c>
      <c r="G26" s="43">
        <v>43959</v>
      </c>
    </row>
    <row r="27" spans="1:7" x14ac:dyDescent="0.25">
      <c r="A27" s="19" t="s">
        <v>274</v>
      </c>
      <c r="B27" s="42" t="s">
        <v>85</v>
      </c>
      <c r="C27" s="3">
        <v>20</v>
      </c>
      <c r="D27" s="3">
        <v>2</v>
      </c>
      <c r="G27" s="43">
        <v>43959</v>
      </c>
    </row>
    <row r="28" spans="1:7" x14ac:dyDescent="0.25">
      <c r="A28" s="19" t="s">
        <v>275</v>
      </c>
      <c r="B28" s="42" t="s">
        <v>85</v>
      </c>
      <c r="C28" s="3">
        <v>24</v>
      </c>
      <c r="D28" s="3">
        <v>2</v>
      </c>
      <c r="G28" s="43">
        <v>43959</v>
      </c>
    </row>
    <row r="29" spans="1:7" x14ac:dyDescent="0.25">
      <c r="A29" s="19" t="s">
        <v>276</v>
      </c>
      <c r="B29" s="42" t="s">
        <v>85</v>
      </c>
      <c r="C29" s="3">
        <v>19</v>
      </c>
      <c r="D29" s="3">
        <v>2</v>
      </c>
      <c r="G29" s="43">
        <v>43959</v>
      </c>
    </row>
    <row r="30" spans="1:7" x14ac:dyDescent="0.25">
      <c r="A30" s="19" t="s">
        <v>277</v>
      </c>
      <c r="B30" s="42" t="s">
        <v>85</v>
      </c>
      <c r="C30" s="3">
        <v>18</v>
      </c>
      <c r="D30" s="3">
        <v>2</v>
      </c>
      <c r="G30" s="43">
        <v>43959</v>
      </c>
    </row>
    <row r="31" spans="1:7" x14ac:dyDescent="0.25">
      <c r="A31" s="19" t="s">
        <v>278</v>
      </c>
      <c r="B31" s="42" t="s">
        <v>85</v>
      </c>
      <c r="C31" s="3">
        <v>19</v>
      </c>
      <c r="D31" s="3">
        <v>2</v>
      </c>
      <c r="G31" s="43">
        <v>43959</v>
      </c>
    </row>
    <row r="32" spans="1:7" x14ac:dyDescent="0.25">
      <c r="A32" s="19" t="s">
        <v>279</v>
      </c>
      <c r="B32" s="42" t="s">
        <v>85</v>
      </c>
      <c r="C32" s="3">
        <v>18</v>
      </c>
      <c r="D32" s="3">
        <v>2</v>
      </c>
      <c r="G32" s="43">
        <v>43959</v>
      </c>
    </row>
    <row r="33" spans="1:7" x14ac:dyDescent="0.25">
      <c r="A33" s="19" t="s">
        <v>280</v>
      </c>
      <c r="B33" s="42" t="s">
        <v>85</v>
      </c>
      <c r="C33" s="3">
        <v>18</v>
      </c>
      <c r="D33" s="3">
        <v>2</v>
      </c>
      <c r="G33" s="43">
        <v>43959</v>
      </c>
    </row>
    <row r="34" spans="1:7" x14ac:dyDescent="0.25">
      <c r="A34" s="19" t="s">
        <v>281</v>
      </c>
      <c r="B34" s="42" t="s">
        <v>85</v>
      </c>
      <c r="C34" s="3">
        <v>20</v>
      </c>
      <c r="D34" s="3">
        <v>2</v>
      </c>
      <c r="G34" s="43">
        <v>43959</v>
      </c>
    </row>
    <row r="35" spans="1:7" x14ac:dyDescent="0.25">
      <c r="A35" s="19" t="s">
        <v>282</v>
      </c>
      <c r="B35" s="42" t="s">
        <v>85</v>
      </c>
      <c r="C35" s="3">
        <v>21</v>
      </c>
      <c r="D35" s="3">
        <v>2</v>
      </c>
      <c r="G35" s="43">
        <v>43959</v>
      </c>
    </row>
    <row r="36" spans="1:7" x14ac:dyDescent="0.25">
      <c r="A36" s="19" t="s">
        <v>283</v>
      </c>
      <c r="B36" s="42" t="s">
        <v>85</v>
      </c>
      <c r="C36" s="3">
        <v>19</v>
      </c>
      <c r="D36" s="3">
        <v>1</v>
      </c>
      <c r="E36" s="42" t="s">
        <v>160</v>
      </c>
      <c r="G36" s="43">
        <v>43959</v>
      </c>
    </row>
    <row r="37" spans="1:7" x14ac:dyDescent="0.25">
      <c r="A37" s="19" t="s">
        <v>284</v>
      </c>
      <c r="B37" s="42" t="s">
        <v>85</v>
      </c>
      <c r="C37" s="3">
        <v>18</v>
      </c>
      <c r="D37" s="3">
        <v>2</v>
      </c>
      <c r="G37" s="43">
        <v>43959</v>
      </c>
    </row>
    <row r="38" spans="1:7" x14ac:dyDescent="0.25">
      <c r="A38" s="19" t="s">
        <v>285</v>
      </c>
      <c r="B38" s="42" t="s">
        <v>85</v>
      </c>
      <c r="C38" s="3">
        <v>18</v>
      </c>
      <c r="D38" s="3">
        <v>2</v>
      </c>
      <c r="G38" s="43">
        <v>43959</v>
      </c>
    </row>
    <row r="39" spans="1:7" x14ac:dyDescent="0.25">
      <c r="A39" s="19" t="s">
        <v>286</v>
      </c>
      <c r="B39" s="42" t="s">
        <v>85</v>
      </c>
      <c r="C39" s="3">
        <v>19</v>
      </c>
      <c r="D39" s="3">
        <v>2</v>
      </c>
      <c r="G39" s="43">
        <v>43959</v>
      </c>
    </row>
    <row r="40" spans="1:7" x14ac:dyDescent="0.25">
      <c r="A40" s="19" t="s">
        <v>287</v>
      </c>
      <c r="B40" s="42" t="s">
        <v>85</v>
      </c>
      <c r="C40" s="3">
        <v>21</v>
      </c>
      <c r="D40" s="3">
        <v>2</v>
      </c>
      <c r="G40" s="43">
        <v>43959</v>
      </c>
    </row>
    <row r="41" spans="1:7" x14ac:dyDescent="0.25">
      <c r="A41" s="19" t="s">
        <v>288</v>
      </c>
      <c r="B41" s="42" t="s">
        <v>85</v>
      </c>
      <c r="C41" s="3">
        <v>19</v>
      </c>
      <c r="D41" s="3">
        <v>1</v>
      </c>
      <c r="G41" s="43">
        <v>43959</v>
      </c>
    </row>
    <row r="42" spans="1:7" x14ac:dyDescent="0.25">
      <c r="A42" s="19" t="s">
        <v>289</v>
      </c>
      <c r="B42" s="42" t="s">
        <v>85</v>
      </c>
      <c r="C42" s="3">
        <v>21</v>
      </c>
      <c r="D42" s="3">
        <v>1</v>
      </c>
      <c r="G42" s="43">
        <v>43959</v>
      </c>
    </row>
    <row r="43" spans="1:7" x14ac:dyDescent="0.25">
      <c r="A43" s="19" t="s">
        <v>290</v>
      </c>
      <c r="B43" s="42" t="s">
        <v>85</v>
      </c>
      <c r="C43" s="3">
        <v>19</v>
      </c>
      <c r="D43" s="3">
        <v>1</v>
      </c>
      <c r="G43" s="43">
        <v>43959</v>
      </c>
    </row>
    <row r="44" spans="1:7" x14ac:dyDescent="0.25">
      <c r="A44" s="19" t="s">
        <v>291</v>
      </c>
      <c r="B44" s="42" t="s">
        <v>85</v>
      </c>
      <c r="C44" s="3">
        <v>19</v>
      </c>
      <c r="D44" s="3">
        <v>1</v>
      </c>
      <c r="G44" s="43">
        <v>43959</v>
      </c>
    </row>
    <row r="45" spans="1:7" x14ac:dyDescent="0.25">
      <c r="A45" s="19" t="s">
        <v>292</v>
      </c>
      <c r="B45" s="42" t="s">
        <v>85</v>
      </c>
      <c r="C45" s="3">
        <v>20</v>
      </c>
      <c r="D45" s="3">
        <v>1</v>
      </c>
      <c r="G45" s="43">
        <v>43959</v>
      </c>
    </row>
    <row r="46" spans="1:7" x14ac:dyDescent="0.25">
      <c r="A46" s="19" t="s">
        <v>293</v>
      </c>
      <c r="B46" s="42" t="s">
        <v>85</v>
      </c>
      <c r="C46" s="3">
        <v>18</v>
      </c>
      <c r="D46" s="3">
        <v>1</v>
      </c>
      <c r="G46" s="43">
        <v>43959</v>
      </c>
    </row>
    <row r="47" spans="1:7" x14ac:dyDescent="0.25">
      <c r="A47" s="19" t="s">
        <v>294</v>
      </c>
      <c r="B47" s="42" t="s">
        <v>85</v>
      </c>
      <c r="C47" s="3">
        <v>25</v>
      </c>
      <c r="D47" s="3">
        <v>1</v>
      </c>
      <c r="G47" s="43">
        <v>43959</v>
      </c>
    </row>
    <row r="48" spans="1:7" x14ac:dyDescent="0.25">
      <c r="A48" s="19" t="s">
        <v>295</v>
      </c>
      <c r="B48" s="42" t="s">
        <v>85</v>
      </c>
      <c r="C48" s="3">
        <v>19</v>
      </c>
      <c r="D48" s="3">
        <v>1</v>
      </c>
      <c r="G48" s="43">
        <v>43959</v>
      </c>
    </row>
    <row r="49" spans="1:7" x14ac:dyDescent="0.25">
      <c r="A49" s="19" t="s">
        <v>296</v>
      </c>
      <c r="B49" s="42" t="s">
        <v>85</v>
      </c>
      <c r="C49" s="3">
        <v>23</v>
      </c>
      <c r="D49" s="3">
        <v>1</v>
      </c>
      <c r="G49" s="43">
        <v>43959</v>
      </c>
    </row>
    <row r="50" spans="1:7" x14ac:dyDescent="0.25">
      <c r="A50" s="19" t="s">
        <v>297</v>
      </c>
      <c r="B50" s="42" t="s">
        <v>85</v>
      </c>
      <c r="C50" s="3">
        <v>18</v>
      </c>
      <c r="D50" s="3">
        <v>1</v>
      </c>
      <c r="G50" s="43">
        <v>43959</v>
      </c>
    </row>
    <row r="51" spans="1:7" x14ac:dyDescent="0.25">
      <c r="A51" s="19" t="s">
        <v>298</v>
      </c>
      <c r="B51" s="42" t="s">
        <v>85</v>
      </c>
      <c r="C51" s="3">
        <v>22</v>
      </c>
      <c r="D51" s="3">
        <v>1</v>
      </c>
      <c r="G51" s="43">
        <v>43959</v>
      </c>
    </row>
    <row r="52" spans="1:7" x14ac:dyDescent="0.25">
      <c r="A52" s="19" t="s">
        <v>299</v>
      </c>
      <c r="B52" s="42" t="s">
        <v>85</v>
      </c>
      <c r="C52" s="3">
        <v>20</v>
      </c>
      <c r="D52" s="3">
        <v>1</v>
      </c>
      <c r="G52" s="43">
        <v>43959</v>
      </c>
    </row>
    <row r="53" spans="1:7" x14ac:dyDescent="0.25">
      <c r="A53" s="19" t="s">
        <v>300</v>
      </c>
      <c r="B53" s="42" t="s">
        <v>85</v>
      </c>
      <c r="C53" s="3">
        <v>20</v>
      </c>
      <c r="D53" s="3">
        <v>1</v>
      </c>
      <c r="G53" s="43">
        <v>43959</v>
      </c>
    </row>
    <row r="54" spans="1:7" x14ac:dyDescent="0.25">
      <c r="A54" s="19" t="s">
        <v>301</v>
      </c>
      <c r="B54" s="42" t="s">
        <v>85</v>
      </c>
      <c r="C54" s="3">
        <v>20</v>
      </c>
      <c r="D54" s="3">
        <v>1</v>
      </c>
      <c r="G54" s="43">
        <v>43959</v>
      </c>
    </row>
    <row r="55" spans="1:7" x14ac:dyDescent="0.25">
      <c r="A55" s="19" t="s">
        <v>302</v>
      </c>
      <c r="B55" s="42" t="s">
        <v>85</v>
      </c>
      <c r="C55" s="3">
        <v>19</v>
      </c>
      <c r="D55" s="3">
        <v>1</v>
      </c>
      <c r="G55" s="43">
        <v>43959</v>
      </c>
    </row>
    <row r="56" spans="1:7" x14ac:dyDescent="0.25">
      <c r="A56" s="19" t="s">
        <v>303</v>
      </c>
      <c r="B56" s="42" t="s">
        <v>85</v>
      </c>
      <c r="C56" s="3">
        <v>20</v>
      </c>
      <c r="D56" s="3">
        <v>1</v>
      </c>
      <c r="G56" s="43">
        <v>43959</v>
      </c>
    </row>
    <row r="57" spans="1:7" x14ac:dyDescent="0.25">
      <c r="A57" s="19" t="s">
        <v>304</v>
      </c>
      <c r="B57" s="42" t="s">
        <v>85</v>
      </c>
      <c r="C57" s="3">
        <v>20</v>
      </c>
      <c r="D57" s="3">
        <v>1</v>
      </c>
      <c r="G57" s="43">
        <v>43959</v>
      </c>
    </row>
    <row r="58" spans="1:7" x14ac:dyDescent="0.25">
      <c r="A58" s="19" t="s">
        <v>305</v>
      </c>
      <c r="B58" s="42" t="s">
        <v>85</v>
      </c>
      <c r="C58" s="3">
        <v>20</v>
      </c>
      <c r="D58" s="3">
        <v>1</v>
      </c>
      <c r="G58" s="43">
        <v>43959</v>
      </c>
    </row>
    <row r="59" spans="1:7" x14ac:dyDescent="0.25">
      <c r="A59" s="19" t="s">
        <v>306</v>
      </c>
      <c r="B59" s="42" t="s">
        <v>85</v>
      </c>
      <c r="C59" s="3">
        <v>20</v>
      </c>
      <c r="D59" s="3">
        <v>1</v>
      </c>
      <c r="G59" s="43">
        <v>43959</v>
      </c>
    </row>
    <row r="60" spans="1:7" x14ac:dyDescent="0.25">
      <c r="A60" s="19" t="s">
        <v>307</v>
      </c>
      <c r="B60" s="42" t="s">
        <v>85</v>
      </c>
      <c r="C60" s="3">
        <v>21</v>
      </c>
      <c r="D60" s="3">
        <v>1</v>
      </c>
      <c r="G60" s="43">
        <v>43959</v>
      </c>
    </row>
    <row r="61" spans="1:7" x14ac:dyDescent="0.25">
      <c r="A61" s="19" t="s">
        <v>308</v>
      </c>
      <c r="B61" s="42" t="s">
        <v>85</v>
      </c>
      <c r="C61" s="3">
        <v>19</v>
      </c>
      <c r="D61" s="3">
        <v>1</v>
      </c>
      <c r="G61" s="43">
        <v>43959</v>
      </c>
    </row>
    <row r="62" spans="1:7" x14ac:dyDescent="0.25">
      <c r="A62" s="19" t="s">
        <v>309</v>
      </c>
      <c r="B62" s="42" t="s">
        <v>85</v>
      </c>
      <c r="C62" s="3">
        <v>19</v>
      </c>
      <c r="D62" s="3">
        <v>1</v>
      </c>
      <c r="G62" s="43">
        <v>43959</v>
      </c>
    </row>
    <row r="63" spans="1:7" x14ac:dyDescent="0.25">
      <c r="A63" s="19" t="s">
        <v>310</v>
      </c>
      <c r="B63" s="42" t="s">
        <v>85</v>
      </c>
      <c r="C63" s="3">
        <v>19</v>
      </c>
      <c r="D63" s="3">
        <v>1</v>
      </c>
      <c r="G63" s="43">
        <v>43959</v>
      </c>
    </row>
    <row r="64" spans="1:7" x14ac:dyDescent="0.25">
      <c r="A64" s="19" t="s">
        <v>311</v>
      </c>
      <c r="B64" s="42" t="s">
        <v>85</v>
      </c>
      <c r="C64" s="3">
        <v>19</v>
      </c>
      <c r="D64" s="3">
        <v>1</v>
      </c>
      <c r="G64" s="43">
        <v>43959</v>
      </c>
    </row>
    <row r="65" spans="1:7" x14ac:dyDescent="0.25">
      <c r="A65" s="19" t="s">
        <v>312</v>
      </c>
      <c r="B65" s="42" t="s">
        <v>85</v>
      </c>
      <c r="C65" s="3">
        <v>18</v>
      </c>
      <c r="D65" s="3">
        <v>1</v>
      </c>
      <c r="G65" s="43">
        <v>43959</v>
      </c>
    </row>
    <row r="66" spans="1:7" x14ac:dyDescent="0.25">
      <c r="A66" s="19" t="s">
        <v>313</v>
      </c>
      <c r="B66" s="42" t="s">
        <v>85</v>
      </c>
      <c r="C66" s="3">
        <v>18</v>
      </c>
      <c r="D66" s="3">
        <v>1</v>
      </c>
      <c r="G66" s="43">
        <v>43959</v>
      </c>
    </row>
    <row r="67" spans="1:7" x14ac:dyDescent="0.25">
      <c r="A67" s="19" t="s">
        <v>314</v>
      </c>
      <c r="B67" s="42" t="s">
        <v>85</v>
      </c>
      <c r="C67" s="3">
        <v>19</v>
      </c>
      <c r="D67" s="3">
        <v>1</v>
      </c>
      <c r="G67" s="43">
        <v>43959</v>
      </c>
    </row>
    <row r="68" spans="1:7" x14ac:dyDescent="0.25">
      <c r="A68" s="19" t="s">
        <v>315</v>
      </c>
      <c r="B68" s="42" t="s">
        <v>85</v>
      </c>
      <c r="C68" s="3">
        <v>26</v>
      </c>
      <c r="D68" s="3">
        <v>1</v>
      </c>
      <c r="G68" s="43">
        <v>43959</v>
      </c>
    </row>
    <row r="69" spans="1:7" x14ac:dyDescent="0.25">
      <c r="A69" s="20" t="s">
        <v>316</v>
      </c>
      <c r="B69" s="42" t="s">
        <v>85</v>
      </c>
      <c r="C69" s="4">
        <v>18</v>
      </c>
      <c r="D69" s="4">
        <v>1</v>
      </c>
      <c r="G69" s="43">
        <v>43959</v>
      </c>
    </row>
    <row r="70" spans="1:7" x14ac:dyDescent="0.25">
      <c r="A70" s="20" t="s">
        <v>317</v>
      </c>
      <c r="B70" s="42" t="s">
        <v>85</v>
      </c>
      <c r="C70" s="4">
        <v>19</v>
      </c>
      <c r="D70" s="4">
        <v>1</v>
      </c>
      <c r="G70" s="43">
        <v>43959</v>
      </c>
    </row>
    <row r="71" spans="1:7" x14ac:dyDescent="0.25">
      <c r="A71" s="20" t="s">
        <v>318</v>
      </c>
      <c r="B71" s="42" t="s">
        <v>85</v>
      </c>
      <c r="C71" s="4">
        <v>22</v>
      </c>
      <c r="D71" s="4">
        <v>1</v>
      </c>
      <c r="G71" s="43">
        <v>43959</v>
      </c>
    </row>
    <row r="72" spans="1:7" x14ac:dyDescent="0.25">
      <c r="A72" s="20" t="s">
        <v>319</v>
      </c>
      <c r="B72" s="42" t="s">
        <v>85</v>
      </c>
      <c r="C72" s="4">
        <v>20</v>
      </c>
      <c r="D72" s="4">
        <v>1</v>
      </c>
      <c r="G72" s="43">
        <v>43959</v>
      </c>
    </row>
    <row r="73" spans="1:7" x14ac:dyDescent="0.25">
      <c r="A73" s="20" t="s">
        <v>320</v>
      </c>
      <c r="B73" s="42" t="s">
        <v>85</v>
      </c>
      <c r="C73" s="4">
        <v>21</v>
      </c>
      <c r="D73" s="4">
        <v>1</v>
      </c>
      <c r="E73" s="42" t="s">
        <v>160</v>
      </c>
      <c r="G73" s="43">
        <v>43959</v>
      </c>
    </row>
    <row r="74" spans="1:7" x14ac:dyDescent="0.25">
      <c r="A74" s="19" t="s">
        <v>321</v>
      </c>
      <c r="B74" s="42" t="s">
        <v>85</v>
      </c>
      <c r="C74" s="3">
        <v>22</v>
      </c>
      <c r="D74" s="3">
        <v>2</v>
      </c>
      <c r="G74" s="43">
        <v>43959</v>
      </c>
    </row>
    <row r="75" spans="1:7" x14ac:dyDescent="0.25">
      <c r="A75" s="20" t="s">
        <v>322</v>
      </c>
      <c r="B75" s="42" t="s">
        <v>85</v>
      </c>
      <c r="C75" s="4">
        <v>20</v>
      </c>
      <c r="D75" s="4">
        <v>1</v>
      </c>
      <c r="G75" s="43">
        <v>43959</v>
      </c>
    </row>
    <row r="76" spans="1:7" x14ac:dyDescent="0.25">
      <c r="A76" s="20" t="s">
        <v>323</v>
      </c>
      <c r="B76" s="42" t="s">
        <v>85</v>
      </c>
      <c r="C76" s="4">
        <v>21</v>
      </c>
      <c r="D76" s="4">
        <v>1</v>
      </c>
      <c r="G76" s="43">
        <v>43959</v>
      </c>
    </row>
    <row r="77" spans="1:7" x14ac:dyDescent="0.25">
      <c r="A77" s="20" t="s">
        <v>324</v>
      </c>
      <c r="B77" s="42" t="s">
        <v>85</v>
      </c>
      <c r="C77" s="4">
        <v>18</v>
      </c>
      <c r="D77" s="4">
        <v>1</v>
      </c>
      <c r="G77" s="43">
        <v>43959</v>
      </c>
    </row>
    <row r="78" spans="1:7" x14ac:dyDescent="0.25">
      <c r="A78" s="20" t="s">
        <v>325</v>
      </c>
      <c r="B78" s="42" t="s">
        <v>85</v>
      </c>
      <c r="C78" s="4">
        <v>18</v>
      </c>
      <c r="D78" s="4">
        <v>1</v>
      </c>
      <c r="G78" s="43">
        <v>43959</v>
      </c>
    </row>
    <row r="79" spans="1:7" x14ac:dyDescent="0.25">
      <c r="A79" s="20" t="s">
        <v>326</v>
      </c>
      <c r="B79" s="42" t="s">
        <v>85</v>
      </c>
      <c r="C79" s="4">
        <v>20</v>
      </c>
      <c r="D79" s="4">
        <v>1</v>
      </c>
      <c r="G79" s="43">
        <v>43959</v>
      </c>
    </row>
    <row r="80" spans="1:7" x14ac:dyDescent="0.25">
      <c r="A80" s="20" t="s">
        <v>327</v>
      </c>
      <c r="B80" s="42" t="s">
        <v>85</v>
      </c>
      <c r="C80" s="4">
        <v>25</v>
      </c>
      <c r="D80" s="4">
        <v>1</v>
      </c>
      <c r="G80" s="43">
        <v>43959</v>
      </c>
    </row>
    <row r="81" spans="1:7" x14ac:dyDescent="0.25">
      <c r="A81" s="19" t="s">
        <v>328</v>
      </c>
      <c r="B81" s="42" t="s">
        <v>85</v>
      </c>
      <c r="C81" s="3">
        <v>21</v>
      </c>
      <c r="D81" s="3">
        <v>1</v>
      </c>
      <c r="G81" s="43">
        <v>43959</v>
      </c>
    </row>
    <row r="82" spans="1:7" x14ac:dyDescent="0.25">
      <c r="A82" s="20" t="s">
        <v>329</v>
      </c>
      <c r="B82" s="42" t="s">
        <v>85</v>
      </c>
      <c r="C82" s="4">
        <v>19</v>
      </c>
      <c r="D82" s="4">
        <v>1</v>
      </c>
      <c r="G82" s="43">
        <v>43959</v>
      </c>
    </row>
    <row r="83" spans="1:7" x14ac:dyDescent="0.25">
      <c r="A83" s="19" t="s">
        <v>330</v>
      </c>
      <c r="B83" s="42" t="s">
        <v>85</v>
      </c>
      <c r="C83" s="3">
        <v>19</v>
      </c>
      <c r="D83" s="3">
        <v>2</v>
      </c>
      <c r="G83" s="43">
        <v>43959</v>
      </c>
    </row>
    <row r="84" spans="1:7" x14ac:dyDescent="0.25">
      <c r="A84" s="19" t="s">
        <v>331</v>
      </c>
      <c r="B84" s="42" t="s">
        <v>85</v>
      </c>
      <c r="C84" s="3">
        <v>18</v>
      </c>
      <c r="D84" s="3">
        <v>1</v>
      </c>
      <c r="E84" s="42" t="s">
        <v>160</v>
      </c>
      <c r="G84" s="43">
        <v>43959</v>
      </c>
    </row>
    <row r="85" spans="1:7" x14ac:dyDescent="0.25">
      <c r="A85" s="19" t="s">
        <v>332</v>
      </c>
      <c r="B85" s="42" t="s">
        <v>85</v>
      </c>
      <c r="C85" s="3">
        <v>19</v>
      </c>
      <c r="D85" s="3">
        <v>1</v>
      </c>
      <c r="G85" s="43">
        <v>43959</v>
      </c>
    </row>
    <row r="86" spans="1:7" x14ac:dyDescent="0.25">
      <c r="A86" s="19" t="s">
        <v>333</v>
      </c>
      <c r="B86" s="42" t="s">
        <v>85</v>
      </c>
      <c r="C86" s="3">
        <v>18</v>
      </c>
      <c r="D86" s="3">
        <v>1</v>
      </c>
      <c r="G86" s="43">
        <v>43959</v>
      </c>
    </row>
    <row r="87" spans="1:7" x14ac:dyDescent="0.25">
      <c r="A87" s="19" t="s">
        <v>334</v>
      </c>
      <c r="B87" s="42" t="s">
        <v>85</v>
      </c>
      <c r="C87" s="3">
        <v>19</v>
      </c>
      <c r="D87" s="3">
        <v>1</v>
      </c>
      <c r="G87" s="43">
        <v>43959</v>
      </c>
    </row>
    <row r="88" spans="1:7" x14ac:dyDescent="0.25">
      <c r="A88" s="19" t="s">
        <v>335</v>
      </c>
      <c r="B88" s="42" t="s">
        <v>85</v>
      </c>
      <c r="C88" s="3">
        <v>19</v>
      </c>
      <c r="D88" s="3">
        <v>1</v>
      </c>
      <c r="G88" s="43">
        <v>43959</v>
      </c>
    </row>
    <row r="89" spans="1:7" x14ac:dyDescent="0.25">
      <c r="A89" s="20" t="s">
        <v>336</v>
      </c>
      <c r="B89" s="42" t="s">
        <v>85</v>
      </c>
      <c r="C89" s="4">
        <v>21</v>
      </c>
      <c r="D89" s="4">
        <v>1</v>
      </c>
      <c r="G89" s="43">
        <v>43959</v>
      </c>
    </row>
    <row r="90" spans="1:7" x14ac:dyDescent="0.25">
      <c r="A90" s="20" t="s">
        <v>337</v>
      </c>
      <c r="B90" s="42" t="s">
        <v>85</v>
      </c>
      <c r="C90" s="4">
        <v>18</v>
      </c>
      <c r="D90" s="4">
        <v>1</v>
      </c>
      <c r="E90" s="42" t="s">
        <v>160</v>
      </c>
      <c r="G90" s="43">
        <v>43959</v>
      </c>
    </row>
    <row r="91" spans="1:7" x14ac:dyDescent="0.25">
      <c r="A91" s="19" t="s">
        <v>338</v>
      </c>
      <c r="B91" s="42" t="s">
        <v>85</v>
      </c>
      <c r="C91" s="3">
        <v>21</v>
      </c>
      <c r="D91" s="3">
        <v>1</v>
      </c>
      <c r="G91" s="43">
        <v>43959</v>
      </c>
    </row>
    <row r="92" spans="1:7" x14ac:dyDescent="0.25">
      <c r="A92" s="19" t="s">
        <v>339</v>
      </c>
      <c r="B92" s="42" t="s">
        <v>85</v>
      </c>
      <c r="C92" s="3">
        <v>18</v>
      </c>
      <c r="D92" s="3">
        <v>1</v>
      </c>
      <c r="G92" s="43">
        <v>43959</v>
      </c>
    </row>
    <row r="93" spans="1:7" x14ac:dyDescent="0.25">
      <c r="A93" s="19" t="s">
        <v>340</v>
      </c>
      <c r="B93" s="42" t="s">
        <v>85</v>
      </c>
      <c r="C93" s="3">
        <v>19</v>
      </c>
      <c r="D93" s="3">
        <v>2</v>
      </c>
      <c r="G93" s="43">
        <v>43959</v>
      </c>
    </row>
    <row r="94" spans="1:7" x14ac:dyDescent="0.25">
      <c r="A94" s="19" t="s">
        <v>341</v>
      </c>
      <c r="B94" s="42" t="s">
        <v>85</v>
      </c>
      <c r="C94" s="3">
        <v>18</v>
      </c>
      <c r="D94" s="3">
        <v>1</v>
      </c>
      <c r="G94" s="43">
        <v>43959</v>
      </c>
    </row>
    <row r="95" spans="1:7" x14ac:dyDescent="0.25">
      <c r="A95" s="19" t="s">
        <v>342</v>
      </c>
      <c r="B95" s="42" t="s">
        <v>85</v>
      </c>
      <c r="C95" s="3">
        <v>21</v>
      </c>
      <c r="D95" s="3">
        <v>1</v>
      </c>
      <c r="E95" s="42" t="s">
        <v>160</v>
      </c>
      <c r="G95" s="43">
        <v>43959</v>
      </c>
    </row>
    <row r="96" spans="1:7" x14ac:dyDescent="0.25">
      <c r="A96" s="19" t="s">
        <v>343</v>
      </c>
      <c r="B96" s="42" t="s">
        <v>85</v>
      </c>
      <c r="C96" s="3">
        <v>18</v>
      </c>
      <c r="D96" s="3">
        <v>1</v>
      </c>
      <c r="G96" s="43">
        <v>43959</v>
      </c>
    </row>
    <row r="97" spans="1:7" x14ac:dyDescent="0.25">
      <c r="A97" s="19" t="s">
        <v>344</v>
      </c>
      <c r="B97" s="42" t="s">
        <v>85</v>
      </c>
      <c r="C97" s="3">
        <v>19</v>
      </c>
      <c r="D97" s="3">
        <v>1</v>
      </c>
      <c r="G97" s="43">
        <v>43959</v>
      </c>
    </row>
    <row r="98" spans="1:7" x14ac:dyDescent="0.25">
      <c r="A98" s="19" t="s">
        <v>345</v>
      </c>
      <c r="B98" s="42" t="s">
        <v>85</v>
      </c>
      <c r="C98" s="3">
        <v>20</v>
      </c>
      <c r="D98" s="3">
        <v>1</v>
      </c>
      <c r="G98" s="43">
        <v>43959</v>
      </c>
    </row>
    <row r="99" spans="1:7" x14ac:dyDescent="0.25">
      <c r="A99" s="19" t="s">
        <v>346</v>
      </c>
      <c r="B99" s="42" t="s">
        <v>85</v>
      </c>
      <c r="C99" s="3">
        <v>19</v>
      </c>
      <c r="D99" s="3">
        <v>1</v>
      </c>
      <c r="G99" s="43">
        <v>43959</v>
      </c>
    </row>
    <row r="100" spans="1:7" x14ac:dyDescent="0.25">
      <c r="A100" s="19" t="s">
        <v>347</v>
      </c>
      <c r="B100" s="42" t="s">
        <v>85</v>
      </c>
      <c r="C100" s="3">
        <v>20</v>
      </c>
      <c r="D100" s="3">
        <v>1</v>
      </c>
      <c r="E100" s="42" t="s">
        <v>160</v>
      </c>
      <c r="G100" s="43">
        <v>43959</v>
      </c>
    </row>
    <row r="101" spans="1:7" x14ac:dyDescent="0.25">
      <c r="A101" s="19" t="s">
        <v>348</v>
      </c>
      <c r="B101" s="42" t="s">
        <v>85</v>
      </c>
      <c r="C101" s="3">
        <v>19</v>
      </c>
      <c r="D101" s="3">
        <v>1</v>
      </c>
      <c r="G101" s="43">
        <v>43959</v>
      </c>
    </row>
    <row r="102" spans="1:7" x14ac:dyDescent="0.25">
      <c r="A102" s="19" t="s">
        <v>349</v>
      </c>
      <c r="B102" s="42" t="s">
        <v>85</v>
      </c>
      <c r="C102" s="3">
        <v>20</v>
      </c>
      <c r="D102" s="3">
        <v>1</v>
      </c>
      <c r="G102" s="43">
        <v>43959</v>
      </c>
    </row>
    <row r="103" spans="1:7" x14ac:dyDescent="0.25">
      <c r="A103" s="19" t="s">
        <v>350</v>
      </c>
      <c r="B103" s="42" t="s">
        <v>85</v>
      </c>
      <c r="C103" s="3">
        <v>19</v>
      </c>
      <c r="D103" s="3">
        <v>1</v>
      </c>
      <c r="G103" s="43">
        <v>43959</v>
      </c>
    </row>
    <row r="104" spans="1:7" x14ac:dyDescent="0.25">
      <c r="A104" s="19" t="s">
        <v>351</v>
      </c>
      <c r="B104" s="42" t="s">
        <v>85</v>
      </c>
      <c r="C104" s="3">
        <v>21</v>
      </c>
      <c r="D104" s="3">
        <v>1</v>
      </c>
      <c r="G104" s="43">
        <v>43959</v>
      </c>
    </row>
    <row r="105" spans="1:7" x14ac:dyDescent="0.25">
      <c r="A105" s="19" t="s">
        <v>352</v>
      </c>
      <c r="B105" s="42" t="s">
        <v>85</v>
      </c>
      <c r="C105" s="3">
        <v>22</v>
      </c>
      <c r="D105" s="3">
        <v>1</v>
      </c>
      <c r="E105" s="42" t="s">
        <v>160</v>
      </c>
      <c r="G105" s="43">
        <v>43959</v>
      </c>
    </row>
    <row r="106" spans="1:7" x14ac:dyDescent="0.25">
      <c r="A106" s="19" t="s">
        <v>353</v>
      </c>
      <c r="B106" s="42" t="s">
        <v>85</v>
      </c>
      <c r="C106" s="3">
        <v>21</v>
      </c>
      <c r="D106" s="3">
        <v>1</v>
      </c>
      <c r="G106" s="43">
        <v>43959</v>
      </c>
    </row>
    <row r="107" spans="1:7" x14ac:dyDescent="0.25">
      <c r="A107" s="19" t="s">
        <v>354</v>
      </c>
      <c r="B107" s="42" t="s">
        <v>85</v>
      </c>
      <c r="C107" s="3">
        <v>20</v>
      </c>
      <c r="D107" s="3">
        <v>1</v>
      </c>
      <c r="G107" s="43">
        <v>43959</v>
      </c>
    </row>
    <row r="108" spans="1:7" x14ac:dyDescent="0.25">
      <c r="A108" s="19" t="s">
        <v>355</v>
      </c>
      <c r="B108" s="42" t="s">
        <v>85</v>
      </c>
      <c r="C108" s="3">
        <v>19</v>
      </c>
      <c r="D108" s="3">
        <v>1</v>
      </c>
      <c r="G108" s="43">
        <v>43959</v>
      </c>
    </row>
    <row r="109" spans="1:7" x14ac:dyDescent="0.25">
      <c r="A109" s="19" t="s">
        <v>356</v>
      </c>
      <c r="B109" s="42" t="s">
        <v>85</v>
      </c>
      <c r="C109" s="3">
        <v>20</v>
      </c>
      <c r="D109" s="3">
        <v>1</v>
      </c>
      <c r="G109" s="43">
        <v>43959</v>
      </c>
    </row>
    <row r="110" spans="1:7" x14ac:dyDescent="0.25">
      <c r="A110" s="19" t="s">
        <v>357</v>
      </c>
      <c r="B110" s="42" t="s">
        <v>85</v>
      </c>
      <c r="C110" s="3">
        <v>19</v>
      </c>
      <c r="D110" s="3">
        <v>1</v>
      </c>
      <c r="G110" s="43">
        <v>43959</v>
      </c>
    </row>
    <row r="111" spans="1:7" x14ac:dyDescent="0.25">
      <c r="A111" s="19" t="s">
        <v>358</v>
      </c>
      <c r="B111" s="42" t="s">
        <v>85</v>
      </c>
      <c r="C111" s="3">
        <v>18</v>
      </c>
      <c r="D111" s="3">
        <v>1</v>
      </c>
      <c r="E111" s="42" t="s">
        <v>160</v>
      </c>
      <c r="G111" s="43">
        <v>43959</v>
      </c>
    </row>
    <row r="112" spans="1:7" x14ac:dyDescent="0.25">
      <c r="A112" s="19" t="s">
        <v>359</v>
      </c>
      <c r="B112" s="42" t="s">
        <v>85</v>
      </c>
      <c r="C112" s="3">
        <v>19</v>
      </c>
      <c r="D112" s="3">
        <v>1</v>
      </c>
      <c r="E112" s="42" t="s">
        <v>160</v>
      </c>
      <c r="G112" s="43">
        <v>43959</v>
      </c>
    </row>
    <row r="113" spans="1:7" x14ac:dyDescent="0.25">
      <c r="A113" s="19" t="s">
        <v>360</v>
      </c>
      <c r="B113" s="42" t="s">
        <v>85</v>
      </c>
      <c r="C113" s="3">
        <v>18</v>
      </c>
      <c r="D113" s="3">
        <v>1</v>
      </c>
      <c r="G113" s="43">
        <v>43959</v>
      </c>
    </row>
    <row r="114" spans="1:7" x14ac:dyDescent="0.25">
      <c r="A114" s="19" t="s">
        <v>361</v>
      </c>
      <c r="B114" s="42" t="s">
        <v>85</v>
      </c>
      <c r="C114" s="3">
        <v>18</v>
      </c>
      <c r="D114" s="3">
        <v>1</v>
      </c>
      <c r="G114" s="43">
        <v>43959</v>
      </c>
    </row>
    <row r="115" spans="1:7" x14ac:dyDescent="0.25">
      <c r="A115" s="19" t="s">
        <v>362</v>
      </c>
      <c r="B115" s="42" t="s">
        <v>85</v>
      </c>
      <c r="C115" s="3">
        <v>18</v>
      </c>
      <c r="D115" s="3">
        <v>1</v>
      </c>
      <c r="E115" s="42" t="s">
        <v>160</v>
      </c>
      <c r="G115" s="43">
        <v>43959</v>
      </c>
    </row>
    <row r="116" spans="1:7" x14ac:dyDescent="0.25">
      <c r="A116" s="19" t="s">
        <v>363</v>
      </c>
      <c r="B116" s="42" t="s">
        <v>85</v>
      </c>
      <c r="C116" s="3">
        <v>23</v>
      </c>
      <c r="D116" s="3">
        <v>1</v>
      </c>
      <c r="G116" s="43">
        <v>43959</v>
      </c>
    </row>
    <row r="117" spans="1:7" x14ac:dyDescent="0.25">
      <c r="A117" s="19" t="s">
        <v>364</v>
      </c>
      <c r="B117" s="42" t="s">
        <v>85</v>
      </c>
      <c r="C117" s="3">
        <v>19</v>
      </c>
      <c r="D117" s="3">
        <v>1</v>
      </c>
      <c r="G117" s="43">
        <v>43959</v>
      </c>
    </row>
    <row r="118" spans="1:7" x14ac:dyDescent="0.25">
      <c r="A118" s="19" t="s">
        <v>365</v>
      </c>
      <c r="B118" s="42" t="s">
        <v>85</v>
      </c>
      <c r="C118" s="3">
        <v>18</v>
      </c>
      <c r="D118" s="3">
        <v>1</v>
      </c>
      <c r="G118" s="43">
        <v>43959</v>
      </c>
    </row>
    <row r="119" spans="1:7" x14ac:dyDescent="0.25">
      <c r="A119" s="19" t="s">
        <v>366</v>
      </c>
      <c r="B119" s="42" t="s">
        <v>85</v>
      </c>
      <c r="C119" s="3">
        <v>19</v>
      </c>
      <c r="D119" s="3">
        <v>1</v>
      </c>
      <c r="G119" s="43">
        <v>43959</v>
      </c>
    </row>
    <row r="120" spans="1:7" x14ac:dyDescent="0.25">
      <c r="A120" s="19" t="s">
        <v>367</v>
      </c>
      <c r="B120" s="42" t="s">
        <v>85</v>
      </c>
      <c r="C120" s="3">
        <v>20</v>
      </c>
      <c r="D120" s="3">
        <v>1</v>
      </c>
      <c r="G120" s="43">
        <v>43959</v>
      </c>
    </row>
    <row r="121" spans="1:7" x14ac:dyDescent="0.25">
      <c r="A121" s="19" t="s">
        <v>368</v>
      </c>
      <c r="B121" s="42" t="s">
        <v>85</v>
      </c>
      <c r="C121" s="3">
        <v>21</v>
      </c>
      <c r="D121" s="3">
        <v>1</v>
      </c>
      <c r="E121" s="42" t="s">
        <v>160</v>
      </c>
      <c r="G121" s="43">
        <v>43959</v>
      </c>
    </row>
    <row r="122" spans="1:7" x14ac:dyDescent="0.25">
      <c r="A122" s="19" t="s">
        <v>369</v>
      </c>
      <c r="B122" s="42" t="s">
        <v>85</v>
      </c>
      <c r="C122" s="3">
        <v>23</v>
      </c>
      <c r="D122" s="3">
        <v>1</v>
      </c>
      <c r="G122" s="43">
        <v>43959</v>
      </c>
    </row>
    <row r="123" spans="1:7" x14ac:dyDescent="0.25">
      <c r="A123" s="19" t="s">
        <v>370</v>
      </c>
      <c r="B123" s="42" t="s">
        <v>85</v>
      </c>
      <c r="C123" s="3">
        <v>20</v>
      </c>
      <c r="D123" s="3">
        <v>1</v>
      </c>
      <c r="G123" s="43">
        <v>43959</v>
      </c>
    </row>
    <row r="124" spans="1:7" x14ac:dyDescent="0.25">
      <c r="A124" s="19" t="s">
        <v>371</v>
      </c>
      <c r="B124" s="42" t="s">
        <v>85</v>
      </c>
      <c r="C124" s="3">
        <v>24</v>
      </c>
      <c r="D124" s="3">
        <v>1</v>
      </c>
      <c r="G124" s="43">
        <v>43959</v>
      </c>
    </row>
    <row r="125" spans="1:7" x14ac:dyDescent="0.25">
      <c r="A125" s="19" t="s">
        <v>372</v>
      </c>
      <c r="B125" s="42" t="s">
        <v>85</v>
      </c>
      <c r="C125" s="3">
        <v>21</v>
      </c>
      <c r="D125" s="3">
        <v>2</v>
      </c>
      <c r="G125" s="43">
        <v>43959</v>
      </c>
    </row>
    <row r="126" spans="1:7" x14ac:dyDescent="0.25">
      <c r="A126" s="19" t="s">
        <v>373</v>
      </c>
      <c r="B126" s="42" t="s">
        <v>85</v>
      </c>
      <c r="C126" s="3">
        <v>20</v>
      </c>
      <c r="D126" s="3">
        <v>1</v>
      </c>
      <c r="G126" s="43">
        <v>43959</v>
      </c>
    </row>
    <row r="127" spans="1:7" x14ac:dyDescent="0.25">
      <c r="A127" s="19" t="s">
        <v>374</v>
      </c>
      <c r="B127" s="42" t="s">
        <v>85</v>
      </c>
      <c r="C127" s="3">
        <v>19</v>
      </c>
      <c r="D127" s="3">
        <v>1</v>
      </c>
      <c r="G127" s="43">
        <v>43959</v>
      </c>
    </row>
    <row r="128" spans="1:7" x14ac:dyDescent="0.25">
      <c r="A128" s="19" t="s">
        <v>375</v>
      </c>
      <c r="B128" s="42" t="s">
        <v>85</v>
      </c>
      <c r="C128" s="3">
        <v>24</v>
      </c>
      <c r="D128" s="3">
        <v>2</v>
      </c>
      <c r="G128" s="43">
        <v>43959</v>
      </c>
    </row>
    <row r="129" spans="1:7" x14ac:dyDescent="0.25">
      <c r="A129" s="19" t="s">
        <v>376</v>
      </c>
      <c r="B129" s="42" t="s">
        <v>85</v>
      </c>
      <c r="C129" s="3">
        <v>21</v>
      </c>
      <c r="D129" s="3">
        <v>2</v>
      </c>
      <c r="G129" s="43">
        <v>43959</v>
      </c>
    </row>
    <row r="130" spans="1:7" x14ac:dyDescent="0.25">
      <c r="A130" s="20" t="s">
        <v>377</v>
      </c>
      <c r="B130" s="42" t="s">
        <v>85</v>
      </c>
      <c r="C130" s="4">
        <v>19</v>
      </c>
      <c r="D130" s="4">
        <v>1</v>
      </c>
      <c r="G130" s="43">
        <v>43959</v>
      </c>
    </row>
    <row r="131" spans="1:7" x14ac:dyDescent="0.25">
      <c r="A131" s="19" t="s">
        <v>378</v>
      </c>
      <c r="B131" s="42" t="s">
        <v>85</v>
      </c>
      <c r="C131" s="3">
        <v>22</v>
      </c>
      <c r="D131" s="3">
        <v>1</v>
      </c>
      <c r="G131" s="43">
        <v>43959</v>
      </c>
    </row>
    <row r="132" spans="1:7" x14ac:dyDescent="0.25">
      <c r="A132" s="19" t="s">
        <v>379</v>
      </c>
      <c r="B132" s="42" t="s">
        <v>85</v>
      </c>
      <c r="C132" s="3">
        <v>19</v>
      </c>
      <c r="D132" s="3">
        <v>2</v>
      </c>
      <c r="G132" s="43">
        <v>43959</v>
      </c>
    </row>
    <row r="133" spans="1:7" x14ac:dyDescent="0.25">
      <c r="A133" s="19" t="s">
        <v>380</v>
      </c>
      <c r="B133" s="42" t="s">
        <v>85</v>
      </c>
      <c r="C133" s="3">
        <v>19</v>
      </c>
      <c r="D133" s="3">
        <v>2</v>
      </c>
      <c r="G133" s="43">
        <v>43959</v>
      </c>
    </row>
    <row r="134" spans="1:7" x14ac:dyDescent="0.25">
      <c r="A134" s="19" t="s">
        <v>381</v>
      </c>
      <c r="B134" s="42" t="s">
        <v>85</v>
      </c>
      <c r="C134" s="3">
        <v>19</v>
      </c>
      <c r="D134" s="3">
        <v>1</v>
      </c>
      <c r="G134" s="43">
        <v>43959</v>
      </c>
    </row>
    <row r="135" spans="1:7" x14ac:dyDescent="0.25">
      <c r="A135" s="19" t="s">
        <v>382</v>
      </c>
      <c r="B135" s="42" t="s">
        <v>85</v>
      </c>
      <c r="C135" s="3">
        <v>20</v>
      </c>
      <c r="D135" s="3">
        <v>2</v>
      </c>
      <c r="G135" s="43">
        <v>43959</v>
      </c>
    </row>
    <row r="136" spans="1:7" x14ac:dyDescent="0.25">
      <c r="A136" s="19" t="s">
        <v>383</v>
      </c>
      <c r="B136" s="42" t="s">
        <v>85</v>
      </c>
      <c r="C136" s="3">
        <v>20</v>
      </c>
      <c r="D136" s="3">
        <v>2</v>
      </c>
      <c r="G136" s="43">
        <v>43959</v>
      </c>
    </row>
    <row r="137" spans="1:7" x14ac:dyDescent="0.25">
      <c r="A137" s="19" t="s">
        <v>384</v>
      </c>
      <c r="B137" s="42" t="s">
        <v>85</v>
      </c>
      <c r="C137" s="3">
        <v>21</v>
      </c>
      <c r="D137" s="3">
        <v>2</v>
      </c>
      <c r="E137" s="42" t="s">
        <v>160</v>
      </c>
      <c r="G137" s="43">
        <v>43959</v>
      </c>
    </row>
    <row r="138" spans="1:7" x14ac:dyDescent="0.25">
      <c r="A138" s="19" t="s">
        <v>385</v>
      </c>
      <c r="B138" s="42" t="s">
        <v>85</v>
      </c>
      <c r="C138" s="3">
        <v>18</v>
      </c>
      <c r="D138" s="3">
        <v>2</v>
      </c>
      <c r="G138" s="43">
        <v>43959</v>
      </c>
    </row>
    <row r="139" spans="1:7" x14ac:dyDescent="0.25">
      <c r="A139" s="19" t="s">
        <v>386</v>
      </c>
      <c r="B139" s="42" t="s">
        <v>85</v>
      </c>
      <c r="C139" s="3">
        <v>19</v>
      </c>
      <c r="D139" s="3">
        <v>2</v>
      </c>
      <c r="G139" s="43">
        <v>43959</v>
      </c>
    </row>
    <row r="140" spans="1:7" x14ac:dyDescent="0.25">
      <c r="A140" s="19" t="s">
        <v>387</v>
      </c>
      <c r="B140" s="42" t="s">
        <v>85</v>
      </c>
      <c r="C140" s="3">
        <v>18</v>
      </c>
      <c r="D140" s="3">
        <v>2</v>
      </c>
      <c r="G140" s="43">
        <v>43959</v>
      </c>
    </row>
    <row r="141" spans="1:7" x14ac:dyDescent="0.25">
      <c r="A141" s="19" t="s">
        <v>388</v>
      </c>
      <c r="B141" s="42" t="s">
        <v>85</v>
      </c>
      <c r="C141" s="3">
        <v>20</v>
      </c>
      <c r="D141" s="3">
        <v>1</v>
      </c>
      <c r="G141" s="43">
        <v>43959</v>
      </c>
    </row>
    <row r="142" spans="1:7" x14ac:dyDescent="0.25">
      <c r="A142" s="19" t="s">
        <v>389</v>
      </c>
      <c r="B142" s="42" t="s">
        <v>85</v>
      </c>
      <c r="C142" s="3">
        <v>22</v>
      </c>
      <c r="D142" s="3">
        <v>1</v>
      </c>
      <c r="G142" s="43">
        <v>43959</v>
      </c>
    </row>
    <row r="143" spans="1:7" x14ac:dyDescent="0.25">
      <c r="A143" s="19" t="s">
        <v>390</v>
      </c>
      <c r="B143" s="42" t="s">
        <v>85</v>
      </c>
      <c r="C143" s="3">
        <v>24</v>
      </c>
      <c r="D143" s="3">
        <v>1</v>
      </c>
      <c r="E143" s="42" t="s">
        <v>160</v>
      </c>
      <c r="F143" s="42" t="s">
        <v>160</v>
      </c>
      <c r="G143" s="43">
        <v>43959</v>
      </c>
    </row>
    <row r="144" spans="1:7" x14ac:dyDescent="0.25">
      <c r="A144" s="19" t="s">
        <v>391</v>
      </c>
      <c r="B144" s="42" t="s">
        <v>85</v>
      </c>
      <c r="C144" s="3">
        <v>18</v>
      </c>
      <c r="D144" s="3">
        <v>1</v>
      </c>
      <c r="G144" s="43">
        <v>43959</v>
      </c>
    </row>
    <row r="145" spans="1:7" x14ac:dyDescent="0.25">
      <c r="A145" s="20" t="s">
        <v>392</v>
      </c>
      <c r="B145" s="42" t="s">
        <v>85</v>
      </c>
      <c r="C145" s="4">
        <v>21</v>
      </c>
      <c r="D145" s="4">
        <v>1</v>
      </c>
      <c r="G145" s="43">
        <v>43959</v>
      </c>
    </row>
    <row r="146" spans="1:7" x14ac:dyDescent="0.25">
      <c r="A146" s="20" t="s">
        <v>393</v>
      </c>
      <c r="B146" s="42" t="s">
        <v>85</v>
      </c>
      <c r="C146" s="4">
        <v>19</v>
      </c>
      <c r="D146" s="4">
        <v>1</v>
      </c>
      <c r="G146" s="43">
        <v>43959</v>
      </c>
    </row>
    <row r="147" spans="1:7" x14ac:dyDescent="0.25">
      <c r="A147" s="20" t="s">
        <v>394</v>
      </c>
      <c r="B147" s="42" t="s">
        <v>85</v>
      </c>
      <c r="C147" s="4">
        <v>18</v>
      </c>
      <c r="D147" s="4">
        <v>1</v>
      </c>
      <c r="G147" s="43">
        <v>43959</v>
      </c>
    </row>
    <row r="148" spans="1:7" x14ac:dyDescent="0.25">
      <c r="A148" s="19" t="s">
        <v>395</v>
      </c>
      <c r="B148" s="42" t="s">
        <v>3</v>
      </c>
      <c r="C148" s="3">
        <v>19</v>
      </c>
      <c r="D148" s="3">
        <v>1</v>
      </c>
      <c r="E148" s="42" t="s">
        <v>160</v>
      </c>
      <c r="G148" s="43">
        <v>43962</v>
      </c>
    </row>
    <row r="149" spans="1:7" x14ac:dyDescent="0.25">
      <c r="A149" s="19" t="s">
        <v>396</v>
      </c>
      <c r="B149" s="42" t="s">
        <v>3</v>
      </c>
      <c r="C149" s="3">
        <v>19</v>
      </c>
      <c r="D149" s="3">
        <v>1</v>
      </c>
      <c r="G149" s="43">
        <v>43962</v>
      </c>
    </row>
    <row r="150" spans="1:7" x14ac:dyDescent="0.25">
      <c r="A150" s="19" t="s">
        <v>397</v>
      </c>
      <c r="B150" s="42" t="s">
        <v>3</v>
      </c>
      <c r="C150" s="3">
        <v>22</v>
      </c>
      <c r="D150" s="3">
        <v>1</v>
      </c>
      <c r="G150" s="43">
        <v>43962</v>
      </c>
    </row>
    <row r="151" spans="1:7" x14ac:dyDescent="0.25">
      <c r="A151" s="19" t="s">
        <v>398</v>
      </c>
      <c r="B151" s="42" t="s">
        <v>120</v>
      </c>
      <c r="C151" s="3">
        <v>19</v>
      </c>
      <c r="D151" s="3">
        <v>1</v>
      </c>
      <c r="E151" s="42" t="s">
        <v>160</v>
      </c>
      <c r="G151" s="43">
        <v>43962</v>
      </c>
    </row>
    <row r="152" spans="1:7" x14ac:dyDescent="0.25">
      <c r="A152" s="19" t="s">
        <v>399</v>
      </c>
      <c r="B152" s="42" t="s">
        <v>3</v>
      </c>
      <c r="C152" s="3">
        <v>20</v>
      </c>
      <c r="D152" s="3">
        <v>1</v>
      </c>
      <c r="G152" s="43">
        <v>43962</v>
      </c>
    </row>
    <row r="153" spans="1:7" x14ac:dyDescent="0.25">
      <c r="A153" s="19" t="s">
        <v>400</v>
      </c>
      <c r="B153" s="42" t="s">
        <v>3</v>
      </c>
      <c r="C153" s="3">
        <v>18</v>
      </c>
      <c r="D153" s="3">
        <v>1</v>
      </c>
      <c r="G153" s="43">
        <v>43962</v>
      </c>
    </row>
    <row r="154" spans="1:7" x14ac:dyDescent="0.25">
      <c r="A154" s="19" t="s">
        <v>401</v>
      </c>
      <c r="B154" s="42" t="s">
        <v>120</v>
      </c>
      <c r="C154" s="3">
        <v>22</v>
      </c>
      <c r="D154" s="3">
        <v>1</v>
      </c>
      <c r="E154" s="42" t="s">
        <v>160</v>
      </c>
      <c r="G154" s="43">
        <v>43962</v>
      </c>
    </row>
    <row r="155" spans="1:7" x14ac:dyDescent="0.25">
      <c r="A155" s="19" t="s">
        <v>402</v>
      </c>
      <c r="B155" s="42" t="s">
        <v>120</v>
      </c>
      <c r="C155" s="3">
        <v>22</v>
      </c>
      <c r="D155" s="3">
        <v>1</v>
      </c>
      <c r="E155" s="42" t="s">
        <v>160</v>
      </c>
      <c r="G155" s="43">
        <v>43962</v>
      </c>
    </row>
    <row r="156" spans="1:7" x14ac:dyDescent="0.25">
      <c r="A156" s="19" t="s">
        <v>403</v>
      </c>
      <c r="B156" s="42" t="s">
        <v>120</v>
      </c>
      <c r="C156" s="3">
        <v>19</v>
      </c>
      <c r="D156" s="3">
        <v>1</v>
      </c>
      <c r="E156" s="42" t="s">
        <v>160</v>
      </c>
      <c r="G156" s="43">
        <v>43962</v>
      </c>
    </row>
    <row r="157" spans="1:7" x14ac:dyDescent="0.25">
      <c r="A157" s="19" t="s">
        <v>404</v>
      </c>
      <c r="B157" s="42" t="s">
        <v>120</v>
      </c>
      <c r="C157" s="3">
        <v>24</v>
      </c>
      <c r="D157" s="3">
        <v>1</v>
      </c>
      <c r="E157" s="42" t="s">
        <v>160</v>
      </c>
      <c r="G157" s="43">
        <v>43962</v>
      </c>
    </row>
    <row r="158" spans="1:7" x14ac:dyDescent="0.25">
      <c r="A158" s="19" t="s">
        <v>405</v>
      </c>
      <c r="B158" s="42" t="s">
        <v>3</v>
      </c>
      <c r="C158" s="3">
        <v>21</v>
      </c>
      <c r="D158" s="3">
        <v>1</v>
      </c>
      <c r="G158" s="43">
        <v>43962</v>
      </c>
    </row>
    <row r="159" spans="1:7" x14ac:dyDescent="0.25">
      <c r="A159" s="19" t="s">
        <v>406</v>
      </c>
      <c r="B159" s="42" t="s">
        <v>120</v>
      </c>
      <c r="C159" s="3">
        <v>18</v>
      </c>
      <c r="D159" s="3">
        <v>1</v>
      </c>
      <c r="E159" s="42" t="s">
        <v>160</v>
      </c>
      <c r="F159" s="42" t="s">
        <v>160</v>
      </c>
      <c r="G159" s="43">
        <v>43962</v>
      </c>
    </row>
    <row r="160" spans="1:7" x14ac:dyDescent="0.25">
      <c r="A160" s="19" t="s">
        <v>407</v>
      </c>
      <c r="B160" s="42" t="s">
        <v>3</v>
      </c>
      <c r="C160" s="3">
        <v>27</v>
      </c>
      <c r="D160" s="3">
        <v>1</v>
      </c>
      <c r="G160" s="43">
        <v>43962</v>
      </c>
    </row>
    <row r="161" spans="1:7" x14ac:dyDescent="0.25">
      <c r="A161" s="19" t="s">
        <v>408</v>
      </c>
      <c r="B161" s="42" t="s">
        <v>120</v>
      </c>
      <c r="C161" s="3">
        <v>18</v>
      </c>
      <c r="D161" s="3">
        <v>2</v>
      </c>
      <c r="E161" s="42" t="s">
        <v>160</v>
      </c>
      <c r="F161" s="42" t="s">
        <v>160</v>
      </c>
      <c r="G161" s="43">
        <v>43962</v>
      </c>
    </row>
    <row r="162" spans="1:7" x14ac:dyDescent="0.25">
      <c r="A162" s="19" t="s">
        <v>409</v>
      </c>
      <c r="B162" s="42" t="s">
        <v>120</v>
      </c>
      <c r="C162" s="3">
        <v>21</v>
      </c>
      <c r="D162" s="3">
        <v>2</v>
      </c>
      <c r="E162" s="42" t="s">
        <v>160</v>
      </c>
      <c r="F162" s="42" t="s">
        <v>160</v>
      </c>
      <c r="G162" s="43">
        <v>43962</v>
      </c>
    </row>
    <row r="163" spans="1:7" x14ac:dyDescent="0.25">
      <c r="A163" s="19" t="s">
        <v>410</v>
      </c>
      <c r="B163" s="42" t="s">
        <v>120</v>
      </c>
      <c r="C163" s="3">
        <v>18</v>
      </c>
      <c r="D163" s="3">
        <v>2</v>
      </c>
      <c r="E163" s="42" t="s">
        <v>160</v>
      </c>
      <c r="G163" s="43">
        <v>43962</v>
      </c>
    </row>
    <row r="164" spans="1:7" x14ac:dyDescent="0.25">
      <c r="A164" s="19" t="s">
        <v>411</v>
      </c>
      <c r="B164" s="42" t="s">
        <v>120</v>
      </c>
      <c r="C164" s="3">
        <v>18</v>
      </c>
      <c r="D164" s="3">
        <v>2</v>
      </c>
      <c r="E164" s="42" t="s">
        <v>160</v>
      </c>
      <c r="F164" s="42" t="s">
        <v>160</v>
      </c>
      <c r="G164" s="43">
        <v>43962</v>
      </c>
    </row>
    <row r="165" spans="1:7" x14ac:dyDescent="0.25">
      <c r="A165" s="19" t="s">
        <v>412</v>
      </c>
      <c r="B165" s="42" t="s">
        <v>3</v>
      </c>
      <c r="C165" s="3">
        <v>21</v>
      </c>
      <c r="D165" s="3">
        <v>2</v>
      </c>
      <c r="G165" s="43">
        <v>43962</v>
      </c>
    </row>
    <row r="166" spans="1:7" x14ac:dyDescent="0.25">
      <c r="A166" s="19" t="s">
        <v>413</v>
      </c>
      <c r="B166" s="42" t="s">
        <v>120</v>
      </c>
      <c r="C166" s="3">
        <v>19</v>
      </c>
      <c r="D166" s="3">
        <v>2</v>
      </c>
      <c r="G166" s="43">
        <v>43962</v>
      </c>
    </row>
    <row r="167" spans="1:7" x14ac:dyDescent="0.25">
      <c r="A167" s="19" t="s">
        <v>414</v>
      </c>
      <c r="B167" s="42" t="s">
        <v>120</v>
      </c>
      <c r="C167" s="3">
        <v>20</v>
      </c>
      <c r="D167" s="3">
        <v>2</v>
      </c>
      <c r="E167" s="42" t="s">
        <v>160</v>
      </c>
      <c r="F167" s="42" t="s">
        <v>160</v>
      </c>
      <c r="G167" s="43">
        <v>43962</v>
      </c>
    </row>
    <row r="168" spans="1:7" x14ac:dyDescent="0.25">
      <c r="A168" s="19" t="s">
        <v>415</v>
      </c>
      <c r="B168" s="42" t="s">
        <v>3</v>
      </c>
      <c r="C168" s="3">
        <v>19</v>
      </c>
      <c r="D168" s="3">
        <v>1</v>
      </c>
      <c r="G168" s="43">
        <v>43962</v>
      </c>
    </row>
    <row r="169" spans="1:7" x14ac:dyDescent="0.25">
      <c r="A169" s="19" t="s">
        <v>416</v>
      </c>
      <c r="B169" s="42" t="s">
        <v>120</v>
      </c>
      <c r="C169" s="3">
        <v>24</v>
      </c>
      <c r="D169" s="3">
        <v>1</v>
      </c>
      <c r="E169" s="42" t="s">
        <v>160</v>
      </c>
      <c r="F169" s="42" t="s">
        <v>160</v>
      </c>
      <c r="G169" s="43">
        <v>43962</v>
      </c>
    </row>
    <row r="170" spans="1:7" x14ac:dyDescent="0.25">
      <c r="A170" s="19" t="s">
        <v>417</v>
      </c>
      <c r="B170" s="42" t="s">
        <v>3</v>
      </c>
      <c r="C170" s="3">
        <v>20</v>
      </c>
      <c r="D170" s="3">
        <v>1</v>
      </c>
      <c r="G170" s="43">
        <v>43962</v>
      </c>
    </row>
    <row r="171" spans="1:7" x14ac:dyDescent="0.25">
      <c r="A171" s="19" t="s">
        <v>418</v>
      </c>
      <c r="B171" s="42" t="s">
        <v>3</v>
      </c>
      <c r="C171" s="3">
        <v>20</v>
      </c>
      <c r="D171" s="3">
        <v>1</v>
      </c>
      <c r="G171" s="43">
        <v>43962</v>
      </c>
    </row>
    <row r="172" spans="1:7" x14ac:dyDescent="0.25">
      <c r="A172" s="19" t="s">
        <v>419</v>
      </c>
      <c r="B172" s="42" t="s">
        <v>3</v>
      </c>
      <c r="C172" s="3">
        <v>19</v>
      </c>
      <c r="D172" s="3">
        <v>1</v>
      </c>
      <c r="G172" s="43">
        <v>43962</v>
      </c>
    </row>
    <row r="173" spans="1:7" x14ac:dyDescent="0.25">
      <c r="A173" s="19" t="s">
        <v>420</v>
      </c>
      <c r="B173" s="42" t="s">
        <v>3</v>
      </c>
      <c r="C173" s="3">
        <v>20</v>
      </c>
      <c r="D173" s="3">
        <v>1</v>
      </c>
      <c r="G173" s="43">
        <v>43962</v>
      </c>
    </row>
    <row r="174" spans="1:7" x14ac:dyDescent="0.25">
      <c r="A174" s="19" t="s">
        <v>421</v>
      </c>
      <c r="B174" s="42" t="s">
        <v>3</v>
      </c>
      <c r="C174" s="3">
        <v>24</v>
      </c>
      <c r="D174" s="3">
        <v>1</v>
      </c>
      <c r="G174" s="43">
        <v>43962</v>
      </c>
    </row>
    <row r="175" spans="1:7" x14ac:dyDescent="0.25">
      <c r="A175" s="19" t="s">
        <v>422</v>
      </c>
      <c r="B175" s="42" t="s">
        <v>3</v>
      </c>
      <c r="C175" s="3">
        <v>23</v>
      </c>
      <c r="D175" s="3">
        <v>1</v>
      </c>
      <c r="G175" s="43">
        <v>43962</v>
      </c>
    </row>
    <row r="176" spans="1:7" x14ac:dyDescent="0.25">
      <c r="A176" s="19" t="s">
        <v>423</v>
      </c>
      <c r="B176" s="42" t="s">
        <v>120</v>
      </c>
      <c r="C176" s="3">
        <v>23</v>
      </c>
      <c r="D176" s="3">
        <v>2</v>
      </c>
      <c r="E176" s="42" t="s">
        <v>160</v>
      </c>
      <c r="F176" s="42" t="s">
        <v>160</v>
      </c>
      <c r="G176" s="43">
        <v>43962</v>
      </c>
    </row>
    <row r="177" spans="1:8" x14ac:dyDescent="0.25">
      <c r="A177" s="19" t="s">
        <v>424</v>
      </c>
      <c r="B177" s="42" t="s">
        <v>120</v>
      </c>
      <c r="C177" s="3">
        <v>19</v>
      </c>
      <c r="D177" s="3">
        <v>2</v>
      </c>
      <c r="E177" s="42" t="s">
        <v>160</v>
      </c>
      <c r="G177" s="43">
        <v>43962</v>
      </c>
    </row>
    <row r="178" spans="1:8" x14ac:dyDescent="0.25">
      <c r="A178" s="19" t="s">
        <v>425</v>
      </c>
      <c r="B178" s="42" t="s">
        <v>120</v>
      </c>
      <c r="C178" s="3">
        <v>18</v>
      </c>
      <c r="D178" s="3">
        <v>2</v>
      </c>
      <c r="E178" s="42" t="s">
        <v>160</v>
      </c>
      <c r="F178" s="42" t="s">
        <v>160</v>
      </c>
      <c r="G178" s="43">
        <v>43962</v>
      </c>
    </row>
    <row r="179" spans="1:8" x14ac:dyDescent="0.25">
      <c r="A179" s="19" t="s">
        <v>426</v>
      </c>
      <c r="B179" s="42" t="s">
        <v>3</v>
      </c>
      <c r="C179" s="3">
        <v>21</v>
      </c>
      <c r="D179" s="3">
        <v>1</v>
      </c>
      <c r="E179" s="42" t="s">
        <v>160</v>
      </c>
      <c r="G179" s="43">
        <v>43962</v>
      </c>
    </row>
    <row r="180" spans="1:8" x14ac:dyDescent="0.25">
      <c r="A180" s="19" t="s">
        <v>427</v>
      </c>
      <c r="B180" s="42" t="s">
        <v>3</v>
      </c>
      <c r="C180" s="3">
        <v>20</v>
      </c>
      <c r="D180" s="3">
        <v>2</v>
      </c>
      <c r="G180" s="43">
        <v>43962</v>
      </c>
    </row>
    <row r="181" spans="1:8" x14ac:dyDescent="0.25">
      <c r="A181" s="19" t="s">
        <v>428</v>
      </c>
      <c r="B181" s="42" t="s">
        <v>120</v>
      </c>
      <c r="C181" s="3">
        <v>19</v>
      </c>
      <c r="D181" s="3">
        <v>2</v>
      </c>
      <c r="E181" s="42" t="s">
        <v>160</v>
      </c>
      <c r="F181" s="42" t="s">
        <v>160</v>
      </c>
      <c r="G181" s="43">
        <v>43962</v>
      </c>
    </row>
    <row r="182" spans="1:8" x14ac:dyDescent="0.25">
      <c r="A182" s="19" t="s">
        <v>429</v>
      </c>
      <c r="B182" s="42" t="s">
        <v>85</v>
      </c>
      <c r="C182" s="3">
        <v>22</v>
      </c>
      <c r="D182" s="3">
        <v>1</v>
      </c>
      <c r="G182" s="43">
        <v>43962</v>
      </c>
    </row>
    <row r="183" spans="1:8" x14ac:dyDescent="0.25">
      <c r="A183" s="19" t="s">
        <v>430</v>
      </c>
      <c r="B183" s="42" t="s">
        <v>85</v>
      </c>
      <c r="C183" s="3">
        <v>36</v>
      </c>
      <c r="D183" s="3">
        <v>1</v>
      </c>
      <c r="G183" s="43">
        <v>43962</v>
      </c>
    </row>
    <row r="184" spans="1:8" x14ac:dyDescent="0.25">
      <c r="A184" s="19" t="s">
        <v>431</v>
      </c>
      <c r="B184" s="42" t="s">
        <v>85</v>
      </c>
      <c r="C184" s="3">
        <v>21</v>
      </c>
      <c r="D184" s="3">
        <v>1</v>
      </c>
      <c r="G184" s="43">
        <v>43962</v>
      </c>
    </row>
    <row r="185" spans="1:8" x14ac:dyDescent="0.25">
      <c r="A185" s="19" t="s">
        <v>432</v>
      </c>
      <c r="B185" s="42" t="s">
        <v>85</v>
      </c>
      <c r="C185" s="3">
        <v>21</v>
      </c>
      <c r="D185" s="3">
        <v>1</v>
      </c>
      <c r="G185" s="43">
        <v>43962</v>
      </c>
    </row>
    <row r="186" spans="1:8" x14ac:dyDescent="0.25">
      <c r="A186" s="19" t="s">
        <v>433</v>
      </c>
      <c r="B186" s="42" t="s">
        <v>85</v>
      </c>
      <c r="C186" s="3">
        <v>20</v>
      </c>
      <c r="D186" s="3">
        <v>1</v>
      </c>
      <c r="E186" s="42" t="s">
        <v>160</v>
      </c>
      <c r="G186" s="43">
        <v>43962</v>
      </c>
      <c r="H186" s="42" t="s">
        <v>238</v>
      </c>
    </row>
    <row r="187" spans="1:8" x14ac:dyDescent="0.25">
      <c r="A187" s="19" t="s">
        <v>434</v>
      </c>
      <c r="B187" s="42" t="s">
        <v>85</v>
      </c>
      <c r="C187" s="3">
        <v>20</v>
      </c>
      <c r="D187" s="3">
        <v>1</v>
      </c>
      <c r="E187" s="42" t="s">
        <v>160</v>
      </c>
      <c r="G187" s="43">
        <v>43962</v>
      </c>
    </row>
    <row r="188" spans="1:8" x14ac:dyDescent="0.25">
      <c r="A188" s="19" t="s">
        <v>435</v>
      </c>
      <c r="B188" s="42" t="s">
        <v>85</v>
      </c>
      <c r="C188" s="3">
        <v>19</v>
      </c>
      <c r="D188" s="3">
        <v>1</v>
      </c>
      <c r="E188" s="42" t="s">
        <v>160</v>
      </c>
      <c r="G188" s="43">
        <v>43962</v>
      </c>
    </row>
    <row r="189" spans="1:8" x14ac:dyDescent="0.25">
      <c r="A189" s="19" t="s">
        <v>436</v>
      </c>
      <c r="B189" s="42" t="s">
        <v>3</v>
      </c>
      <c r="C189" s="3">
        <v>18</v>
      </c>
      <c r="D189" s="3">
        <v>2</v>
      </c>
      <c r="G189" s="43">
        <v>43963</v>
      </c>
    </row>
    <row r="190" spans="1:8" x14ac:dyDescent="0.25">
      <c r="A190" s="19" t="s">
        <v>437</v>
      </c>
      <c r="B190" s="42" t="s">
        <v>120</v>
      </c>
      <c r="C190" s="3">
        <v>19</v>
      </c>
      <c r="D190" s="3">
        <v>2</v>
      </c>
      <c r="E190" s="42" t="s">
        <v>160</v>
      </c>
      <c r="F190" s="42" t="s">
        <v>160</v>
      </c>
      <c r="G190" s="43">
        <v>43963</v>
      </c>
    </row>
    <row r="191" spans="1:8" x14ac:dyDescent="0.25">
      <c r="A191" s="19" t="s">
        <v>438</v>
      </c>
      <c r="B191" s="42" t="s">
        <v>120</v>
      </c>
      <c r="C191" s="3">
        <v>19</v>
      </c>
      <c r="D191" s="3">
        <v>2</v>
      </c>
      <c r="E191" s="42" t="s">
        <v>160</v>
      </c>
      <c r="F191" s="42" t="s">
        <v>160</v>
      </c>
      <c r="G191" s="43">
        <v>43963</v>
      </c>
    </row>
    <row r="192" spans="1:8" x14ac:dyDescent="0.25">
      <c r="A192" s="19" t="s">
        <v>439</v>
      </c>
      <c r="B192" s="42" t="s">
        <v>120</v>
      </c>
      <c r="C192" s="3">
        <v>19</v>
      </c>
      <c r="D192" s="3">
        <v>2</v>
      </c>
      <c r="E192" s="42" t="s">
        <v>160</v>
      </c>
      <c r="G192" s="43">
        <v>43963</v>
      </c>
    </row>
    <row r="193" spans="1:7" x14ac:dyDescent="0.25">
      <c r="A193" s="19" t="s">
        <v>440</v>
      </c>
      <c r="B193" s="42" t="s">
        <v>120</v>
      </c>
      <c r="C193" s="3">
        <v>19</v>
      </c>
      <c r="D193" s="3">
        <v>2</v>
      </c>
      <c r="E193" s="42" t="s">
        <v>160</v>
      </c>
      <c r="F193" s="42" t="s">
        <v>160</v>
      </c>
      <c r="G193" s="43">
        <v>43963</v>
      </c>
    </row>
    <row r="194" spans="1:7" x14ac:dyDescent="0.25">
      <c r="A194" s="19" t="s">
        <v>441</v>
      </c>
      <c r="B194" s="42" t="s">
        <v>120</v>
      </c>
      <c r="C194" s="3">
        <v>18</v>
      </c>
      <c r="D194" s="3">
        <v>2</v>
      </c>
      <c r="E194" s="42" t="s">
        <v>160</v>
      </c>
      <c r="F194" s="42" t="s">
        <v>160</v>
      </c>
      <c r="G194" s="43">
        <v>43963</v>
      </c>
    </row>
    <row r="195" spans="1:7" x14ac:dyDescent="0.25">
      <c r="A195" s="19" t="s">
        <v>442</v>
      </c>
      <c r="B195" s="42" t="s">
        <v>120</v>
      </c>
      <c r="C195" s="3">
        <v>20</v>
      </c>
      <c r="D195" s="3">
        <v>2</v>
      </c>
      <c r="E195" s="42" t="s">
        <v>160</v>
      </c>
      <c r="F195" s="42" t="s">
        <v>160</v>
      </c>
      <c r="G195" s="43">
        <v>43963</v>
      </c>
    </row>
    <row r="196" spans="1:7" x14ac:dyDescent="0.25">
      <c r="A196" s="19" t="s">
        <v>443</v>
      </c>
      <c r="B196" s="42" t="s">
        <v>3</v>
      </c>
      <c r="C196" s="3">
        <v>19</v>
      </c>
      <c r="D196" s="3">
        <v>2</v>
      </c>
      <c r="G196" s="43">
        <v>43963</v>
      </c>
    </row>
    <row r="197" spans="1:7" x14ac:dyDescent="0.25">
      <c r="A197" s="19" t="s">
        <v>444</v>
      </c>
      <c r="B197" s="42" t="s">
        <v>175</v>
      </c>
      <c r="C197" s="3">
        <v>19</v>
      </c>
      <c r="D197" s="3">
        <v>2</v>
      </c>
      <c r="E197" s="42" t="s">
        <v>160</v>
      </c>
      <c r="F197" s="42" t="s">
        <v>160</v>
      </c>
      <c r="G197" s="43">
        <v>43963</v>
      </c>
    </row>
    <row r="198" spans="1:7" x14ac:dyDescent="0.25">
      <c r="A198" s="19" t="s">
        <v>445</v>
      </c>
      <c r="B198" s="42" t="s">
        <v>175</v>
      </c>
      <c r="C198" s="3">
        <v>18</v>
      </c>
      <c r="D198" s="3">
        <v>1</v>
      </c>
      <c r="E198" s="42" t="s">
        <v>160</v>
      </c>
      <c r="F198" s="42" t="s">
        <v>160</v>
      </c>
      <c r="G198" s="43">
        <v>43963</v>
      </c>
    </row>
    <row r="199" spans="1:7" x14ac:dyDescent="0.25">
      <c r="A199" s="19" t="s">
        <v>446</v>
      </c>
      <c r="B199" s="42" t="s">
        <v>3</v>
      </c>
      <c r="C199" s="3">
        <v>18</v>
      </c>
      <c r="D199" s="3">
        <v>2</v>
      </c>
      <c r="G199" s="43">
        <v>43963</v>
      </c>
    </row>
    <row r="200" spans="1:7" x14ac:dyDescent="0.25">
      <c r="A200" s="19" t="s">
        <v>447</v>
      </c>
      <c r="B200" s="42" t="s">
        <v>3</v>
      </c>
      <c r="C200" s="3">
        <v>20</v>
      </c>
      <c r="D200" s="3">
        <v>1</v>
      </c>
      <c r="G200" s="43">
        <v>43963</v>
      </c>
    </row>
    <row r="201" spans="1:7" x14ac:dyDescent="0.25">
      <c r="A201" s="19" t="s">
        <v>448</v>
      </c>
      <c r="B201" s="42" t="s">
        <v>3</v>
      </c>
      <c r="C201" s="3">
        <v>21</v>
      </c>
      <c r="D201" s="3">
        <v>2</v>
      </c>
      <c r="G201" s="43">
        <v>43963</v>
      </c>
    </row>
    <row r="202" spans="1:7" x14ac:dyDescent="0.25">
      <c r="A202" s="19" t="s">
        <v>449</v>
      </c>
      <c r="B202" s="42" t="s">
        <v>3</v>
      </c>
      <c r="C202" s="3">
        <v>21</v>
      </c>
      <c r="D202" s="3">
        <v>1</v>
      </c>
      <c r="E202" s="42" t="s">
        <v>160</v>
      </c>
      <c r="G202" s="43">
        <v>43963</v>
      </c>
    </row>
    <row r="203" spans="1:7" x14ac:dyDescent="0.25">
      <c r="A203" s="19" t="s">
        <v>450</v>
      </c>
      <c r="B203" s="42" t="s">
        <v>3</v>
      </c>
      <c r="C203" s="3">
        <v>18</v>
      </c>
      <c r="D203" s="3">
        <v>1</v>
      </c>
      <c r="E203" s="42" t="s">
        <v>160</v>
      </c>
      <c r="G203" s="43">
        <v>43963</v>
      </c>
    </row>
    <row r="204" spans="1:7" x14ac:dyDescent="0.25">
      <c r="A204" s="19" t="s">
        <v>451</v>
      </c>
      <c r="B204" s="42" t="s">
        <v>3</v>
      </c>
      <c r="C204" s="3">
        <v>19</v>
      </c>
      <c r="D204" s="3">
        <v>1</v>
      </c>
      <c r="G204" s="43">
        <v>43963</v>
      </c>
    </row>
    <row r="205" spans="1:7" x14ac:dyDescent="0.25">
      <c r="A205" s="19" t="s">
        <v>452</v>
      </c>
      <c r="B205" s="42" t="s">
        <v>120</v>
      </c>
      <c r="C205" s="3">
        <v>28</v>
      </c>
      <c r="D205" s="3">
        <v>1</v>
      </c>
      <c r="E205" s="42" t="s">
        <v>160</v>
      </c>
      <c r="F205" s="42" t="s">
        <v>160</v>
      </c>
      <c r="G205" s="43">
        <v>43963</v>
      </c>
    </row>
    <row r="206" spans="1:7" x14ac:dyDescent="0.25">
      <c r="A206" s="19" t="s">
        <v>453</v>
      </c>
      <c r="B206" s="42" t="s">
        <v>175</v>
      </c>
      <c r="C206" s="3">
        <v>20</v>
      </c>
      <c r="D206" s="3">
        <v>1</v>
      </c>
      <c r="E206" s="42" t="s">
        <v>160</v>
      </c>
      <c r="F206" s="42" t="s">
        <v>160</v>
      </c>
      <c r="G206" s="43">
        <v>43963</v>
      </c>
    </row>
    <row r="207" spans="1:7" x14ac:dyDescent="0.25">
      <c r="A207" s="19" t="s">
        <v>454</v>
      </c>
      <c r="B207" s="42" t="s">
        <v>175</v>
      </c>
      <c r="C207" s="3">
        <v>19</v>
      </c>
      <c r="D207" s="3">
        <v>1</v>
      </c>
      <c r="E207" s="42" t="s">
        <v>160</v>
      </c>
      <c r="G207" s="43">
        <v>43963</v>
      </c>
    </row>
    <row r="208" spans="1:7" x14ac:dyDescent="0.25">
      <c r="A208" s="19" t="s">
        <v>455</v>
      </c>
      <c r="B208" s="42" t="s">
        <v>175</v>
      </c>
      <c r="C208" s="3">
        <v>19</v>
      </c>
      <c r="D208" s="3">
        <v>1</v>
      </c>
      <c r="E208" s="42" t="s">
        <v>160</v>
      </c>
      <c r="F208" s="42" t="s">
        <v>160</v>
      </c>
      <c r="G208" s="43">
        <v>43963</v>
      </c>
    </row>
    <row r="209" spans="1:7" x14ac:dyDescent="0.25">
      <c r="A209" s="19" t="s">
        <v>456</v>
      </c>
      <c r="B209" s="42" t="s">
        <v>175</v>
      </c>
      <c r="C209" s="3">
        <v>20</v>
      </c>
      <c r="D209" s="3">
        <v>1</v>
      </c>
      <c r="E209" s="42" t="s">
        <v>160</v>
      </c>
      <c r="F209" s="42" t="s">
        <v>160</v>
      </c>
      <c r="G209" s="43">
        <v>43963</v>
      </c>
    </row>
    <row r="210" spans="1:7" x14ac:dyDescent="0.25">
      <c r="A210" s="19" t="s">
        <v>457</v>
      </c>
      <c r="B210" s="42" t="s">
        <v>3</v>
      </c>
      <c r="C210" s="3">
        <v>20</v>
      </c>
      <c r="D210" s="3">
        <v>1</v>
      </c>
      <c r="G210" s="43">
        <v>43963</v>
      </c>
    </row>
    <row r="211" spans="1:7" x14ac:dyDescent="0.25">
      <c r="A211" s="19" t="s">
        <v>458</v>
      </c>
      <c r="B211" s="42" t="s">
        <v>120</v>
      </c>
      <c r="C211" s="3">
        <v>19</v>
      </c>
      <c r="D211" s="3">
        <v>1</v>
      </c>
      <c r="E211" s="42" t="s">
        <v>160</v>
      </c>
      <c r="F211" s="42" t="s">
        <v>160</v>
      </c>
      <c r="G211" s="43">
        <v>43963</v>
      </c>
    </row>
    <row r="212" spans="1:7" x14ac:dyDescent="0.25">
      <c r="A212" s="19" t="s">
        <v>459</v>
      </c>
      <c r="B212" s="42" t="s">
        <v>3</v>
      </c>
      <c r="C212" s="3">
        <v>18</v>
      </c>
      <c r="D212" s="3">
        <v>1</v>
      </c>
      <c r="G212" s="43">
        <v>43963</v>
      </c>
    </row>
    <row r="213" spans="1:7" x14ac:dyDescent="0.25">
      <c r="A213" s="19" t="s">
        <v>460</v>
      </c>
      <c r="B213" s="42" t="s">
        <v>3</v>
      </c>
      <c r="C213" s="3">
        <v>23</v>
      </c>
      <c r="D213" s="3">
        <v>1</v>
      </c>
      <c r="G213" s="43">
        <v>43963</v>
      </c>
    </row>
    <row r="214" spans="1:7" x14ac:dyDescent="0.25">
      <c r="A214" s="19" t="s">
        <v>461</v>
      </c>
      <c r="B214" s="42" t="s">
        <v>3</v>
      </c>
      <c r="C214" s="3">
        <v>19</v>
      </c>
      <c r="D214" s="3">
        <v>1</v>
      </c>
      <c r="G214" s="43">
        <v>43963</v>
      </c>
    </row>
    <row r="215" spans="1:7" x14ac:dyDescent="0.25">
      <c r="A215" s="19" t="s">
        <v>462</v>
      </c>
      <c r="B215" s="42" t="s">
        <v>3</v>
      </c>
      <c r="C215" s="3">
        <v>19</v>
      </c>
      <c r="D215" s="3">
        <v>1</v>
      </c>
      <c r="G215" s="43">
        <v>43963</v>
      </c>
    </row>
    <row r="216" spans="1:7" x14ac:dyDescent="0.25">
      <c r="A216" s="19" t="s">
        <v>463</v>
      </c>
      <c r="B216" s="42" t="s">
        <v>120</v>
      </c>
      <c r="C216" s="3">
        <v>27</v>
      </c>
      <c r="D216" s="3">
        <v>1</v>
      </c>
      <c r="E216" s="42" t="s">
        <v>160</v>
      </c>
      <c r="F216" s="42" t="s">
        <v>160</v>
      </c>
      <c r="G216" s="43">
        <v>43963</v>
      </c>
    </row>
    <row r="217" spans="1:7" x14ac:dyDescent="0.25">
      <c r="A217" s="19" t="s">
        <v>464</v>
      </c>
      <c r="B217" s="42" t="s">
        <v>3</v>
      </c>
      <c r="C217" s="3">
        <v>18</v>
      </c>
      <c r="D217" s="3">
        <v>1</v>
      </c>
      <c r="G217" s="43">
        <v>43963</v>
      </c>
    </row>
    <row r="218" spans="1:7" x14ac:dyDescent="0.25">
      <c r="A218" s="19" t="s">
        <v>465</v>
      </c>
      <c r="B218" s="42" t="s">
        <v>175</v>
      </c>
      <c r="C218" s="3">
        <v>20</v>
      </c>
      <c r="D218" s="3">
        <v>1</v>
      </c>
      <c r="E218" s="42" t="s">
        <v>160</v>
      </c>
      <c r="F218" s="42" t="s">
        <v>160</v>
      </c>
      <c r="G218" s="43">
        <v>43963</v>
      </c>
    </row>
    <row r="219" spans="1:7" x14ac:dyDescent="0.25">
      <c r="A219" s="20" t="s">
        <v>466</v>
      </c>
      <c r="B219" s="42" t="s">
        <v>120</v>
      </c>
      <c r="C219" s="4">
        <v>20</v>
      </c>
      <c r="D219" s="4">
        <v>1</v>
      </c>
      <c r="E219" s="42" t="s">
        <v>160</v>
      </c>
      <c r="F219" s="42" t="s">
        <v>160</v>
      </c>
      <c r="G219" s="43">
        <v>43963</v>
      </c>
    </row>
    <row r="220" spans="1:7" x14ac:dyDescent="0.25">
      <c r="A220" s="20" t="s">
        <v>467</v>
      </c>
      <c r="B220" s="42" t="s">
        <v>3</v>
      </c>
      <c r="C220" s="4">
        <v>20</v>
      </c>
      <c r="D220" s="4">
        <v>1</v>
      </c>
      <c r="G220" s="43">
        <v>43963</v>
      </c>
    </row>
    <row r="221" spans="1:7" x14ac:dyDescent="0.25">
      <c r="A221" s="20" t="s">
        <v>468</v>
      </c>
      <c r="B221" s="42" t="s">
        <v>175</v>
      </c>
      <c r="C221" s="4">
        <v>28</v>
      </c>
      <c r="D221" s="4">
        <v>1</v>
      </c>
      <c r="E221" s="42" t="s">
        <v>160</v>
      </c>
      <c r="F221" s="42" t="s">
        <v>160</v>
      </c>
      <c r="G221" s="43">
        <v>43963</v>
      </c>
    </row>
    <row r="222" spans="1:7" x14ac:dyDescent="0.25">
      <c r="A222" s="20" t="s">
        <v>469</v>
      </c>
      <c r="B222" s="42" t="s">
        <v>175</v>
      </c>
      <c r="C222" s="4">
        <v>21</v>
      </c>
      <c r="D222" s="4">
        <v>1</v>
      </c>
      <c r="E222" s="42" t="s">
        <v>160</v>
      </c>
      <c r="G222" s="43">
        <v>43963</v>
      </c>
    </row>
    <row r="223" spans="1:7" x14ac:dyDescent="0.25">
      <c r="A223" s="20" t="s">
        <v>470</v>
      </c>
      <c r="B223" s="42" t="s">
        <v>3</v>
      </c>
      <c r="C223" s="4">
        <v>18</v>
      </c>
      <c r="D223" s="4">
        <v>1</v>
      </c>
      <c r="G223" s="43">
        <v>43963</v>
      </c>
    </row>
    <row r="224" spans="1:7" x14ac:dyDescent="0.25">
      <c r="A224" s="20" t="s">
        <v>471</v>
      </c>
      <c r="B224" s="42" t="s">
        <v>175</v>
      </c>
      <c r="C224" s="4">
        <v>26</v>
      </c>
      <c r="D224" s="4">
        <v>1</v>
      </c>
      <c r="E224" s="42" t="s">
        <v>160</v>
      </c>
      <c r="F224" s="42" t="s">
        <v>160</v>
      </c>
      <c r="G224" s="43">
        <v>43963</v>
      </c>
    </row>
    <row r="225" spans="1:7" x14ac:dyDescent="0.25">
      <c r="A225" s="20" t="s">
        <v>472</v>
      </c>
      <c r="B225" s="42" t="s">
        <v>3</v>
      </c>
      <c r="C225" s="4">
        <v>29</v>
      </c>
      <c r="D225" s="4">
        <v>1</v>
      </c>
      <c r="E225" s="42" t="s">
        <v>160</v>
      </c>
      <c r="G225" s="43">
        <v>43963</v>
      </c>
    </row>
    <row r="226" spans="1:7" x14ac:dyDescent="0.25">
      <c r="A226" s="20" t="s">
        <v>473</v>
      </c>
      <c r="B226" s="42" t="s">
        <v>175</v>
      </c>
      <c r="C226" s="4">
        <v>19</v>
      </c>
      <c r="D226" s="4">
        <v>1</v>
      </c>
      <c r="E226" s="42" t="s">
        <v>160</v>
      </c>
      <c r="F226" s="42" t="s">
        <v>160</v>
      </c>
      <c r="G226" s="43">
        <v>43963</v>
      </c>
    </row>
    <row r="227" spans="1:7" x14ac:dyDescent="0.25">
      <c r="A227" s="19" t="s">
        <v>474</v>
      </c>
      <c r="B227" s="42" t="s">
        <v>175</v>
      </c>
      <c r="C227" s="3">
        <v>23</v>
      </c>
      <c r="D227" s="3">
        <v>1</v>
      </c>
      <c r="E227" s="42" t="s">
        <v>160</v>
      </c>
      <c r="F227" s="42" t="s">
        <v>160</v>
      </c>
      <c r="G227" s="43">
        <v>43963</v>
      </c>
    </row>
    <row r="228" spans="1:7" x14ac:dyDescent="0.25">
      <c r="A228" s="19" t="s">
        <v>475</v>
      </c>
      <c r="B228" s="42" t="s">
        <v>3</v>
      </c>
      <c r="C228" s="3">
        <v>21</v>
      </c>
      <c r="D228" s="3">
        <v>1</v>
      </c>
      <c r="G228" s="43">
        <v>43963</v>
      </c>
    </row>
    <row r="229" spans="1:7" x14ac:dyDescent="0.25">
      <c r="A229" s="19" t="s">
        <v>476</v>
      </c>
      <c r="B229" s="42" t="s">
        <v>3</v>
      </c>
      <c r="C229" s="3">
        <v>18</v>
      </c>
      <c r="D229" s="3">
        <v>1</v>
      </c>
      <c r="E229" s="42" t="s">
        <v>160</v>
      </c>
      <c r="G229" s="43">
        <v>43963</v>
      </c>
    </row>
    <row r="230" spans="1:7" x14ac:dyDescent="0.25">
      <c r="A230" s="19" t="s">
        <v>477</v>
      </c>
      <c r="B230" s="42" t="s">
        <v>3</v>
      </c>
      <c r="C230" s="3">
        <v>22</v>
      </c>
      <c r="D230" s="3">
        <v>1</v>
      </c>
      <c r="G230" s="43">
        <v>43963</v>
      </c>
    </row>
    <row r="231" spans="1:7" x14ac:dyDescent="0.25">
      <c r="A231" s="19" t="s">
        <v>478</v>
      </c>
      <c r="B231" s="42" t="s">
        <v>3</v>
      </c>
      <c r="C231" s="3">
        <v>19</v>
      </c>
      <c r="D231" s="3">
        <v>1</v>
      </c>
      <c r="G231" s="43">
        <v>43963</v>
      </c>
    </row>
    <row r="232" spans="1:7" x14ac:dyDescent="0.25">
      <c r="A232" s="19" t="s">
        <v>479</v>
      </c>
      <c r="B232" s="42" t="s">
        <v>3</v>
      </c>
      <c r="C232" s="3">
        <v>20</v>
      </c>
      <c r="D232" s="3">
        <v>1</v>
      </c>
      <c r="E232" s="42" t="s">
        <v>160</v>
      </c>
      <c r="G232" s="43">
        <v>43963</v>
      </c>
    </row>
    <row r="233" spans="1:7" x14ac:dyDescent="0.25">
      <c r="A233" s="19" t="s">
        <v>480</v>
      </c>
      <c r="B233" s="42" t="s">
        <v>3</v>
      </c>
      <c r="C233" s="3">
        <v>22</v>
      </c>
      <c r="D233" s="3">
        <v>1</v>
      </c>
      <c r="E233" s="42" t="s">
        <v>160</v>
      </c>
      <c r="G233" s="43">
        <v>43963</v>
      </c>
    </row>
    <row r="234" spans="1:7" x14ac:dyDescent="0.25">
      <c r="A234" s="19" t="s">
        <v>481</v>
      </c>
      <c r="B234" s="42" t="s">
        <v>3</v>
      </c>
      <c r="C234" s="3">
        <v>25</v>
      </c>
      <c r="D234" s="3">
        <v>1</v>
      </c>
      <c r="E234" s="42" t="s">
        <v>160</v>
      </c>
      <c r="G234" s="43">
        <v>43963</v>
      </c>
    </row>
    <row r="235" spans="1:7" x14ac:dyDescent="0.25">
      <c r="A235" s="19" t="s">
        <v>482</v>
      </c>
      <c r="B235" s="42" t="s">
        <v>3</v>
      </c>
      <c r="C235" s="3">
        <v>18</v>
      </c>
      <c r="D235" s="3">
        <v>1</v>
      </c>
      <c r="E235" s="42" t="s">
        <v>160</v>
      </c>
      <c r="G235" s="43">
        <v>43963</v>
      </c>
    </row>
    <row r="236" spans="1:7" x14ac:dyDescent="0.25">
      <c r="A236" s="20" t="s">
        <v>483</v>
      </c>
      <c r="B236" s="42" t="s">
        <v>85</v>
      </c>
      <c r="C236" s="4">
        <v>19</v>
      </c>
      <c r="D236" s="4">
        <v>2</v>
      </c>
      <c r="E236" s="42" t="s">
        <v>160</v>
      </c>
      <c r="G236" s="43">
        <v>43964</v>
      </c>
    </row>
    <row r="237" spans="1:7" x14ac:dyDescent="0.25">
      <c r="A237" s="20" t="s">
        <v>484</v>
      </c>
      <c r="B237" s="42" t="s">
        <v>85</v>
      </c>
      <c r="C237" s="4">
        <v>24</v>
      </c>
      <c r="D237" s="4">
        <v>1</v>
      </c>
      <c r="E237" s="42" t="s">
        <v>160</v>
      </c>
      <c r="F237" s="42" t="s">
        <v>160</v>
      </c>
      <c r="G237" s="43">
        <v>43964</v>
      </c>
    </row>
    <row r="238" spans="1:7" x14ac:dyDescent="0.25">
      <c r="A238" s="20" t="s">
        <v>485</v>
      </c>
      <c r="B238" s="42" t="s">
        <v>85</v>
      </c>
      <c r="C238" s="4">
        <v>20</v>
      </c>
      <c r="D238" s="4">
        <v>1</v>
      </c>
      <c r="E238" s="42" t="s">
        <v>160</v>
      </c>
      <c r="G238" s="43">
        <v>43964</v>
      </c>
    </row>
    <row r="239" spans="1:7" x14ac:dyDescent="0.25">
      <c r="A239" s="20" t="s">
        <v>486</v>
      </c>
      <c r="B239" s="42" t="s">
        <v>85</v>
      </c>
      <c r="C239" s="4">
        <v>19</v>
      </c>
      <c r="D239" s="4">
        <v>1</v>
      </c>
      <c r="E239" s="42" t="s">
        <v>160</v>
      </c>
      <c r="F239" s="42" t="s">
        <v>160</v>
      </c>
      <c r="G239" s="43">
        <v>43964</v>
      </c>
    </row>
    <row r="240" spans="1:7" x14ac:dyDescent="0.25">
      <c r="A240" s="20" t="s">
        <v>487</v>
      </c>
      <c r="B240" s="42" t="s">
        <v>85</v>
      </c>
      <c r="C240" s="4">
        <v>19</v>
      </c>
      <c r="D240" s="4">
        <v>1</v>
      </c>
      <c r="E240" s="42" t="s">
        <v>160</v>
      </c>
      <c r="G240" s="43">
        <v>43964</v>
      </c>
    </row>
    <row r="241" spans="1:7" x14ac:dyDescent="0.25">
      <c r="A241" s="20" t="s">
        <v>488</v>
      </c>
      <c r="B241" s="42" t="s">
        <v>85</v>
      </c>
      <c r="C241" s="4">
        <v>19</v>
      </c>
      <c r="D241" s="4">
        <v>1</v>
      </c>
      <c r="E241" s="42" t="s">
        <v>160</v>
      </c>
      <c r="G241" s="43">
        <v>43964</v>
      </c>
    </row>
    <row r="242" spans="1:7" x14ac:dyDescent="0.25">
      <c r="A242" s="20" t="s">
        <v>489</v>
      </c>
      <c r="B242" s="42" t="s">
        <v>85</v>
      </c>
      <c r="C242" s="4">
        <v>34</v>
      </c>
      <c r="D242" s="4">
        <v>2</v>
      </c>
      <c r="G242" s="43">
        <v>43964</v>
      </c>
    </row>
    <row r="243" spans="1:7" x14ac:dyDescent="0.25">
      <c r="A243" s="19" t="s">
        <v>490</v>
      </c>
      <c r="B243" s="42" t="s">
        <v>85</v>
      </c>
      <c r="C243" s="3">
        <v>23</v>
      </c>
      <c r="D243" s="3">
        <v>2</v>
      </c>
      <c r="E243" s="42" t="s">
        <v>160</v>
      </c>
      <c r="F243" s="42" t="s">
        <v>160</v>
      </c>
      <c r="G243" s="43">
        <v>43964</v>
      </c>
    </row>
    <row r="244" spans="1:7" x14ac:dyDescent="0.25">
      <c r="A244" s="19" t="s">
        <v>491</v>
      </c>
      <c r="B244" s="42" t="s">
        <v>85</v>
      </c>
      <c r="C244" s="3">
        <v>19</v>
      </c>
      <c r="D244" s="3">
        <v>2</v>
      </c>
      <c r="E244" s="42" t="s">
        <v>160</v>
      </c>
      <c r="F244" s="42" t="s">
        <v>160</v>
      </c>
      <c r="G244" s="43">
        <v>43964</v>
      </c>
    </row>
    <row r="245" spans="1:7" x14ac:dyDescent="0.25">
      <c r="A245" s="19" t="s">
        <v>492</v>
      </c>
      <c r="B245" s="42" t="s">
        <v>85</v>
      </c>
      <c r="C245" s="3">
        <v>18</v>
      </c>
      <c r="D245" s="3">
        <v>2</v>
      </c>
      <c r="E245" s="42" t="s">
        <v>160</v>
      </c>
      <c r="F245" s="42" t="s">
        <v>160</v>
      </c>
      <c r="G245" s="43">
        <v>43964</v>
      </c>
    </row>
    <row r="246" spans="1:7" x14ac:dyDescent="0.25">
      <c r="A246" s="19" t="s">
        <v>493</v>
      </c>
      <c r="B246" s="42" t="s">
        <v>85</v>
      </c>
      <c r="C246" s="3">
        <v>26</v>
      </c>
      <c r="D246" s="3">
        <v>2</v>
      </c>
      <c r="E246" s="42" t="s">
        <v>160</v>
      </c>
      <c r="G246" s="43">
        <v>43964</v>
      </c>
    </row>
    <row r="247" spans="1:7" x14ac:dyDescent="0.25">
      <c r="A247" s="19" t="s">
        <v>494</v>
      </c>
      <c r="B247" s="42" t="s">
        <v>85</v>
      </c>
      <c r="C247" s="3">
        <v>18</v>
      </c>
      <c r="D247" s="3">
        <v>2</v>
      </c>
      <c r="G247" s="43">
        <v>43964</v>
      </c>
    </row>
    <row r="248" spans="1:7" x14ac:dyDescent="0.25">
      <c r="A248" s="20" t="s">
        <v>495</v>
      </c>
      <c r="B248" s="42" t="s">
        <v>85</v>
      </c>
      <c r="C248" s="4">
        <v>20</v>
      </c>
      <c r="D248" s="4">
        <v>2</v>
      </c>
      <c r="E248" s="42" t="s">
        <v>160</v>
      </c>
      <c r="F248" s="42" t="s">
        <v>160</v>
      </c>
      <c r="G248" s="43">
        <v>43964</v>
      </c>
    </row>
    <row r="249" spans="1:7" x14ac:dyDescent="0.25">
      <c r="A249" s="20" t="s">
        <v>496</v>
      </c>
      <c r="B249" s="42" t="s">
        <v>85</v>
      </c>
      <c r="C249" s="4">
        <v>18</v>
      </c>
      <c r="D249" s="4">
        <v>2</v>
      </c>
      <c r="G249" s="43">
        <v>43964</v>
      </c>
    </row>
    <row r="250" spans="1:7" x14ac:dyDescent="0.25">
      <c r="A250" s="20" t="s">
        <v>497</v>
      </c>
      <c r="B250" s="42" t="s">
        <v>85</v>
      </c>
      <c r="C250" s="4">
        <v>21</v>
      </c>
      <c r="D250" s="4">
        <v>2</v>
      </c>
      <c r="G250" s="43">
        <v>43964</v>
      </c>
    </row>
    <row r="251" spans="1:7" x14ac:dyDescent="0.25">
      <c r="A251" s="20" t="s">
        <v>498</v>
      </c>
      <c r="B251" s="42" t="s">
        <v>85</v>
      </c>
      <c r="C251" s="4">
        <v>22</v>
      </c>
      <c r="D251" s="4">
        <v>2</v>
      </c>
      <c r="G251" s="43">
        <v>43964</v>
      </c>
    </row>
    <row r="252" spans="1:7" x14ac:dyDescent="0.25">
      <c r="A252" s="20" t="s">
        <v>499</v>
      </c>
      <c r="B252" s="42" t="s">
        <v>85</v>
      </c>
      <c r="C252" s="4">
        <v>20</v>
      </c>
      <c r="D252" s="4">
        <v>2</v>
      </c>
      <c r="E252" s="42" t="s">
        <v>160</v>
      </c>
      <c r="F252" s="42" t="s">
        <v>160</v>
      </c>
      <c r="G252" s="43">
        <v>43964</v>
      </c>
    </row>
    <row r="253" spans="1:7" x14ac:dyDescent="0.25">
      <c r="A253" s="20" t="s">
        <v>500</v>
      </c>
      <c r="B253" s="42" t="s">
        <v>85</v>
      </c>
      <c r="C253" s="4">
        <v>21</v>
      </c>
      <c r="D253" s="4">
        <v>2</v>
      </c>
      <c r="E253" s="42" t="s">
        <v>160</v>
      </c>
      <c r="F253" s="42" t="s">
        <v>160</v>
      </c>
      <c r="G253" s="43">
        <v>43964</v>
      </c>
    </row>
    <row r="254" spans="1:7" x14ac:dyDescent="0.25">
      <c r="A254" s="19" t="s">
        <v>501</v>
      </c>
      <c r="B254" s="42" t="s">
        <v>85</v>
      </c>
      <c r="C254" s="3">
        <v>23</v>
      </c>
      <c r="D254" s="3">
        <v>2</v>
      </c>
      <c r="E254" s="42" t="s">
        <v>160</v>
      </c>
      <c r="F254" s="42" t="s">
        <v>160</v>
      </c>
      <c r="G254" s="43">
        <v>43964</v>
      </c>
    </row>
    <row r="255" spans="1:7" x14ac:dyDescent="0.25">
      <c r="A255" s="19" t="s">
        <v>502</v>
      </c>
      <c r="B255" s="42" t="s">
        <v>85</v>
      </c>
      <c r="C255" s="3">
        <v>20</v>
      </c>
      <c r="D255" s="3">
        <v>1</v>
      </c>
      <c r="E255" s="42" t="s">
        <v>160</v>
      </c>
      <c r="G255" s="43">
        <v>43964</v>
      </c>
    </row>
    <row r="256" spans="1:7" x14ac:dyDescent="0.25">
      <c r="A256" s="19" t="s">
        <v>503</v>
      </c>
      <c r="B256" s="42" t="s">
        <v>85</v>
      </c>
      <c r="C256" s="3">
        <v>19</v>
      </c>
      <c r="D256" s="3">
        <v>1</v>
      </c>
      <c r="G256" s="43">
        <v>43964</v>
      </c>
    </row>
    <row r="257" spans="1:7" x14ac:dyDescent="0.25">
      <c r="A257" s="19" t="s">
        <v>504</v>
      </c>
      <c r="B257" s="42" t="s">
        <v>85</v>
      </c>
      <c r="C257" s="3">
        <v>19</v>
      </c>
      <c r="D257" s="3">
        <v>1</v>
      </c>
      <c r="G257" s="43">
        <v>43964</v>
      </c>
    </row>
    <row r="258" spans="1:7" x14ac:dyDescent="0.25">
      <c r="A258" s="19" t="s">
        <v>505</v>
      </c>
      <c r="B258" s="42" t="s">
        <v>85</v>
      </c>
      <c r="C258" s="3">
        <v>19</v>
      </c>
      <c r="D258" s="3">
        <v>1</v>
      </c>
      <c r="E258" s="42" t="s">
        <v>160</v>
      </c>
      <c r="G258" s="43">
        <v>43964</v>
      </c>
    </row>
    <row r="259" spans="1:7" x14ac:dyDescent="0.25">
      <c r="A259" s="19" t="s">
        <v>506</v>
      </c>
      <c r="B259" s="42" t="s">
        <v>85</v>
      </c>
      <c r="C259" s="3">
        <v>20</v>
      </c>
      <c r="D259" s="3">
        <v>1</v>
      </c>
      <c r="E259" s="42" t="s">
        <v>160</v>
      </c>
      <c r="G259" s="43">
        <v>43964</v>
      </c>
    </row>
    <row r="260" spans="1:7" x14ac:dyDescent="0.25">
      <c r="A260" s="19" t="s">
        <v>507</v>
      </c>
      <c r="B260" s="42" t="s">
        <v>85</v>
      </c>
      <c r="C260" s="3">
        <v>20</v>
      </c>
      <c r="D260" s="3">
        <v>1</v>
      </c>
      <c r="E260" s="42" t="s">
        <v>160</v>
      </c>
      <c r="F260" s="42" t="s">
        <v>160</v>
      </c>
      <c r="G260" s="43">
        <v>43964</v>
      </c>
    </row>
    <row r="261" spans="1:7" x14ac:dyDescent="0.25">
      <c r="A261" s="19" t="s">
        <v>508</v>
      </c>
      <c r="B261" s="42" t="s">
        <v>85</v>
      </c>
      <c r="C261" s="3">
        <v>22</v>
      </c>
      <c r="D261" s="3">
        <v>1</v>
      </c>
      <c r="E261" s="42" t="s">
        <v>160</v>
      </c>
      <c r="G261" s="43">
        <v>43964</v>
      </c>
    </row>
    <row r="262" spans="1:7" x14ac:dyDescent="0.25">
      <c r="A262" s="19" t="s">
        <v>509</v>
      </c>
      <c r="B262" s="42" t="s">
        <v>85</v>
      </c>
      <c r="C262" s="3">
        <v>19</v>
      </c>
      <c r="D262" s="3">
        <v>1</v>
      </c>
      <c r="G262" s="43">
        <v>43964</v>
      </c>
    </row>
    <row r="263" spans="1:7" x14ac:dyDescent="0.25">
      <c r="A263" s="19" t="s">
        <v>510</v>
      </c>
      <c r="B263" s="42" t="s">
        <v>85</v>
      </c>
      <c r="C263" s="3">
        <v>22</v>
      </c>
      <c r="D263" s="3">
        <v>1</v>
      </c>
      <c r="G263" s="43">
        <v>43964</v>
      </c>
    </row>
    <row r="264" spans="1:7" x14ac:dyDescent="0.25">
      <c r="A264" s="19" t="s">
        <v>511</v>
      </c>
      <c r="B264" s="42" t="s">
        <v>85</v>
      </c>
      <c r="C264" s="3">
        <v>18</v>
      </c>
      <c r="D264" s="3">
        <v>1</v>
      </c>
      <c r="G264" s="43">
        <v>43964</v>
      </c>
    </row>
    <row r="265" spans="1:7" x14ac:dyDescent="0.25">
      <c r="A265" s="19" t="s">
        <v>512</v>
      </c>
      <c r="B265" s="42" t="s">
        <v>85</v>
      </c>
      <c r="C265" s="3">
        <v>19</v>
      </c>
      <c r="D265" s="3">
        <v>1</v>
      </c>
      <c r="E265" s="42" t="s">
        <v>160</v>
      </c>
      <c r="F265" s="42" t="s">
        <v>160</v>
      </c>
      <c r="G265" s="43">
        <v>43964</v>
      </c>
    </row>
    <row r="266" spans="1:7" x14ac:dyDescent="0.25">
      <c r="A266" s="19" t="s">
        <v>513</v>
      </c>
      <c r="B266" s="42" t="s">
        <v>85</v>
      </c>
      <c r="C266" s="3">
        <v>25</v>
      </c>
      <c r="D266" s="3">
        <v>1</v>
      </c>
      <c r="G266" s="43">
        <v>43964</v>
      </c>
    </row>
    <row r="267" spans="1:7" x14ac:dyDescent="0.25">
      <c r="A267" s="19" t="s">
        <v>514</v>
      </c>
      <c r="B267" s="42" t="s">
        <v>85</v>
      </c>
      <c r="C267" s="3">
        <v>21</v>
      </c>
      <c r="D267" s="3">
        <v>1</v>
      </c>
      <c r="E267" s="42" t="s">
        <v>160</v>
      </c>
      <c r="G267" s="43">
        <v>43964</v>
      </c>
    </row>
    <row r="268" spans="1:7" x14ac:dyDescent="0.25">
      <c r="A268" s="19" t="s">
        <v>515</v>
      </c>
      <c r="B268" s="42" t="s">
        <v>85</v>
      </c>
      <c r="C268" s="3">
        <v>20</v>
      </c>
      <c r="D268" s="3">
        <v>1</v>
      </c>
      <c r="G268" s="43">
        <v>43964</v>
      </c>
    </row>
    <row r="269" spans="1:7" x14ac:dyDescent="0.25">
      <c r="A269" s="19" t="s">
        <v>516</v>
      </c>
      <c r="B269" s="42" t="s">
        <v>85</v>
      </c>
      <c r="C269" s="3">
        <v>18</v>
      </c>
      <c r="D269" s="3">
        <v>1</v>
      </c>
      <c r="G269" s="43">
        <v>43964</v>
      </c>
    </row>
    <row r="270" spans="1:7" x14ac:dyDescent="0.25">
      <c r="A270" s="19" t="s">
        <v>517</v>
      </c>
      <c r="B270" s="42" t="s">
        <v>85</v>
      </c>
      <c r="C270" s="3">
        <v>24</v>
      </c>
      <c r="D270" s="3">
        <v>1</v>
      </c>
      <c r="G270" s="43">
        <v>43964</v>
      </c>
    </row>
    <row r="271" spans="1:7" x14ac:dyDescent="0.25">
      <c r="A271" s="19" t="s">
        <v>518</v>
      </c>
      <c r="B271" s="42" t="s">
        <v>85</v>
      </c>
      <c r="C271" s="3">
        <v>18</v>
      </c>
      <c r="D271" s="3">
        <v>2</v>
      </c>
      <c r="E271" s="42" t="s">
        <v>160</v>
      </c>
      <c r="G271" s="43">
        <v>43964</v>
      </c>
    </row>
    <row r="272" spans="1:7" x14ac:dyDescent="0.25">
      <c r="A272" s="20" t="s">
        <v>519</v>
      </c>
      <c r="B272" s="42" t="s">
        <v>3</v>
      </c>
      <c r="C272" s="4">
        <v>18</v>
      </c>
      <c r="D272" s="4">
        <v>2</v>
      </c>
      <c r="G272" s="43">
        <v>43970</v>
      </c>
    </row>
    <row r="273" spans="1:8" x14ac:dyDescent="0.25">
      <c r="A273" s="20" t="s">
        <v>520</v>
      </c>
      <c r="B273" s="42" t="s">
        <v>3</v>
      </c>
      <c r="C273" s="4">
        <v>19</v>
      </c>
      <c r="D273" s="4">
        <v>2</v>
      </c>
      <c r="G273" s="43">
        <v>43970</v>
      </c>
    </row>
    <row r="274" spans="1:8" x14ac:dyDescent="0.25">
      <c r="A274" s="20" t="s">
        <v>521</v>
      </c>
      <c r="B274" s="42" t="s">
        <v>3</v>
      </c>
      <c r="C274" s="4">
        <v>18</v>
      </c>
      <c r="D274" s="4">
        <v>2</v>
      </c>
      <c r="G274" s="43">
        <v>43970</v>
      </c>
    </row>
    <row r="275" spans="1:8" x14ac:dyDescent="0.25">
      <c r="A275" s="20" t="s">
        <v>522</v>
      </c>
      <c r="B275" s="42" t="s">
        <v>120</v>
      </c>
      <c r="C275" s="4">
        <v>19</v>
      </c>
      <c r="D275" s="4">
        <v>2</v>
      </c>
      <c r="E275" s="42" t="s">
        <v>160</v>
      </c>
      <c r="G275" s="43">
        <v>43970</v>
      </c>
      <c r="H275" s="42" t="s">
        <v>238</v>
      </c>
    </row>
    <row r="276" spans="1:8" x14ac:dyDescent="0.25">
      <c r="A276" s="20" t="s">
        <v>523</v>
      </c>
      <c r="B276" s="42" t="s">
        <v>120</v>
      </c>
      <c r="C276" s="4">
        <v>28</v>
      </c>
      <c r="D276" s="4">
        <v>2</v>
      </c>
      <c r="E276" s="42" t="s">
        <v>160</v>
      </c>
      <c r="G276" s="43">
        <v>43970</v>
      </c>
    </row>
    <row r="277" spans="1:8" x14ac:dyDescent="0.25">
      <c r="A277" s="20" t="s">
        <v>524</v>
      </c>
      <c r="B277" s="42" t="s">
        <v>3</v>
      </c>
      <c r="C277" s="4">
        <v>18</v>
      </c>
      <c r="D277" s="4">
        <v>2</v>
      </c>
      <c r="G277" s="43">
        <v>43970</v>
      </c>
    </row>
    <row r="278" spans="1:8" x14ac:dyDescent="0.25">
      <c r="A278" s="20" t="s">
        <v>525</v>
      </c>
      <c r="B278" s="42" t="s">
        <v>120</v>
      </c>
      <c r="C278" s="4">
        <v>22</v>
      </c>
      <c r="D278" s="4">
        <v>2</v>
      </c>
      <c r="G278" s="43">
        <v>43970</v>
      </c>
      <c r="H278" s="42" t="s">
        <v>238</v>
      </c>
    </row>
    <row r="279" spans="1:8" x14ac:dyDescent="0.25">
      <c r="A279" s="20" t="s">
        <v>526</v>
      </c>
      <c r="B279" s="42" t="s">
        <v>120</v>
      </c>
      <c r="C279" s="4">
        <v>19</v>
      </c>
      <c r="D279" s="4">
        <v>2</v>
      </c>
      <c r="G279" s="43">
        <v>43970</v>
      </c>
      <c r="H279" s="42" t="s">
        <v>238</v>
      </c>
    </row>
    <row r="280" spans="1:8" x14ac:dyDescent="0.25">
      <c r="A280" s="20" t="s">
        <v>527</v>
      </c>
      <c r="B280" s="42" t="s">
        <v>3</v>
      </c>
      <c r="C280" s="4">
        <v>21</v>
      </c>
      <c r="D280" s="4">
        <v>2</v>
      </c>
      <c r="G280" s="43">
        <v>43970</v>
      </c>
    </row>
    <row r="281" spans="1:8" x14ac:dyDescent="0.25">
      <c r="A281" s="20" t="s">
        <v>528</v>
      </c>
      <c r="B281" s="42" t="s">
        <v>3</v>
      </c>
      <c r="C281" s="4">
        <v>18</v>
      </c>
      <c r="D281" s="4">
        <v>2</v>
      </c>
      <c r="G281" s="43">
        <v>43970</v>
      </c>
    </row>
    <row r="282" spans="1:8" x14ac:dyDescent="0.25">
      <c r="A282" s="20" t="s">
        <v>529</v>
      </c>
      <c r="B282" s="42" t="s">
        <v>3</v>
      </c>
      <c r="C282" s="4">
        <v>18</v>
      </c>
      <c r="D282" s="4">
        <v>2</v>
      </c>
      <c r="G282" s="43">
        <v>43970</v>
      </c>
    </row>
    <row r="283" spans="1:8" x14ac:dyDescent="0.25">
      <c r="A283" s="20" t="s">
        <v>530</v>
      </c>
      <c r="B283" s="42" t="s">
        <v>3</v>
      </c>
      <c r="C283" s="4">
        <v>19</v>
      </c>
      <c r="D283" s="4">
        <v>2</v>
      </c>
      <c r="G283" s="43">
        <v>43970</v>
      </c>
    </row>
    <row r="284" spans="1:8" x14ac:dyDescent="0.25">
      <c r="A284" s="20" t="s">
        <v>531</v>
      </c>
      <c r="B284" s="42" t="s">
        <v>3</v>
      </c>
      <c r="C284" s="4">
        <v>21</v>
      </c>
      <c r="D284" s="4">
        <v>2</v>
      </c>
      <c r="G284" s="43">
        <v>43970</v>
      </c>
    </row>
    <row r="285" spans="1:8" x14ac:dyDescent="0.25">
      <c r="A285" s="20" t="s">
        <v>532</v>
      </c>
      <c r="B285" s="42" t="s">
        <v>3</v>
      </c>
      <c r="C285" s="4">
        <v>18</v>
      </c>
      <c r="D285" s="4">
        <v>2</v>
      </c>
      <c r="G285" s="43">
        <v>43970</v>
      </c>
    </row>
    <row r="286" spans="1:8" x14ac:dyDescent="0.25">
      <c r="A286" s="20" t="s">
        <v>533</v>
      </c>
      <c r="B286" s="42" t="s">
        <v>3</v>
      </c>
      <c r="C286" s="4">
        <v>18</v>
      </c>
      <c r="D286" s="4">
        <v>2</v>
      </c>
      <c r="G286" s="43">
        <v>43970</v>
      </c>
    </row>
    <row r="287" spans="1:8" x14ac:dyDescent="0.25">
      <c r="A287" s="20" t="s">
        <v>534</v>
      </c>
      <c r="B287" s="42" t="s">
        <v>3</v>
      </c>
      <c r="C287" s="4">
        <v>19</v>
      </c>
      <c r="D287" s="4">
        <v>2</v>
      </c>
      <c r="G287" s="43">
        <v>43970</v>
      </c>
    </row>
    <row r="288" spans="1:8" x14ac:dyDescent="0.25">
      <c r="A288" s="20" t="s">
        <v>535</v>
      </c>
      <c r="B288" s="42" t="s">
        <v>3</v>
      </c>
      <c r="C288" s="4">
        <v>18</v>
      </c>
      <c r="D288" s="4">
        <v>2</v>
      </c>
      <c r="G288" s="43">
        <v>43970</v>
      </c>
    </row>
    <row r="289" spans="1:7" x14ac:dyDescent="0.25">
      <c r="A289" s="20" t="s">
        <v>536</v>
      </c>
      <c r="B289" s="42" t="s">
        <v>3</v>
      </c>
      <c r="C289" s="4">
        <v>18</v>
      </c>
      <c r="D289" s="4">
        <v>2</v>
      </c>
      <c r="G289" s="43">
        <v>43970</v>
      </c>
    </row>
    <row r="290" spans="1:7" x14ac:dyDescent="0.25">
      <c r="A290" s="20" t="s">
        <v>537</v>
      </c>
      <c r="B290" s="42" t="s">
        <v>120</v>
      </c>
      <c r="C290" s="4">
        <v>19</v>
      </c>
      <c r="D290" s="4">
        <v>2</v>
      </c>
      <c r="E290" s="42" t="s">
        <v>160</v>
      </c>
      <c r="F290" s="42" t="s">
        <v>160</v>
      </c>
      <c r="G290" s="43">
        <v>43970</v>
      </c>
    </row>
    <row r="291" spans="1:7" x14ac:dyDescent="0.25">
      <c r="A291" s="20" t="s">
        <v>538</v>
      </c>
      <c r="B291" s="42" t="s">
        <v>120</v>
      </c>
      <c r="C291" s="4">
        <v>19</v>
      </c>
      <c r="D291" s="4">
        <v>2</v>
      </c>
      <c r="E291" s="42" t="s">
        <v>160</v>
      </c>
      <c r="G291" s="43">
        <v>43970</v>
      </c>
    </row>
    <row r="292" spans="1:7" x14ac:dyDescent="0.25">
      <c r="A292" s="20" t="s">
        <v>539</v>
      </c>
      <c r="B292" s="42" t="s">
        <v>3</v>
      </c>
      <c r="C292" s="4">
        <v>18</v>
      </c>
      <c r="D292" s="4">
        <v>2</v>
      </c>
      <c r="G292" s="43">
        <v>43970</v>
      </c>
    </row>
    <row r="293" spans="1:7" x14ac:dyDescent="0.25">
      <c r="A293" s="20" t="s">
        <v>540</v>
      </c>
      <c r="B293" s="42" t="s">
        <v>3</v>
      </c>
      <c r="C293" s="4">
        <v>18</v>
      </c>
      <c r="D293" s="4">
        <v>2</v>
      </c>
      <c r="G293" s="43">
        <v>43970</v>
      </c>
    </row>
    <row r="294" spans="1:7" x14ac:dyDescent="0.25">
      <c r="A294" s="20" t="s">
        <v>541</v>
      </c>
      <c r="B294" s="42" t="s">
        <v>3</v>
      </c>
      <c r="C294" s="4">
        <v>18</v>
      </c>
      <c r="D294" s="4">
        <v>2</v>
      </c>
      <c r="G294" s="43">
        <v>43970</v>
      </c>
    </row>
    <row r="295" spans="1:7" x14ac:dyDescent="0.25">
      <c r="A295" s="20" t="s">
        <v>542</v>
      </c>
      <c r="B295" s="42" t="s">
        <v>120</v>
      </c>
      <c r="C295" s="4">
        <v>24</v>
      </c>
      <c r="D295" s="4">
        <v>2</v>
      </c>
      <c r="E295" s="42" t="s">
        <v>160</v>
      </c>
      <c r="F295" s="42" t="s">
        <v>160</v>
      </c>
      <c r="G295" s="43">
        <v>43970</v>
      </c>
    </row>
    <row r="296" spans="1:7" x14ac:dyDescent="0.25">
      <c r="A296" s="20" t="s">
        <v>543</v>
      </c>
      <c r="B296" s="42" t="s">
        <v>120</v>
      </c>
      <c r="C296" s="4">
        <v>19</v>
      </c>
      <c r="D296" s="4">
        <v>2</v>
      </c>
      <c r="E296" s="42" t="s">
        <v>160</v>
      </c>
      <c r="F296" s="42" t="s">
        <v>160</v>
      </c>
      <c r="G296" s="43">
        <v>43970</v>
      </c>
    </row>
    <row r="297" spans="1:7" x14ac:dyDescent="0.25">
      <c r="A297" s="20" t="s">
        <v>544</v>
      </c>
      <c r="B297" s="42" t="s">
        <v>3</v>
      </c>
      <c r="C297" s="4">
        <v>21</v>
      </c>
      <c r="D297" s="4">
        <v>2</v>
      </c>
      <c r="G297" s="43">
        <v>43970</v>
      </c>
    </row>
    <row r="298" spans="1:7" x14ac:dyDescent="0.25">
      <c r="A298" s="20" t="s">
        <v>545</v>
      </c>
      <c r="B298" s="42" t="s">
        <v>3</v>
      </c>
      <c r="C298" s="4">
        <v>21</v>
      </c>
      <c r="D298" s="4">
        <v>2</v>
      </c>
      <c r="G298" s="43">
        <v>43970</v>
      </c>
    </row>
    <row r="299" spans="1:7" x14ac:dyDescent="0.25">
      <c r="A299" s="20" t="s">
        <v>546</v>
      </c>
      <c r="B299" s="42" t="s">
        <v>3</v>
      </c>
      <c r="C299" s="4">
        <v>18</v>
      </c>
      <c r="D299" s="4">
        <v>2</v>
      </c>
      <c r="G299" s="43">
        <v>43970</v>
      </c>
    </row>
    <row r="300" spans="1:7" x14ac:dyDescent="0.25">
      <c r="A300" s="19" t="s">
        <v>547</v>
      </c>
      <c r="B300" s="42" t="s">
        <v>3</v>
      </c>
      <c r="C300" s="3">
        <v>19</v>
      </c>
      <c r="D300" s="3">
        <v>1</v>
      </c>
      <c r="G300" s="43">
        <v>43970</v>
      </c>
    </row>
    <row r="301" spans="1:7" x14ac:dyDescent="0.25">
      <c r="A301" s="19" t="s">
        <v>548</v>
      </c>
      <c r="B301" s="42" t="s">
        <v>3</v>
      </c>
      <c r="C301" s="3">
        <v>18</v>
      </c>
      <c r="D301" s="3">
        <v>1</v>
      </c>
      <c r="G301" s="43">
        <v>43970</v>
      </c>
    </row>
    <row r="302" spans="1:7" x14ac:dyDescent="0.25">
      <c r="A302" s="19" t="s">
        <v>549</v>
      </c>
      <c r="B302" s="42" t="s">
        <v>3</v>
      </c>
      <c r="C302" s="3">
        <v>20</v>
      </c>
      <c r="D302" s="3">
        <v>1</v>
      </c>
      <c r="G302" s="43">
        <v>43970</v>
      </c>
    </row>
    <row r="303" spans="1:7" x14ac:dyDescent="0.25">
      <c r="A303" s="19" t="s">
        <v>550</v>
      </c>
      <c r="B303" s="42" t="s">
        <v>3</v>
      </c>
      <c r="C303" s="3">
        <v>19</v>
      </c>
      <c r="D303" s="3">
        <v>1</v>
      </c>
      <c r="G303" s="43">
        <v>43970</v>
      </c>
    </row>
    <row r="304" spans="1:7" x14ac:dyDescent="0.25">
      <c r="A304" s="19" t="s">
        <v>551</v>
      </c>
      <c r="B304" s="42" t="s">
        <v>3</v>
      </c>
      <c r="C304" s="3">
        <v>19</v>
      </c>
      <c r="D304" s="3">
        <v>1</v>
      </c>
      <c r="G304" s="43">
        <v>43970</v>
      </c>
    </row>
    <row r="305" spans="1:7" x14ac:dyDescent="0.25">
      <c r="A305" s="19" t="s">
        <v>552</v>
      </c>
      <c r="B305" s="42" t="s">
        <v>120</v>
      </c>
      <c r="C305" s="3">
        <v>19</v>
      </c>
      <c r="D305" s="3">
        <v>1</v>
      </c>
      <c r="E305" s="42" t="s">
        <v>160</v>
      </c>
      <c r="F305" s="42" t="s">
        <v>160</v>
      </c>
      <c r="G305" s="43">
        <v>43970</v>
      </c>
    </row>
    <row r="306" spans="1:7" x14ac:dyDescent="0.25">
      <c r="A306" s="19" t="s">
        <v>553</v>
      </c>
      <c r="B306" s="42" t="s">
        <v>3</v>
      </c>
      <c r="C306" s="3">
        <v>18</v>
      </c>
      <c r="D306" s="3">
        <v>1</v>
      </c>
      <c r="G306" s="43">
        <v>43970</v>
      </c>
    </row>
    <row r="307" spans="1:7" x14ac:dyDescent="0.25">
      <c r="A307" s="19" t="s">
        <v>554</v>
      </c>
      <c r="B307" s="42" t="s">
        <v>3</v>
      </c>
      <c r="C307" s="3">
        <v>21</v>
      </c>
      <c r="D307" s="3">
        <v>1</v>
      </c>
      <c r="G307" s="43">
        <v>43970</v>
      </c>
    </row>
    <row r="308" spans="1:7" x14ac:dyDescent="0.25">
      <c r="A308" s="19" t="s">
        <v>555</v>
      </c>
      <c r="B308" s="42" t="s">
        <v>120</v>
      </c>
      <c r="C308" s="3">
        <v>19</v>
      </c>
      <c r="D308" s="3">
        <v>1</v>
      </c>
      <c r="E308" s="42" t="s">
        <v>160</v>
      </c>
      <c r="G308" s="43">
        <v>43970</v>
      </c>
    </row>
    <row r="309" spans="1:7" x14ac:dyDescent="0.25">
      <c r="A309" s="19" t="s">
        <v>556</v>
      </c>
      <c r="B309" s="42" t="s">
        <v>3</v>
      </c>
      <c r="C309" s="3">
        <v>19</v>
      </c>
      <c r="D309" s="3">
        <v>1</v>
      </c>
      <c r="G309" s="43">
        <v>43970</v>
      </c>
    </row>
    <row r="310" spans="1:7" x14ac:dyDescent="0.25">
      <c r="A310" s="19" t="s">
        <v>557</v>
      </c>
      <c r="B310" s="42" t="s">
        <v>3</v>
      </c>
      <c r="C310" s="3">
        <v>18</v>
      </c>
      <c r="D310" s="3">
        <v>1</v>
      </c>
      <c r="G310" s="43">
        <v>43970</v>
      </c>
    </row>
    <row r="311" spans="1:7" x14ac:dyDescent="0.25">
      <c r="A311" s="19" t="s">
        <v>558</v>
      </c>
      <c r="B311" s="42" t="s">
        <v>3</v>
      </c>
      <c r="C311" s="3">
        <v>19</v>
      </c>
      <c r="D311" s="3">
        <v>1</v>
      </c>
      <c r="G311" s="43">
        <v>43970</v>
      </c>
    </row>
    <row r="312" spans="1:7" x14ac:dyDescent="0.25">
      <c r="A312" s="19" t="s">
        <v>559</v>
      </c>
      <c r="B312" s="42" t="s">
        <v>3</v>
      </c>
      <c r="C312" s="3">
        <v>23</v>
      </c>
      <c r="D312" s="3">
        <v>1</v>
      </c>
      <c r="G312" s="43">
        <v>43970</v>
      </c>
    </row>
    <row r="313" spans="1:7" x14ac:dyDescent="0.25">
      <c r="A313" s="19" t="s">
        <v>560</v>
      </c>
      <c r="B313" s="42" t="s">
        <v>3</v>
      </c>
      <c r="C313" s="3">
        <v>20</v>
      </c>
      <c r="D313" s="3">
        <v>1</v>
      </c>
      <c r="G313" s="43">
        <v>43970</v>
      </c>
    </row>
    <row r="314" spans="1:7" x14ac:dyDescent="0.25">
      <c r="A314" s="19" t="s">
        <v>561</v>
      </c>
      <c r="B314" s="42" t="s">
        <v>120</v>
      </c>
      <c r="C314" s="3">
        <v>20</v>
      </c>
      <c r="D314" s="3">
        <v>1</v>
      </c>
      <c r="E314" s="42" t="s">
        <v>160</v>
      </c>
      <c r="F314" s="42" t="s">
        <v>160</v>
      </c>
      <c r="G314" s="43">
        <v>43970</v>
      </c>
    </row>
    <row r="315" spans="1:7" x14ac:dyDescent="0.25">
      <c r="A315" s="19" t="s">
        <v>562</v>
      </c>
      <c r="B315" s="42" t="s">
        <v>3</v>
      </c>
      <c r="C315" s="3">
        <v>19</v>
      </c>
      <c r="D315" s="3">
        <v>1</v>
      </c>
      <c r="G315" s="43">
        <v>43970</v>
      </c>
    </row>
    <row r="316" spans="1:7" x14ac:dyDescent="0.25">
      <c r="A316" s="19" t="s">
        <v>563</v>
      </c>
      <c r="B316" s="42" t="s">
        <v>3</v>
      </c>
      <c r="C316" s="3">
        <v>21</v>
      </c>
      <c r="D316" s="3">
        <v>1</v>
      </c>
      <c r="G316" s="43">
        <v>43970</v>
      </c>
    </row>
    <row r="317" spans="1:7" x14ac:dyDescent="0.25">
      <c r="A317" s="19" t="s">
        <v>564</v>
      </c>
      <c r="B317" s="42" t="s">
        <v>3</v>
      </c>
      <c r="C317" s="3">
        <v>21</v>
      </c>
      <c r="D317" s="3">
        <v>1</v>
      </c>
      <c r="G317" s="43">
        <v>43970</v>
      </c>
    </row>
    <row r="318" spans="1:7" x14ac:dyDescent="0.25">
      <c r="A318" s="19" t="s">
        <v>565</v>
      </c>
      <c r="B318" s="42" t="s">
        <v>3</v>
      </c>
      <c r="C318" s="3">
        <v>20</v>
      </c>
      <c r="D318" s="3">
        <v>1</v>
      </c>
      <c r="G318" s="43">
        <v>43970</v>
      </c>
    </row>
    <row r="319" spans="1:7" x14ac:dyDescent="0.25">
      <c r="A319" s="19" t="s">
        <v>566</v>
      </c>
      <c r="B319" s="42" t="s">
        <v>120</v>
      </c>
      <c r="C319" s="3">
        <v>18</v>
      </c>
      <c r="D319" s="3">
        <v>1</v>
      </c>
      <c r="E319" s="42" t="s">
        <v>160</v>
      </c>
      <c r="G319" s="43">
        <v>43970</v>
      </c>
    </row>
    <row r="320" spans="1:7" x14ac:dyDescent="0.25">
      <c r="A320" s="19" t="s">
        <v>567</v>
      </c>
      <c r="B320" s="42" t="s">
        <v>3</v>
      </c>
      <c r="C320" s="3">
        <v>22</v>
      </c>
      <c r="D320" s="3">
        <v>1</v>
      </c>
      <c r="G320" s="43">
        <v>43970</v>
      </c>
    </row>
    <row r="321" spans="1:7" x14ac:dyDescent="0.25">
      <c r="A321" s="19" t="s">
        <v>568</v>
      </c>
      <c r="B321" s="42" t="s">
        <v>3</v>
      </c>
      <c r="C321" s="3">
        <v>20</v>
      </c>
      <c r="D321" s="3">
        <v>1</v>
      </c>
      <c r="G321" s="43">
        <v>43970</v>
      </c>
    </row>
    <row r="322" spans="1:7" x14ac:dyDescent="0.25">
      <c r="A322" s="19" t="s">
        <v>569</v>
      </c>
      <c r="B322" s="42" t="s">
        <v>3</v>
      </c>
      <c r="C322" s="3">
        <v>19</v>
      </c>
      <c r="D322" s="3">
        <v>1</v>
      </c>
      <c r="G322" s="43">
        <v>43970</v>
      </c>
    </row>
    <row r="323" spans="1:7" x14ac:dyDescent="0.25">
      <c r="A323" s="19" t="s">
        <v>570</v>
      </c>
      <c r="B323" s="42" t="s">
        <v>3</v>
      </c>
      <c r="C323" s="3">
        <v>19</v>
      </c>
      <c r="D323" s="3">
        <v>1</v>
      </c>
      <c r="G323" s="43">
        <v>43970</v>
      </c>
    </row>
    <row r="324" spans="1:7" x14ac:dyDescent="0.25">
      <c r="A324" s="19" t="s">
        <v>571</v>
      </c>
      <c r="B324" s="42" t="s">
        <v>3</v>
      </c>
      <c r="C324" s="3">
        <v>18</v>
      </c>
      <c r="D324" s="3">
        <v>1</v>
      </c>
      <c r="G324" s="43">
        <v>43970</v>
      </c>
    </row>
    <row r="325" spans="1:7" x14ac:dyDescent="0.25">
      <c r="A325" s="19" t="s">
        <v>572</v>
      </c>
      <c r="B325" s="42" t="s">
        <v>3</v>
      </c>
      <c r="C325" s="3">
        <v>20</v>
      </c>
      <c r="D325" s="3">
        <v>1</v>
      </c>
      <c r="G325" s="43">
        <v>43970</v>
      </c>
    </row>
    <row r="326" spans="1:7" x14ac:dyDescent="0.25">
      <c r="A326" s="19" t="s">
        <v>573</v>
      </c>
      <c r="B326" s="42" t="s">
        <v>3</v>
      </c>
      <c r="C326" s="3">
        <v>25</v>
      </c>
      <c r="D326" s="3">
        <v>1</v>
      </c>
      <c r="G326" s="43">
        <v>43970</v>
      </c>
    </row>
    <row r="327" spans="1:7" x14ac:dyDescent="0.25">
      <c r="A327" s="19" t="s">
        <v>574</v>
      </c>
      <c r="B327" s="42" t="s">
        <v>3</v>
      </c>
      <c r="C327" s="3">
        <v>19</v>
      </c>
      <c r="D327" s="3">
        <v>1</v>
      </c>
      <c r="G327" s="43">
        <v>43970</v>
      </c>
    </row>
    <row r="328" spans="1:7" x14ac:dyDescent="0.25">
      <c r="A328" s="19" t="s">
        <v>575</v>
      </c>
      <c r="B328" s="42" t="s">
        <v>3</v>
      </c>
      <c r="C328" s="3">
        <v>19</v>
      </c>
      <c r="D328" s="3">
        <v>1</v>
      </c>
      <c r="G328" s="43">
        <v>43970</v>
      </c>
    </row>
    <row r="329" spans="1:7" x14ac:dyDescent="0.25">
      <c r="A329" s="19" t="s">
        <v>576</v>
      </c>
      <c r="B329" s="42" t="s">
        <v>3</v>
      </c>
      <c r="C329" s="3">
        <v>19</v>
      </c>
      <c r="D329" s="3">
        <v>1</v>
      </c>
      <c r="G329" s="43">
        <v>43970</v>
      </c>
    </row>
    <row r="330" spans="1:7" x14ac:dyDescent="0.25">
      <c r="A330" s="19" t="s">
        <v>577</v>
      </c>
      <c r="B330" s="42" t="s">
        <v>3</v>
      </c>
      <c r="C330" s="3">
        <v>19</v>
      </c>
      <c r="D330" s="3">
        <v>1</v>
      </c>
      <c r="G330" s="43">
        <v>43970</v>
      </c>
    </row>
    <row r="331" spans="1:7" x14ac:dyDescent="0.25">
      <c r="A331" s="19" t="s">
        <v>578</v>
      </c>
      <c r="B331" s="42" t="s">
        <v>3</v>
      </c>
      <c r="C331" s="3">
        <v>21</v>
      </c>
      <c r="D331" s="3">
        <v>1</v>
      </c>
      <c r="G331" s="43">
        <v>43970</v>
      </c>
    </row>
    <row r="332" spans="1:7" x14ac:dyDescent="0.25">
      <c r="A332" s="19" t="s">
        <v>579</v>
      </c>
      <c r="B332" s="42" t="s">
        <v>3</v>
      </c>
      <c r="C332" s="3">
        <v>23</v>
      </c>
      <c r="D332" s="3">
        <v>1</v>
      </c>
      <c r="G332" s="43">
        <v>43970</v>
      </c>
    </row>
    <row r="333" spans="1:7" x14ac:dyDescent="0.25">
      <c r="A333" s="19" t="s">
        <v>580</v>
      </c>
      <c r="B333" s="42" t="s">
        <v>3</v>
      </c>
      <c r="C333" s="3">
        <v>20</v>
      </c>
      <c r="D333" s="3">
        <v>1</v>
      </c>
      <c r="G333" s="43">
        <v>43970</v>
      </c>
    </row>
    <row r="334" spans="1:7" x14ac:dyDescent="0.25">
      <c r="A334" s="19" t="s">
        <v>581</v>
      </c>
      <c r="B334" s="42" t="s">
        <v>3</v>
      </c>
      <c r="C334" s="3">
        <v>19</v>
      </c>
      <c r="D334" s="3">
        <v>1</v>
      </c>
      <c r="G334" s="43">
        <v>43970</v>
      </c>
    </row>
    <row r="335" spans="1:7" x14ac:dyDescent="0.25">
      <c r="A335" s="19" t="s">
        <v>582</v>
      </c>
      <c r="B335" s="42" t="s">
        <v>3</v>
      </c>
      <c r="C335" s="3">
        <v>19</v>
      </c>
      <c r="D335" s="3">
        <v>1</v>
      </c>
      <c r="G335" s="43">
        <v>43970</v>
      </c>
    </row>
    <row r="336" spans="1:7" x14ac:dyDescent="0.25">
      <c r="A336" s="19" t="s">
        <v>583</v>
      </c>
      <c r="B336" s="42" t="s">
        <v>120</v>
      </c>
      <c r="C336" s="3">
        <v>18</v>
      </c>
      <c r="D336" s="3">
        <v>1</v>
      </c>
      <c r="E336" s="42" t="s">
        <v>160</v>
      </c>
      <c r="F336" s="42" t="s">
        <v>160</v>
      </c>
      <c r="G336" s="43">
        <v>43970</v>
      </c>
    </row>
    <row r="337" spans="1:7" x14ac:dyDescent="0.25">
      <c r="A337" s="19" t="s">
        <v>584</v>
      </c>
      <c r="B337" s="42" t="s">
        <v>120</v>
      </c>
      <c r="C337" s="3">
        <v>19</v>
      </c>
      <c r="D337" s="3">
        <v>1</v>
      </c>
      <c r="E337" s="42" t="s">
        <v>160</v>
      </c>
      <c r="F337" s="42" t="s">
        <v>160</v>
      </c>
      <c r="G337" s="43">
        <v>43970</v>
      </c>
    </row>
    <row r="338" spans="1:7" x14ac:dyDescent="0.25">
      <c r="A338" s="19" t="s">
        <v>585</v>
      </c>
      <c r="B338" s="42" t="s">
        <v>3</v>
      </c>
      <c r="C338" s="3">
        <v>22</v>
      </c>
      <c r="D338" s="3">
        <v>1</v>
      </c>
      <c r="G338" s="43">
        <v>43970</v>
      </c>
    </row>
    <row r="339" spans="1:7" x14ac:dyDescent="0.25">
      <c r="A339" s="19" t="s">
        <v>586</v>
      </c>
      <c r="B339" s="42" t="s">
        <v>3</v>
      </c>
      <c r="C339" s="3">
        <v>20</v>
      </c>
      <c r="D339" s="3">
        <v>1</v>
      </c>
      <c r="G339" s="43">
        <v>43970</v>
      </c>
    </row>
    <row r="340" spans="1:7" x14ac:dyDescent="0.25">
      <c r="A340" s="19" t="s">
        <v>587</v>
      </c>
      <c r="B340" s="42" t="s">
        <v>120</v>
      </c>
      <c r="C340" s="3">
        <v>19</v>
      </c>
      <c r="D340" s="3">
        <v>1</v>
      </c>
      <c r="E340" s="42" t="s">
        <v>160</v>
      </c>
      <c r="F340" s="42" t="s">
        <v>160</v>
      </c>
      <c r="G340" s="43">
        <v>43970</v>
      </c>
    </row>
    <row r="341" spans="1:7" x14ac:dyDescent="0.25">
      <c r="A341" s="19" t="s">
        <v>588</v>
      </c>
      <c r="B341" s="42" t="s">
        <v>3</v>
      </c>
      <c r="C341" s="3">
        <v>19</v>
      </c>
      <c r="D341" s="3">
        <v>1</v>
      </c>
      <c r="G341" s="43">
        <v>43970</v>
      </c>
    </row>
    <row r="342" spans="1:7" x14ac:dyDescent="0.25">
      <c r="A342" s="19" t="s">
        <v>589</v>
      </c>
      <c r="B342" s="42" t="s">
        <v>120</v>
      </c>
      <c r="C342" s="3">
        <v>19</v>
      </c>
      <c r="D342" s="3">
        <v>1</v>
      </c>
      <c r="E342" s="42" t="s">
        <v>160</v>
      </c>
      <c r="G342" s="43">
        <v>43970</v>
      </c>
    </row>
    <row r="343" spans="1:7" x14ac:dyDescent="0.25">
      <c r="A343" s="19" t="s">
        <v>590</v>
      </c>
      <c r="B343" s="42" t="s">
        <v>3</v>
      </c>
      <c r="C343" s="3">
        <v>21</v>
      </c>
      <c r="D343" s="3">
        <v>1</v>
      </c>
      <c r="G343" s="43">
        <v>43970</v>
      </c>
    </row>
    <row r="344" spans="1:7" x14ac:dyDescent="0.25">
      <c r="A344" s="19" t="s">
        <v>591</v>
      </c>
      <c r="B344" s="42" t="s">
        <v>3</v>
      </c>
      <c r="C344" s="3">
        <v>19</v>
      </c>
      <c r="D344" s="3">
        <v>1</v>
      </c>
      <c r="G344" s="43">
        <v>43970</v>
      </c>
    </row>
    <row r="345" spans="1:7" x14ac:dyDescent="0.25">
      <c r="A345" s="19" t="s">
        <v>592</v>
      </c>
      <c r="B345" s="42" t="s">
        <v>3</v>
      </c>
      <c r="C345" s="3">
        <v>19</v>
      </c>
      <c r="D345" s="3">
        <v>1</v>
      </c>
      <c r="G345" s="43">
        <v>43970</v>
      </c>
    </row>
    <row r="346" spans="1:7" x14ac:dyDescent="0.25">
      <c r="A346" s="19" t="s">
        <v>593</v>
      </c>
      <c r="B346" s="42" t="s">
        <v>120</v>
      </c>
      <c r="C346" s="3">
        <v>20</v>
      </c>
      <c r="D346" s="3">
        <v>1</v>
      </c>
      <c r="E346" s="42" t="s">
        <v>160</v>
      </c>
      <c r="F346" s="42" t="s">
        <v>160</v>
      </c>
      <c r="G346" s="43">
        <v>43970</v>
      </c>
    </row>
    <row r="347" spans="1:7" x14ac:dyDescent="0.25">
      <c r="A347" s="19" t="s">
        <v>594</v>
      </c>
      <c r="B347" s="42" t="s">
        <v>3</v>
      </c>
      <c r="C347" s="3">
        <v>23</v>
      </c>
      <c r="D347" s="3">
        <v>1</v>
      </c>
      <c r="G347" s="43">
        <v>43970</v>
      </c>
    </row>
    <row r="348" spans="1:7" x14ac:dyDescent="0.25">
      <c r="A348" s="19" t="s">
        <v>595</v>
      </c>
      <c r="B348" s="42" t="s">
        <v>3</v>
      </c>
      <c r="C348" s="3">
        <v>19</v>
      </c>
      <c r="D348" s="3">
        <v>1</v>
      </c>
      <c r="G348" s="43">
        <v>43970</v>
      </c>
    </row>
    <row r="349" spans="1:7" x14ac:dyDescent="0.25">
      <c r="A349" s="19" t="s">
        <v>596</v>
      </c>
      <c r="B349" s="42" t="s">
        <v>120</v>
      </c>
      <c r="C349" s="3">
        <v>20</v>
      </c>
      <c r="D349" s="3">
        <v>1</v>
      </c>
      <c r="E349" s="42" t="s">
        <v>160</v>
      </c>
      <c r="G349" s="43">
        <v>43970</v>
      </c>
    </row>
    <row r="350" spans="1:7" x14ac:dyDescent="0.25">
      <c r="A350" s="19" t="s">
        <v>597</v>
      </c>
      <c r="B350" s="42" t="s">
        <v>3</v>
      </c>
      <c r="C350" s="3">
        <v>19</v>
      </c>
      <c r="D350" s="3">
        <v>1</v>
      </c>
      <c r="G350" s="43">
        <v>43970</v>
      </c>
    </row>
    <row r="351" spans="1:7" x14ac:dyDescent="0.25">
      <c r="A351" s="19" t="s">
        <v>598</v>
      </c>
      <c r="B351" s="42" t="s">
        <v>3</v>
      </c>
      <c r="C351" s="3">
        <v>18</v>
      </c>
      <c r="D351" s="3">
        <v>1</v>
      </c>
      <c r="G351" s="43">
        <v>43970</v>
      </c>
    </row>
    <row r="352" spans="1:7" x14ac:dyDescent="0.25">
      <c r="A352" s="19" t="s">
        <v>599</v>
      </c>
      <c r="B352" s="42" t="s">
        <v>3</v>
      </c>
      <c r="C352" s="3">
        <v>23</v>
      </c>
      <c r="D352" s="3">
        <v>1</v>
      </c>
      <c r="G352" s="43">
        <v>43970</v>
      </c>
    </row>
    <row r="353" spans="1:7" x14ac:dyDescent="0.25">
      <c r="A353" s="19" t="s">
        <v>600</v>
      </c>
      <c r="B353" s="42" t="s">
        <v>3</v>
      </c>
      <c r="C353" s="3">
        <v>20</v>
      </c>
      <c r="D353" s="3">
        <v>1</v>
      </c>
      <c r="G353" s="43">
        <v>43970</v>
      </c>
    </row>
    <row r="354" spans="1:7" x14ac:dyDescent="0.25">
      <c r="A354" s="19" t="s">
        <v>601</v>
      </c>
      <c r="B354" s="42" t="s">
        <v>3</v>
      </c>
      <c r="C354" s="3">
        <v>20</v>
      </c>
      <c r="D354" s="3">
        <v>1</v>
      </c>
      <c r="G354" s="43">
        <v>43970</v>
      </c>
    </row>
    <row r="355" spans="1:7" x14ac:dyDescent="0.25">
      <c r="A355" s="19" t="s">
        <v>602</v>
      </c>
      <c r="B355" s="42" t="s">
        <v>3</v>
      </c>
      <c r="C355" s="3">
        <v>19</v>
      </c>
      <c r="D355" s="3">
        <v>1</v>
      </c>
      <c r="G355" s="43">
        <v>43970</v>
      </c>
    </row>
    <row r="356" spans="1:7" x14ac:dyDescent="0.25">
      <c r="A356" s="19" t="s">
        <v>603</v>
      </c>
      <c r="B356" s="42" t="s">
        <v>3</v>
      </c>
      <c r="C356" s="3">
        <v>19</v>
      </c>
      <c r="D356" s="3">
        <v>1</v>
      </c>
      <c r="G356" s="43">
        <v>43970</v>
      </c>
    </row>
    <row r="357" spans="1:7" x14ac:dyDescent="0.25">
      <c r="A357" s="19" t="s">
        <v>604</v>
      </c>
      <c r="B357" s="42" t="s">
        <v>3</v>
      </c>
      <c r="C357" s="3">
        <v>29</v>
      </c>
      <c r="D357" s="3">
        <v>1</v>
      </c>
      <c r="G357" s="43">
        <v>43970</v>
      </c>
    </row>
    <row r="358" spans="1:7" x14ac:dyDescent="0.25">
      <c r="A358" s="19" t="s">
        <v>605</v>
      </c>
      <c r="B358" s="42" t="s">
        <v>3</v>
      </c>
      <c r="C358" s="3">
        <v>19</v>
      </c>
      <c r="D358" s="3">
        <v>1</v>
      </c>
      <c r="G358" s="43">
        <v>43970</v>
      </c>
    </row>
    <row r="359" spans="1:7" x14ac:dyDescent="0.25">
      <c r="A359" s="19" t="s">
        <v>606</v>
      </c>
      <c r="B359" s="42" t="s">
        <v>3</v>
      </c>
      <c r="C359" s="3">
        <v>22</v>
      </c>
      <c r="D359" s="3">
        <v>1</v>
      </c>
      <c r="G359" s="43">
        <v>43970</v>
      </c>
    </row>
    <row r="360" spans="1:7" x14ac:dyDescent="0.25">
      <c r="A360" s="19" t="s">
        <v>607</v>
      </c>
      <c r="B360" s="42" t="s">
        <v>3</v>
      </c>
      <c r="C360" s="3">
        <v>19</v>
      </c>
      <c r="D360" s="3">
        <v>1</v>
      </c>
      <c r="G360" s="43">
        <v>43970</v>
      </c>
    </row>
    <row r="361" spans="1:7" x14ac:dyDescent="0.25">
      <c r="A361" s="19" t="s">
        <v>608</v>
      </c>
      <c r="B361" s="42" t="s">
        <v>3</v>
      </c>
      <c r="C361" s="3">
        <v>22</v>
      </c>
      <c r="D361" s="3">
        <v>1</v>
      </c>
      <c r="G361" s="43">
        <v>43970</v>
      </c>
    </row>
    <row r="362" spans="1:7" x14ac:dyDescent="0.25">
      <c r="A362" s="19" t="s">
        <v>609</v>
      </c>
      <c r="B362" s="42" t="s">
        <v>3</v>
      </c>
      <c r="C362" s="3">
        <v>21</v>
      </c>
      <c r="D362" s="3">
        <v>1</v>
      </c>
      <c r="G362" s="43">
        <v>43970</v>
      </c>
    </row>
    <row r="363" spans="1:7" x14ac:dyDescent="0.25">
      <c r="A363" s="19" t="s">
        <v>610</v>
      </c>
      <c r="B363" s="42" t="s">
        <v>120</v>
      </c>
      <c r="C363" s="3">
        <v>18</v>
      </c>
      <c r="D363" s="3">
        <v>1</v>
      </c>
      <c r="E363" s="42" t="s">
        <v>160</v>
      </c>
      <c r="F363" s="42" t="s">
        <v>160</v>
      </c>
      <c r="G363" s="43">
        <v>43970</v>
      </c>
    </row>
    <row r="364" spans="1:7" x14ac:dyDescent="0.25">
      <c r="A364" s="19" t="s">
        <v>611</v>
      </c>
      <c r="B364" s="42" t="s">
        <v>3</v>
      </c>
      <c r="C364" s="3">
        <v>19</v>
      </c>
      <c r="D364" s="3">
        <v>1</v>
      </c>
      <c r="G364" s="43">
        <v>43971</v>
      </c>
    </row>
    <row r="365" spans="1:7" x14ac:dyDescent="0.25">
      <c r="A365" s="19" t="s">
        <v>612</v>
      </c>
      <c r="B365" s="42" t="s">
        <v>3</v>
      </c>
      <c r="C365" s="3">
        <v>19</v>
      </c>
      <c r="D365" s="3">
        <v>1</v>
      </c>
      <c r="G365" s="43">
        <v>43971</v>
      </c>
    </row>
    <row r="366" spans="1:7" x14ac:dyDescent="0.25">
      <c r="A366" s="19" t="s">
        <v>613</v>
      </c>
      <c r="B366" s="42" t="s">
        <v>3</v>
      </c>
      <c r="C366" s="3">
        <v>20</v>
      </c>
      <c r="D366" s="3">
        <v>1</v>
      </c>
      <c r="G366" s="43">
        <v>43971</v>
      </c>
    </row>
    <row r="367" spans="1:7" x14ac:dyDescent="0.25">
      <c r="A367" s="19" t="s">
        <v>614</v>
      </c>
      <c r="B367" s="42" t="s">
        <v>120</v>
      </c>
      <c r="C367" s="3">
        <v>24</v>
      </c>
      <c r="D367" s="3">
        <v>1</v>
      </c>
      <c r="E367" s="42" t="s">
        <v>160</v>
      </c>
      <c r="F367" s="42" t="s">
        <v>160</v>
      </c>
      <c r="G367" s="43">
        <v>43971</v>
      </c>
    </row>
    <row r="368" spans="1:7" x14ac:dyDescent="0.25">
      <c r="A368" s="19" t="s">
        <v>615</v>
      </c>
      <c r="B368" s="42" t="s">
        <v>3</v>
      </c>
      <c r="C368" s="3">
        <v>19</v>
      </c>
      <c r="D368" s="3">
        <v>1</v>
      </c>
      <c r="G368" s="43">
        <v>43971</v>
      </c>
    </row>
    <row r="369" spans="1:8" x14ac:dyDescent="0.25">
      <c r="A369" s="19" t="s">
        <v>616</v>
      </c>
      <c r="B369" s="42" t="s">
        <v>3</v>
      </c>
      <c r="C369" s="3">
        <v>27</v>
      </c>
      <c r="D369" s="3">
        <v>1</v>
      </c>
      <c r="G369" s="43">
        <v>43971</v>
      </c>
    </row>
    <row r="370" spans="1:8" x14ac:dyDescent="0.25">
      <c r="A370" s="19" t="s">
        <v>617</v>
      </c>
      <c r="B370" s="42" t="s">
        <v>3</v>
      </c>
      <c r="C370" s="3">
        <v>19</v>
      </c>
      <c r="D370" s="3">
        <v>1</v>
      </c>
      <c r="E370" s="42" t="s">
        <v>160</v>
      </c>
      <c r="G370" s="43">
        <v>43971</v>
      </c>
    </row>
    <row r="371" spans="1:8" x14ac:dyDescent="0.25">
      <c r="A371" s="19" t="s">
        <v>618</v>
      </c>
      <c r="B371" s="42" t="s">
        <v>3</v>
      </c>
      <c r="C371" s="3">
        <v>19</v>
      </c>
      <c r="D371" s="3">
        <v>1</v>
      </c>
      <c r="E371" s="42" t="s">
        <v>160</v>
      </c>
      <c r="G371" s="43">
        <v>43971</v>
      </c>
    </row>
    <row r="372" spans="1:8" x14ac:dyDescent="0.25">
      <c r="A372" s="19" t="s">
        <v>619</v>
      </c>
      <c r="B372" s="42" t="s">
        <v>3</v>
      </c>
      <c r="C372" s="3">
        <v>19</v>
      </c>
      <c r="D372" s="3">
        <v>1</v>
      </c>
      <c r="G372" s="43">
        <v>43971</v>
      </c>
    </row>
    <row r="373" spans="1:8" x14ac:dyDescent="0.25">
      <c r="A373" s="19" t="s">
        <v>620</v>
      </c>
      <c r="B373" s="42" t="s">
        <v>120</v>
      </c>
      <c r="C373" s="3">
        <v>24</v>
      </c>
      <c r="D373" s="3">
        <v>1</v>
      </c>
      <c r="E373" s="42" t="s">
        <v>160</v>
      </c>
      <c r="G373" s="43">
        <v>43971</v>
      </c>
    </row>
    <row r="374" spans="1:8" x14ac:dyDescent="0.25">
      <c r="A374" s="19" t="s">
        <v>621</v>
      </c>
      <c r="B374" s="42" t="s">
        <v>3</v>
      </c>
      <c r="C374" s="3">
        <v>22</v>
      </c>
      <c r="D374" s="3">
        <v>1</v>
      </c>
      <c r="G374" s="43">
        <v>43971</v>
      </c>
    </row>
    <row r="375" spans="1:8" x14ac:dyDescent="0.25">
      <c r="A375" s="19" t="s">
        <v>622</v>
      </c>
      <c r="B375" s="42" t="s">
        <v>120</v>
      </c>
      <c r="C375" s="3">
        <v>18</v>
      </c>
      <c r="D375" s="3">
        <v>1</v>
      </c>
      <c r="E375" s="42" t="s">
        <v>160</v>
      </c>
      <c r="G375" s="43">
        <v>43971</v>
      </c>
    </row>
    <row r="376" spans="1:8" x14ac:dyDescent="0.25">
      <c r="A376" s="19" t="s">
        <v>623</v>
      </c>
      <c r="B376" s="42" t="s">
        <v>120</v>
      </c>
      <c r="C376" s="3">
        <v>19</v>
      </c>
      <c r="D376" s="3">
        <v>1</v>
      </c>
      <c r="E376" s="42" t="s">
        <v>160</v>
      </c>
      <c r="F376" s="42" t="s">
        <v>160</v>
      </c>
      <c r="G376" s="43">
        <v>43971</v>
      </c>
    </row>
    <row r="377" spans="1:8" x14ac:dyDescent="0.25">
      <c r="A377" s="19" t="s">
        <v>624</v>
      </c>
      <c r="B377" s="42" t="s">
        <v>3</v>
      </c>
      <c r="C377" s="3">
        <v>18</v>
      </c>
      <c r="D377" s="3">
        <v>1</v>
      </c>
      <c r="G377" s="43">
        <v>43971</v>
      </c>
    </row>
    <row r="378" spans="1:8" x14ac:dyDescent="0.25">
      <c r="A378" s="19" t="s">
        <v>625</v>
      </c>
      <c r="B378" s="42" t="s">
        <v>3</v>
      </c>
      <c r="C378" s="3">
        <v>19</v>
      </c>
      <c r="D378" s="3">
        <v>1</v>
      </c>
      <c r="G378" s="43">
        <v>43971</v>
      </c>
    </row>
    <row r="379" spans="1:8" x14ac:dyDescent="0.25">
      <c r="A379" s="19" t="s">
        <v>626</v>
      </c>
      <c r="B379" s="42" t="s">
        <v>3</v>
      </c>
      <c r="C379" s="3">
        <v>20</v>
      </c>
      <c r="D379" s="3">
        <v>1</v>
      </c>
      <c r="E379" s="42" t="s">
        <v>160</v>
      </c>
      <c r="G379" s="43">
        <v>43971</v>
      </c>
    </row>
    <row r="380" spans="1:8" x14ac:dyDescent="0.25">
      <c r="A380" s="19" t="s">
        <v>627</v>
      </c>
      <c r="B380" s="42" t="s">
        <v>3</v>
      </c>
      <c r="C380" s="3">
        <v>23</v>
      </c>
      <c r="D380" s="3">
        <v>1</v>
      </c>
      <c r="G380" s="43">
        <v>43971</v>
      </c>
    </row>
    <row r="381" spans="1:8" x14ac:dyDescent="0.25">
      <c r="A381" s="19" t="s">
        <v>628</v>
      </c>
      <c r="B381" s="42" t="s">
        <v>3</v>
      </c>
      <c r="C381" s="3">
        <v>19</v>
      </c>
      <c r="D381" s="3">
        <v>1</v>
      </c>
      <c r="G381" s="43">
        <v>43971</v>
      </c>
    </row>
    <row r="382" spans="1:8" x14ac:dyDescent="0.25">
      <c r="A382" s="19" t="s">
        <v>629</v>
      </c>
      <c r="B382" s="42" t="s">
        <v>3</v>
      </c>
      <c r="C382" s="3">
        <v>19</v>
      </c>
      <c r="D382" s="3">
        <v>1</v>
      </c>
      <c r="G382" s="43">
        <v>43971</v>
      </c>
    </row>
    <row r="383" spans="1:8" x14ac:dyDescent="0.25">
      <c r="A383" s="19" t="s">
        <v>630</v>
      </c>
      <c r="B383" s="42" t="s">
        <v>3</v>
      </c>
      <c r="C383" s="3">
        <v>20</v>
      </c>
      <c r="D383" s="3">
        <v>1</v>
      </c>
      <c r="G383" s="43">
        <v>43971</v>
      </c>
    </row>
    <row r="384" spans="1:8" x14ac:dyDescent="0.25">
      <c r="A384" s="19" t="s">
        <v>631</v>
      </c>
      <c r="B384" s="42" t="s">
        <v>120</v>
      </c>
      <c r="C384" s="3">
        <v>19</v>
      </c>
      <c r="D384" s="3">
        <v>1</v>
      </c>
      <c r="E384" s="42" t="s">
        <v>160</v>
      </c>
      <c r="F384" s="42" t="s">
        <v>160</v>
      </c>
      <c r="G384" s="43">
        <v>43971</v>
      </c>
      <c r="H384" s="42" t="s">
        <v>238</v>
      </c>
    </row>
    <row r="385" spans="1:7" x14ac:dyDescent="0.25">
      <c r="A385" s="19" t="s">
        <v>632</v>
      </c>
      <c r="B385" s="42" t="s">
        <v>3</v>
      </c>
      <c r="C385" s="3">
        <v>20</v>
      </c>
      <c r="D385" s="3">
        <v>1</v>
      </c>
      <c r="G385" s="43">
        <v>43971</v>
      </c>
    </row>
    <row r="386" spans="1:7" x14ac:dyDescent="0.25">
      <c r="A386" s="19" t="s">
        <v>633</v>
      </c>
      <c r="B386" s="42" t="s">
        <v>3</v>
      </c>
      <c r="C386" s="3">
        <v>21</v>
      </c>
      <c r="D386" s="3">
        <v>1</v>
      </c>
      <c r="G386" s="43">
        <v>43971</v>
      </c>
    </row>
    <row r="387" spans="1:7" x14ac:dyDescent="0.25">
      <c r="A387" s="19" t="s">
        <v>634</v>
      </c>
      <c r="B387" s="42" t="s">
        <v>3</v>
      </c>
      <c r="C387" s="3">
        <v>22</v>
      </c>
      <c r="D387" s="3">
        <v>1</v>
      </c>
      <c r="G387" s="43">
        <v>43971</v>
      </c>
    </row>
    <row r="388" spans="1:7" x14ac:dyDescent="0.25">
      <c r="A388" s="19" t="s">
        <v>635</v>
      </c>
      <c r="B388" s="42" t="s">
        <v>120</v>
      </c>
      <c r="C388" s="3">
        <v>24</v>
      </c>
      <c r="D388" s="3">
        <v>1</v>
      </c>
      <c r="E388" s="42" t="s">
        <v>160</v>
      </c>
      <c r="F388" s="42" t="s">
        <v>160</v>
      </c>
      <c r="G388" s="43">
        <v>43971</v>
      </c>
    </row>
    <row r="389" spans="1:7" x14ac:dyDescent="0.25">
      <c r="A389" s="19" t="s">
        <v>636</v>
      </c>
      <c r="B389" s="42" t="s">
        <v>3</v>
      </c>
      <c r="C389" s="3">
        <v>27</v>
      </c>
      <c r="D389" s="3">
        <v>1</v>
      </c>
      <c r="G389" s="43">
        <v>43971</v>
      </c>
    </row>
    <row r="390" spans="1:7" x14ac:dyDescent="0.25">
      <c r="A390" s="19" t="s">
        <v>637</v>
      </c>
      <c r="B390" s="42" t="s">
        <v>3</v>
      </c>
      <c r="C390" s="3">
        <v>22</v>
      </c>
      <c r="D390" s="3">
        <v>1</v>
      </c>
      <c r="G390" s="43">
        <v>43971</v>
      </c>
    </row>
    <row r="391" spans="1:7" x14ac:dyDescent="0.25">
      <c r="A391" s="19" t="s">
        <v>638</v>
      </c>
      <c r="B391" s="42" t="s">
        <v>3</v>
      </c>
      <c r="C391" s="3">
        <v>19</v>
      </c>
      <c r="D391" s="3">
        <v>1</v>
      </c>
      <c r="G391" s="43">
        <v>43971</v>
      </c>
    </row>
    <row r="392" spans="1:7" x14ac:dyDescent="0.25">
      <c r="A392" s="19" t="s">
        <v>639</v>
      </c>
      <c r="B392" s="42" t="s">
        <v>3</v>
      </c>
      <c r="C392" s="3">
        <v>19</v>
      </c>
      <c r="D392" s="3">
        <v>1</v>
      </c>
      <c r="G392" s="43">
        <v>43971</v>
      </c>
    </row>
    <row r="393" spans="1:7" x14ac:dyDescent="0.25">
      <c r="A393" s="19" t="s">
        <v>640</v>
      </c>
      <c r="B393" s="42" t="s">
        <v>3</v>
      </c>
      <c r="C393" s="3">
        <v>21</v>
      </c>
      <c r="D393" s="3">
        <v>1</v>
      </c>
      <c r="G393" s="43">
        <v>43971</v>
      </c>
    </row>
    <row r="394" spans="1:7" x14ac:dyDescent="0.25">
      <c r="A394" s="19" t="s">
        <v>641</v>
      </c>
      <c r="B394" s="42" t="s">
        <v>3</v>
      </c>
      <c r="C394" s="3">
        <v>21</v>
      </c>
      <c r="D394" s="3">
        <v>1</v>
      </c>
      <c r="G394" s="43">
        <v>43971</v>
      </c>
    </row>
    <row r="395" spans="1:7" x14ac:dyDescent="0.25">
      <c r="A395" s="19" t="s">
        <v>642</v>
      </c>
      <c r="B395" s="42" t="s">
        <v>3</v>
      </c>
      <c r="C395" s="3">
        <v>19</v>
      </c>
      <c r="D395" s="3">
        <v>1</v>
      </c>
      <c r="G395" s="43">
        <v>43971</v>
      </c>
    </row>
    <row r="396" spans="1:7" x14ac:dyDescent="0.25">
      <c r="A396" s="19" t="s">
        <v>643</v>
      </c>
      <c r="B396" s="42" t="s">
        <v>3</v>
      </c>
      <c r="C396" s="3">
        <v>22</v>
      </c>
      <c r="D396" s="3">
        <v>1</v>
      </c>
      <c r="G396" s="43">
        <v>43971</v>
      </c>
    </row>
    <row r="397" spans="1:7" x14ac:dyDescent="0.25">
      <c r="A397" s="19" t="s">
        <v>644</v>
      </c>
      <c r="B397" s="42" t="s">
        <v>3</v>
      </c>
      <c r="C397" s="3">
        <v>24</v>
      </c>
      <c r="D397" s="3">
        <v>1</v>
      </c>
      <c r="G397" s="43">
        <v>43971</v>
      </c>
    </row>
    <row r="398" spans="1:7" x14ac:dyDescent="0.25">
      <c r="A398" s="19" t="s">
        <v>645</v>
      </c>
      <c r="B398" s="42" t="s">
        <v>120</v>
      </c>
      <c r="C398" s="3">
        <v>19</v>
      </c>
      <c r="D398" s="3">
        <v>1</v>
      </c>
      <c r="E398" s="42" t="s">
        <v>160</v>
      </c>
      <c r="G398" s="43">
        <v>43971</v>
      </c>
    </row>
    <row r="399" spans="1:7" x14ac:dyDescent="0.25">
      <c r="A399" s="19" t="s">
        <v>646</v>
      </c>
      <c r="B399" s="42" t="s">
        <v>3</v>
      </c>
      <c r="C399" s="3">
        <v>26</v>
      </c>
      <c r="D399" s="3">
        <v>1</v>
      </c>
      <c r="G399" s="43">
        <v>43971</v>
      </c>
    </row>
    <row r="400" spans="1:7" x14ac:dyDescent="0.25">
      <c r="A400" s="19" t="s">
        <v>647</v>
      </c>
      <c r="B400" s="42" t="s">
        <v>3</v>
      </c>
      <c r="C400" s="3">
        <v>18</v>
      </c>
      <c r="D400" s="3">
        <v>1</v>
      </c>
      <c r="G400" s="43">
        <v>43971</v>
      </c>
    </row>
    <row r="401" spans="1:7" x14ac:dyDescent="0.25">
      <c r="A401" s="19" t="s">
        <v>648</v>
      </c>
      <c r="B401" s="42" t="s">
        <v>120</v>
      </c>
      <c r="C401" s="3">
        <v>20</v>
      </c>
      <c r="D401" s="3">
        <v>1</v>
      </c>
      <c r="E401" s="42" t="s">
        <v>160</v>
      </c>
      <c r="G401" s="43">
        <v>43971</v>
      </c>
    </row>
    <row r="402" spans="1:7" x14ac:dyDescent="0.25">
      <c r="A402" s="19" t="s">
        <v>649</v>
      </c>
      <c r="B402" s="42" t="s">
        <v>3</v>
      </c>
      <c r="C402" s="3">
        <v>19</v>
      </c>
      <c r="D402" s="3">
        <v>1</v>
      </c>
      <c r="G402" s="43">
        <v>43971</v>
      </c>
    </row>
    <row r="403" spans="1:7" x14ac:dyDescent="0.25">
      <c r="A403" s="19" t="s">
        <v>650</v>
      </c>
      <c r="B403" s="42" t="s">
        <v>3</v>
      </c>
      <c r="C403" s="3">
        <v>20</v>
      </c>
      <c r="D403" s="3">
        <v>1</v>
      </c>
      <c r="G403" s="43">
        <v>43971</v>
      </c>
    </row>
    <row r="404" spans="1:7" x14ac:dyDescent="0.25">
      <c r="A404" s="19" t="s">
        <v>651</v>
      </c>
      <c r="B404" s="42" t="s">
        <v>3</v>
      </c>
      <c r="C404" s="3">
        <v>18</v>
      </c>
      <c r="D404" s="3">
        <v>1</v>
      </c>
      <c r="G404" s="43">
        <v>43971</v>
      </c>
    </row>
    <row r="405" spans="1:7" x14ac:dyDescent="0.25">
      <c r="A405" s="19" t="s">
        <v>652</v>
      </c>
      <c r="B405" s="42" t="s">
        <v>3</v>
      </c>
      <c r="C405" s="3">
        <v>19</v>
      </c>
      <c r="D405" s="3">
        <v>1</v>
      </c>
      <c r="G405" s="43">
        <v>43971</v>
      </c>
    </row>
    <row r="406" spans="1:7" x14ac:dyDescent="0.25">
      <c r="A406" s="19" t="s">
        <v>653</v>
      </c>
      <c r="B406" s="42" t="s">
        <v>3</v>
      </c>
      <c r="C406" s="3">
        <v>22</v>
      </c>
      <c r="D406" s="3">
        <v>1</v>
      </c>
      <c r="G406" s="43">
        <v>43971</v>
      </c>
    </row>
    <row r="407" spans="1:7" x14ac:dyDescent="0.25">
      <c r="A407" s="19" t="s">
        <v>654</v>
      </c>
      <c r="B407" s="42" t="s">
        <v>3</v>
      </c>
      <c r="C407" s="3">
        <v>20</v>
      </c>
      <c r="D407" s="3">
        <v>1</v>
      </c>
      <c r="G407" s="43">
        <v>43971</v>
      </c>
    </row>
    <row r="408" spans="1:7" x14ac:dyDescent="0.25">
      <c r="A408" s="19" t="s">
        <v>655</v>
      </c>
      <c r="B408" s="42" t="s">
        <v>3</v>
      </c>
      <c r="C408" s="3">
        <v>18</v>
      </c>
      <c r="D408" s="3">
        <v>1</v>
      </c>
      <c r="G408" s="43">
        <v>43971</v>
      </c>
    </row>
    <row r="409" spans="1:7" x14ac:dyDescent="0.25">
      <c r="A409" s="19" t="s">
        <v>656</v>
      </c>
      <c r="B409" s="42" t="s">
        <v>3</v>
      </c>
      <c r="C409" s="3">
        <v>21</v>
      </c>
      <c r="D409" s="3">
        <v>1</v>
      </c>
      <c r="G409" s="43">
        <v>43971</v>
      </c>
    </row>
    <row r="410" spans="1:7" x14ac:dyDescent="0.25">
      <c r="A410" s="19" t="s">
        <v>657</v>
      </c>
      <c r="B410" s="42" t="s">
        <v>3</v>
      </c>
      <c r="C410" s="3">
        <v>19</v>
      </c>
      <c r="D410" s="3">
        <v>1</v>
      </c>
      <c r="G410" s="43">
        <v>43971</v>
      </c>
    </row>
    <row r="411" spans="1:7" x14ac:dyDescent="0.25">
      <c r="A411" s="19" t="s">
        <v>658</v>
      </c>
      <c r="B411" s="42" t="s">
        <v>3</v>
      </c>
      <c r="C411" s="3">
        <v>18</v>
      </c>
      <c r="D411" s="3">
        <v>1</v>
      </c>
      <c r="G411" s="43">
        <v>43971</v>
      </c>
    </row>
    <row r="412" spans="1:7" x14ac:dyDescent="0.25">
      <c r="A412" s="19" t="s">
        <v>659</v>
      </c>
      <c r="B412" s="42" t="s">
        <v>3</v>
      </c>
      <c r="C412" s="3">
        <v>22</v>
      </c>
      <c r="D412" s="3">
        <v>1</v>
      </c>
      <c r="G412" s="43">
        <v>43971</v>
      </c>
    </row>
    <row r="413" spans="1:7" x14ac:dyDescent="0.25">
      <c r="A413" s="19" t="s">
        <v>660</v>
      </c>
      <c r="B413" s="42" t="s">
        <v>3</v>
      </c>
      <c r="C413" s="3">
        <v>19</v>
      </c>
      <c r="D413" s="3">
        <v>1</v>
      </c>
      <c r="G413" s="43">
        <v>43971</v>
      </c>
    </row>
    <row r="414" spans="1:7" x14ac:dyDescent="0.25">
      <c r="A414" s="19" t="s">
        <v>661</v>
      </c>
      <c r="B414" s="42" t="s">
        <v>3</v>
      </c>
      <c r="C414" s="3">
        <v>22</v>
      </c>
      <c r="D414" s="3">
        <v>1</v>
      </c>
      <c r="G414" s="43">
        <v>43971</v>
      </c>
    </row>
    <row r="415" spans="1:7" x14ac:dyDescent="0.25">
      <c r="A415" s="19" t="s">
        <v>662</v>
      </c>
      <c r="B415" s="42" t="s">
        <v>3</v>
      </c>
      <c r="C415" s="3">
        <v>20</v>
      </c>
      <c r="D415" s="3">
        <v>1</v>
      </c>
      <c r="G415" s="43">
        <v>43971</v>
      </c>
    </row>
    <row r="416" spans="1:7" x14ac:dyDescent="0.25">
      <c r="A416" s="19" t="s">
        <v>663</v>
      </c>
      <c r="B416" s="42" t="s">
        <v>3</v>
      </c>
      <c r="C416" s="3">
        <v>19</v>
      </c>
      <c r="D416" s="3">
        <v>1</v>
      </c>
      <c r="G416" s="43">
        <v>43971</v>
      </c>
    </row>
    <row r="417" spans="1:8" x14ac:dyDescent="0.25">
      <c r="A417" s="19" t="s">
        <v>664</v>
      </c>
      <c r="B417" s="42" t="s">
        <v>3</v>
      </c>
      <c r="C417" s="3">
        <v>19</v>
      </c>
      <c r="D417" s="3">
        <v>1</v>
      </c>
      <c r="G417" s="43">
        <v>43971</v>
      </c>
    </row>
    <row r="418" spans="1:8" x14ac:dyDescent="0.25">
      <c r="A418" s="19" t="s">
        <v>665</v>
      </c>
      <c r="B418" s="42" t="s">
        <v>3</v>
      </c>
      <c r="C418" s="3">
        <v>20</v>
      </c>
      <c r="D418" s="3">
        <v>1</v>
      </c>
      <c r="G418" s="43">
        <v>43971</v>
      </c>
    </row>
    <row r="419" spans="1:8" x14ac:dyDescent="0.25">
      <c r="A419" s="19" t="s">
        <v>666</v>
      </c>
      <c r="B419" s="42" t="s">
        <v>3</v>
      </c>
      <c r="C419" s="3">
        <v>19</v>
      </c>
      <c r="D419" s="3">
        <v>1</v>
      </c>
      <c r="G419" s="43">
        <v>43971</v>
      </c>
    </row>
    <row r="420" spans="1:8" x14ac:dyDescent="0.25">
      <c r="A420" s="19" t="s">
        <v>667</v>
      </c>
      <c r="B420" s="42" t="s">
        <v>3</v>
      </c>
      <c r="C420" s="3">
        <v>22</v>
      </c>
      <c r="D420" s="3">
        <v>1</v>
      </c>
      <c r="G420" s="43">
        <v>43971</v>
      </c>
    </row>
    <row r="421" spans="1:8" x14ac:dyDescent="0.25">
      <c r="A421" s="19" t="s">
        <v>668</v>
      </c>
      <c r="B421" s="42" t="s">
        <v>120</v>
      </c>
      <c r="C421" s="3">
        <v>23</v>
      </c>
      <c r="D421" s="3">
        <v>1</v>
      </c>
      <c r="E421" s="42" t="s">
        <v>160</v>
      </c>
      <c r="F421" s="42" t="s">
        <v>160</v>
      </c>
      <c r="G421" s="43">
        <v>43971</v>
      </c>
      <c r="H421" s="42" t="s">
        <v>238</v>
      </c>
    </row>
    <row r="422" spans="1:8" x14ac:dyDescent="0.25">
      <c r="A422" s="19" t="s">
        <v>669</v>
      </c>
      <c r="B422" s="42" t="s">
        <v>3</v>
      </c>
      <c r="C422" s="3">
        <v>18</v>
      </c>
      <c r="D422" s="3">
        <v>1</v>
      </c>
      <c r="G422" s="43">
        <v>43971</v>
      </c>
    </row>
    <row r="423" spans="1:8" x14ac:dyDescent="0.25">
      <c r="A423" s="19" t="s">
        <v>670</v>
      </c>
      <c r="B423" s="42" t="s">
        <v>3</v>
      </c>
      <c r="C423" s="3">
        <v>21</v>
      </c>
      <c r="D423" s="3">
        <v>1</v>
      </c>
      <c r="G423" s="43">
        <v>43971</v>
      </c>
    </row>
    <row r="424" spans="1:8" x14ac:dyDescent="0.25">
      <c r="A424" s="19" t="s">
        <v>671</v>
      </c>
      <c r="B424" s="42" t="s">
        <v>3</v>
      </c>
      <c r="C424" s="3">
        <v>21</v>
      </c>
      <c r="D424" s="3">
        <v>1</v>
      </c>
      <c r="G424" s="43">
        <v>43971</v>
      </c>
    </row>
    <row r="425" spans="1:8" x14ac:dyDescent="0.25">
      <c r="A425" s="19" t="s">
        <v>672</v>
      </c>
      <c r="B425" s="42" t="s">
        <v>3</v>
      </c>
      <c r="C425" s="3">
        <v>21</v>
      </c>
      <c r="D425" s="3">
        <v>1</v>
      </c>
      <c r="G425" s="43">
        <v>43971</v>
      </c>
    </row>
    <row r="426" spans="1:8" x14ac:dyDescent="0.25">
      <c r="A426" s="19" t="s">
        <v>673</v>
      </c>
      <c r="B426" s="42" t="s">
        <v>3</v>
      </c>
      <c r="C426" s="3">
        <v>23</v>
      </c>
      <c r="D426" s="3">
        <v>1</v>
      </c>
      <c r="G426" s="43">
        <v>43971</v>
      </c>
    </row>
    <row r="427" spans="1:8" x14ac:dyDescent="0.25">
      <c r="A427" s="19" t="s">
        <v>674</v>
      </c>
      <c r="B427" s="42" t="s">
        <v>3</v>
      </c>
      <c r="C427" s="3">
        <v>21</v>
      </c>
      <c r="D427" s="3">
        <v>1</v>
      </c>
      <c r="G427" s="43">
        <v>43971</v>
      </c>
    </row>
    <row r="428" spans="1:8" x14ac:dyDescent="0.25">
      <c r="A428" s="19" t="s">
        <v>675</v>
      </c>
      <c r="B428" s="42" t="s">
        <v>120</v>
      </c>
      <c r="C428" s="3">
        <v>21</v>
      </c>
      <c r="D428" s="3">
        <v>1</v>
      </c>
      <c r="E428" s="42" t="s">
        <v>160</v>
      </c>
      <c r="G428" s="43">
        <v>43971</v>
      </c>
      <c r="H428" s="42" t="s">
        <v>238</v>
      </c>
    </row>
    <row r="429" spans="1:8" x14ac:dyDescent="0.25">
      <c r="A429" s="19" t="s">
        <v>676</v>
      </c>
      <c r="B429" s="42" t="s">
        <v>120</v>
      </c>
      <c r="C429" s="3">
        <v>19</v>
      </c>
      <c r="D429" s="3">
        <v>1</v>
      </c>
      <c r="E429" s="42" t="s">
        <v>160</v>
      </c>
      <c r="G429" s="43">
        <v>43971</v>
      </c>
    </row>
    <row r="430" spans="1:8" x14ac:dyDescent="0.25">
      <c r="A430" s="19" t="s">
        <v>677</v>
      </c>
      <c r="B430" s="42" t="s">
        <v>3</v>
      </c>
      <c r="C430" s="3">
        <v>19</v>
      </c>
      <c r="D430" s="3">
        <v>1</v>
      </c>
      <c r="G430" s="43">
        <v>43971</v>
      </c>
    </row>
    <row r="431" spans="1:8" x14ac:dyDescent="0.25">
      <c r="A431" s="19" t="s">
        <v>678</v>
      </c>
      <c r="B431" s="42" t="s">
        <v>3</v>
      </c>
      <c r="C431" s="3">
        <v>20</v>
      </c>
      <c r="D431" s="3">
        <v>1</v>
      </c>
      <c r="G431" s="43">
        <v>43971</v>
      </c>
    </row>
    <row r="432" spans="1:8" x14ac:dyDescent="0.25">
      <c r="A432" s="19" t="s">
        <v>679</v>
      </c>
      <c r="B432" s="42" t="s">
        <v>3</v>
      </c>
      <c r="C432" s="3">
        <v>20</v>
      </c>
      <c r="D432" s="3">
        <v>1</v>
      </c>
      <c r="G432" s="43">
        <v>43971</v>
      </c>
    </row>
    <row r="433" spans="1:7" x14ac:dyDescent="0.25">
      <c r="A433" s="19" t="s">
        <v>680</v>
      </c>
      <c r="B433" s="42" t="s">
        <v>3</v>
      </c>
      <c r="C433" s="3">
        <v>21</v>
      </c>
      <c r="D433" s="3">
        <v>1</v>
      </c>
      <c r="G433" s="43">
        <v>43971</v>
      </c>
    </row>
    <row r="434" spans="1:7" x14ac:dyDescent="0.25">
      <c r="A434" s="19" t="s">
        <v>681</v>
      </c>
      <c r="B434" s="42" t="s">
        <v>3</v>
      </c>
      <c r="C434" s="3">
        <v>18</v>
      </c>
      <c r="D434" s="3">
        <v>1</v>
      </c>
      <c r="G434" s="43">
        <v>43971</v>
      </c>
    </row>
    <row r="435" spans="1:7" x14ac:dyDescent="0.25">
      <c r="A435" s="19" t="s">
        <v>682</v>
      </c>
      <c r="B435" s="42" t="s">
        <v>3</v>
      </c>
      <c r="C435" s="3">
        <v>23</v>
      </c>
      <c r="D435" s="3">
        <v>1</v>
      </c>
      <c r="G435" s="43">
        <v>43971</v>
      </c>
    </row>
    <row r="436" spans="1:7" x14ac:dyDescent="0.25">
      <c r="A436" s="19" t="s">
        <v>683</v>
      </c>
      <c r="B436" s="42" t="s">
        <v>3</v>
      </c>
      <c r="C436" s="3">
        <v>28</v>
      </c>
      <c r="D436" s="3">
        <v>1</v>
      </c>
      <c r="G436" s="43">
        <v>43971</v>
      </c>
    </row>
    <row r="437" spans="1:7" x14ac:dyDescent="0.25">
      <c r="A437" s="19" t="s">
        <v>684</v>
      </c>
      <c r="B437" s="42" t="s">
        <v>3</v>
      </c>
      <c r="C437" s="3">
        <v>20</v>
      </c>
      <c r="D437" s="3">
        <v>1</v>
      </c>
      <c r="G437" s="43">
        <v>43971</v>
      </c>
    </row>
    <row r="438" spans="1:7" x14ac:dyDescent="0.25">
      <c r="A438" s="19" t="s">
        <v>685</v>
      </c>
      <c r="B438" s="42" t="s">
        <v>3</v>
      </c>
      <c r="C438" s="3">
        <v>21</v>
      </c>
      <c r="D438" s="3">
        <v>1</v>
      </c>
      <c r="G438" s="43">
        <v>43971</v>
      </c>
    </row>
    <row r="439" spans="1:7" x14ac:dyDescent="0.25">
      <c r="A439" s="19" t="s">
        <v>686</v>
      </c>
      <c r="B439" s="42" t="s">
        <v>3</v>
      </c>
      <c r="C439" s="3">
        <v>20</v>
      </c>
      <c r="D439" s="3">
        <v>1</v>
      </c>
      <c r="G439" s="43">
        <v>43971</v>
      </c>
    </row>
    <row r="440" spans="1:7" x14ac:dyDescent="0.25">
      <c r="A440" s="19" t="s">
        <v>687</v>
      </c>
      <c r="B440" s="42" t="s">
        <v>3</v>
      </c>
      <c r="C440" s="3">
        <v>18</v>
      </c>
      <c r="D440" s="3">
        <v>1</v>
      </c>
      <c r="G440" s="43">
        <v>43971</v>
      </c>
    </row>
    <row r="441" spans="1:7" x14ac:dyDescent="0.25">
      <c r="A441" s="19" t="s">
        <v>688</v>
      </c>
      <c r="B441" s="42" t="s">
        <v>3</v>
      </c>
      <c r="C441" s="3">
        <v>18</v>
      </c>
      <c r="D441" s="3">
        <v>1</v>
      </c>
      <c r="G441" s="43">
        <v>43971</v>
      </c>
    </row>
    <row r="442" spans="1:7" x14ac:dyDescent="0.25">
      <c r="A442" s="19" t="s">
        <v>689</v>
      </c>
      <c r="B442" s="42" t="s">
        <v>120</v>
      </c>
      <c r="C442" s="3">
        <v>22</v>
      </c>
      <c r="D442" s="3">
        <v>1</v>
      </c>
      <c r="E442" s="42" t="s">
        <v>160</v>
      </c>
      <c r="F442" s="42" t="s">
        <v>160</v>
      </c>
      <c r="G442" s="43">
        <v>43971</v>
      </c>
    </row>
    <row r="443" spans="1:7" x14ac:dyDescent="0.25">
      <c r="A443" s="19" t="s">
        <v>690</v>
      </c>
      <c r="B443" s="42" t="s">
        <v>3</v>
      </c>
      <c r="C443" s="3">
        <v>19</v>
      </c>
      <c r="D443" s="3">
        <v>1</v>
      </c>
      <c r="G443" s="43">
        <v>43971</v>
      </c>
    </row>
    <row r="444" spans="1:7" x14ac:dyDescent="0.25">
      <c r="A444" s="19" t="s">
        <v>691</v>
      </c>
      <c r="B444" s="42" t="s">
        <v>120</v>
      </c>
      <c r="C444" s="3">
        <v>23</v>
      </c>
      <c r="D444" s="3">
        <v>1</v>
      </c>
      <c r="E444" s="42" t="s">
        <v>160</v>
      </c>
      <c r="F444" s="42" t="s">
        <v>160</v>
      </c>
      <c r="G444" s="43">
        <v>43971</v>
      </c>
    </row>
    <row r="445" spans="1:7" x14ac:dyDescent="0.25">
      <c r="A445" s="19" t="s">
        <v>692</v>
      </c>
      <c r="B445" s="42" t="s">
        <v>3</v>
      </c>
      <c r="C445" s="3">
        <v>18</v>
      </c>
      <c r="D445" s="3">
        <v>1</v>
      </c>
      <c r="G445" s="43">
        <v>43971</v>
      </c>
    </row>
    <row r="446" spans="1:7" x14ac:dyDescent="0.25">
      <c r="A446" s="19" t="s">
        <v>693</v>
      </c>
      <c r="B446" s="42" t="s">
        <v>3</v>
      </c>
      <c r="C446" s="3">
        <v>27</v>
      </c>
      <c r="D446" s="3">
        <v>1</v>
      </c>
      <c r="G446" s="43">
        <v>43971</v>
      </c>
    </row>
    <row r="447" spans="1:7" x14ac:dyDescent="0.25">
      <c r="A447" s="19" t="s">
        <v>694</v>
      </c>
      <c r="B447" s="42" t="s">
        <v>120</v>
      </c>
      <c r="C447" s="3">
        <v>19</v>
      </c>
      <c r="D447" s="3">
        <v>1</v>
      </c>
      <c r="E447" s="42" t="s">
        <v>160</v>
      </c>
      <c r="F447" s="42" t="s">
        <v>160</v>
      </c>
      <c r="G447" s="43">
        <v>43971</v>
      </c>
    </row>
    <row r="448" spans="1:7" x14ac:dyDescent="0.25">
      <c r="A448" s="19" t="s">
        <v>695</v>
      </c>
      <c r="B448" s="42" t="s">
        <v>3</v>
      </c>
      <c r="C448" s="3">
        <v>21</v>
      </c>
      <c r="D448" s="3">
        <v>1</v>
      </c>
      <c r="G448" s="43">
        <v>43971</v>
      </c>
    </row>
    <row r="449" spans="1:7" x14ac:dyDescent="0.25">
      <c r="A449" s="19" t="s">
        <v>696</v>
      </c>
      <c r="B449" s="42" t="s">
        <v>3</v>
      </c>
      <c r="C449" s="3">
        <v>20</v>
      </c>
      <c r="D449" s="3">
        <v>1</v>
      </c>
      <c r="G449" s="43">
        <v>43971</v>
      </c>
    </row>
    <row r="450" spans="1:7" x14ac:dyDescent="0.25">
      <c r="A450" s="19" t="s">
        <v>697</v>
      </c>
      <c r="B450" s="42" t="s">
        <v>3</v>
      </c>
      <c r="C450" s="3">
        <v>20</v>
      </c>
      <c r="D450" s="3">
        <v>1</v>
      </c>
      <c r="G450" s="43">
        <v>43971</v>
      </c>
    </row>
    <row r="451" spans="1:7" x14ac:dyDescent="0.25">
      <c r="A451" s="19" t="s">
        <v>698</v>
      </c>
      <c r="B451" s="42" t="s">
        <v>3</v>
      </c>
      <c r="C451" s="3">
        <v>18</v>
      </c>
      <c r="D451" s="3">
        <v>1</v>
      </c>
      <c r="G451" s="43">
        <v>43971</v>
      </c>
    </row>
    <row r="452" spans="1:7" x14ac:dyDescent="0.25">
      <c r="A452" s="19" t="s">
        <v>699</v>
      </c>
      <c r="B452" s="42" t="s">
        <v>3</v>
      </c>
      <c r="C452" s="3">
        <v>18</v>
      </c>
      <c r="D452" s="3">
        <v>1</v>
      </c>
      <c r="G452" s="43">
        <v>43971</v>
      </c>
    </row>
    <row r="453" spans="1:7" x14ac:dyDescent="0.25">
      <c r="A453" s="19" t="s">
        <v>700</v>
      </c>
      <c r="B453" s="42" t="s">
        <v>3</v>
      </c>
      <c r="C453" s="3">
        <v>21</v>
      </c>
      <c r="D453" s="3">
        <v>1</v>
      </c>
      <c r="G453" s="43">
        <v>43971</v>
      </c>
    </row>
    <row r="454" spans="1:7" x14ac:dyDescent="0.25">
      <c r="A454" s="19" t="s">
        <v>701</v>
      </c>
      <c r="B454" s="42" t="s">
        <v>3</v>
      </c>
      <c r="C454" s="3">
        <v>21</v>
      </c>
      <c r="D454" s="3">
        <v>1</v>
      </c>
      <c r="G454" s="43">
        <v>43971</v>
      </c>
    </row>
    <row r="455" spans="1:7" x14ac:dyDescent="0.25">
      <c r="A455" s="19" t="s">
        <v>702</v>
      </c>
      <c r="B455" s="42" t="s">
        <v>3</v>
      </c>
      <c r="C455" s="3">
        <v>19</v>
      </c>
      <c r="D455" s="3">
        <v>1</v>
      </c>
      <c r="G455" s="43">
        <v>43971</v>
      </c>
    </row>
    <row r="456" spans="1:7" x14ac:dyDescent="0.25">
      <c r="A456" s="19" t="s">
        <v>703</v>
      </c>
      <c r="B456" s="42" t="s">
        <v>3</v>
      </c>
      <c r="C456" s="3">
        <v>18</v>
      </c>
      <c r="D456" s="3">
        <v>1</v>
      </c>
      <c r="G456" s="43">
        <v>43971</v>
      </c>
    </row>
    <row r="457" spans="1:7" x14ac:dyDescent="0.25">
      <c r="A457" s="19" t="s">
        <v>704</v>
      </c>
      <c r="B457" s="42" t="s">
        <v>3</v>
      </c>
      <c r="C457" s="3">
        <v>19</v>
      </c>
      <c r="D457" s="3">
        <v>1</v>
      </c>
      <c r="G457" s="43">
        <v>43971</v>
      </c>
    </row>
    <row r="458" spans="1:7" x14ac:dyDescent="0.25">
      <c r="A458" s="19" t="s">
        <v>705</v>
      </c>
      <c r="B458" s="42" t="s">
        <v>3</v>
      </c>
      <c r="C458" s="3">
        <v>22</v>
      </c>
      <c r="D458" s="3">
        <v>1</v>
      </c>
      <c r="G458" s="43">
        <v>43971</v>
      </c>
    </row>
    <row r="459" spans="1:7" x14ac:dyDescent="0.25">
      <c r="A459" s="19" t="s">
        <v>706</v>
      </c>
      <c r="B459" s="42" t="s">
        <v>3</v>
      </c>
      <c r="C459" s="3">
        <v>21</v>
      </c>
      <c r="D459" s="3">
        <v>1</v>
      </c>
      <c r="G459" s="43">
        <v>43971</v>
      </c>
    </row>
    <row r="460" spans="1:7" x14ac:dyDescent="0.25">
      <c r="A460" s="19" t="s">
        <v>707</v>
      </c>
      <c r="B460" s="42" t="s">
        <v>3</v>
      </c>
      <c r="C460" s="3">
        <v>20</v>
      </c>
      <c r="D460" s="3">
        <v>1</v>
      </c>
      <c r="G460" s="43">
        <v>43971</v>
      </c>
    </row>
    <row r="461" spans="1:7" x14ac:dyDescent="0.25">
      <c r="A461" s="19" t="s">
        <v>708</v>
      </c>
      <c r="B461" s="42" t="s">
        <v>3</v>
      </c>
      <c r="C461" s="3">
        <v>22</v>
      </c>
      <c r="D461" s="3">
        <v>1</v>
      </c>
      <c r="G461" s="43">
        <v>43971</v>
      </c>
    </row>
    <row r="462" spans="1:7" x14ac:dyDescent="0.25">
      <c r="A462" s="19" t="s">
        <v>709</v>
      </c>
      <c r="B462" s="42" t="s">
        <v>3</v>
      </c>
      <c r="C462" s="3">
        <v>19</v>
      </c>
      <c r="D462" s="3">
        <v>1</v>
      </c>
      <c r="G462" s="43">
        <v>43971</v>
      </c>
    </row>
    <row r="463" spans="1:7" x14ac:dyDescent="0.25">
      <c r="A463" s="19" t="s">
        <v>710</v>
      </c>
      <c r="B463" s="42" t="s">
        <v>3</v>
      </c>
      <c r="C463" s="3">
        <v>22</v>
      </c>
      <c r="D463" s="3">
        <v>1</v>
      </c>
      <c r="G463" s="43">
        <v>43971</v>
      </c>
    </row>
    <row r="464" spans="1:7" x14ac:dyDescent="0.25">
      <c r="A464" s="19" t="s">
        <v>711</v>
      </c>
      <c r="B464" s="42" t="s">
        <v>120</v>
      </c>
      <c r="C464" s="3">
        <v>18</v>
      </c>
      <c r="D464" s="3">
        <v>1</v>
      </c>
      <c r="E464" s="42" t="s">
        <v>160</v>
      </c>
      <c r="F464" s="42" t="s">
        <v>160</v>
      </c>
      <c r="G464" s="43">
        <v>43971</v>
      </c>
    </row>
    <row r="465" spans="1:8" x14ac:dyDescent="0.25">
      <c r="A465" s="19" t="s">
        <v>712</v>
      </c>
      <c r="B465" s="42" t="s">
        <v>120</v>
      </c>
      <c r="C465" s="3">
        <v>18</v>
      </c>
      <c r="D465" s="3">
        <v>1</v>
      </c>
      <c r="G465" s="43">
        <v>43971</v>
      </c>
      <c r="H465" s="42" t="s">
        <v>238</v>
      </c>
    </row>
    <row r="466" spans="1:8" x14ac:dyDescent="0.25">
      <c r="A466" s="19" t="s">
        <v>713</v>
      </c>
      <c r="B466" s="42" t="s">
        <v>3</v>
      </c>
      <c r="C466" s="3">
        <v>20</v>
      </c>
      <c r="D466" s="3">
        <v>1</v>
      </c>
      <c r="G466" s="43">
        <v>43971</v>
      </c>
    </row>
    <row r="467" spans="1:8" x14ac:dyDescent="0.25">
      <c r="A467" s="19" t="s">
        <v>714</v>
      </c>
      <c r="B467" s="42" t="s">
        <v>3</v>
      </c>
      <c r="C467" s="3">
        <v>19</v>
      </c>
      <c r="D467" s="3">
        <v>1</v>
      </c>
      <c r="E467" s="42" t="s">
        <v>160</v>
      </c>
      <c r="G467" s="43">
        <v>43971</v>
      </c>
    </row>
    <row r="468" spans="1:8" x14ac:dyDescent="0.25">
      <c r="A468" s="19" t="s">
        <v>715</v>
      </c>
      <c r="B468" s="42" t="s">
        <v>3</v>
      </c>
      <c r="C468" s="3">
        <v>20</v>
      </c>
      <c r="D468" s="3">
        <v>1</v>
      </c>
      <c r="G468" s="43">
        <v>43971</v>
      </c>
    </row>
    <row r="469" spans="1:8" x14ac:dyDescent="0.25">
      <c r="A469" s="19" t="s">
        <v>716</v>
      </c>
      <c r="B469" s="42" t="s">
        <v>3</v>
      </c>
      <c r="C469" s="3">
        <v>21</v>
      </c>
      <c r="D469" s="3">
        <v>1</v>
      </c>
      <c r="G469" s="43">
        <v>43971</v>
      </c>
    </row>
    <row r="470" spans="1:8" x14ac:dyDescent="0.25">
      <c r="A470" s="19" t="s">
        <v>717</v>
      </c>
      <c r="B470" s="42" t="s">
        <v>3</v>
      </c>
      <c r="C470" s="3">
        <v>20</v>
      </c>
      <c r="D470" s="3">
        <v>1</v>
      </c>
      <c r="G470" s="43">
        <v>43971</v>
      </c>
    </row>
    <row r="471" spans="1:8" x14ac:dyDescent="0.25">
      <c r="A471" s="19" t="s">
        <v>718</v>
      </c>
      <c r="B471" s="42" t="s">
        <v>3</v>
      </c>
      <c r="C471" s="3">
        <v>31</v>
      </c>
      <c r="D471" s="3">
        <v>1</v>
      </c>
      <c r="G471" s="43">
        <v>43971</v>
      </c>
    </row>
    <row r="472" spans="1:8" x14ac:dyDescent="0.25">
      <c r="A472" s="19" t="s">
        <v>719</v>
      </c>
      <c r="B472" s="42" t="s">
        <v>3</v>
      </c>
      <c r="C472" s="3">
        <v>21</v>
      </c>
      <c r="D472" s="3">
        <v>1</v>
      </c>
      <c r="G472" s="43">
        <v>43971</v>
      </c>
    </row>
    <row r="473" spans="1:8" x14ac:dyDescent="0.25">
      <c r="A473" s="19" t="s">
        <v>720</v>
      </c>
      <c r="B473" s="42" t="s">
        <v>3</v>
      </c>
      <c r="C473" s="3">
        <v>19</v>
      </c>
      <c r="D473" s="3">
        <v>1</v>
      </c>
      <c r="G473" s="43">
        <v>43971</v>
      </c>
    </row>
    <row r="474" spans="1:8" x14ac:dyDescent="0.25">
      <c r="A474" s="19" t="s">
        <v>721</v>
      </c>
      <c r="B474" s="42" t="s">
        <v>3</v>
      </c>
      <c r="C474" s="3">
        <v>25</v>
      </c>
      <c r="D474" s="3">
        <v>1</v>
      </c>
      <c r="G474" s="43">
        <v>43971</v>
      </c>
    </row>
    <row r="475" spans="1:8" x14ac:dyDescent="0.25">
      <c r="A475" s="19" t="s">
        <v>722</v>
      </c>
      <c r="B475" s="42" t="s">
        <v>3</v>
      </c>
      <c r="C475" s="3">
        <v>18</v>
      </c>
      <c r="D475" s="3">
        <v>1</v>
      </c>
      <c r="G475" s="43">
        <v>43971</v>
      </c>
    </row>
    <row r="476" spans="1:8" x14ac:dyDescent="0.25">
      <c r="A476" s="19" t="s">
        <v>723</v>
      </c>
      <c r="B476" s="42" t="s">
        <v>3</v>
      </c>
      <c r="C476" s="3">
        <v>22</v>
      </c>
      <c r="D476" s="3">
        <v>1</v>
      </c>
      <c r="G476" s="43">
        <v>43971</v>
      </c>
    </row>
    <row r="477" spans="1:8" x14ac:dyDescent="0.25">
      <c r="A477" s="19" t="s">
        <v>724</v>
      </c>
      <c r="B477" s="42" t="s">
        <v>120</v>
      </c>
      <c r="C477" s="3">
        <v>20</v>
      </c>
      <c r="D477" s="3">
        <v>1</v>
      </c>
      <c r="E477" s="42" t="s">
        <v>160</v>
      </c>
      <c r="F477" s="42" t="s">
        <v>160</v>
      </c>
      <c r="G477" s="43">
        <v>43971</v>
      </c>
    </row>
    <row r="478" spans="1:8" x14ac:dyDescent="0.25">
      <c r="A478" s="19" t="s">
        <v>725</v>
      </c>
      <c r="B478" s="42" t="s">
        <v>3</v>
      </c>
      <c r="C478" s="3">
        <v>20</v>
      </c>
      <c r="D478" s="3">
        <v>1</v>
      </c>
      <c r="G478" s="43">
        <v>43971</v>
      </c>
    </row>
    <row r="479" spans="1:8" x14ac:dyDescent="0.25">
      <c r="A479" s="19" t="s">
        <v>726</v>
      </c>
      <c r="B479" s="42" t="s">
        <v>3</v>
      </c>
      <c r="C479" s="3">
        <v>24</v>
      </c>
      <c r="D479" s="3">
        <v>1</v>
      </c>
      <c r="G479" s="43">
        <v>43971</v>
      </c>
    </row>
    <row r="480" spans="1:8" x14ac:dyDescent="0.25">
      <c r="A480" s="19" t="s">
        <v>727</v>
      </c>
      <c r="B480" s="42" t="s">
        <v>3</v>
      </c>
      <c r="C480" s="3">
        <v>19</v>
      </c>
      <c r="D480" s="3">
        <v>1</v>
      </c>
      <c r="G480" s="43">
        <v>43972</v>
      </c>
    </row>
    <row r="481" spans="1:8" x14ac:dyDescent="0.25">
      <c r="A481" s="19" t="s">
        <v>728</v>
      </c>
      <c r="B481" s="42" t="s">
        <v>120</v>
      </c>
      <c r="C481" s="3">
        <v>18</v>
      </c>
      <c r="D481" s="3">
        <v>1</v>
      </c>
      <c r="E481" s="42" t="s">
        <v>160</v>
      </c>
      <c r="F481" s="42" t="s">
        <v>160</v>
      </c>
      <c r="G481" s="43">
        <v>43972</v>
      </c>
    </row>
    <row r="482" spans="1:8" x14ac:dyDescent="0.25">
      <c r="A482" s="19" t="s">
        <v>729</v>
      </c>
      <c r="B482" s="42" t="s">
        <v>3</v>
      </c>
      <c r="C482" s="3">
        <v>21</v>
      </c>
      <c r="D482" s="3">
        <v>1</v>
      </c>
      <c r="G482" s="43">
        <v>43972</v>
      </c>
    </row>
    <row r="483" spans="1:8" x14ac:dyDescent="0.25">
      <c r="A483" s="19" t="s">
        <v>730</v>
      </c>
      <c r="B483" s="42" t="s">
        <v>120</v>
      </c>
      <c r="C483" s="3">
        <v>19</v>
      </c>
      <c r="D483" s="3">
        <v>2</v>
      </c>
      <c r="E483" s="42" t="s">
        <v>160</v>
      </c>
      <c r="G483" s="43">
        <v>43972</v>
      </c>
      <c r="H483" s="42" t="s">
        <v>238</v>
      </c>
    </row>
    <row r="484" spans="1:8" x14ac:dyDescent="0.25">
      <c r="A484" s="19" t="s">
        <v>731</v>
      </c>
      <c r="B484" s="42" t="s">
        <v>3</v>
      </c>
      <c r="C484" s="3">
        <v>25</v>
      </c>
      <c r="D484" s="3">
        <v>2</v>
      </c>
      <c r="G484" s="43">
        <v>43972</v>
      </c>
    </row>
    <row r="485" spans="1:8" x14ac:dyDescent="0.25">
      <c r="A485" s="19" t="s">
        <v>732</v>
      </c>
      <c r="B485" s="42" t="s">
        <v>3</v>
      </c>
      <c r="C485" s="3">
        <v>21</v>
      </c>
      <c r="D485" s="3">
        <v>2</v>
      </c>
      <c r="G485" s="43">
        <v>43972</v>
      </c>
    </row>
    <row r="486" spans="1:8" x14ac:dyDescent="0.25">
      <c r="A486" s="19" t="s">
        <v>733</v>
      </c>
      <c r="B486" s="42" t="s">
        <v>3</v>
      </c>
      <c r="C486" s="3">
        <v>19</v>
      </c>
      <c r="D486" s="3">
        <v>2</v>
      </c>
      <c r="G486" s="43">
        <v>43972</v>
      </c>
    </row>
    <row r="487" spans="1:8" x14ac:dyDescent="0.25">
      <c r="A487" s="19" t="s">
        <v>734</v>
      </c>
      <c r="B487" s="42" t="s">
        <v>3</v>
      </c>
      <c r="C487" s="3">
        <v>18</v>
      </c>
      <c r="D487" s="3">
        <v>2</v>
      </c>
      <c r="G487" s="43">
        <v>43972</v>
      </c>
    </row>
    <row r="488" spans="1:8" x14ac:dyDescent="0.25">
      <c r="A488" s="19" t="s">
        <v>735</v>
      </c>
      <c r="B488" s="42" t="s">
        <v>3</v>
      </c>
      <c r="C488" s="3">
        <v>29</v>
      </c>
      <c r="D488" s="3">
        <v>2</v>
      </c>
      <c r="G488" s="43">
        <v>43972</v>
      </c>
    </row>
    <row r="489" spans="1:8" x14ac:dyDescent="0.25">
      <c r="A489" s="19" t="s">
        <v>736</v>
      </c>
      <c r="B489" s="42" t="s">
        <v>120</v>
      </c>
      <c r="C489" s="3">
        <v>19</v>
      </c>
      <c r="D489" s="3">
        <v>2</v>
      </c>
      <c r="E489" s="42" t="s">
        <v>160</v>
      </c>
      <c r="G489" s="43">
        <v>43972</v>
      </c>
      <c r="H489" s="42" t="s">
        <v>238</v>
      </c>
    </row>
    <row r="490" spans="1:8" x14ac:dyDescent="0.25">
      <c r="A490" s="19" t="s">
        <v>737</v>
      </c>
      <c r="B490" s="42" t="s">
        <v>120</v>
      </c>
      <c r="C490" s="3">
        <v>19</v>
      </c>
      <c r="D490" s="3">
        <v>1</v>
      </c>
      <c r="E490" s="42" t="s">
        <v>160</v>
      </c>
      <c r="G490" s="43">
        <v>43978</v>
      </c>
    </row>
    <row r="491" spans="1:8" x14ac:dyDescent="0.25">
      <c r="A491" s="19" t="s">
        <v>738</v>
      </c>
      <c r="B491" s="42" t="s">
        <v>120</v>
      </c>
      <c r="C491" s="3">
        <v>23</v>
      </c>
      <c r="D491" s="3">
        <v>1</v>
      </c>
      <c r="E491" s="42" t="s">
        <v>160</v>
      </c>
      <c r="G491" s="43">
        <v>43978</v>
      </c>
    </row>
    <row r="492" spans="1:8" x14ac:dyDescent="0.25">
      <c r="A492" s="20" t="s">
        <v>739</v>
      </c>
      <c r="B492" s="42" t="s">
        <v>120</v>
      </c>
      <c r="C492" s="4">
        <v>22</v>
      </c>
      <c r="D492" s="3">
        <v>1</v>
      </c>
      <c r="E492" s="42" t="s">
        <v>160</v>
      </c>
      <c r="F492" s="42" t="s">
        <v>160</v>
      </c>
      <c r="G492" s="43">
        <v>43978</v>
      </c>
    </row>
    <row r="493" spans="1:8" x14ac:dyDescent="0.25">
      <c r="A493" s="20" t="s">
        <v>740</v>
      </c>
      <c r="B493" s="42" t="s">
        <v>3</v>
      </c>
      <c r="C493" s="4">
        <v>21</v>
      </c>
      <c r="D493" s="3">
        <v>1</v>
      </c>
      <c r="G493" s="43">
        <v>43978</v>
      </c>
    </row>
    <row r="494" spans="1:8" x14ac:dyDescent="0.25">
      <c r="A494" s="19" t="s">
        <v>741</v>
      </c>
      <c r="B494" s="42" t="s">
        <v>120</v>
      </c>
      <c r="C494" s="3">
        <v>18</v>
      </c>
      <c r="D494" s="3">
        <v>1</v>
      </c>
      <c r="E494" s="42" t="s">
        <v>160</v>
      </c>
      <c r="G494" s="43">
        <v>43978</v>
      </c>
    </row>
    <row r="495" spans="1:8" x14ac:dyDescent="0.25">
      <c r="A495" s="19" t="s">
        <v>742</v>
      </c>
      <c r="B495" s="42" t="s">
        <v>120</v>
      </c>
      <c r="C495" s="3">
        <v>27</v>
      </c>
      <c r="D495" s="3">
        <v>1</v>
      </c>
      <c r="E495" s="42" t="s">
        <v>160</v>
      </c>
      <c r="G495" s="43">
        <v>43978</v>
      </c>
    </row>
    <row r="496" spans="1:8" x14ac:dyDescent="0.25">
      <c r="A496" s="19" t="s">
        <v>743</v>
      </c>
      <c r="B496" s="42" t="s">
        <v>120</v>
      </c>
      <c r="C496" s="3">
        <v>23</v>
      </c>
      <c r="D496" s="3">
        <v>1</v>
      </c>
      <c r="E496" s="42" t="s">
        <v>160</v>
      </c>
      <c r="F496" s="42" t="s">
        <v>160</v>
      </c>
      <c r="G496" s="43">
        <v>43978</v>
      </c>
    </row>
    <row r="497" spans="1:7" x14ac:dyDescent="0.25">
      <c r="A497" s="19" t="s">
        <v>744</v>
      </c>
      <c r="B497" s="42" t="s">
        <v>3</v>
      </c>
      <c r="C497" s="3">
        <v>18</v>
      </c>
      <c r="D497" s="3">
        <v>1</v>
      </c>
      <c r="G497" s="43">
        <v>43978</v>
      </c>
    </row>
    <row r="498" spans="1:7" x14ac:dyDescent="0.25">
      <c r="A498" s="19" t="s">
        <v>745</v>
      </c>
      <c r="B498" s="42" t="s">
        <v>120</v>
      </c>
      <c r="C498" s="3">
        <v>21</v>
      </c>
      <c r="D498" s="3">
        <v>1</v>
      </c>
      <c r="E498" s="42" t="s">
        <v>160</v>
      </c>
      <c r="G498" s="43">
        <v>43978</v>
      </c>
    </row>
    <row r="499" spans="1:7" x14ac:dyDescent="0.25">
      <c r="A499" s="19" t="s">
        <v>746</v>
      </c>
      <c r="B499" s="42" t="s">
        <v>3</v>
      </c>
      <c r="C499" s="4">
        <v>19</v>
      </c>
      <c r="D499" s="3">
        <v>1</v>
      </c>
      <c r="G499" s="43">
        <v>43978</v>
      </c>
    </row>
    <row r="500" spans="1:7" x14ac:dyDescent="0.25">
      <c r="A500" s="19" t="s">
        <v>747</v>
      </c>
      <c r="B500" s="42" t="s">
        <v>3</v>
      </c>
      <c r="C500" s="4">
        <v>19</v>
      </c>
      <c r="D500" s="3">
        <v>1</v>
      </c>
      <c r="G500" s="43">
        <v>43978</v>
      </c>
    </row>
    <row r="501" spans="1:7" x14ac:dyDescent="0.25">
      <c r="A501" s="19" t="s">
        <v>748</v>
      </c>
      <c r="B501" s="42" t="s">
        <v>3</v>
      </c>
      <c r="C501" s="4">
        <v>18</v>
      </c>
      <c r="D501" s="3">
        <v>1</v>
      </c>
      <c r="G501" s="43">
        <v>43978</v>
      </c>
    </row>
    <row r="502" spans="1:7" x14ac:dyDescent="0.25">
      <c r="A502" s="19" t="s">
        <v>749</v>
      </c>
      <c r="B502" s="42" t="s">
        <v>120</v>
      </c>
      <c r="C502" s="3">
        <v>22</v>
      </c>
      <c r="D502" s="3">
        <v>1</v>
      </c>
      <c r="E502" s="42" t="s">
        <v>160</v>
      </c>
      <c r="F502" s="42" t="s">
        <v>160</v>
      </c>
      <c r="G502" s="43">
        <v>43978</v>
      </c>
    </row>
    <row r="503" spans="1:7" x14ac:dyDescent="0.25">
      <c r="A503" s="19" t="s">
        <v>750</v>
      </c>
      <c r="B503" s="42" t="s">
        <v>120</v>
      </c>
      <c r="C503" s="3">
        <v>18</v>
      </c>
      <c r="D503" s="3">
        <v>1</v>
      </c>
      <c r="E503" s="42" t="s">
        <v>160</v>
      </c>
      <c r="G503" s="43">
        <v>43978</v>
      </c>
    </row>
    <row r="504" spans="1:7" x14ac:dyDescent="0.25">
      <c r="A504" s="19" t="s">
        <v>751</v>
      </c>
      <c r="B504" s="42" t="s">
        <v>3</v>
      </c>
      <c r="C504" s="3">
        <v>19</v>
      </c>
      <c r="D504" s="3">
        <v>1</v>
      </c>
      <c r="G504" s="43">
        <v>43978</v>
      </c>
    </row>
    <row r="505" spans="1:7" x14ac:dyDescent="0.25">
      <c r="A505" s="19" t="s">
        <v>752</v>
      </c>
      <c r="B505" s="42" t="s">
        <v>120</v>
      </c>
      <c r="C505" s="3">
        <v>19</v>
      </c>
      <c r="D505" s="3">
        <v>1</v>
      </c>
      <c r="E505" s="42" t="s">
        <v>160</v>
      </c>
      <c r="F505" s="42" t="s">
        <v>160</v>
      </c>
      <c r="G505" s="43">
        <v>43978</v>
      </c>
    </row>
    <row r="506" spans="1:7" x14ac:dyDescent="0.25">
      <c r="A506" s="19" t="s">
        <v>753</v>
      </c>
      <c r="B506" s="42" t="s">
        <v>120</v>
      </c>
      <c r="C506" s="3">
        <v>18</v>
      </c>
      <c r="D506" s="3">
        <v>1</v>
      </c>
      <c r="E506" s="42" t="s">
        <v>160</v>
      </c>
      <c r="F506" s="42" t="s">
        <v>160</v>
      </c>
      <c r="G506" s="43">
        <v>43978</v>
      </c>
    </row>
    <row r="507" spans="1:7" x14ac:dyDescent="0.25">
      <c r="A507" s="19" t="s">
        <v>754</v>
      </c>
      <c r="B507" s="42" t="s">
        <v>3</v>
      </c>
      <c r="C507" s="3">
        <v>19</v>
      </c>
      <c r="D507" s="3">
        <v>1</v>
      </c>
      <c r="G507" s="43">
        <v>43978</v>
      </c>
    </row>
    <row r="508" spans="1:7" x14ac:dyDescent="0.25">
      <c r="A508" s="19" t="s">
        <v>755</v>
      </c>
      <c r="B508" s="42" t="s">
        <v>120</v>
      </c>
      <c r="C508" s="3">
        <v>20</v>
      </c>
      <c r="D508" s="3">
        <v>1</v>
      </c>
      <c r="E508" s="42" t="s">
        <v>160</v>
      </c>
      <c r="F508" s="42" t="s">
        <v>160</v>
      </c>
      <c r="G508" s="43">
        <v>43978</v>
      </c>
    </row>
    <row r="509" spans="1:7" x14ac:dyDescent="0.25">
      <c r="A509" s="19" t="s">
        <v>756</v>
      </c>
      <c r="B509" s="42" t="s">
        <v>120</v>
      </c>
      <c r="C509" s="3">
        <v>18</v>
      </c>
      <c r="D509" s="3">
        <v>1</v>
      </c>
      <c r="E509" s="42" t="s">
        <v>160</v>
      </c>
      <c r="F509" s="42" t="s">
        <v>160</v>
      </c>
      <c r="G509" s="43">
        <v>43978</v>
      </c>
    </row>
    <row r="510" spans="1:7" x14ac:dyDescent="0.25">
      <c r="A510" s="19" t="s">
        <v>757</v>
      </c>
      <c r="B510" s="42" t="s">
        <v>120</v>
      </c>
      <c r="C510" s="3">
        <v>20</v>
      </c>
      <c r="D510" s="3">
        <v>1</v>
      </c>
      <c r="E510" s="42" t="s">
        <v>160</v>
      </c>
      <c r="G510" s="43">
        <v>43978</v>
      </c>
    </row>
    <row r="511" spans="1:7" x14ac:dyDescent="0.25">
      <c r="A511" s="19" t="s">
        <v>758</v>
      </c>
      <c r="B511" s="42" t="s">
        <v>3</v>
      </c>
      <c r="C511" s="3">
        <v>18</v>
      </c>
      <c r="D511" s="3">
        <v>1</v>
      </c>
      <c r="G511" s="43">
        <v>43978</v>
      </c>
    </row>
    <row r="512" spans="1:7" x14ac:dyDescent="0.25">
      <c r="A512" s="19" t="s">
        <v>759</v>
      </c>
      <c r="B512" s="42" t="s">
        <v>3</v>
      </c>
      <c r="C512" s="3">
        <v>28</v>
      </c>
      <c r="D512" s="3">
        <v>1</v>
      </c>
      <c r="G512" s="43">
        <v>43978</v>
      </c>
    </row>
    <row r="513" spans="1:7" x14ac:dyDescent="0.25">
      <c r="A513" s="19" t="s">
        <v>760</v>
      </c>
      <c r="B513" s="42" t="s">
        <v>120</v>
      </c>
      <c r="C513" s="3">
        <v>19</v>
      </c>
      <c r="D513" s="3">
        <v>1</v>
      </c>
      <c r="E513" s="42" t="s">
        <v>160</v>
      </c>
      <c r="F513" s="42" t="s">
        <v>160</v>
      </c>
      <c r="G513" s="43">
        <v>43978</v>
      </c>
    </row>
    <row r="514" spans="1:7" x14ac:dyDescent="0.25">
      <c r="A514" s="19" t="s">
        <v>761</v>
      </c>
      <c r="B514" s="42" t="s">
        <v>3</v>
      </c>
      <c r="C514" s="3">
        <v>22</v>
      </c>
      <c r="D514" s="3">
        <v>1</v>
      </c>
      <c r="G514" s="43">
        <v>43978</v>
      </c>
    </row>
    <row r="515" spans="1:7" x14ac:dyDescent="0.25">
      <c r="A515" s="19" t="s">
        <v>762</v>
      </c>
      <c r="B515" s="42" t="s">
        <v>3</v>
      </c>
      <c r="C515" s="3">
        <v>20</v>
      </c>
      <c r="D515" s="3">
        <v>1</v>
      </c>
      <c r="G515" s="43">
        <v>43978</v>
      </c>
    </row>
    <row r="516" spans="1:7" x14ac:dyDescent="0.25">
      <c r="A516" s="19" t="s">
        <v>763</v>
      </c>
      <c r="B516" s="42" t="s">
        <v>120</v>
      </c>
      <c r="C516" s="3">
        <v>21</v>
      </c>
      <c r="D516" s="3">
        <v>1</v>
      </c>
      <c r="E516" s="42" t="s">
        <v>160</v>
      </c>
      <c r="F516" s="42" t="s">
        <v>160</v>
      </c>
      <c r="G516" s="43">
        <v>43978</v>
      </c>
    </row>
    <row r="517" spans="1:7" x14ac:dyDescent="0.25">
      <c r="A517" s="19" t="s">
        <v>764</v>
      </c>
      <c r="B517" s="42" t="s">
        <v>120</v>
      </c>
      <c r="C517" s="3">
        <v>23</v>
      </c>
      <c r="D517" s="3">
        <v>1</v>
      </c>
      <c r="E517" s="42" t="s">
        <v>160</v>
      </c>
      <c r="G517" s="43">
        <v>43978</v>
      </c>
    </row>
    <row r="518" spans="1:7" x14ac:dyDescent="0.25">
      <c r="A518" s="19" t="s">
        <v>765</v>
      </c>
      <c r="B518" s="42" t="s">
        <v>3</v>
      </c>
      <c r="C518" s="3">
        <v>18</v>
      </c>
      <c r="D518" s="3">
        <v>1</v>
      </c>
      <c r="G518" s="43">
        <v>43978</v>
      </c>
    </row>
    <row r="519" spans="1:7" x14ac:dyDescent="0.25">
      <c r="A519" s="20" t="s">
        <v>766</v>
      </c>
      <c r="B519" s="42" t="s">
        <v>120</v>
      </c>
      <c r="C519" s="4">
        <v>19</v>
      </c>
      <c r="D519" s="3">
        <v>1</v>
      </c>
      <c r="E519" s="42" t="s">
        <v>160</v>
      </c>
      <c r="G519" s="43">
        <v>43978</v>
      </c>
    </row>
    <row r="520" spans="1:7" x14ac:dyDescent="0.25">
      <c r="A520" s="20" t="s">
        <v>767</v>
      </c>
      <c r="B520" s="42" t="s">
        <v>120</v>
      </c>
      <c r="C520" s="4">
        <v>22</v>
      </c>
      <c r="D520" s="3">
        <v>1</v>
      </c>
      <c r="E520" s="42" t="s">
        <v>160</v>
      </c>
      <c r="F520" s="42" t="s">
        <v>160</v>
      </c>
      <c r="G520" s="43">
        <v>43978</v>
      </c>
    </row>
    <row r="521" spans="1:7" x14ac:dyDescent="0.25">
      <c r="A521" s="20" t="s">
        <v>768</v>
      </c>
      <c r="B521" s="42" t="s">
        <v>3</v>
      </c>
      <c r="C521" s="4">
        <v>25</v>
      </c>
      <c r="D521" s="3">
        <v>1</v>
      </c>
      <c r="G521" s="43">
        <v>43978</v>
      </c>
    </row>
    <row r="522" spans="1:7" x14ac:dyDescent="0.25">
      <c r="A522" s="20" t="s">
        <v>769</v>
      </c>
      <c r="B522" s="42" t="s">
        <v>120</v>
      </c>
      <c r="C522" s="4">
        <v>22</v>
      </c>
      <c r="D522" s="3">
        <v>1</v>
      </c>
      <c r="E522" s="42" t="s">
        <v>160</v>
      </c>
      <c r="F522" s="42" t="s">
        <v>160</v>
      </c>
      <c r="G522" s="43">
        <v>43978</v>
      </c>
    </row>
    <row r="523" spans="1:7" x14ac:dyDescent="0.25">
      <c r="A523" s="20" t="s">
        <v>770</v>
      </c>
      <c r="B523" s="42" t="s">
        <v>3</v>
      </c>
      <c r="C523" s="4">
        <v>20</v>
      </c>
      <c r="D523" s="3">
        <v>1</v>
      </c>
      <c r="E523" s="42" t="s">
        <v>160</v>
      </c>
      <c r="G523" s="43">
        <v>43978</v>
      </c>
    </row>
    <row r="524" spans="1:7" x14ac:dyDescent="0.25">
      <c r="A524" s="20" t="s">
        <v>771</v>
      </c>
      <c r="B524" s="42" t="s">
        <v>3</v>
      </c>
      <c r="C524" s="4">
        <v>26</v>
      </c>
      <c r="D524" s="3">
        <v>1</v>
      </c>
      <c r="G524" s="43">
        <v>43978</v>
      </c>
    </row>
    <row r="525" spans="1:7" x14ac:dyDescent="0.25">
      <c r="A525" s="20" t="s">
        <v>772</v>
      </c>
      <c r="B525" s="42" t="s">
        <v>3</v>
      </c>
      <c r="C525" s="3">
        <v>21</v>
      </c>
      <c r="D525" s="3">
        <v>1</v>
      </c>
      <c r="G525" s="43">
        <v>43978</v>
      </c>
    </row>
    <row r="526" spans="1:7" x14ac:dyDescent="0.25">
      <c r="A526" s="20" t="s">
        <v>773</v>
      </c>
      <c r="B526" s="42" t="s">
        <v>120</v>
      </c>
      <c r="C526" s="4">
        <v>20</v>
      </c>
      <c r="D526" s="3">
        <v>1</v>
      </c>
      <c r="E526" s="42" t="s">
        <v>160</v>
      </c>
      <c r="F526" s="42" t="s">
        <v>160</v>
      </c>
      <c r="G526" s="43">
        <v>43978</v>
      </c>
    </row>
    <row r="527" spans="1:7" x14ac:dyDescent="0.25">
      <c r="A527" s="19" t="s">
        <v>774</v>
      </c>
      <c r="B527" s="42" t="s">
        <v>120</v>
      </c>
      <c r="C527" s="3">
        <v>19</v>
      </c>
      <c r="D527" s="3">
        <v>1</v>
      </c>
      <c r="E527" s="42" t="s">
        <v>160</v>
      </c>
      <c r="G527" s="43">
        <v>43978</v>
      </c>
    </row>
    <row r="528" spans="1:7" x14ac:dyDescent="0.25">
      <c r="A528" s="19" t="s">
        <v>775</v>
      </c>
      <c r="B528" s="42" t="s">
        <v>120</v>
      </c>
      <c r="C528" s="3">
        <v>22</v>
      </c>
      <c r="D528" s="3">
        <v>1</v>
      </c>
      <c r="E528" s="42" t="s">
        <v>160</v>
      </c>
      <c r="G528" s="43">
        <v>43978</v>
      </c>
    </row>
    <row r="529" spans="1:7" x14ac:dyDescent="0.25">
      <c r="A529" s="19" t="s">
        <v>776</v>
      </c>
      <c r="B529" s="42" t="s">
        <v>3</v>
      </c>
      <c r="C529" s="3">
        <v>22</v>
      </c>
      <c r="D529" s="3">
        <v>1</v>
      </c>
      <c r="G529" s="43">
        <v>43978</v>
      </c>
    </row>
    <row r="530" spans="1:7" x14ac:dyDescent="0.25">
      <c r="A530" s="19" t="s">
        <v>777</v>
      </c>
      <c r="B530" s="42" t="s">
        <v>3</v>
      </c>
      <c r="C530" s="3">
        <v>21</v>
      </c>
      <c r="D530" s="3">
        <v>1</v>
      </c>
      <c r="G530" s="43">
        <v>43978</v>
      </c>
    </row>
    <row r="531" spans="1:7" x14ac:dyDescent="0.25">
      <c r="A531" s="19" t="s">
        <v>778</v>
      </c>
      <c r="B531" s="42" t="s">
        <v>3</v>
      </c>
      <c r="C531" s="3">
        <v>18</v>
      </c>
      <c r="D531" s="3">
        <v>1</v>
      </c>
      <c r="G531" s="43">
        <v>43978</v>
      </c>
    </row>
    <row r="532" spans="1:7" x14ac:dyDescent="0.25">
      <c r="A532" s="19" t="s">
        <v>779</v>
      </c>
      <c r="B532" s="42" t="s">
        <v>3</v>
      </c>
      <c r="C532" s="3">
        <v>18</v>
      </c>
      <c r="D532" s="3">
        <v>1</v>
      </c>
      <c r="G532" s="43">
        <v>43978</v>
      </c>
    </row>
    <row r="533" spans="1:7" x14ac:dyDescent="0.25">
      <c r="A533" s="19" t="s">
        <v>780</v>
      </c>
      <c r="B533" s="42" t="s">
        <v>3</v>
      </c>
      <c r="C533" s="4">
        <v>20</v>
      </c>
      <c r="D533" s="3">
        <v>1</v>
      </c>
      <c r="G533" s="43">
        <v>43978</v>
      </c>
    </row>
    <row r="534" spans="1:7" x14ac:dyDescent="0.25">
      <c r="A534" s="19" t="s">
        <v>781</v>
      </c>
      <c r="B534" s="42" t="s">
        <v>3</v>
      </c>
      <c r="C534" s="4">
        <v>18</v>
      </c>
      <c r="D534" s="3">
        <v>1</v>
      </c>
      <c r="G534" s="43">
        <v>43978</v>
      </c>
    </row>
    <row r="535" spans="1:7" x14ac:dyDescent="0.25">
      <c r="A535" s="19" t="s">
        <v>782</v>
      </c>
      <c r="B535" s="42" t="s">
        <v>3</v>
      </c>
      <c r="C535" s="3">
        <v>20</v>
      </c>
      <c r="D535" s="3">
        <v>1</v>
      </c>
      <c r="G535" s="43">
        <v>43978</v>
      </c>
    </row>
    <row r="536" spans="1:7" x14ac:dyDescent="0.25">
      <c r="A536" s="19" t="s">
        <v>783</v>
      </c>
      <c r="B536" s="42" t="s">
        <v>120</v>
      </c>
      <c r="C536" s="3">
        <v>18</v>
      </c>
      <c r="D536" s="3">
        <v>1</v>
      </c>
      <c r="E536" s="42" t="s">
        <v>160</v>
      </c>
      <c r="G536" s="43">
        <v>43978</v>
      </c>
    </row>
    <row r="537" spans="1:7" x14ac:dyDescent="0.25">
      <c r="A537" s="19" t="s">
        <v>784</v>
      </c>
      <c r="B537" s="42" t="s">
        <v>3</v>
      </c>
      <c r="C537" s="3">
        <v>22</v>
      </c>
      <c r="D537" s="3">
        <v>1</v>
      </c>
      <c r="G537" s="43">
        <v>43978</v>
      </c>
    </row>
    <row r="538" spans="1:7" x14ac:dyDescent="0.25">
      <c r="A538" s="19" t="s">
        <v>785</v>
      </c>
      <c r="B538" s="42" t="s">
        <v>3</v>
      </c>
      <c r="C538" s="3">
        <v>20</v>
      </c>
      <c r="D538" s="3">
        <v>1</v>
      </c>
      <c r="G538" s="43">
        <v>43978</v>
      </c>
    </row>
    <row r="539" spans="1:7" x14ac:dyDescent="0.25">
      <c r="A539" s="19" t="s">
        <v>786</v>
      </c>
      <c r="B539" s="42" t="s">
        <v>3</v>
      </c>
      <c r="C539" s="3">
        <v>23</v>
      </c>
      <c r="D539" s="3">
        <v>1</v>
      </c>
      <c r="E539" s="42" t="s">
        <v>160</v>
      </c>
      <c r="G539" s="43">
        <v>43978</v>
      </c>
    </row>
    <row r="540" spans="1:7" x14ac:dyDescent="0.25">
      <c r="A540" s="19" t="s">
        <v>787</v>
      </c>
      <c r="B540" s="42" t="s">
        <v>120</v>
      </c>
      <c r="C540" s="3">
        <v>21</v>
      </c>
      <c r="D540" s="3">
        <v>1</v>
      </c>
      <c r="E540" s="42" t="s">
        <v>160</v>
      </c>
      <c r="F540" s="42" t="s">
        <v>160</v>
      </c>
      <c r="G540" s="43">
        <v>43978</v>
      </c>
    </row>
    <row r="541" spans="1:7" x14ac:dyDescent="0.25">
      <c r="A541" s="19" t="s">
        <v>788</v>
      </c>
      <c r="B541" s="42" t="s">
        <v>3</v>
      </c>
      <c r="C541" s="3">
        <v>21</v>
      </c>
      <c r="D541" s="3">
        <v>1</v>
      </c>
      <c r="G541" s="43">
        <v>43978</v>
      </c>
    </row>
    <row r="542" spans="1:7" x14ac:dyDescent="0.25">
      <c r="A542" s="19" t="s">
        <v>789</v>
      </c>
      <c r="B542" s="42" t="s">
        <v>3</v>
      </c>
      <c r="C542" s="3">
        <v>24</v>
      </c>
      <c r="D542" s="3">
        <v>1</v>
      </c>
      <c r="G542" s="43">
        <v>43978</v>
      </c>
    </row>
    <row r="543" spans="1:7" x14ac:dyDescent="0.25">
      <c r="A543" s="19" t="s">
        <v>790</v>
      </c>
      <c r="B543" s="42" t="s">
        <v>3</v>
      </c>
      <c r="C543" s="3">
        <v>18</v>
      </c>
      <c r="D543" s="3">
        <v>1</v>
      </c>
      <c r="G543" s="43">
        <v>43978</v>
      </c>
    </row>
    <row r="544" spans="1:7" x14ac:dyDescent="0.25">
      <c r="A544" s="19" t="s">
        <v>791</v>
      </c>
      <c r="B544" s="42" t="s">
        <v>120</v>
      </c>
      <c r="C544" s="3">
        <v>18</v>
      </c>
      <c r="D544" s="3">
        <v>1</v>
      </c>
      <c r="E544" s="42" t="s">
        <v>160</v>
      </c>
      <c r="F544" s="42" t="s">
        <v>160</v>
      </c>
      <c r="G544" s="43">
        <v>43978</v>
      </c>
    </row>
    <row r="545" spans="1:7" x14ac:dyDescent="0.25">
      <c r="A545" s="19" t="s">
        <v>792</v>
      </c>
      <c r="B545" s="42" t="s">
        <v>3</v>
      </c>
      <c r="C545" s="3">
        <v>21</v>
      </c>
      <c r="D545" s="3">
        <v>1</v>
      </c>
      <c r="G545" s="43">
        <v>43978</v>
      </c>
    </row>
    <row r="546" spans="1:7" x14ac:dyDescent="0.25">
      <c r="A546" s="19" t="s">
        <v>793</v>
      </c>
      <c r="B546" s="42" t="s">
        <v>3</v>
      </c>
      <c r="C546" s="3">
        <v>18</v>
      </c>
      <c r="D546" s="3">
        <v>1</v>
      </c>
      <c r="G546" s="43">
        <v>43978</v>
      </c>
    </row>
    <row r="547" spans="1:7" x14ac:dyDescent="0.25">
      <c r="A547" s="19" t="s">
        <v>794</v>
      </c>
      <c r="B547" s="42" t="s">
        <v>120</v>
      </c>
      <c r="C547" s="3">
        <v>19</v>
      </c>
      <c r="D547" s="3">
        <v>1</v>
      </c>
      <c r="E547" s="42" t="s">
        <v>160</v>
      </c>
      <c r="G547" s="43">
        <v>43978</v>
      </c>
    </row>
    <row r="548" spans="1:7" x14ac:dyDescent="0.25">
      <c r="A548" s="19" t="s">
        <v>795</v>
      </c>
      <c r="B548" s="42" t="s">
        <v>3</v>
      </c>
      <c r="C548" s="3">
        <v>20</v>
      </c>
      <c r="D548" s="3">
        <v>1</v>
      </c>
      <c r="G548" s="43">
        <v>43978</v>
      </c>
    </row>
    <row r="549" spans="1:7" x14ac:dyDescent="0.25">
      <c r="A549" s="19" t="s">
        <v>796</v>
      </c>
      <c r="B549" s="42" t="s">
        <v>3</v>
      </c>
      <c r="C549" s="3">
        <v>19</v>
      </c>
      <c r="D549" s="3">
        <v>1</v>
      </c>
      <c r="G549" s="43">
        <v>43978</v>
      </c>
    </row>
    <row r="550" spans="1:7" x14ac:dyDescent="0.25">
      <c r="A550" s="19" t="s">
        <v>797</v>
      </c>
      <c r="B550" s="42" t="s">
        <v>3</v>
      </c>
      <c r="C550" s="3">
        <v>18</v>
      </c>
      <c r="D550" s="3">
        <v>1</v>
      </c>
      <c r="G550" s="43">
        <v>43978</v>
      </c>
    </row>
    <row r="551" spans="1:7" x14ac:dyDescent="0.25">
      <c r="A551" s="19" t="s">
        <v>798</v>
      </c>
      <c r="B551" s="42" t="s">
        <v>120</v>
      </c>
      <c r="C551" s="3">
        <v>20</v>
      </c>
      <c r="D551" s="3">
        <v>1</v>
      </c>
      <c r="E551" s="42" t="s">
        <v>160</v>
      </c>
      <c r="F551" s="42" t="s">
        <v>160</v>
      </c>
      <c r="G551" s="43">
        <v>43978</v>
      </c>
    </row>
    <row r="552" spans="1:7" x14ac:dyDescent="0.25">
      <c r="A552" s="19" t="s">
        <v>799</v>
      </c>
      <c r="B552" s="42" t="s">
        <v>120</v>
      </c>
      <c r="C552" s="3">
        <v>18</v>
      </c>
      <c r="D552" s="3">
        <v>1</v>
      </c>
      <c r="E552" s="42" t="s">
        <v>160</v>
      </c>
      <c r="G552" s="43">
        <v>43978</v>
      </c>
    </row>
    <row r="553" spans="1:7" x14ac:dyDescent="0.25">
      <c r="A553" s="19" t="s">
        <v>800</v>
      </c>
      <c r="B553" s="42" t="s">
        <v>120</v>
      </c>
      <c r="C553" s="3">
        <v>24</v>
      </c>
      <c r="D553" s="3">
        <v>1</v>
      </c>
      <c r="E553" s="42" t="s">
        <v>160</v>
      </c>
      <c r="G553" s="43">
        <v>43978</v>
      </c>
    </row>
    <row r="554" spans="1:7" x14ac:dyDescent="0.25">
      <c r="A554" s="19" t="s">
        <v>801</v>
      </c>
      <c r="B554" s="42" t="s">
        <v>3</v>
      </c>
      <c r="C554" s="3">
        <v>20</v>
      </c>
      <c r="D554" s="3">
        <v>1</v>
      </c>
      <c r="G554" s="43">
        <v>43978</v>
      </c>
    </row>
    <row r="555" spans="1:7" x14ac:dyDescent="0.25">
      <c r="A555" s="19" t="s">
        <v>802</v>
      </c>
      <c r="B555" s="42" t="s">
        <v>3</v>
      </c>
      <c r="C555" s="3">
        <v>25</v>
      </c>
      <c r="D555" s="3">
        <v>1</v>
      </c>
      <c r="G555" s="43">
        <v>43978</v>
      </c>
    </row>
    <row r="556" spans="1:7" x14ac:dyDescent="0.25">
      <c r="A556" s="19" t="s">
        <v>803</v>
      </c>
      <c r="B556" s="42" t="s">
        <v>120</v>
      </c>
      <c r="C556" s="3">
        <v>27</v>
      </c>
      <c r="D556" s="3">
        <v>1</v>
      </c>
      <c r="E556" s="42" t="s">
        <v>160</v>
      </c>
      <c r="F556" s="42" t="s">
        <v>160</v>
      </c>
      <c r="G556" s="43">
        <v>43978</v>
      </c>
    </row>
    <row r="557" spans="1:7" x14ac:dyDescent="0.25">
      <c r="A557" s="19" t="s">
        <v>804</v>
      </c>
      <c r="B557" s="42" t="s">
        <v>120</v>
      </c>
      <c r="C557" s="3">
        <v>21</v>
      </c>
      <c r="D557" s="3">
        <v>1</v>
      </c>
      <c r="E557" s="42" t="s">
        <v>160</v>
      </c>
      <c r="F557" s="42" t="s">
        <v>160</v>
      </c>
      <c r="G557" s="43">
        <v>43978</v>
      </c>
    </row>
    <row r="558" spans="1:7" x14ac:dyDescent="0.25">
      <c r="A558" s="19" t="s">
        <v>805</v>
      </c>
      <c r="B558" s="42" t="s">
        <v>3</v>
      </c>
      <c r="C558" s="3">
        <v>22</v>
      </c>
      <c r="D558" s="3">
        <v>1</v>
      </c>
      <c r="G558" s="43">
        <v>43978</v>
      </c>
    </row>
    <row r="559" spans="1:7" x14ac:dyDescent="0.25">
      <c r="A559" s="19" t="s">
        <v>806</v>
      </c>
      <c r="B559" s="42" t="s">
        <v>3</v>
      </c>
      <c r="C559" s="3">
        <v>19</v>
      </c>
      <c r="D559" s="3">
        <v>1</v>
      </c>
      <c r="G559" s="43">
        <v>43978</v>
      </c>
    </row>
    <row r="560" spans="1:7" x14ac:dyDescent="0.25">
      <c r="A560" s="19" t="s">
        <v>807</v>
      </c>
      <c r="B560" s="42" t="s">
        <v>120</v>
      </c>
      <c r="C560" s="3">
        <v>18</v>
      </c>
      <c r="D560" s="3">
        <v>1</v>
      </c>
      <c r="E560" s="42" t="s">
        <v>160</v>
      </c>
      <c r="F560" s="42" t="s">
        <v>160</v>
      </c>
      <c r="G560" s="43">
        <v>43978</v>
      </c>
    </row>
    <row r="561" spans="1:7" x14ac:dyDescent="0.25">
      <c r="A561" s="19" t="s">
        <v>808</v>
      </c>
      <c r="B561" s="42" t="s">
        <v>3</v>
      </c>
      <c r="C561" s="3">
        <v>19</v>
      </c>
      <c r="D561" s="3">
        <v>1</v>
      </c>
      <c r="G561" s="43">
        <v>43978</v>
      </c>
    </row>
    <row r="562" spans="1:7" x14ac:dyDescent="0.25">
      <c r="A562" s="19" t="s">
        <v>809</v>
      </c>
      <c r="B562" s="42" t="s">
        <v>3</v>
      </c>
      <c r="C562" s="3">
        <v>20</v>
      </c>
      <c r="D562" s="3">
        <v>1</v>
      </c>
      <c r="G562" s="43">
        <v>43978</v>
      </c>
    </row>
    <row r="563" spans="1:7" x14ac:dyDescent="0.25">
      <c r="A563" s="19" t="s">
        <v>810</v>
      </c>
      <c r="B563" s="42" t="s">
        <v>3</v>
      </c>
      <c r="C563" s="3">
        <v>18</v>
      </c>
      <c r="D563" s="3">
        <v>1</v>
      </c>
      <c r="G563" s="43">
        <v>43978</v>
      </c>
    </row>
    <row r="564" spans="1:7" x14ac:dyDescent="0.25">
      <c r="A564" s="19" t="s">
        <v>811</v>
      </c>
      <c r="B564" s="42" t="s">
        <v>120</v>
      </c>
      <c r="C564" s="3">
        <v>19</v>
      </c>
      <c r="D564" s="3">
        <v>1</v>
      </c>
      <c r="E564" s="42" t="s">
        <v>160</v>
      </c>
      <c r="G564" s="43">
        <v>43978</v>
      </c>
    </row>
    <row r="565" spans="1:7" x14ac:dyDescent="0.25">
      <c r="A565" s="19" t="s">
        <v>812</v>
      </c>
      <c r="B565" s="42" t="s">
        <v>3</v>
      </c>
      <c r="C565" s="3">
        <v>20</v>
      </c>
      <c r="D565" s="3">
        <v>1</v>
      </c>
      <c r="G565" s="43">
        <v>43978</v>
      </c>
    </row>
    <row r="566" spans="1:7" x14ac:dyDescent="0.25">
      <c r="A566" s="19" t="s">
        <v>813</v>
      </c>
      <c r="B566" s="42" t="s">
        <v>3</v>
      </c>
      <c r="C566" s="3">
        <v>20</v>
      </c>
      <c r="D566" s="3">
        <v>1</v>
      </c>
      <c r="G566" s="43">
        <v>43978</v>
      </c>
    </row>
    <row r="567" spans="1:7" x14ac:dyDescent="0.25">
      <c r="A567" s="19" t="s">
        <v>814</v>
      </c>
      <c r="B567" s="42" t="s">
        <v>3</v>
      </c>
      <c r="C567" s="3">
        <v>19</v>
      </c>
      <c r="D567" s="3">
        <v>1</v>
      </c>
      <c r="E567" s="42" t="s">
        <v>160</v>
      </c>
      <c r="F567" s="42" t="s">
        <v>160</v>
      </c>
      <c r="G567" s="43">
        <v>43978</v>
      </c>
    </row>
    <row r="568" spans="1:7" x14ac:dyDescent="0.25">
      <c r="A568" s="19" t="s">
        <v>815</v>
      </c>
      <c r="B568" s="42" t="s">
        <v>120</v>
      </c>
      <c r="C568" s="3">
        <v>22</v>
      </c>
      <c r="D568" s="3">
        <v>1</v>
      </c>
      <c r="E568" s="42" t="s">
        <v>160</v>
      </c>
      <c r="G568" s="43">
        <v>43978</v>
      </c>
    </row>
    <row r="569" spans="1:7" x14ac:dyDescent="0.25">
      <c r="A569" s="19" t="s">
        <v>816</v>
      </c>
      <c r="B569" s="42" t="s">
        <v>3</v>
      </c>
      <c r="C569" s="3">
        <v>21</v>
      </c>
      <c r="D569" s="3">
        <v>1</v>
      </c>
      <c r="E569" s="42" t="s">
        <v>160</v>
      </c>
      <c r="G569" s="43">
        <v>43978</v>
      </c>
    </row>
    <row r="570" spans="1:7" x14ac:dyDescent="0.25">
      <c r="A570" s="19" t="s">
        <v>817</v>
      </c>
      <c r="B570" s="42" t="s">
        <v>3</v>
      </c>
      <c r="C570" s="3">
        <v>25</v>
      </c>
      <c r="D570" s="3">
        <v>1</v>
      </c>
      <c r="E570" s="42" t="s">
        <v>160</v>
      </c>
      <c r="G570" s="43">
        <v>43978</v>
      </c>
    </row>
    <row r="571" spans="1:7" x14ac:dyDescent="0.25">
      <c r="A571" s="19" t="s">
        <v>818</v>
      </c>
      <c r="B571" s="42" t="s">
        <v>3</v>
      </c>
      <c r="C571" s="3">
        <v>18</v>
      </c>
      <c r="D571" s="3">
        <v>1</v>
      </c>
      <c r="G571" s="43">
        <v>43978</v>
      </c>
    </row>
    <row r="572" spans="1:7" x14ac:dyDescent="0.25">
      <c r="A572" s="19" t="s">
        <v>819</v>
      </c>
      <c r="B572" s="42" t="s">
        <v>3</v>
      </c>
      <c r="C572" s="3">
        <v>18</v>
      </c>
      <c r="D572" s="3">
        <v>1</v>
      </c>
      <c r="G572" s="43">
        <v>43979</v>
      </c>
    </row>
    <row r="573" spans="1:7" x14ac:dyDescent="0.25">
      <c r="A573" s="19" t="s">
        <v>820</v>
      </c>
      <c r="B573" s="42" t="s">
        <v>120</v>
      </c>
      <c r="C573" s="3">
        <v>22</v>
      </c>
      <c r="D573" s="3">
        <v>1</v>
      </c>
      <c r="E573" s="42" t="s">
        <v>160</v>
      </c>
      <c r="F573" s="42" t="s">
        <v>160</v>
      </c>
      <c r="G573" s="43">
        <v>43979</v>
      </c>
    </row>
    <row r="574" spans="1:7" x14ac:dyDescent="0.25">
      <c r="A574" s="19" t="s">
        <v>821</v>
      </c>
      <c r="B574" s="42" t="s">
        <v>3</v>
      </c>
      <c r="C574" s="3">
        <v>18</v>
      </c>
      <c r="D574" s="3">
        <v>1</v>
      </c>
      <c r="G574" s="43">
        <v>43979</v>
      </c>
    </row>
    <row r="575" spans="1:7" x14ac:dyDescent="0.25">
      <c r="A575" s="19" t="s">
        <v>822</v>
      </c>
      <c r="B575" s="42" t="s">
        <v>3</v>
      </c>
      <c r="C575" s="3">
        <v>26</v>
      </c>
      <c r="D575" s="3">
        <v>1</v>
      </c>
      <c r="G575" s="43">
        <v>43979</v>
      </c>
    </row>
    <row r="576" spans="1:7" x14ac:dyDescent="0.25">
      <c r="A576" s="19" t="s">
        <v>823</v>
      </c>
      <c r="B576" s="42" t="s">
        <v>3</v>
      </c>
      <c r="C576" s="3">
        <v>19</v>
      </c>
      <c r="D576" s="3">
        <v>1</v>
      </c>
      <c r="G576" s="43">
        <v>43979</v>
      </c>
    </row>
    <row r="577" spans="1:7" x14ac:dyDescent="0.25">
      <c r="A577" s="19" t="s">
        <v>824</v>
      </c>
      <c r="B577" s="42" t="s">
        <v>3</v>
      </c>
      <c r="C577" s="3">
        <v>19</v>
      </c>
      <c r="D577" s="3">
        <v>1</v>
      </c>
      <c r="G577" s="43">
        <v>43979</v>
      </c>
    </row>
    <row r="578" spans="1:7" x14ac:dyDescent="0.25">
      <c r="A578" s="19" t="s">
        <v>825</v>
      </c>
      <c r="B578" s="42" t="s">
        <v>120</v>
      </c>
      <c r="C578" s="3">
        <v>18</v>
      </c>
      <c r="D578" s="3">
        <v>1</v>
      </c>
      <c r="E578" s="42" t="s">
        <v>160</v>
      </c>
      <c r="F578" s="42" t="s">
        <v>160</v>
      </c>
      <c r="G578" s="43">
        <v>43979</v>
      </c>
    </row>
    <row r="579" spans="1:7" x14ac:dyDescent="0.25">
      <c r="A579" s="19" t="s">
        <v>826</v>
      </c>
      <c r="B579" s="42" t="s">
        <v>3</v>
      </c>
      <c r="C579" s="3">
        <v>18</v>
      </c>
      <c r="D579" s="3">
        <v>1</v>
      </c>
      <c r="G579" s="43">
        <v>43979</v>
      </c>
    </row>
    <row r="580" spans="1:7" x14ac:dyDescent="0.25">
      <c r="A580" s="19" t="s">
        <v>827</v>
      </c>
      <c r="B580" s="42" t="s">
        <v>3</v>
      </c>
      <c r="C580" s="3">
        <v>19</v>
      </c>
      <c r="D580" s="3">
        <v>1</v>
      </c>
      <c r="G580" s="43">
        <v>43979</v>
      </c>
    </row>
    <row r="581" spans="1:7" x14ac:dyDescent="0.25">
      <c r="A581" s="19" t="s">
        <v>828</v>
      </c>
      <c r="B581" s="42" t="s">
        <v>120</v>
      </c>
      <c r="C581" s="3">
        <v>27</v>
      </c>
      <c r="D581" s="3">
        <v>1</v>
      </c>
      <c r="E581" s="42" t="s">
        <v>160</v>
      </c>
      <c r="F581" s="42" t="s">
        <v>160</v>
      </c>
      <c r="G581" s="43">
        <v>43979</v>
      </c>
    </row>
    <row r="582" spans="1:7" x14ac:dyDescent="0.25">
      <c r="A582" s="19" t="s">
        <v>829</v>
      </c>
      <c r="B582" s="42" t="s">
        <v>3</v>
      </c>
      <c r="C582" s="3">
        <v>19</v>
      </c>
      <c r="D582" s="3">
        <v>1</v>
      </c>
      <c r="G582" s="43">
        <v>43979</v>
      </c>
    </row>
    <row r="583" spans="1:7" x14ac:dyDescent="0.25">
      <c r="A583" s="19" t="s">
        <v>830</v>
      </c>
      <c r="B583" s="42" t="s">
        <v>120</v>
      </c>
      <c r="C583" s="3">
        <v>18</v>
      </c>
      <c r="D583" s="3">
        <v>1</v>
      </c>
      <c r="E583" s="42" t="s">
        <v>160</v>
      </c>
      <c r="F583" s="42" t="s">
        <v>160</v>
      </c>
      <c r="G583" s="43">
        <v>43979</v>
      </c>
    </row>
    <row r="584" spans="1:7" x14ac:dyDescent="0.25">
      <c r="A584" s="19" t="s">
        <v>831</v>
      </c>
      <c r="B584" s="42" t="s">
        <v>120</v>
      </c>
      <c r="C584" s="3">
        <v>19</v>
      </c>
      <c r="D584" s="3">
        <v>1</v>
      </c>
      <c r="G584" s="43">
        <v>43979</v>
      </c>
    </row>
    <row r="585" spans="1:7" x14ac:dyDescent="0.25">
      <c r="A585" s="19" t="s">
        <v>832</v>
      </c>
      <c r="B585" s="42" t="s">
        <v>3</v>
      </c>
      <c r="C585" s="3">
        <v>27</v>
      </c>
      <c r="D585" s="3">
        <v>1</v>
      </c>
      <c r="G585" s="43">
        <v>43979</v>
      </c>
    </row>
    <row r="586" spans="1:7" x14ac:dyDescent="0.25">
      <c r="A586" s="19" t="s">
        <v>833</v>
      </c>
      <c r="B586" s="42" t="s">
        <v>120</v>
      </c>
      <c r="C586" s="3">
        <v>18</v>
      </c>
      <c r="D586" s="3">
        <v>1</v>
      </c>
      <c r="E586" s="42" t="s">
        <v>160</v>
      </c>
      <c r="F586" s="42" t="s">
        <v>160</v>
      </c>
      <c r="G586" s="43">
        <v>43979</v>
      </c>
    </row>
    <row r="587" spans="1:7" x14ac:dyDescent="0.25">
      <c r="A587" s="19" t="s">
        <v>834</v>
      </c>
      <c r="B587" s="42" t="s">
        <v>3</v>
      </c>
      <c r="C587" s="3">
        <v>21</v>
      </c>
      <c r="D587" s="3">
        <v>1</v>
      </c>
      <c r="E587" s="42" t="s">
        <v>160</v>
      </c>
      <c r="G587" s="43">
        <v>43979</v>
      </c>
    </row>
    <row r="588" spans="1:7" x14ac:dyDescent="0.25">
      <c r="A588" s="19" t="s">
        <v>835</v>
      </c>
      <c r="B588" s="42" t="s">
        <v>3</v>
      </c>
      <c r="C588" s="3">
        <v>22</v>
      </c>
      <c r="D588" s="3">
        <v>1</v>
      </c>
      <c r="G588" s="43">
        <v>43979</v>
      </c>
    </row>
    <row r="589" spans="1:7" x14ac:dyDescent="0.25">
      <c r="A589" s="19" t="s">
        <v>836</v>
      </c>
      <c r="B589" s="42" t="s">
        <v>120</v>
      </c>
      <c r="C589" s="3">
        <v>18</v>
      </c>
      <c r="D589" s="3">
        <v>1</v>
      </c>
      <c r="E589" s="42" t="s">
        <v>160</v>
      </c>
      <c r="F589" s="42" t="s">
        <v>160</v>
      </c>
      <c r="G589" s="43">
        <v>43979</v>
      </c>
    </row>
    <row r="590" spans="1:7" x14ac:dyDescent="0.25">
      <c r="A590" s="19" t="s">
        <v>837</v>
      </c>
      <c r="B590" s="42" t="s">
        <v>120</v>
      </c>
      <c r="C590" s="3">
        <v>22</v>
      </c>
      <c r="D590" s="3">
        <v>1</v>
      </c>
      <c r="E590" s="42" t="s">
        <v>160</v>
      </c>
      <c r="F590" s="42" t="s">
        <v>160</v>
      </c>
      <c r="G590" s="43">
        <v>43979</v>
      </c>
    </row>
    <row r="591" spans="1:7" x14ac:dyDescent="0.25">
      <c r="A591" s="19" t="s">
        <v>838</v>
      </c>
      <c r="B591" s="42" t="s">
        <v>120</v>
      </c>
      <c r="C591" s="3">
        <v>19</v>
      </c>
      <c r="D591" s="3">
        <v>1</v>
      </c>
      <c r="G591" s="43">
        <v>43979</v>
      </c>
    </row>
    <row r="592" spans="1:7" x14ac:dyDescent="0.25">
      <c r="A592" s="19" t="s">
        <v>839</v>
      </c>
      <c r="B592" s="42" t="s">
        <v>120</v>
      </c>
      <c r="C592" s="3">
        <v>18</v>
      </c>
      <c r="D592" s="3">
        <v>1</v>
      </c>
      <c r="E592" s="42" t="s">
        <v>160</v>
      </c>
      <c r="F592" s="42" t="s">
        <v>160</v>
      </c>
      <c r="G592" s="43">
        <v>43979</v>
      </c>
    </row>
    <row r="593" spans="1:7" x14ac:dyDescent="0.25">
      <c r="A593" s="19" t="s">
        <v>840</v>
      </c>
      <c r="B593" s="42" t="s">
        <v>3</v>
      </c>
      <c r="C593" s="3">
        <v>19</v>
      </c>
      <c r="D593" s="3">
        <v>1</v>
      </c>
      <c r="G593" s="43">
        <v>43979</v>
      </c>
    </row>
    <row r="594" spans="1:7" x14ac:dyDescent="0.25">
      <c r="A594" s="19" t="s">
        <v>841</v>
      </c>
      <c r="B594" s="42" t="s">
        <v>3</v>
      </c>
      <c r="C594" s="3">
        <v>23</v>
      </c>
      <c r="D594" s="3">
        <v>1</v>
      </c>
      <c r="E594" s="42" t="s">
        <v>160</v>
      </c>
      <c r="F594" s="42" t="s">
        <v>160</v>
      </c>
      <c r="G594" s="43">
        <v>43979</v>
      </c>
    </row>
    <row r="595" spans="1:7" x14ac:dyDescent="0.25">
      <c r="A595" s="19" t="s">
        <v>842</v>
      </c>
      <c r="B595" s="42" t="s">
        <v>120</v>
      </c>
      <c r="C595" s="3">
        <v>19</v>
      </c>
      <c r="D595" s="3">
        <v>1</v>
      </c>
      <c r="E595" s="42" t="s">
        <v>160</v>
      </c>
      <c r="F595" s="42" t="s">
        <v>160</v>
      </c>
      <c r="G595" s="43">
        <v>43979</v>
      </c>
    </row>
    <row r="596" spans="1:7" x14ac:dyDescent="0.25">
      <c r="A596" s="19" t="s">
        <v>843</v>
      </c>
      <c r="B596" s="42" t="s">
        <v>120</v>
      </c>
      <c r="C596" s="3">
        <v>21</v>
      </c>
      <c r="D596" s="3">
        <v>1</v>
      </c>
      <c r="E596" s="42" t="s">
        <v>160</v>
      </c>
      <c r="G596" s="43">
        <v>43979</v>
      </c>
    </row>
    <row r="597" spans="1:7" x14ac:dyDescent="0.25">
      <c r="A597" s="19" t="s">
        <v>844</v>
      </c>
      <c r="B597" s="42" t="s">
        <v>120</v>
      </c>
      <c r="C597" s="3">
        <v>25</v>
      </c>
      <c r="D597" s="3">
        <v>1</v>
      </c>
      <c r="E597" s="42" t="s">
        <v>160</v>
      </c>
      <c r="F597" s="42" t="s">
        <v>160</v>
      </c>
      <c r="G597" s="43">
        <v>43979</v>
      </c>
    </row>
    <row r="598" spans="1:7" x14ac:dyDescent="0.25">
      <c r="A598" s="19" t="s">
        <v>845</v>
      </c>
      <c r="B598" s="42" t="s">
        <v>3</v>
      </c>
      <c r="C598" s="3">
        <v>20</v>
      </c>
      <c r="D598" s="3">
        <v>1</v>
      </c>
      <c r="E598" s="42" t="s">
        <v>160</v>
      </c>
      <c r="F598" s="42" t="s">
        <v>160</v>
      </c>
      <c r="G598" s="43">
        <v>43979</v>
      </c>
    </row>
    <row r="599" spans="1:7" x14ac:dyDescent="0.25">
      <c r="A599" s="19" t="s">
        <v>846</v>
      </c>
      <c r="B599" s="42" t="s">
        <v>120</v>
      </c>
      <c r="C599" s="3">
        <v>18</v>
      </c>
      <c r="D599" s="3">
        <v>1</v>
      </c>
      <c r="E599" s="42" t="s">
        <v>160</v>
      </c>
      <c r="G599" s="43">
        <v>43979</v>
      </c>
    </row>
    <row r="600" spans="1:7" x14ac:dyDescent="0.25">
      <c r="A600" s="19" t="s">
        <v>847</v>
      </c>
      <c r="B600" s="42" t="s">
        <v>120</v>
      </c>
      <c r="C600" s="3">
        <v>22</v>
      </c>
      <c r="D600" s="3">
        <v>1</v>
      </c>
      <c r="E600" s="42" t="s">
        <v>160</v>
      </c>
      <c r="F600" s="42" t="s">
        <v>160</v>
      </c>
      <c r="G600" s="43">
        <v>43979</v>
      </c>
    </row>
    <row r="601" spans="1:7" x14ac:dyDescent="0.25">
      <c r="A601" s="19" t="s">
        <v>848</v>
      </c>
      <c r="B601" s="42" t="s">
        <v>3</v>
      </c>
      <c r="C601" s="3">
        <v>20</v>
      </c>
      <c r="D601" s="3">
        <v>1</v>
      </c>
      <c r="G601" s="43">
        <v>43979</v>
      </c>
    </row>
    <row r="602" spans="1:7" x14ac:dyDescent="0.25">
      <c r="A602" s="19" t="s">
        <v>849</v>
      </c>
      <c r="B602" s="42" t="s">
        <v>3</v>
      </c>
      <c r="C602" s="3">
        <v>20</v>
      </c>
      <c r="D602" s="3">
        <v>1</v>
      </c>
      <c r="E602" s="42" t="s">
        <v>160</v>
      </c>
      <c r="G602" s="43">
        <v>43979</v>
      </c>
    </row>
    <row r="603" spans="1:7" x14ac:dyDescent="0.25">
      <c r="A603" s="19" t="s">
        <v>850</v>
      </c>
      <c r="B603" s="42" t="s">
        <v>3</v>
      </c>
      <c r="C603" s="3">
        <v>18</v>
      </c>
      <c r="D603" s="3">
        <v>1</v>
      </c>
      <c r="G603" s="43">
        <v>43979</v>
      </c>
    </row>
    <row r="604" spans="1:7" x14ac:dyDescent="0.25">
      <c r="A604" s="19" t="s">
        <v>851</v>
      </c>
      <c r="B604" s="42" t="s">
        <v>120</v>
      </c>
      <c r="C604" s="3">
        <v>22</v>
      </c>
      <c r="D604" s="3">
        <v>1</v>
      </c>
      <c r="E604" s="42" t="s">
        <v>160</v>
      </c>
      <c r="F604" s="42" t="s">
        <v>160</v>
      </c>
      <c r="G604" s="43">
        <v>43979</v>
      </c>
    </row>
    <row r="605" spans="1:7" x14ac:dyDescent="0.25">
      <c r="A605" s="19" t="s">
        <v>852</v>
      </c>
      <c r="B605" s="42" t="s">
        <v>120</v>
      </c>
      <c r="C605" s="3">
        <v>23</v>
      </c>
      <c r="D605" s="3">
        <v>1</v>
      </c>
      <c r="E605" s="42" t="s">
        <v>160</v>
      </c>
      <c r="F605" s="42" t="s">
        <v>160</v>
      </c>
      <c r="G605" s="43">
        <v>43979</v>
      </c>
    </row>
    <row r="606" spans="1:7" x14ac:dyDescent="0.25">
      <c r="A606" s="19" t="s">
        <v>853</v>
      </c>
      <c r="B606" s="42" t="s">
        <v>120</v>
      </c>
      <c r="C606" s="3">
        <v>19</v>
      </c>
      <c r="D606" s="3">
        <v>1</v>
      </c>
      <c r="E606" s="42" t="s">
        <v>160</v>
      </c>
      <c r="F606" s="42" t="s">
        <v>160</v>
      </c>
      <c r="G606" s="43">
        <v>43979</v>
      </c>
    </row>
    <row r="607" spans="1:7" x14ac:dyDescent="0.25">
      <c r="A607" s="19" t="s">
        <v>854</v>
      </c>
      <c r="B607" s="42" t="s">
        <v>120</v>
      </c>
      <c r="C607" s="3">
        <v>20</v>
      </c>
      <c r="D607" s="3">
        <v>1</v>
      </c>
      <c r="E607" s="42" t="s">
        <v>160</v>
      </c>
      <c r="F607" s="42" t="s">
        <v>160</v>
      </c>
      <c r="G607" s="43">
        <v>43979</v>
      </c>
    </row>
    <row r="608" spans="1:7" x14ac:dyDescent="0.25">
      <c r="A608" s="19" t="s">
        <v>855</v>
      </c>
      <c r="B608" s="42" t="s">
        <v>120</v>
      </c>
      <c r="C608" s="3">
        <v>19</v>
      </c>
      <c r="D608" s="3">
        <v>1</v>
      </c>
      <c r="E608" s="42" t="s">
        <v>160</v>
      </c>
      <c r="G608" s="43">
        <v>43979</v>
      </c>
    </row>
    <row r="609" spans="1:7" x14ac:dyDescent="0.25">
      <c r="A609" s="19" t="s">
        <v>856</v>
      </c>
      <c r="B609" s="42" t="s">
        <v>3</v>
      </c>
      <c r="C609" s="3">
        <v>19</v>
      </c>
      <c r="D609" s="3">
        <v>1</v>
      </c>
      <c r="G609" s="43">
        <v>43979</v>
      </c>
    </row>
    <row r="610" spans="1:7" x14ac:dyDescent="0.25">
      <c r="A610" s="19" t="s">
        <v>857</v>
      </c>
      <c r="B610" s="42" t="s">
        <v>3</v>
      </c>
      <c r="C610" s="3">
        <v>19</v>
      </c>
      <c r="D610" s="3">
        <v>1</v>
      </c>
      <c r="G610" s="43">
        <v>43979</v>
      </c>
    </row>
    <row r="611" spans="1:7" x14ac:dyDescent="0.25">
      <c r="A611" s="19" t="s">
        <v>858</v>
      </c>
      <c r="B611" s="42" t="s">
        <v>3</v>
      </c>
      <c r="C611" s="3">
        <v>24</v>
      </c>
      <c r="D611" s="3">
        <v>1</v>
      </c>
      <c r="G611" s="43">
        <v>43979</v>
      </c>
    </row>
    <row r="612" spans="1:7" x14ac:dyDescent="0.25">
      <c r="A612" s="19" t="s">
        <v>859</v>
      </c>
      <c r="B612" s="42" t="s">
        <v>3</v>
      </c>
      <c r="C612" s="3">
        <v>19</v>
      </c>
      <c r="D612" s="3">
        <v>1</v>
      </c>
      <c r="G612" s="43">
        <v>43979</v>
      </c>
    </row>
    <row r="613" spans="1:7" x14ac:dyDescent="0.25">
      <c r="A613" s="19" t="s">
        <v>860</v>
      </c>
      <c r="B613" s="42" t="s">
        <v>3</v>
      </c>
      <c r="C613" s="3">
        <v>19</v>
      </c>
      <c r="D613" s="3">
        <v>1</v>
      </c>
      <c r="G613" s="43">
        <v>43979</v>
      </c>
    </row>
    <row r="614" spans="1:7" x14ac:dyDescent="0.25">
      <c r="A614" s="19" t="s">
        <v>861</v>
      </c>
      <c r="B614" s="42" t="s">
        <v>3</v>
      </c>
      <c r="C614" s="3">
        <v>18</v>
      </c>
      <c r="D614" s="3">
        <v>1</v>
      </c>
      <c r="G614" s="43">
        <v>43979</v>
      </c>
    </row>
    <row r="615" spans="1:7" x14ac:dyDescent="0.25">
      <c r="A615" s="19" t="s">
        <v>862</v>
      </c>
      <c r="B615" s="42" t="s">
        <v>3</v>
      </c>
      <c r="C615" s="3">
        <v>19</v>
      </c>
      <c r="D615" s="3">
        <v>1</v>
      </c>
      <c r="G615" s="43">
        <v>43979</v>
      </c>
    </row>
    <row r="616" spans="1:7" x14ac:dyDescent="0.25">
      <c r="A616" s="19" t="s">
        <v>863</v>
      </c>
      <c r="B616" s="42" t="s">
        <v>120</v>
      </c>
      <c r="C616" s="3">
        <v>19</v>
      </c>
      <c r="D616" s="3">
        <v>1</v>
      </c>
      <c r="E616" s="42" t="s">
        <v>160</v>
      </c>
      <c r="F616" s="42" t="s">
        <v>160</v>
      </c>
      <c r="G616" s="43">
        <v>43979</v>
      </c>
    </row>
    <row r="617" spans="1:7" x14ac:dyDescent="0.25">
      <c r="A617" s="19" t="s">
        <v>864</v>
      </c>
      <c r="B617" s="42" t="s">
        <v>120</v>
      </c>
      <c r="C617" s="3">
        <v>18</v>
      </c>
      <c r="D617" s="3">
        <v>1</v>
      </c>
      <c r="E617" s="42" t="s">
        <v>160</v>
      </c>
      <c r="F617" s="42" t="s">
        <v>160</v>
      </c>
      <c r="G617" s="43">
        <v>43979</v>
      </c>
    </row>
    <row r="618" spans="1:7" x14ac:dyDescent="0.25">
      <c r="A618" s="19" t="s">
        <v>865</v>
      </c>
      <c r="B618" s="42" t="s">
        <v>120</v>
      </c>
      <c r="C618" s="3">
        <v>27</v>
      </c>
      <c r="D618" s="3">
        <v>1</v>
      </c>
      <c r="E618" s="42" t="s">
        <v>160</v>
      </c>
      <c r="F618" s="42" t="s">
        <v>160</v>
      </c>
      <c r="G618" s="43">
        <v>43979</v>
      </c>
    </row>
    <row r="619" spans="1:7" x14ac:dyDescent="0.25">
      <c r="A619" s="19" t="s">
        <v>866</v>
      </c>
      <c r="B619" s="42" t="s">
        <v>120</v>
      </c>
      <c r="C619" s="3">
        <v>18</v>
      </c>
      <c r="D619" s="3">
        <v>1</v>
      </c>
      <c r="E619" s="42" t="s">
        <v>160</v>
      </c>
      <c r="F619" s="42" t="s">
        <v>160</v>
      </c>
      <c r="G619" s="43">
        <v>43979</v>
      </c>
    </row>
    <row r="620" spans="1:7" x14ac:dyDescent="0.25">
      <c r="A620" s="19" t="s">
        <v>867</v>
      </c>
      <c r="B620" s="42" t="s">
        <v>120</v>
      </c>
      <c r="C620" s="3">
        <v>21</v>
      </c>
      <c r="D620" s="3">
        <v>1</v>
      </c>
      <c r="E620" s="42" t="s">
        <v>160</v>
      </c>
      <c r="F620" s="42" t="s">
        <v>160</v>
      </c>
      <c r="G620" s="43">
        <v>43979</v>
      </c>
    </row>
    <row r="621" spans="1:7" x14ac:dyDescent="0.25">
      <c r="A621" s="19" t="s">
        <v>868</v>
      </c>
      <c r="B621" s="42" t="s">
        <v>120</v>
      </c>
      <c r="C621" s="3">
        <v>19</v>
      </c>
      <c r="D621" s="3">
        <v>1</v>
      </c>
      <c r="E621" s="42" t="s">
        <v>160</v>
      </c>
      <c r="F621" s="42" t="s">
        <v>160</v>
      </c>
      <c r="G621" s="43">
        <v>43979</v>
      </c>
    </row>
    <row r="622" spans="1:7" x14ac:dyDescent="0.25">
      <c r="A622" s="19" t="s">
        <v>869</v>
      </c>
      <c r="B622" s="42" t="s">
        <v>3</v>
      </c>
      <c r="C622" s="3">
        <v>18</v>
      </c>
      <c r="D622" s="3">
        <v>1</v>
      </c>
      <c r="G622" s="43">
        <v>43979</v>
      </c>
    </row>
    <row r="623" spans="1:7" x14ac:dyDescent="0.25">
      <c r="A623" s="19" t="s">
        <v>870</v>
      </c>
      <c r="B623" s="42" t="s">
        <v>120</v>
      </c>
      <c r="C623" s="3">
        <v>19</v>
      </c>
      <c r="D623" s="3">
        <v>1</v>
      </c>
      <c r="G623" s="43">
        <v>43979</v>
      </c>
    </row>
    <row r="624" spans="1:7" x14ac:dyDescent="0.25">
      <c r="A624" s="19" t="s">
        <v>871</v>
      </c>
      <c r="B624" s="42" t="s">
        <v>3</v>
      </c>
      <c r="C624" s="3">
        <v>19</v>
      </c>
      <c r="D624" s="3">
        <v>1</v>
      </c>
      <c r="G624" s="43">
        <v>43979</v>
      </c>
    </row>
    <row r="625" spans="1:7" x14ac:dyDescent="0.25">
      <c r="A625" s="19" t="s">
        <v>872</v>
      </c>
      <c r="B625" s="42" t="s">
        <v>120</v>
      </c>
      <c r="C625" s="3">
        <v>19</v>
      </c>
      <c r="D625" s="3">
        <v>1</v>
      </c>
      <c r="E625" s="42" t="s">
        <v>160</v>
      </c>
      <c r="F625" s="42" t="s">
        <v>160</v>
      </c>
      <c r="G625" s="43">
        <v>43979</v>
      </c>
    </row>
    <row r="626" spans="1:7" x14ac:dyDescent="0.25">
      <c r="A626" s="19" t="s">
        <v>873</v>
      </c>
      <c r="B626" s="42" t="s">
        <v>120</v>
      </c>
      <c r="C626" s="3">
        <v>19</v>
      </c>
      <c r="D626" s="3">
        <v>1</v>
      </c>
      <c r="E626" s="42" t="s">
        <v>160</v>
      </c>
      <c r="F626" s="42" t="s">
        <v>160</v>
      </c>
      <c r="G626" s="43">
        <v>43979</v>
      </c>
    </row>
    <row r="627" spans="1:7" x14ac:dyDescent="0.25">
      <c r="A627" s="19" t="s">
        <v>874</v>
      </c>
      <c r="B627" s="42" t="s">
        <v>120</v>
      </c>
      <c r="C627" s="3">
        <v>18</v>
      </c>
      <c r="D627" s="3">
        <v>1</v>
      </c>
      <c r="E627" s="42" t="s">
        <v>160</v>
      </c>
      <c r="F627" s="42" t="s">
        <v>160</v>
      </c>
      <c r="G627" s="43">
        <v>43979</v>
      </c>
    </row>
    <row r="628" spans="1:7" x14ac:dyDescent="0.25">
      <c r="A628" s="19" t="s">
        <v>875</v>
      </c>
      <c r="B628" s="42" t="s">
        <v>120</v>
      </c>
      <c r="C628" s="3">
        <v>18</v>
      </c>
      <c r="D628" s="3">
        <v>1</v>
      </c>
      <c r="E628" s="42" t="s">
        <v>160</v>
      </c>
      <c r="F628" s="42" t="s">
        <v>160</v>
      </c>
      <c r="G628" s="43">
        <v>43979</v>
      </c>
    </row>
    <row r="629" spans="1:7" x14ac:dyDescent="0.25">
      <c r="A629" s="19" t="s">
        <v>876</v>
      </c>
      <c r="B629" s="42" t="s">
        <v>120</v>
      </c>
      <c r="C629" s="3">
        <v>18</v>
      </c>
      <c r="D629" s="3">
        <v>1</v>
      </c>
      <c r="E629" s="42" t="s">
        <v>160</v>
      </c>
      <c r="G629" s="43">
        <v>43979</v>
      </c>
    </row>
    <row r="630" spans="1:7" x14ac:dyDescent="0.25">
      <c r="A630" s="19" t="s">
        <v>877</v>
      </c>
      <c r="B630" s="42" t="s">
        <v>120</v>
      </c>
      <c r="C630" s="3">
        <v>18</v>
      </c>
      <c r="D630" s="3">
        <v>1</v>
      </c>
      <c r="E630" s="42" t="s">
        <v>160</v>
      </c>
      <c r="F630" s="42" t="s">
        <v>160</v>
      </c>
      <c r="G630" s="43">
        <v>43979</v>
      </c>
    </row>
    <row r="631" spans="1:7" x14ac:dyDescent="0.25">
      <c r="A631" s="19" t="s">
        <v>878</v>
      </c>
      <c r="B631" s="42" t="s">
        <v>3</v>
      </c>
      <c r="C631" s="3">
        <v>20</v>
      </c>
      <c r="D631" s="3">
        <v>1</v>
      </c>
      <c r="E631" s="42" t="s">
        <v>160</v>
      </c>
      <c r="F631" s="42" t="s">
        <v>160</v>
      </c>
      <c r="G631" s="43">
        <v>43979</v>
      </c>
    </row>
    <row r="632" spans="1:7" x14ac:dyDescent="0.25">
      <c r="A632" s="19" t="s">
        <v>879</v>
      </c>
      <c r="B632" s="42" t="s">
        <v>120</v>
      </c>
      <c r="C632" s="3">
        <v>19</v>
      </c>
      <c r="D632" s="3">
        <v>1</v>
      </c>
      <c r="E632" s="42" t="s">
        <v>160</v>
      </c>
      <c r="G632" s="43">
        <v>43979</v>
      </c>
    </row>
    <row r="633" spans="1:7" x14ac:dyDescent="0.25">
      <c r="A633" s="19" t="s">
        <v>880</v>
      </c>
      <c r="B633" s="42" t="s">
        <v>120</v>
      </c>
      <c r="C633" s="3">
        <v>20</v>
      </c>
      <c r="D633" s="3">
        <v>1</v>
      </c>
      <c r="E633" s="42" t="s">
        <v>160</v>
      </c>
      <c r="F633" s="42" t="s">
        <v>160</v>
      </c>
      <c r="G633" s="43">
        <v>43979</v>
      </c>
    </row>
    <row r="634" spans="1:7" x14ac:dyDescent="0.25">
      <c r="A634" s="19" t="s">
        <v>881</v>
      </c>
      <c r="B634" s="42" t="s">
        <v>120</v>
      </c>
      <c r="C634" s="3">
        <v>19</v>
      </c>
      <c r="D634" s="3">
        <v>1</v>
      </c>
      <c r="E634" s="42" t="s">
        <v>160</v>
      </c>
      <c r="F634" s="42" t="s">
        <v>160</v>
      </c>
      <c r="G634" s="43">
        <v>43979</v>
      </c>
    </row>
    <row r="635" spans="1:7" x14ac:dyDescent="0.25">
      <c r="A635" s="19" t="s">
        <v>882</v>
      </c>
      <c r="B635" s="42" t="s">
        <v>120</v>
      </c>
      <c r="C635" s="3">
        <v>18</v>
      </c>
      <c r="D635" s="3">
        <v>1</v>
      </c>
      <c r="E635" s="42" t="s">
        <v>160</v>
      </c>
      <c r="F635" s="42" t="s">
        <v>160</v>
      </c>
      <c r="G635" s="43">
        <v>43979</v>
      </c>
    </row>
    <row r="636" spans="1:7" x14ac:dyDescent="0.25">
      <c r="A636" s="19" t="s">
        <v>883</v>
      </c>
      <c r="B636" s="42" t="s">
        <v>120</v>
      </c>
      <c r="C636" s="3">
        <v>18</v>
      </c>
      <c r="D636" s="3">
        <v>1</v>
      </c>
      <c r="E636" s="42" t="s">
        <v>160</v>
      </c>
      <c r="F636" s="42" t="s">
        <v>160</v>
      </c>
      <c r="G636" s="43">
        <v>43979</v>
      </c>
    </row>
    <row r="637" spans="1:7" x14ac:dyDescent="0.25">
      <c r="A637" s="19" t="s">
        <v>884</v>
      </c>
      <c r="B637" s="42" t="s">
        <v>120</v>
      </c>
      <c r="C637" s="3">
        <v>19</v>
      </c>
      <c r="D637" s="3">
        <v>1</v>
      </c>
      <c r="E637" s="42" t="s">
        <v>160</v>
      </c>
      <c r="F637" s="42" t="s">
        <v>160</v>
      </c>
      <c r="G637" s="43">
        <v>43979</v>
      </c>
    </row>
    <row r="638" spans="1:7" x14ac:dyDescent="0.25">
      <c r="A638" s="19" t="s">
        <v>885</v>
      </c>
      <c r="B638" s="42" t="s">
        <v>120</v>
      </c>
      <c r="C638" s="3">
        <v>19</v>
      </c>
      <c r="D638" s="3">
        <v>1</v>
      </c>
      <c r="E638" s="42" t="s">
        <v>160</v>
      </c>
      <c r="F638" s="42" t="s">
        <v>160</v>
      </c>
      <c r="G638" s="43">
        <v>43979</v>
      </c>
    </row>
    <row r="639" spans="1:7" x14ac:dyDescent="0.25">
      <c r="A639" s="28" t="s">
        <v>886</v>
      </c>
      <c r="B639" s="42" t="s">
        <v>120</v>
      </c>
      <c r="C639" s="3">
        <v>18</v>
      </c>
      <c r="D639" s="3">
        <v>1</v>
      </c>
      <c r="E639" s="42" t="s">
        <v>160</v>
      </c>
      <c r="F639" s="42" t="s">
        <v>160</v>
      </c>
      <c r="G639" s="43">
        <v>43979</v>
      </c>
    </row>
    <row r="640" spans="1:7" x14ac:dyDescent="0.25">
      <c r="A640" s="28" t="s">
        <v>887</v>
      </c>
      <c r="B640" s="42" t="s">
        <v>120</v>
      </c>
      <c r="C640" s="3">
        <v>22</v>
      </c>
      <c r="D640" s="3">
        <v>1</v>
      </c>
      <c r="E640" s="42" t="s">
        <v>160</v>
      </c>
      <c r="F640" s="42" t="s">
        <v>160</v>
      </c>
      <c r="G640" s="43">
        <v>43979</v>
      </c>
    </row>
    <row r="641" spans="1:7" x14ac:dyDescent="0.25">
      <c r="A641" s="28" t="s">
        <v>888</v>
      </c>
      <c r="B641" s="42" t="s">
        <v>120</v>
      </c>
      <c r="C641" s="3">
        <v>22</v>
      </c>
      <c r="D641" s="3">
        <v>1</v>
      </c>
      <c r="E641" s="42" t="s">
        <v>160</v>
      </c>
      <c r="F641" s="42" t="s">
        <v>160</v>
      </c>
      <c r="G641" s="43">
        <v>43979</v>
      </c>
    </row>
    <row r="642" spans="1:7" x14ac:dyDescent="0.25">
      <c r="A642" s="28" t="s">
        <v>889</v>
      </c>
      <c r="B642" s="42" t="s">
        <v>3</v>
      </c>
      <c r="C642" s="3">
        <v>19</v>
      </c>
      <c r="D642" s="3">
        <v>1</v>
      </c>
      <c r="G642" s="43">
        <v>43979</v>
      </c>
    </row>
    <row r="643" spans="1:7" x14ac:dyDescent="0.25">
      <c r="A643" s="28" t="s">
        <v>890</v>
      </c>
      <c r="B643" s="42" t="s">
        <v>3</v>
      </c>
      <c r="C643" s="3">
        <v>21</v>
      </c>
      <c r="D643" s="3">
        <v>1</v>
      </c>
      <c r="E643" s="42" t="s">
        <v>160</v>
      </c>
      <c r="G643" s="43">
        <v>43979</v>
      </c>
    </row>
    <row r="644" spans="1:7" x14ac:dyDescent="0.25">
      <c r="A644" s="28" t="s">
        <v>891</v>
      </c>
      <c r="B644" s="42" t="s">
        <v>3</v>
      </c>
      <c r="C644" s="3">
        <v>20</v>
      </c>
      <c r="D644" s="3">
        <v>1</v>
      </c>
      <c r="G644" s="43">
        <v>43979</v>
      </c>
    </row>
    <row r="645" spans="1:7" x14ac:dyDescent="0.25">
      <c r="A645" s="28" t="s">
        <v>892</v>
      </c>
      <c r="B645" s="42" t="s">
        <v>120</v>
      </c>
      <c r="C645" s="3">
        <v>20</v>
      </c>
      <c r="D645" s="3">
        <v>1</v>
      </c>
      <c r="E645" s="42" t="s">
        <v>160</v>
      </c>
      <c r="F645" s="42" t="s">
        <v>160</v>
      </c>
      <c r="G645" s="43">
        <v>43979</v>
      </c>
    </row>
    <row r="646" spans="1:7" x14ac:dyDescent="0.25">
      <c r="A646" s="28" t="s">
        <v>893</v>
      </c>
      <c r="B646" s="42" t="s">
        <v>3</v>
      </c>
      <c r="C646" s="3">
        <v>31</v>
      </c>
      <c r="D646" s="3">
        <v>1</v>
      </c>
      <c r="G646" s="43">
        <v>43979</v>
      </c>
    </row>
    <row r="647" spans="1:7" x14ac:dyDescent="0.25">
      <c r="A647" s="28" t="s">
        <v>894</v>
      </c>
      <c r="B647" s="42" t="s">
        <v>120</v>
      </c>
      <c r="C647" s="3">
        <v>19</v>
      </c>
      <c r="D647" s="3">
        <v>1</v>
      </c>
      <c r="E647" s="42" t="s">
        <v>160</v>
      </c>
      <c r="F647" s="42" t="s">
        <v>160</v>
      </c>
      <c r="G647" s="43">
        <v>43979</v>
      </c>
    </row>
    <row r="648" spans="1:7" x14ac:dyDescent="0.25">
      <c r="A648" s="28" t="s">
        <v>895</v>
      </c>
      <c r="B648" s="42" t="s">
        <v>3</v>
      </c>
      <c r="C648" s="3">
        <v>20</v>
      </c>
      <c r="D648" s="3">
        <v>1</v>
      </c>
      <c r="G648" s="43">
        <v>43979</v>
      </c>
    </row>
    <row r="649" spans="1:7" x14ac:dyDescent="0.25">
      <c r="A649" s="28" t="s">
        <v>896</v>
      </c>
      <c r="B649" s="42" t="s">
        <v>3</v>
      </c>
      <c r="C649" s="3">
        <v>18</v>
      </c>
      <c r="D649" s="3">
        <v>1</v>
      </c>
      <c r="G649" s="43">
        <v>43979</v>
      </c>
    </row>
    <row r="650" spans="1:7" x14ac:dyDescent="0.25">
      <c r="A650" s="28" t="s">
        <v>897</v>
      </c>
      <c r="B650" s="42" t="s">
        <v>3</v>
      </c>
      <c r="C650" s="3">
        <v>21</v>
      </c>
      <c r="D650" s="3">
        <v>1</v>
      </c>
      <c r="E650" s="42" t="s">
        <v>160</v>
      </c>
      <c r="G650" s="43">
        <v>43979</v>
      </c>
    </row>
    <row r="651" spans="1:7" x14ac:dyDescent="0.25">
      <c r="A651" s="28" t="s">
        <v>898</v>
      </c>
      <c r="B651" s="42" t="s">
        <v>3</v>
      </c>
      <c r="C651" s="3">
        <v>21</v>
      </c>
      <c r="D651" s="3">
        <v>1</v>
      </c>
      <c r="G651" s="43">
        <v>43979</v>
      </c>
    </row>
    <row r="652" spans="1:7" x14ac:dyDescent="0.25">
      <c r="A652" s="28" t="s">
        <v>899</v>
      </c>
      <c r="B652" s="42" t="s">
        <v>120</v>
      </c>
      <c r="C652" s="3">
        <v>19</v>
      </c>
      <c r="D652" s="3">
        <v>1</v>
      </c>
      <c r="E652" s="42" t="s">
        <v>160</v>
      </c>
      <c r="G652" s="43">
        <v>43979</v>
      </c>
    </row>
    <row r="653" spans="1:7" x14ac:dyDescent="0.25">
      <c r="A653" s="28" t="s">
        <v>900</v>
      </c>
      <c r="B653" s="42" t="s">
        <v>3</v>
      </c>
      <c r="C653" s="3">
        <v>19</v>
      </c>
      <c r="D653" s="3">
        <v>1</v>
      </c>
      <c r="G653" s="43">
        <v>43979</v>
      </c>
    </row>
    <row r="654" spans="1:7" x14ac:dyDescent="0.25">
      <c r="A654" s="28" t="s">
        <v>901</v>
      </c>
      <c r="B654" s="42" t="s">
        <v>3</v>
      </c>
      <c r="C654" s="3">
        <v>20</v>
      </c>
      <c r="D654" s="3">
        <v>1</v>
      </c>
      <c r="E654" s="42" t="s">
        <v>160</v>
      </c>
      <c r="G654" s="43">
        <v>43979</v>
      </c>
    </row>
    <row r="655" spans="1:7" x14ac:dyDescent="0.25">
      <c r="A655" s="28" t="s">
        <v>902</v>
      </c>
      <c r="B655" s="42" t="s">
        <v>3</v>
      </c>
      <c r="C655" s="3">
        <v>21</v>
      </c>
      <c r="D655" s="3">
        <v>1</v>
      </c>
      <c r="E655" s="42" t="s">
        <v>160</v>
      </c>
      <c r="G655" s="43">
        <v>43979</v>
      </c>
    </row>
    <row r="656" spans="1:7" x14ac:dyDescent="0.25">
      <c r="A656" s="28" t="s">
        <v>903</v>
      </c>
      <c r="B656" s="42" t="s">
        <v>3</v>
      </c>
      <c r="C656" s="3">
        <v>18</v>
      </c>
      <c r="D656" s="3">
        <v>1</v>
      </c>
      <c r="G656" s="43">
        <v>43979</v>
      </c>
    </row>
    <row r="657" spans="1:7" x14ac:dyDescent="0.25">
      <c r="A657" s="28" t="s">
        <v>904</v>
      </c>
      <c r="B657" s="42" t="s">
        <v>3</v>
      </c>
      <c r="C657" s="3">
        <v>20</v>
      </c>
      <c r="D657" s="3">
        <v>1</v>
      </c>
      <c r="G657" s="43">
        <v>43979</v>
      </c>
    </row>
    <row r="658" spans="1:7" x14ac:dyDescent="0.25">
      <c r="A658" s="28" t="s">
        <v>905</v>
      </c>
      <c r="B658" s="42" t="s">
        <v>120</v>
      </c>
      <c r="C658" s="3">
        <v>18</v>
      </c>
      <c r="D658" s="3">
        <v>1</v>
      </c>
      <c r="E658" s="42" t="s">
        <v>160</v>
      </c>
      <c r="G658" s="43">
        <v>43979</v>
      </c>
    </row>
    <row r="659" spans="1:7" x14ac:dyDescent="0.25">
      <c r="A659" s="28" t="s">
        <v>906</v>
      </c>
      <c r="B659" s="42" t="s">
        <v>3</v>
      </c>
      <c r="C659" s="3">
        <v>18</v>
      </c>
      <c r="D659" s="3">
        <v>1</v>
      </c>
      <c r="G659" s="43">
        <v>43979</v>
      </c>
    </row>
    <row r="660" spans="1:7" x14ac:dyDescent="0.25">
      <c r="A660" s="28" t="s">
        <v>907</v>
      </c>
      <c r="B660" s="42" t="s">
        <v>120</v>
      </c>
      <c r="C660" s="3">
        <v>19</v>
      </c>
      <c r="D660" s="3">
        <v>1</v>
      </c>
      <c r="E660" s="42" t="s">
        <v>160</v>
      </c>
      <c r="F660" s="42" t="s">
        <v>160</v>
      </c>
      <c r="G660" s="43">
        <v>43979</v>
      </c>
    </row>
    <row r="661" spans="1:7" x14ac:dyDescent="0.25">
      <c r="A661" s="28" t="s">
        <v>908</v>
      </c>
      <c r="B661" s="42" t="s">
        <v>120</v>
      </c>
      <c r="C661" s="3">
        <v>19</v>
      </c>
      <c r="D661" s="3">
        <v>1</v>
      </c>
      <c r="E661" s="42" t="s">
        <v>160</v>
      </c>
      <c r="F661" s="42" t="s">
        <v>160</v>
      </c>
      <c r="G661" s="43">
        <v>43979</v>
      </c>
    </row>
    <row r="662" spans="1:7" x14ac:dyDescent="0.25">
      <c r="A662" s="28" t="s">
        <v>909</v>
      </c>
      <c r="B662" s="42" t="s">
        <v>3</v>
      </c>
      <c r="C662" s="3">
        <v>18</v>
      </c>
      <c r="D662" s="3">
        <v>1</v>
      </c>
      <c r="G662" s="43">
        <v>43979</v>
      </c>
    </row>
    <row r="663" spans="1:7" x14ac:dyDescent="0.25">
      <c r="A663" s="28" t="s">
        <v>910</v>
      </c>
      <c r="B663" s="42" t="s">
        <v>3</v>
      </c>
      <c r="C663" s="3">
        <v>18</v>
      </c>
      <c r="D663" s="3">
        <v>1</v>
      </c>
      <c r="G663" s="43">
        <v>43979</v>
      </c>
    </row>
    <row r="664" spans="1:7" x14ac:dyDescent="0.25">
      <c r="A664" s="28" t="s">
        <v>911</v>
      </c>
      <c r="B664" s="42" t="s">
        <v>120</v>
      </c>
      <c r="C664" s="3">
        <v>18</v>
      </c>
      <c r="D664" s="3">
        <v>1</v>
      </c>
      <c r="E664" s="42" t="s">
        <v>160</v>
      </c>
      <c r="G664" s="43">
        <v>43979</v>
      </c>
    </row>
    <row r="665" spans="1:7" x14ac:dyDescent="0.25">
      <c r="A665" s="28" t="s">
        <v>912</v>
      </c>
      <c r="B665" s="42" t="s">
        <v>3</v>
      </c>
      <c r="C665" s="3">
        <v>20</v>
      </c>
      <c r="D665" s="3">
        <v>1</v>
      </c>
      <c r="G665" s="43">
        <v>43979</v>
      </c>
    </row>
    <row r="666" spans="1:7" x14ac:dyDescent="0.25">
      <c r="A666" s="28" t="s">
        <v>913</v>
      </c>
      <c r="B666" s="42" t="s">
        <v>3</v>
      </c>
      <c r="C666" s="3">
        <v>20</v>
      </c>
      <c r="D666" s="3">
        <v>1</v>
      </c>
      <c r="G666" s="43">
        <v>43979</v>
      </c>
    </row>
    <row r="667" spans="1:7" x14ac:dyDescent="0.25">
      <c r="A667" s="28" t="s">
        <v>914</v>
      </c>
      <c r="B667" s="42" t="s">
        <v>120</v>
      </c>
      <c r="C667" s="3">
        <v>19</v>
      </c>
      <c r="D667" s="3">
        <v>1</v>
      </c>
      <c r="E667" s="42" t="s">
        <v>160</v>
      </c>
      <c r="F667" s="42" t="s">
        <v>160</v>
      </c>
      <c r="G667" s="43">
        <v>43979</v>
      </c>
    </row>
    <row r="668" spans="1:7" x14ac:dyDescent="0.25">
      <c r="A668" s="28" t="s">
        <v>915</v>
      </c>
      <c r="B668" s="42" t="s">
        <v>120</v>
      </c>
      <c r="C668" s="3">
        <v>20</v>
      </c>
      <c r="D668" s="3">
        <v>1</v>
      </c>
      <c r="E668" s="42" t="s">
        <v>160</v>
      </c>
      <c r="F668" s="42" t="s">
        <v>160</v>
      </c>
      <c r="G668" s="43">
        <v>43979</v>
      </c>
    </row>
    <row r="669" spans="1:7" x14ac:dyDescent="0.25">
      <c r="A669" s="28" t="s">
        <v>916</v>
      </c>
      <c r="B669" s="42" t="s">
        <v>120</v>
      </c>
      <c r="C669" s="3">
        <v>19</v>
      </c>
      <c r="D669" s="3">
        <v>1</v>
      </c>
      <c r="E669" s="42" t="s">
        <v>160</v>
      </c>
      <c r="F669" s="42" t="s">
        <v>160</v>
      </c>
      <c r="G669" s="43">
        <v>43979</v>
      </c>
    </row>
    <row r="670" spans="1:7" x14ac:dyDescent="0.25">
      <c r="A670" s="19" t="s">
        <v>917</v>
      </c>
      <c r="B670" s="42" t="s">
        <v>120</v>
      </c>
      <c r="C670" s="3">
        <v>20</v>
      </c>
      <c r="D670" s="3">
        <v>1</v>
      </c>
      <c r="E670" s="42" t="s">
        <v>160</v>
      </c>
      <c r="F670" s="42" t="s">
        <v>160</v>
      </c>
      <c r="G670" s="43">
        <v>43979</v>
      </c>
    </row>
    <row r="671" spans="1:7" x14ac:dyDescent="0.25">
      <c r="A671" s="19" t="s">
        <v>918</v>
      </c>
      <c r="B671" s="42" t="s">
        <v>120</v>
      </c>
      <c r="C671" s="3">
        <v>19</v>
      </c>
      <c r="D671" s="3">
        <v>1</v>
      </c>
      <c r="E671" s="42" t="s">
        <v>160</v>
      </c>
      <c r="F671" s="42" t="s">
        <v>160</v>
      </c>
      <c r="G671" s="43">
        <v>43979</v>
      </c>
    </row>
    <row r="672" spans="1:7" x14ac:dyDescent="0.25">
      <c r="A672" s="19" t="s">
        <v>919</v>
      </c>
      <c r="B672" s="42" t="s">
        <v>3</v>
      </c>
      <c r="C672" s="3">
        <v>22</v>
      </c>
      <c r="D672" s="3">
        <v>1</v>
      </c>
      <c r="G672" s="43">
        <v>43979</v>
      </c>
    </row>
    <row r="673" spans="1:7" x14ac:dyDescent="0.25">
      <c r="A673" s="19" t="s">
        <v>920</v>
      </c>
      <c r="B673" s="42" t="s">
        <v>3</v>
      </c>
      <c r="C673" s="3">
        <v>19</v>
      </c>
      <c r="D673" s="3">
        <v>1</v>
      </c>
      <c r="E673" s="42" t="s">
        <v>160</v>
      </c>
      <c r="G673" s="43">
        <v>43979</v>
      </c>
    </row>
    <row r="674" spans="1:7" x14ac:dyDescent="0.25">
      <c r="A674" s="19" t="s">
        <v>921</v>
      </c>
      <c r="B674" s="42" t="s">
        <v>3</v>
      </c>
      <c r="C674" s="3">
        <v>18</v>
      </c>
      <c r="D674" s="3">
        <v>1</v>
      </c>
      <c r="G674" s="43">
        <v>43979</v>
      </c>
    </row>
    <row r="675" spans="1:7" x14ac:dyDescent="0.25">
      <c r="A675" s="19" t="s">
        <v>922</v>
      </c>
      <c r="B675" s="42" t="s">
        <v>3</v>
      </c>
      <c r="C675" s="3">
        <v>20</v>
      </c>
      <c r="D675" s="3">
        <v>1</v>
      </c>
      <c r="G675" s="43">
        <v>43979</v>
      </c>
    </row>
    <row r="676" spans="1:7" x14ac:dyDescent="0.25">
      <c r="A676" s="19" t="s">
        <v>923</v>
      </c>
      <c r="B676" s="42" t="s">
        <v>120</v>
      </c>
      <c r="C676" s="3">
        <v>18</v>
      </c>
      <c r="D676" s="3">
        <v>1</v>
      </c>
      <c r="E676" s="42" t="s">
        <v>160</v>
      </c>
      <c r="F676" s="42" t="s">
        <v>160</v>
      </c>
      <c r="G676" s="43">
        <v>43979</v>
      </c>
    </row>
    <row r="677" spans="1:7" x14ac:dyDescent="0.25">
      <c r="A677" s="19" t="s">
        <v>924</v>
      </c>
      <c r="B677" s="42" t="s">
        <v>3</v>
      </c>
      <c r="C677" s="3">
        <v>20</v>
      </c>
      <c r="D677" s="3">
        <v>1</v>
      </c>
      <c r="G677" s="43">
        <v>43979</v>
      </c>
    </row>
    <row r="678" spans="1:7" x14ac:dyDescent="0.25">
      <c r="A678" s="19" t="s">
        <v>925</v>
      </c>
      <c r="B678" s="42" t="s">
        <v>120</v>
      </c>
      <c r="C678" s="3">
        <v>20</v>
      </c>
      <c r="D678" s="3">
        <v>1</v>
      </c>
      <c r="E678" s="42" t="s">
        <v>160</v>
      </c>
      <c r="F678" s="42" t="s">
        <v>160</v>
      </c>
      <c r="G678" s="43">
        <v>43979</v>
      </c>
    </row>
    <row r="679" spans="1:7" x14ac:dyDescent="0.25">
      <c r="A679" s="19" t="s">
        <v>926</v>
      </c>
      <c r="B679" s="42" t="s">
        <v>120</v>
      </c>
      <c r="C679" s="3">
        <v>18</v>
      </c>
      <c r="D679" s="3">
        <v>1</v>
      </c>
      <c r="E679" s="42" t="s">
        <v>160</v>
      </c>
      <c r="F679" s="42" t="s">
        <v>160</v>
      </c>
      <c r="G679" s="43">
        <v>43979</v>
      </c>
    </row>
    <row r="680" spans="1:7" x14ac:dyDescent="0.25">
      <c r="A680" s="19" t="s">
        <v>927</v>
      </c>
      <c r="B680" s="42" t="s">
        <v>120</v>
      </c>
      <c r="C680" s="3">
        <v>18</v>
      </c>
      <c r="D680" s="3">
        <v>1</v>
      </c>
      <c r="E680" s="42" t="s">
        <v>160</v>
      </c>
      <c r="F680" s="42" t="s">
        <v>160</v>
      </c>
      <c r="G680" s="43">
        <v>43979</v>
      </c>
    </row>
    <row r="681" spans="1:7" x14ac:dyDescent="0.25">
      <c r="A681" s="19" t="s">
        <v>928</v>
      </c>
      <c r="B681" s="42" t="s">
        <v>120</v>
      </c>
      <c r="C681" s="3">
        <v>21</v>
      </c>
      <c r="D681" s="3">
        <v>1</v>
      </c>
      <c r="E681" s="42" t="s">
        <v>160</v>
      </c>
      <c r="G681" s="43">
        <v>43979</v>
      </c>
    </row>
    <row r="682" spans="1:7" x14ac:dyDescent="0.25">
      <c r="A682" s="19" t="s">
        <v>929</v>
      </c>
      <c r="B682" s="42" t="s">
        <v>3</v>
      </c>
      <c r="C682" s="3">
        <v>19</v>
      </c>
      <c r="D682" s="3">
        <v>1</v>
      </c>
      <c r="G682" s="43">
        <v>43979</v>
      </c>
    </row>
    <row r="683" spans="1:7" x14ac:dyDescent="0.25">
      <c r="A683" s="19" t="s">
        <v>930</v>
      </c>
      <c r="B683" s="42" t="s">
        <v>120</v>
      </c>
      <c r="C683" s="3">
        <v>21</v>
      </c>
      <c r="D683" s="3">
        <v>1</v>
      </c>
      <c r="G683" s="43">
        <v>43979</v>
      </c>
    </row>
    <row r="684" spans="1:7" x14ac:dyDescent="0.25">
      <c r="A684" s="28" t="s">
        <v>931</v>
      </c>
      <c r="B684" s="42" t="s">
        <v>120</v>
      </c>
      <c r="C684" s="3">
        <v>19</v>
      </c>
      <c r="D684" s="3">
        <v>1</v>
      </c>
      <c r="E684" s="42" t="s">
        <v>160</v>
      </c>
      <c r="F684" s="42" t="s">
        <v>160</v>
      </c>
      <c r="G684" s="43">
        <v>43979</v>
      </c>
    </row>
    <row r="685" spans="1:7" x14ac:dyDescent="0.25">
      <c r="A685" s="28" t="s">
        <v>932</v>
      </c>
      <c r="B685" s="42" t="s">
        <v>3</v>
      </c>
      <c r="C685" s="3">
        <v>21</v>
      </c>
      <c r="D685" s="3">
        <v>1</v>
      </c>
      <c r="G685" s="43">
        <v>43979</v>
      </c>
    </row>
    <row r="686" spans="1:7" x14ac:dyDescent="0.25">
      <c r="A686" s="28" t="s">
        <v>933</v>
      </c>
      <c r="B686" s="42" t="s">
        <v>120</v>
      </c>
      <c r="C686" s="3">
        <v>19</v>
      </c>
      <c r="D686" s="3">
        <v>1</v>
      </c>
      <c r="E686" s="42" t="s">
        <v>160</v>
      </c>
      <c r="F686" s="42" t="s">
        <v>160</v>
      </c>
      <c r="G686" s="43">
        <v>43979</v>
      </c>
    </row>
    <row r="687" spans="1:7" x14ac:dyDescent="0.25">
      <c r="A687" s="28" t="s">
        <v>934</v>
      </c>
      <c r="B687" s="42" t="s">
        <v>3</v>
      </c>
      <c r="C687" s="3">
        <v>20</v>
      </c>
      <c r="D687" s="3">
        <v>1</v>
      </c>
      <c r="G687" s="43">
        <v>43979</v>
      </c>
    </row>
    <row r="688" spans="1:7" x14ac:dyDescent="0.25">
      <c r="A688" s="28" t="s">
        <v>935</v>
      </c>
      <c r="B688" s="42" t="s">
        <v>3</v>
      </c>
      <c r="C688" s="3">
        <v>28</v>
      </c>
      <c r="D688" s="3">
        <v>1</v>
      </c>
      <c r="G688" s="43">
        <v>43979</v>
      </c>
    </row>
    <row r="689" spans="1:8" x14ac:dyDescent="0.25">
      <c r="A689" s="28" t="s">
        <v>936</v>
      </c>
      <c r="B689" s="42" t="s">
        <v>3</v>
      </c>
      <c r="C689" s="3">
        <v>19</v>
      </c>
      <c r="D689" s="3">
        <v>1</v>
      </c>
      <c r="G689" s="43">
        <v>43979</v>
      </c>
    </row>
    <row r="690" spans="1:8" x14ac:dyDescent="0.25">
      <c r="A690" s="19" t="s">
        <v>937</v>
      </c>
      <c r="B690" s="42" t="s">
        <v>3</v>
      </c>
      <c r="C690" s="3">
        <v>18</v>
      </c>
      <c r="D690" s="3">
        <v>2</v>
      </c>
      <c r="G690" s="43">
        <v>43984</v>
      </c>
    </row>
    <row r="691" spans="1:8" x14ac:dyDescent="0.25">
      <c r="A691" s="19" t="s">
        <v>938</v>
      </c>
      <c r="B691" s="42" t="s">
        <v>3</v>
      </c>
      <c r="C691" s="3">
        <v>18</v>
      </c>
      <c r="D691" s="3">
        <v>2</v>
      </c>
      <c r="G691" s="43">
        <v>43984</v>
      </c>
    </row>
    <row r="692" spans="1:8" x14ac:dyDescent="0.25">
      <c r="A692" s="19" t="s">
        <v>939</v>
      </c>
      <c r="B692" s="42" t="s">
        <v>3</v>
      </c>
      <c r="C692" s="3">
        <v>18</v>
      </c>
      <c r="D692" s="3">
        <v>2</v>
      </c>
      <c r="G692" s="43">
        <v>43984</v>
      </c>
    </row>
    <row r="693" spans="1:8" x14ac:dyDescent="0.25">
      <c r="A693" s="19" t="s">
        <v>940</v>
      </c>
      <c r="B693" s="42" t="s">
        <v>3</v>
      </c>
      <c r="C693" s="3">
        <v>23</v>
      </c>
      <c r="D693" s="3">
        <v>2</v>
      </c>
      <c r="G693" s="43">
        <v>43984</v>
      </c>
    </row>
    <row r="694" spans="1:8" x14ac:dyDescent="0.25">
      <c r="A694" s="19" t="s">
        <v>941</v>
      </c>
      <c r="B694" s="42" t="s">
        <v>3</v>
      </c>
      <c r="C694" s="3">
        <v>18</v>
      </c>
      <c r="D694" s="3">
        <v>2</v>
      </c>
      <c r="G694" s="43">
        <v>43984</v>
      </c>
    </row>
    <row r="695" spans="1:8" x14ac:dyDescent="0.25">
      <c r="A695" s="19" t="s">
        <v>942</v>
      </c>
      <c r="B695" s="42" t="s">
        <v>3</v>
      </c>
      <c r="C695" s="3">
        <v>18</v>
      </c>
      <c r="D695" s="3">
        <v>2</v>
      </c>
      <c r="G695" s="43">
        <v>43984</v>
      </c>
    </row>
    <row r="696" spans="1:8" x14ac:dyDescent="0.25">
      <c r="A696" s="19" t="s">
        <v>943</v>
      </c>
      <c r="B696" s="42" t="s">
        <v>3</v>
      </c>
      <c r="C696" s="3">
        <v>18</v>
      </c>
      <c r="D696" s="3">
        <v>2</v>
      </c>
      <c r="G696" s="43">
        <v>43984</v>
      </c>
    </row>
    <row r="697" spans="1:8" x14ac:dyDescent="0.25">
      <c r="A697" s="19" t="s">
        <v>944</v>
      </c>
      <c r="B697" s="42" t="s">
        <v>3</v>
      </c>
      <c r="C697" s="3">
        <v>20</v>
      </c>
      <c r="D697" s="3">
        <v>2</v>
      </c>
      <c r="G697" s="43">
        <v>43984</v>
      </c>
    </row>
    <row r="698" spans="1:8" x14ac:dyDescent="0.25">
      <c r="A698" s="19" t="s">
        <v>945</v>
      </c>
      <c r="B698" s="42" t="s">
        <v>3</v>
      </c>
      <c r="C698" s="3">
        <v>19</v>
      </c>
      <c r="D698" s="3">
        <v>2</v>
      </c>
      <c r="G698" s="43">
        <v>43984</v>
      </c>
    </row>
    <row r="699" spans="1:8" x14ac:dyDescent="0.25">
      <c r="A699" s="19" t="s">
        <v>946</v>
      </c>
      <c r="B699" s="42" t="s">
        <v>3</v>
      </c>
      <c r="C699" s="3">
        <v>18</v>
      </c>
      <c r="D699" s="3">
        <v>2</v>
      </c>
      <c r="G699" s="43">
        <v>43984</v>
      </c>
    </row>
    <row r="700" spans="1:8" x14ac:dyDescent="0.25">
      <c r="A700" s="19" t="s">
        <v>947</v>
      </c>
      <c r="B700" s="42" t="s">
        <v>120</v>
      </c>
      <c r="C700" s="3">
        <v>19</v>
      </c>
      <c r="D700" s="3">
        <v>2</v>
      </c>
      <c r="E700" s="42" t="s">
        <v>160</v>
      </c>
      <c r="G700" s="43">
        <v>43984</v>
      </c>
    </row>
    <row r="701" spans="1:8" x14ac:dyDescent="0.25">
      <c r="A701" s="19" t="s">
        <v>948</v>
      </c>
      <c r="B701" s="42" t="s">
        <v>3</v>
      </c>
      <c r="C701" s="3">
        <v>18</v>
      </c>
      <c r="D701" s="3">
        <v>2</v>
      </c>
      <c r="G701" s="43">
        <v>43984</v>
      </c>
    </row>
    <row r="702" spans="1:8" x14ac:dyDescent="0.25">
      <c r="A702" s="19" t="s">
        <v>949</v>
      </c>
      <c r="B702" s="42" t="s">
        <v>120</v>
      </c>
      <c r="C702" s="3">
        <v>19</v>
      </c>
      <c r="D702" s="3">
        <v>2</v>
      </c>
      <c r="E702" s="42" t="s">
        <v>160</v>
      </c>
      <c r="G702" s="43">
        <v>43984</v>
      </c>
      <c r="H702" s="42" t="s">
        <v>238</v>
      </c>
    </row>
    <row r="703" spans="1:8" x14ac:dyDescent="0.25">
      <c r="A703" s="19" t="s">
        <v>950</v>
      </c>
      <c r="B703" s="42" t="s">
        <v>3</v>
      </c>
      <c r="C703" s="3">
        <v>19</v>
      </c>
      <c r="D703" s="3">
        <v>2</v>
      </c>
      <c r="G703" s="43">
        <v>43984</v>
      </c>
    </row>
    <row r="704" spans="1:8" x14ac:dyDescent="0.25">
      <c r="A704" s="19" t="s">
        <v>951</v>
      </c>
      <c r="B704" s="42" t="s">
        <v>3</v>
      </c>
      <c r="C704" s="3">
        <v>18</v>
      </c>
      <c r="D704" s="3">
        <v>2</v>
      </c>
      <c r="G704" s="43">
        <v>43984</v>
      </c>
    </row>
    <row r="705" spans="1:8" x14ac:dyDescent="0.25">
      <c r="A705" s="19" t="s">
        <v>952</v>
      </c>
      <c r="B705" s="42" t="s">
        <v>3</v>
      </c>
      <c r="C705" s="3">
        <v>18</v>
      </c>
      <c r="D705" s="3">
        <v>2</v>
      </c>
      <c r="G705" s="43">
        <v>43984</v>
      </c>
    </row>
    <row r="706" spans="1:8" x14ac:dyDescent="0.25">
      <c r="A706" s="19" t="s">
        <v>953</v>
      </c>
      <c r="B706" s="42" t="s">
        <v>3</v>
      </c>
      <c r="C706" s="3">
        <v>18</v>
      </c>
      <c r="D706" s="3">
        <v>2</v>
      </c>
      <c r="G706" s="43">
        <v>43984</v>
      </c>
    </row>
    <row r="707" spans="1:8" x14ac:dyDescent="0.25">
      <c r="A707" s="19" t="s">
        <v>954</v>
      </c>
      <c r="B707" s="42" t="s">
        <v>3</v>
      </c>
      <c r="C707" s="3">
        <v>18</v>
      </c>
      <c r="D707" s="3">
        <v>2</v>
      </c>
      <c r="G707" s="43">
        <v>43984</v>
      </c>
    </row>
    <row r="708" spans="1:8" x14ac:dyDescent="0.25">
      <c r="A708" s="19" t="s">
        <v>955</v>
      </c>
      <c r="B708" s="42" t="s">
        <v>120</v>
      </c>
      <c r="C708" s="3">
        <v>19</v>
      </c>
      <c r="D708" s="3">
        <v>2</v>
      </c>
      <c r="E708" s="42" t="s">
        <v>160</v>
      </c>
      <c r="G708" s="43">
        <v>43984</v>
      </c>
      <c r="H708" s="42" t="s">
        <v>238</v>
      </c>
    </row>
    <row r="709" spans="1:8" x14ac:dyDescent="0.25">
      <c r="A709" s="19" t="s">
        <v>956</v>
      </c>
      <c r="B709" s="42" t="s">
        <v>120</v>
      </c>
      <c r="C709" s="3">
        <v>18</v>
      </c>
      <c r="D709" s="3">
        <v>2</v>
      </c>
      <c r="E709" s="42" t="s">
        <v>160</v>
      </c>
      <c r="G709" s="43">
        <v>43984</v>
      </c>
    </row>
    <row r="710" spans="1:8" x14ac:dyDescent="0.25">
      <c r="A710" s="19" t="s">
        <v>957</v>
      </c>
      <c r="B710" s="42" t="s">
        <v>3</v>
      </c>
      <c r="C710" s="3">
        <v>19</v>
      </c>
      <c r="D710" s="3">
        <v>2</v>
      </c>
      <c r="E710" s="42" t="s">
        <v>160</v>
      </c>
      <c r="G710" s="43">
        <v>43984</v>
      </c>
    </row>
    <row r="711" spans="1:8" x14ac:dyDescent="0.25">
      <c r="A711" s="19" t="s">
        <v>958</v>
      </c>
      <c r="B711" s="42" t="s">
        <v>3</v>
      </c>
      <c r="C711" s="3">
        <v>21</v>
      </c>
      <c r="D711" s="3">
        <v>2</v>
      </c>
      <c r="G711" s="43">
        <v>43984</v>
      </c>
    </row>
    <row r="712" spans="1:8" x14ac:dyDescent="0.25">
      <c r="A712" s="19" t="s">
        <v>959</v>
      </c>
      <c r="B712" s="42" t="s">
        <v>120</v>
      </c>
      <c r="C712" s="3">
        <v>19</v>
      </c>
      <c r="D712" s="3">
        <v>2</v>
      </c>
      <c r="E712" s="42" t="s">
        <v>160</v>
      </c>
      <c r="G712" s="43">
        <v>43984</v>
      </c>
    </row>
    <row r="713" spans="1:8" x14ac:dyDescent="0.25">
      <c r="A713" s="19" t="s">
        <v>960</v>
      </c>
      <c r="B713" s="42" t="s">
        <v>3</v>
      </c>
      <c r="C713" s="3">
        <v>18</v>
      </c>
      <c r="D713" s="3">
        <v>1</v>
      </c>
      <c r="G713" s="43">
        <v>43984</v>
      </c>
    </row>
    <row r="714" spans="1:8" x14ac:dyDescent="0.25">
      <c r="A714" s="19" t="s">
        <v>961</v>
      </c>
      <c r="B714" s="42" t="s">
        <v>120</v>
      </c>
      <c r="C714" s="3">
        <v>23</v>
      </c>
      <c r="D714" s="3">
        <v>1</v>
      </c>
      <c r="E714" s="42" t="s">
        <v>160</v>
      </c>
      <c r="F714" s="42" t="s">
        <v>160</v>
      </c>
      <c r="G714" s="43">
        <v>43984</v>
      </c>
    </row>
    <row r="715" spans="1:8" x14ac:dyDescent="0.25">
      <c r="A715" s="19" t="s">
        <v>962</v>
      </c>
      <c r="B715" s="42" t="s">
        <v>120</v>
      </c>
      <c r="C715" s="3">
        <v>20</v>
      </c>
      <c r="D715" s="3">
        <v>1</v>
      </c>
      <c r="E715" s="42" t="s">
        <v>160</v>
      </c>
      <c r="F715" s="42" t="s">
        <v>160</v>
      </c>
      <c r="G715" s="43">
        <v>43984</v>
      </c>
    </row>
    <row r="716" spans="1:8" x14ac:dyDescent="0.25">
      <c r="A716" s="19" t="s">
        <v>963</v>
      </c>
      <c r="B716" s="42" t="s">
        <v>120</v>
      </c>
      <c r="C716" s="3">
        <v>18</v>
      </c>
      <c r="D716" s="3">
        <v>1</v>
      </c>
      <c r="E716" s="42" t="s">
        <v>160</v>
      </c>
      <c r="F716" s="42" t="s">
        <v>160</v>
      </c>
      <c r="G716" s="43">
        <v>43984</v>
      </c>
    </row>
    <row r="717" spans="1:8" x14ac:dyDescent="0.25">
      <c r="A717" s="19" t="s">
        <v>964</v>
      </c>
      <c r="B717" s="42" t="s">
        <v>120</v>
      </c>
      <c r="C717" s="3">
        <v>18</v>
      </c>
      <c r="D717" s="3">
        <v>1</v>
      </c>
      <c r="E717" s="42" t="s">
        <v>160</v>
      </c>
      <c r="G717" s="43">
        <v>43984</v>
      </c>
    </row>
    <row r="718" spans="1:8" x14ac:dyDescent="0.25">
      <c r="A718" s="19" t="s">
        <v>965</v>
      </c>
      <c r="B718" s="42" t="s">
        <v>120</v>
      </c>
      <c r="C718" s="3">
        <v>23</v>
      </c>
      <c r="D718" s="3">
        <v>1</v>
      </c>
      <c r="E718" s="42" t="s">
        <v>160</v>
      </c>
      <c r="G718" s="43">
        <v>43984</v>
      </c>
    </row>
    <row r="719" spans="1:8" x14ac:dyDescent="0.25">
      <c r="A719" s="19" t="s">
        <v>966</v>
      </c>
      <c r="B719" s="42" t="s">
        <v>120</v>
      </c>
      <c r="C719" s="3">
        <v>26</v>
      </c>
      <c r="D719" s="3">
        <v>1</v>
      </c>
      <c r="E719" s="42" t="s">
        <v>160</v>
      </c>
      <c r="F719" s="42" t="s">
        <v>160</v>
      </c>
      <c r="G719" s="43">
        <v>43984</v>
      </c>
    </row>
    <row r="720" spans="1:8" x14ac:dyDescent="0.25">
      <c r="A720" s="19" t="s">
        <v>967</v>
      </c>
      <c r="B720" s="42" t="s">
        <v>120</v>
      </c>
      <c r="C720" s="3">
        <v>28</v>
      </c>
      <c r="D720" s="3">
        <v>1</v>
      </c>
      <c r="E720" s="42" t="s">
        <v>160</v>
      </c>
      <c r="F720" s="42" t="s">
        <v>160</v>
      </c>
      <c r="G720" s="43">
        <v>43984</v>
      </c>
    </row>
    <row r="721" spans="1:7" x14ac:dyDescent="0.25">
      <c r="A721" s="19" t="s">
        <v>968</v>
      </c>
      <c r="B721" s="42" t="s">
        <v>175</v>
      </c>
      <c r="C721" s="3">
        <v>22</v>
      </c>
      <c r="D721" s="3">
        <v>1</v>
      </c>
      <c r="E721" s="42" t="s">
        <v>160</v>
      </c>
      <c r="G721" s="43">
        <v>43984</v>
      </c>
    </row>
    <row r="722" spans="1:7" x14ac:dyDescent="0.25">
      <c r="A722" s="19" t="s">
        <v>969</v>
      </c>
      <c r="B722" s="42" t="s">
        <v>120</v>
      </c>
      <c r="C722" s="3">
        <v>18</v>
      </c>
      <c r="D722" s="3">
        <v>1</v>
      </c>
      <c r="E722" s="42" t="s">
        <v>160</v>
      </c>
      <c r="F722" s="42" t="s">
        <v>160</v>
      </c>
      <c r="G722" s="43">
        <v>43984</v>
      </c>
    </row>
    <row r="723" spans="1:7" x14ac:dyDescent="0.25">
      <c r="A723" s="19" t="s">
        <v>970</v>
      </c>
      <c r="B723" s="42" t="s">
        <v>120</v>
      </c>
      <c r="C723" s="3">
        <v>19</v>
      </c>
      <c r="D723" s="3">
        <v>1</v>
      </c>
      <c r="E723" s="42" t="s">
        <v>160</v>
      </c>
      <c r="F723" s="42" t="s">
        <v>160</v>
      </c>
      <c r="G723" s="43">
        <v>43984</v>
      </c>
    </row>
    <row r="724" spans="1:7" x14ac:dyDescent="0.25">
      <c r="A724" s="19" t="s">
        <v>971</v>
      </c>
      <c r="B724" s="42" t="s">
        <v>120</v>
      </c>
      <c r="C724" s="3">
        <v>18</v>
      </c>
      <c r="D724" s="3">
        <v>1</v>
      </c>
      <c r="E724" s="42" t="s">
        <v>160</v>
      </c>
      <c r="G724" s="43">
        <v>43984</v>
      </c>
    </row>
    <row r="725" spans="1:7" x14ac:dyDescent="0.25">
      <c r="A725" s="19" t="s">
        <v>972</v>
      </c>
      <c r="B725" s="42" t="s">
        <v>3</v>
      </c>
      <c r="C725" s="3">
        <v>19</v>
      </c>
      <c r="D725" s="3">
        <v>1</v>
      </c>
      <c r="E725" s="42" t="s">
        <v>160</v>
      </c>
      <c r="G725" s="43">
        <v>43984</v>
      </c>
    </row>
    <row r="726" spans="1:7" x14ac:dyDescent="0.25">
      <c r="A726" s="19" t="s">
        <v>973</v>
      </c>
      <c r="B726" s="42" t="s">
        <v>3</v>
      </c>
      <c r="C726" s="3">
        <v>22</v>
      </c>
      <c r="D726" s="3">
        <v>1</v>
      </c>
      <c r="G726" s="43">
        <v>43984</v>
      </c>
    </row>
    <row r="727" spans="1:7" x14ac:dyDescent="0.25">
      <c r="A727" s="19" t="s">
        <v>974</v>
      </c>
      <c r="B727" s="42" t="s">
        <v>120</v>
      </c>
      <c r="C727" s="3">
        <v>18</v>
      </c>
      <c r="D727" s="3">
        <v>1</v>
      </c>
      <c r="E727" s="42" t="s">
        <v>160</v>
      </c>
      <c r="F727" s="42" t="s">
        <v>160</v>
      </c>
      <c r="G727" s="43">
        <v>43984</v>
      </c>
    </row>
    <row r="728" spans="1:7" x14ac:dyDescent="0.25">
      <c r="A728" s="19" t="s">
        <v>975</v>
      </c>
      <c r="B728" s="42" t="s">
        <v>120</v>
      </c>
      <c r="C728" s="3">
        <v>20</v>
      </c>
      <c r="D728" s="3">
        <v>1</v>
      </c>
      <c r="E728" s="42" t="s">
        <v>160</v>
      </c>
      <c r="F728" s="42" t="s">
        <v>160</v>
      </c>
      <c r="G728" s="43">
        <v>43984</v>
      </c>
    </row>
    <row r="729" spans="1:7" x14ac:dyDescent="0.25">
      <c r="A729" s="19" t="s">
        <v>976</v>
      </c>
      <c r="B729" s="42" t="s">
        <v>3</v>
      </c>
      <c r="C729" s="3">
        <v>19</v>
      </c>
      <c r="D729" s="3">
        <v>1</v>
      </c>
      <c r="G729" s="43">
        <v>43984</v>
      </c>
    </row>
    <row r="730" spans="1:7" x14ac:dyDescent="0.25">
      <c r="A730" s="19" t="s">
        <v>977</v>
      </c>
      <c r="B730" s="42" t="s">
        <v>3</v>
      </c>
      <c r="C730" s="3">
        <v>20</v>
      </c>
      <c r="D730" s="3">
        <v>1</v>
      </c>
      <c r="G730" s="43">
        <v>43984</v>
      </c>
    </row>
    <row r="731" spans="1:7" x14ac:dyDescent="0.25">
      <c r="A731" s="19" t="s">
        <v>978</v>
      </c>
      <c r="B731" s="42" t="s">
        <v>120</v>
      </c>
      <c r="C731" s="3">
        <v>18</v>
      </c>
      <c r="D731" s="3">
        <v>1</v>
      </c>
      <c r="E731" s="42" t="s">
        <v>160</v>
      </c>
      <c r="F731" s="42" t="s">
        <v>160</v>
      </c>
      <c r="G731" s="43">
        <v>43984</v>
      </c>
    </row>
    <row r="732" spans="1:7" x14ac:dyDescent="0.25">
      <c r="A732" s="19" t="s">
        <v>979</v>
      </c>
      <c r="B732" s="42" t="s">
        <v>3</v>
      </c>
      <c r="C732" s="3">
        <v>18</v>
      </c>
      <c r="D732" s="3">
        <v>1</v>
      </c>
      <c r="G732" s="43">
        <v>43984</v>
      </c>
    </row>
    <row r="733" spans="1:7" x14ac:dyDescent="0.25">
      <c r="A733" s="19" t="s">
        <v>980</v>
      </c>
      <c r="B733" s="42" t="s">
        <v>3</v>
      </c>
      <c r="C733" s="3">
        <v>28</v>
      </c>
      <c r="D733" s="3">
        <v>1</v>
      </c>
      <c r="G733" s="43">
        <v>43984</v>
      </c>
    </row>
    <row r="734" spans="1:7" x14ac:dyDescent="0.25">
      <c r="A734" s="19" t="s">
        <v>981</v>
      </c>
      <c r="B734" s="42" t="s">
        <v>120</v>
      </c>
      <c r="C734" s="3">
        <v>18</v>
      </c>
      <c r="D734" s="3">
        <v>1</v>
      </c>
      <c r="E734" s="42" t="s">
        <v>160</v>
      </c>
      <c r="F734" s="42" t="s">
        <v>160</v>
      </c>
      <c r="G734" s="43">
        <v>43984</v>
      </c>
    </row>
    <row r="735" spans="1:7" x14ac:dyDescent="0.25">
      <c r="A735" s="19" t="s">
        <v>982</v>
      </c>
      <c r="B735" s="42" t="s">
        <v>3</v>
      </c>
      <c r="C735" s="3">
        <v>20</v>
      </c>
      <c r="D735" s="3">
        <v>1</v>
      </c>
      <c r="G735" s="43">
        <v>43984</v>
      </c>
    </row>
    <row r="736" spans="1:7" x14ac:dyDescent="0.25">
      <c r="A736" s="19" t="s">
        <v>983</v>
      </c>
      <c r="B736" s="42" t="s">
        <v>3</v>
      </c>
      <c r="C736" s="3">
        <v>18</v>
      </c>
      <c r="D736" s="3">
        <v>1</v>
      </c>
      <c r="G736" s="43">
        <v>43984</v>
      </c>
    </row>
    <row r="737" spans="1:7" x14ac:dyDescent="0.25">
      <c r="A737" s="19" t="s">
        <v>984</v>
      </c>
      <c r="B737" s="42" t="s">
        <v>120</v>
      </c>
      <c r="C737" s="3">
        <v>20</v>
      </c>
      <c r="D737" s="3">
        <v>1</v>
      </c>
      <c r="E737" s="42" t="s">
        <v>160</v>
      </c>
      <c r="F737" s="42" t="s">
        <v>160</v>
      </c>
      <c r="G737" s="43">
        <v>43984</v>
      </c>
    </row>
    <row r="738" spans="1:7" x14ac:dyDescent="0.25">
      <c r="A738" s="19" t="s">
        <v>985</v>
      </c>
      <c r="B738" s="42" t="s">
        <v>3</v>
      </c>
      <c r="C738" s="3">
        <v>19</v>
      </c>
      <c r="D738" s="3">
        <v>1</v>
      </c>
      <c r="G738" s="43">
        <v>43984</v>
      </c>
    </row>
    <row r="739" spans="1:7" x14ac:dyDescent="0.25">
      <c r="A739" s="19" t="s">
        <v>986</v>
      </c>
      <c r="B739" s="42" t="s">
        <v>3</v>
      </c>
      <c r="C739" s="3">
        <v>22</v>
      </c>
      <c r="D739" s="3">
        <v>1</v>
      </c>
      <c r="G739" s="43">
        <v>43984</v>
      </c>
    </row>
    <row r="740" spans="1:7" x14ac:dyDescent="0.25">
      <c r="A740" s="19" t="s">
        <v>987</v>
      </c>
      <c r="B740" s="42" t="s">
        <v>3</v>
      </c>
      <c r="C740" s="3">
        <v>18</v>
      </c>
      <c r="D740" s="3">
        <v>1</v>
      </c>
      <c r="G740" s="43">
        <v>43984</v>
      </c>
    </row>
    <row r="741" spans="1:7" x14ac:dyDescent="0.25">
      <c r="A741" s="19" t="s">
        <v>988</v>
      </c>
      <c r="B741" s="42" t="s">
        <v>3</v>
      </c>
      <c r="C741" s="3">
        <v>18</v>
      </c>
      <c r="D741" s="3">
        <v>1</v>
      </c>
      <c r="E741" s="42" t="s">
        <v>160</v>
      </c>
      <c r="G741" s="43">
        <v>43984</v>
      </c>
    </row>
    <row r="742" spans="1:7" x14ac:dyDescent="0.25">
      <c r="A742" s="19" t="s">
        <v>989</v>
      </c>
      <c r="B742" s="42" t="s">
        <v>120</v>
      </c>
      <c r="C742" s="3">
        <v>18</v>
      </c>
      <c r="D742" s="3">
        <v>1</v>
      </c>
      <c r="E742" s="42" t="s">
        <v>160</v>
      </c>
      <c r="G742" s="43">
        <v>43984</v>
      </c>
    </row>
    <row r="743" spans="1:7" x14ac:dyDescent="0.25">
      <c r="A743" s="19" t="s">
        <v>990</v>
      </c>
      <c r="B743" s="42" t="s">
        <v>120</v>
      </c>
      <c r="C743" s="3">
        <v>22</v>
      </c>
      <c r="D743" s="3">
        <v>1</v>
      </c>
      <c r="G743" s="43">
        <v>43984</v>
      </c>
    </row>
    <row r="744" spans="1:7" x14ac:dyDescent="0.25">
      <c r="A744" s="19" t="s">
        <v>991</v>
      </c>
      <c r="B744" s="42" t="s">
        <v>120</v>
      </c>
      <c r="C744" s="3">
        <v>18</v>
      </c>
      <c r="D744" s="3">
        <v>1</v>
      </c>
      <c r="E744" s="42" t="s">
        <v>160</v>
      </c>
      <c r="G744" s="43">
        <v>43984</v>
      </c>
    </row>
    <row r="745" spans="1:7" x14ac:dyDescent="0.25">
      <c r="A745" s="19" t="s">
        <v>992</v>
      </c>
      <c r="B745" s="42" t="s">
        <v>120</v>
      </c>
      <c r="C745" s="3">
        <v>22</v>
      </c>
      <c r="D745" s="3">
        <v>1</v>
      </c>
      <c r="G745" s="43">
        <v>43984</v>
      </c>
    </row>
    <row r="746" spans="1:7" x14ac:dyDescent="0.25">
      <c r="A746" s="19" t="s">
        <v>993</v>
      </c>
      <c r="B746" s="42" t="s">
        <v>3</v>
      </c>
      <c r="C746" s="3">
        <v>18</v>
      </c>
      <c r="D746" s="3">
        <v>1</v>
      </c>
      <c r="G746" s="43">
        <v>43984</v>
      </c>
    </row>
    <row r="747" spans="1:7" x14ac:dyDescent="0.25">
      <c r="A747" s="19" t="s">
        <v>994</v>
      </c>
      <c r="B747" s="42" t="s">
        <v>3</v>
      </c>
      <c r="C747" s="3">
        <v>18</v>
      </c>
      <c r="D747" s="3">
        <v>1</v>
      </c>
      <c r="G747" s="43">
        <v>43984</v>
      </c>
    </row>
    <row r="748" spans="1:7" x14ac:dyDescent="0.25">
      <c r="A748" s="19" t="s">
        <v>995</v>
      </c>
      <c r="B748" s="42" t="s">
        <v>3</v>
      </c>
      <c r="C748" s="3">
        <v>18</v>
      </c>
      <c r="D748" s="3">
        <v>1</v>
      </c>
      <c r="G748" s="43">
        <v>43984</v>
      </c>
    </row>
    <row r="749" spans="1:7" x14ac:dyDescent="0.25">
      <c r="A749" s="19" t="s">
        <v>996</v>
      </c>
      <c r="B749" s="42" t="s">
        <v>3</v>
      </c>
      <c r="C749" s="3">
        <v>24</v>
      </c>
      <c r="D749" s="3">
        <v>1</v>
      </c>
      <c r="E749" s="42" t="s">
        <v>160</v>
      </c>
      <c r="G749" s="43">
        <v>43984</v>
      </c>
    </row>
    <row r="750" spans="1:7" x14ac:dyDescent="0.25">
      <c r="A750" s="19" t="s">
        <v>997</v>
      </c>
      <c r="B750" s="42" t="s">
        <v>120</v>
      </c>
      <c r="C750" s="3">
        <v>18</v>
      </c>
      <c r="D750" s="3">
        <v>1</v>
      </c>
      <c r="E750" s="42" t="s">
        <v>160</v>
      </c>
      <c r="F750" s="42" t="s">
        <v>160</v>
      </c>
      <c r="G750" s="43">
        <v>43984</v>
      </c>
    </row>
    <row r="751" spans="1:7" x14ac:dyDescent="0.25">
      <c r="A751" s="19" t="s">
        <v>998</v>
      </c>
      <c r="B751" s="42" t="s">
        <v>3</v>
      </c>
      <c r="C751" s="3">
        <v>19</v>
      </c>
      <c r="D751" s="3">
        <v>1</v>
      </c>
      <c r="G751" s="43">
        <v>43984</v>
      </c>
    </row>
    <row r="752" spans="1:7" x14ac:dyDescent="0.25">
      <c r="A752" s="19" t="s">
        <v>999</v>
      </c>
      <c r="B752" s="42" t="s">
        <v>3</v>
      </c>
      <c r="C752" s="3">
        <v>18</v>
      </c>
      <c r="D752" s="3">
        <v>1</v>
      </c>
      <c r="G752" s="43">
        <v>43984</v>
      </c>
    </row>
    <row r="753" spans="1:7" x14ac:dyDescent="0.25">
      <c r="A753" s="19" t="s">
        <v>1000</v>
      </c>
      <c r="B753" s="42" t="s">
        <v>3</v>
      </c>
      <c r="C753" s="3">
        <v>20</v>
      </c>
      <c r="D753" s="3">
        <v>1</v>
      </c>
      <c r="G753" s="43">
        <v>43984</v>
      </c>
    </row>
    <row r="754" spans="1:7" x14ac:dyDescent="0.25">
      <c r="A754" s="19" t="s">
        <v>1001</v>
      </c>
      <c r="B754" s="42" t="s">
        <v>3</v>
      </c>
      <c r="C754" s="3">
        <v>20</v>
      </c>
      <c r="D754" s="3">
        <v>1</v>
      </c>
      <c r="G754" s="43">
        <v>43984</v>
      </c>
    </row>
    <row r="755" spans="1:7" x14ac:dyDescent="0.25">
      <c r="A755" s="19" t="s">
        <v>1002</v>
      </c>
      <c r="B755" s="42" t="s">
        <v>3</v>
      </c>
      <c r="C755" s="3">
        <v>21</v>
      </c>
      <c r="D755" s="3">
        <v>1</v>
      </c>
      <c r="G755" s="43">
        <v>43984</v>
      </c>
    </row>
    <row r="756" spans="1:7" x14ac:dyDescent="0.25">
      <c r="A756" s="19" t="s">
        <v>1003</v>
      </c>
      <c r="B756" s="42" t="s">
        <v>3</v>
      </c>
      <c r="C756" s="3">
        <v>19</v>
      </c>
      <c r="D756" s="3">
        <v>1</v>
      </c>
      <c r="G756" s="43">
        <v>43984</v>
      </c>
    </row>
    <row r="757" spans="1:7" x14ac:dyDescent="0.25">
      <c r="A757" s="19" t="s">
        <v>1004</v>
      </c>
      <c r="B757" s="42" t="s">
        <v>3</v>
      </c>
      <c r="C757" s="3">
        <v>19</v>
      </c>
      <c r="D757" s="3">
        <v>1</v>
      </c>
      <c r="G757" s="43">
        <v>43985</v>
      </c>
    </row>
    <row r="758" spans="1:7" x14ac:dyDescent="0.25">
      <c r="A758" s="19" t="s">
        <v>1005</v>
      </c>
      <c r="B758" s="42" t="s">
        <v>3</v>
      </c>
      <c r="C758" s="3">
        <v>18</v>
      </c>
      <c r="D758" s="3">
        <v>1</v>
      </c>
      <c r="G758" s="43">
        <v>43985</v>
      </c>
    </row>
    <row r="759" spans="1:7" x14ac:dyDescent="0.25">
      <c r="A759" s="19" t="s">
        <v>1006</v>
      </c>
      <c r="B759" s="42" t="s">
        <v>3</v>
      </c>
      <c r="C759" s="3">
        <v>20</v>
      </c>
      <c r="D759" s="3">
        <v>2</v>
      </c>
      <c r="G759" s="43">
        <v>43985</v>
      </c>
    </row>
    <row r="760" spans="1:7" x14ac:dyDescent="0.25">
      <c r="A760" s="19" t="s">
        <v>1007</v>
      </c>
      <c r="B760" s="42" t="s">
        <v>120</v>
      </c>
      <c r="C760" s="3">
        <v>21</v>
      </c>
      <c r="D760" s="3">
        <v>2</v>
      </c>
      <c r="E760" s="42" t="s">
        <v>160</v>
      </c>
      <c r="F760" s="42" t="s">
        <v>160</v>
      </c>
      <c r="G760" s="43">
        <v>43985</v>
      </c>
    </row>
    <row r="761" spans="1:7" x14ac:dyDescent="0.25">
      <c r="A761" s="19" t="s">
        <v>1008</v>
      </c>
      <c r="B761" s="42" t="s">
        <v>3</v>
      </c>
      <c r="C761" s="3">
        <v>20</v>
      </c>
      <c r="D761" s="3">
        <v>1</v>
      </c>
      <c r="E761" s="42" t="s">
        <v>160</v>
      </c>
      <c r="G761" s="43">
        <v>43985</v>
      </c>
    </row>
    <row r="762" spans="1:7" x14ac:dyDescent="0.25">
      <c r="A762" s="19" t="s">
        <v>1009</v>
      </c>
      <c r="B762" s="42" t="s">
        <v>120</v>
      </c>
      <c r="C762" s="3">
        <v>18</v>
      </c>
      <c r="D762" s="3">
        <v>2</v>
      </c>
      <c r="E762" s="42" t="s">
        <v>160</v>
      </c>
      <c r="G762" s="43">
        <v>43985</v>
      </c>
    </row>
    <row r="763" spans="1:7" x14ac:dyDescent="0.25">
      <c r="A763" s="19" t="s">
        <v>1010</v>
      </c>
      <c r="B763" s="42" t="s">
        <v>120</v>
      </c>
      <c r="C763" s="3">
        <v>18</v>
      </c>
      <c r="D763" s="3">
        <v>1</v>
      </c>
      <c r="E763" s="42" t="s">
        <v>160</v>
      </c>
      <c r="F763" s="42" t="s">
        <v>160</v>
      </c>
      <c r="G763" s="43">
        <v>43985</v>
      </c>
    </row>
    <row r="764" spans="1:7" x14ac:dyDescent="0.25">
      <c r="A764" s="19" t="s">
        <v>1011</v>
      </c>
      <c r="B764" s="42" t="s">
        <v>120</v>
      </c>
      <c r="C764" s="3">
        <v>18</v>
      </c>
      <c r="D764" s="3">
        <v>1</v>
      </c>
      <c r="E764" s="42" t="s">
        <v>160</v>
      </c>
      <c r="F764" s="42" t="s">
        <v>160</v>
      </c>
      <c r="G764" s="43">
        <v>43985</v>
      </c>
    </row>
    <row r="765" spans="1:7" x14ac:dyDescent="0.25">
      <c r="A765" s="19" t="s">
        <v>1012</v>
      </c>
      <c r="B765" s="42" t="s">
        <v>3</v>
      </c>
      <c r="C765" s="3">
        <v>18</v>
      </c>
      <c r="D765" s="3">
        <v>1</v>
      </c>
      <c r="E765" s="42" t="s">
        <v>160</v>
      </c>
      <c r="G765" s="43">
        <v>43985</v>
      </c>
    </row>
    <row r="766" spans="1:7" x14ac:dyDescent="0.25">
      <c r="A766" s="19" t="s">
        <v>1013</v>
      </c>
      <c r="B766" s="42" t="s">
        <v>3</v>
      </c>
      <c r="C766" s="3">
        <v>20</v>
      </c>
      <c r="D766" s="3">
        <v>1</v>
      </c>
      <c r="G766" s="43">
        <v>43985</v>
      </c>
    </row>
    <row r="767" spans="1:7" x14ac:dyDescent="0.25">
      <c r="A767" s="19" t="s">
        <v>1014</v>
      </c>
      <c r="B767" s="42" t="s">
        <v>3</v>
      </c>
      <c r="C767" s="3">
        <v>18</v>
      </c>
      <c r="D767" s="3">
        <v>1</v>
      </c>
      <c r="G767" s="43">
        <v>43985</v>
      </c>
    </row>
    <row r="768" spans="1:7" x14ac:dyDescent="0.25">
      <c r="A768" s="19" t="s">
        <v>1015</v>
      </c>
      <c r="B768" s="42" t="s">
        <v>3</v>
      </c>
      <c r="C768" s="3">
        <v>19</v>
      </c>
      <c r="D768" s="3">
        <v>1</v>
      </c>
      <c r="G768" s="43">
        <v>43985</v>
      </c>
    </row>
    <row r="769" spans="1:7" x14ac:dyDescent="0.25">
      <c r="A769" s="19" t="s">
        <v>1016</v>
      </c>
      <c r="B769" s="42" t="s">
        <v>3</v>
      </c>
      <c r="C769" s="3">
        <v>19</v>
      </c>
      <c r="D769" s="3">
        <v>1</v>
      </c>
      <c r="G769" s="43">
        <v>43985</v>
      </c>
    </row>
    <row r="770" spans="1:7" x14ac:dyDescent="0.25">
      <c r="A770" s="19" t="s">
        <v>1017</v>
      </c>
      <c r="B770" s="42" t="s">
        <v>3</v>
      </c>
      <c r="C770" s="3">
        <v>18</v>
      </c>
      <c r="D770" s="3">
        <v>1</v>
      </c>
      <c r="E770" s="42" t="s">
        <v>160</v>
      </c>
      <c r="G770" s="43">
        <v>43985</v>
      </c>
    </row>
    <row r="771" spans="1:7" x14ac:dyDescent="0.25">
      <c r="A771" s="19" t="s">
        <v>1018</v>
      </c>
      <c r="B771" s="42" t="s">
        <v>3</v>
      </c>
      <c r="C771" s="3">
        <v>22</v>
      </c>
      <c r="D771" s="3">
        <v>1</v>
      </c>
      <c r="G771" s="43">
        <v>43985</v>
      </c>
    </row>
    <row r="772" spans="1:7" x14ac:dyDescent="0.25">
      <c r="A772" s="19" t="s">
        <v>1019</v>
      </c>
      <c r="B772" s="42" t="s">
        <v>120</v>
      </c>
      <c r="C772" s="3">
        <v>21</v>
      </c>
      <c r="D772" s="3">
        <v>1</v>
      </c>
      <c r="E772" s="42" t="s">
        <v>160</v>
      </c>
      <c r="F772" s="42" t="s">
        <v>160</v>
      </c>
      <c r="G772" s="43">
        <v>43985</v>
      </c>
    </row>
    <row r="773" spans="1:7" x14ac:dyDescent="0.25">
      <c r="A773" s="19" t="s">
        <v>1020</v>
      </c>
      <c r="B773" s="42" t="s">
        <v>3</v>
      </c>
      <c r="C773" s="3">
        <v>18</v>
      </c>
      <c r="D773" s="3">
        <v>1</v>
      </c>
      <c r="G773" s="43">
        <v>43985</v>
      </c>
    </row>
    <row r="774" spans="1:7" x14ac:dyDescent="0.25">
      <c r="A774" s="19" t="s">
        <v>1021</v>
      </c>
      <c r="B774" s="42" t="s">
        <v>120</v>
      </c>
      <c r="C774" s="3">
        <v>23</v>
      </c>
      <c r="D774" s="3">
        <v>2</v>
      </c>
      <c r="E774" s="42" t="s">
        <v>160</v>
      </c>
      <c r="F774" s="42" t="s">
        <v>160</v>
      </c>
      <c r="G774" s="43">
        <v>43985</v>
      </c>
    </row>
    <row r="775" spans="1:7" x14ac:dyDescent="0.25">
      <c r="A775" s="19" t="s">
        <v>1022</v>
      </c>
      <c r="B775" s="42" t="s">
        <v>3</v>
      </c>
      <c r="C775" s="3">
        <v>19</v>
      </c>
      <c r="D775" s="3">
        <v>1</v>
      </c>
      <c r="G775" s="43">
        <v>43985</v>
      </c>
    </row>
    <row r="776" spans="1:7" x14ac:dyDescent="0.25">
      <c r="A776" s="19" t="s">
        <v>1023</v>
      </c>
      <c r="B776" s="42" t="s">
        <v>3</v>
      </c>
      <c r="C776" s="3">
        <v>24</v>
      </c>
      <c r="D776" s="3">
        <v>1</v>
      </c>
      <c r="E776" s="42" t="s">
        <v>160</v>
      </c>
      <c r="G776" s="43">
        <v>43985</v>
      </c>
    </row>
    <row r="777" spans="1:7" x14ac:dyDescent="0.25">
      <c r="A777" s="19" t="s">
        <v>1024</v>
      </c>
      <c r="B777" s="42" t="s">
        <v>120</v>
      </c>
      <c r="C777" s="3">
        <v>20</v>
      </c>
      <c r="D777" s="3">
        <v>1</v>
      </c>
      <c r="E777" s="42" t="s">
        <v>160</v>
      </c>
      <c r="G777" s="43">
        <v>43985</v>
      </c>
    </row>
    <row r="778" spans="1:7" x14ac:dyDescent="0.25">
      <c r="A778" s="19" t="s">
        <v>1025</v>
      </c>
      <c r="B778" s="42" t="s">
        <v>120</v>
      </c>
      <c r="C778" s="3">
        <v>20</v>
      </c>
      <c r="D778" s="3">
        <v>1</v>
      </c>
      <c r="E778" s="42" t="s">
        <v>160</v>
      </c>
      <c r="F778" s="42" t="s">
        <v>160</v>
      </c>
      <c r="G778" s="43">
        <v>43985</v>
      </c>
    </row>
    <row r="779" spans="1:7" x14ac:dyDescent="0.25">
      <c r="A779" s="19" t="s">
        <v>1026</v>
      </c>
      <c r="B779" s="42" t="s">
        <v>3</v>
      </c>
      <c r="C779" s="3">
        <v>19</v>
      </c>
      <c r="D779" s="3">
        <v>2</v>
      </c>
      <c r="E779" s="42" t="s">
        <v>160</v>
      </c>
      <c r="G779" s="43">
        <v>43985</v>
      </c>
    </row>
    <row r="780" spans="1:7" x14ac:dyDescent="0.25">
      <c r="A780" s="19" t="s">
        <v>1027</v>
      </c>
      <c r="B780" s="42" t="s">
        <v>120</v>
      </c>
      <c r="C780" s="3">
        <v>21</v>
      </c>
      <c r="D780" s="3">
        <v>1</v>
      </c>
      <c r="E780" s="42" t="s">
        <v>160</v>
      </c>
      <c r="F780" s="42" t="s">
        <v>160</v>
      </c>
      <c r="G780" s="43">
        <v>43985</v>
      </c>
    </row>
    <row r="781" spans="1:7" x14ac:dyDescent="0.25">
      <c r="A781" s="19" t="s">
        <v>1028</v>
      </c>
      <c r="B781" s="42" t="s">
        <v>3</v>
      </c>
      <c r="C781" s="3">
        <v>21</v>
      </c>
      <c r="D781" s="3">
        <v>2</v>
      </c>
      <c r="E781" s="42" t="s">
        <v>160</v>
      </c>
      <c r="G781" s="43">
        <v>43985</v>
      </c>
    </row>
    <row r="782" spans="1:7" x14ac:dyDescent="0.25">
      <c r="A782" s="19" t="s">
        <v>1029</v>
      </c>
      <c r="B782" s="42" t="s">
        <v>3</v>
      </c>
      <c r="C782" s="3">
        <v>20</v>
      </c>
      <c r="D782" s="3">
        <v>1</v>
      </c>
      <c r="G782" s="43">
        <v>43985</v>
      </c>
    </row>
    <row r="783" spans="1:7" x14ac:dyDescent="0.25">
      <c r="A783" s="19" t="s">
        <v>1030</v>
      </c>
      <c r="B783" s="42" t="s">
        <v>3</v>
      </c>
      <c r="C783" s="3">
        <v>20</v>
      </c>
      <c r="D783" s="3">
        <v>1</v>
      </c>
      <c r="G783" s="43">
        <v>43985</v>
      </c>
    </row>
    <row r="784" spans="1:7" x14ac:dyDescent="0.25">
      <c r="A784" s="19" t="s">
        <v>1031</v>
      </c>
      <c r="B784" s="42" t="s">
        <v>3</v>
      </c>
      <c r="C784" s="3">
        <v>18</v>
      </c>
      <c r="D784" s="3">
        <v>1</v>
      </c>
      <c r="G784" s="43">
        <v>43985</v>
      </c>
    </row>
    <row r="785" spans="1:7" x14ac:dyDescent="0.25">
      <c r="A785" s="19" t="s">
        <v>1032</v>
      </c>
      <c r="B785" s="42" t="s">
        <v>3</v>
      </c>
      <c r="C785" s="3">
        <v>18</v>
      </c>
      <c r="D785" s="3">
        <v>1</v>
      </c>
      <c r="G785" s="43">
        <v>43985</v>
      </c>
    </row>
    <row r="786" spans="1:7" x14ac:dyDescent="0.25">
      <c r="A786" s="19" t="s">
        <v>1033</v>
      </c>
      <c r="B786" s="42" t="s">
        <v>3</v>
      </c>
      <c r="C786" s="3">
        <v>19</v>
      </c>
      <c r="D786" s="3">
        <v>1</v>
      </c>
      <c r="G786" s="43">
        <v>43985</v>
      </c>
    </row>
    <row r="787" spans="1:7" x14ac:dyDescent="0.25">
      <c r="A787" s="19" t="s">
        <v>1034</v>
      </c>
      <c r="B787" s="42" t="s">
        <v>3</v>
      </c>
      <c r="C787" s="3">
        <v>18</v>
      </c>
      <c r="D787" s="3">
        <v>1</v>
      </c>
      <c r="E787" s="42" t="s">
        <v>160</v>
      </c>
      <c r="G787" s="43">
        <v>43985</v>
      </c>
    </row>
    <row r="788" spans="1:7" x14ac:dyDescent="0.25">
      <c r="A788" s="19" t="s">
        <v>1035</v>
      </c>
      <c r="B788" s="42" t="s">
        <v>3</v>
      </c>
      <c r="C788" s="3">
        <v>21</v>
      </c>
      <c r="D788" s="3">
        <v>1</v>
      </c>
      <c r="G788" s="43">
        <v>43985</v>
      </c>
    </row>
    <row r="789" spans="1:7" x14ac:dyDescent="0.25">
      <c r="A789" s="19" t="s">
        <v>1036</v>
      </c>
      <c r="B789" s="42" t="s">
        <v>3</v>
      </c>
      <c r="C789" s="3">
        <v>20</v>
      </c>
      <c r="D789" s="3">
        <v>1</v>
      </c>
      <c r="G789" s="43">
        <v>43985</v>
      </c>
    </row>
    <row r="790" spans="1:7" x14ac:dyDescent="0.25">
      <c r="A790" s="19" t="s">
        <v>1037</v>
      </c>
      <c r="B790" s="42" t="s">
        <v>3</v>
      </c>
      <c r="C790" s="3">
        <v>19</v>
      </c>
      <c r="D790" s="3">
        <v>1</v>
      </c>
      <c r="G790" s="43">
        <v>43985</v>
      </c>
    </row>
    <row r="791" spans="1:7" x14ac:dyDescent="0.25">
      <c r="A791" s="19" t="s">
        <v>1038</v>
      </c>
      <c r="B791" s="42" t="s">
        <v>3</v>
      </c>
      <c r="C791" s="3">
        <v>19</v>
      </c>
      <c r="D791" s="3">
        <v>1</v>
      </c>
      <c r="G791" s="43">
        <v>43985</v>
      </c>
    </row>
    <row r="792" spans="1:7" x14ac:dyDescent="0.25">
      <c r="A792" s="19" t="s">
        <v>1039</v>
      </c>
      <c r="B792" s="42" t="s">
        <v>3</v>
      </c>
      <c r="C792" s="3">
        <v>22</v>
      </c>
      <c r="D792" s="3">
        <v>1</v>
      </c>
      <c r="G792" s="43">
        <v>43985</v>
      </c>
    </row>
    <row r="793" spans="1:7" x14ac:dyDescent="0.25">
      <c r="A793" s="19" t="s">
        <v>1040</v>
      </c>
      <c r="B793" s="42" t="s">
        <v>3</v>
      </c>
      <c r="C793" s="3">
        <v>19</v>
      </c>
      <c r="D793" s="3">
        <v>1</v>
      </c>
      <c r="G793" s="43">
        <v>43985</v>
      </c>
    </row>
    <row r="794" spans="1:7" x14ac:dyDescent="0.25">
      <c r="A794" s="19" t="s">
        <v>1041</v>
      </c>
      <c r="B794" s="42" t="s">
        <v>3</v>
      </c>
      <c r="C794" s="3">
        <v>19</v>
      </c>
      <c r="D794" s="3">
        <v>1</v>
      </c>
      <c r="G794" s="43">
        <v>43985</v>
      </c>
    </row>
    <row r="795" spans="1:7" x14ac:dyDescent="0.25">
      <c r="A795" s="19" t="s">
        <v>1042</v>
      </c>
      <c r="B795" s="42" t="s">
        <v>120</v>
      </c>
      <c r="C795" s="3">
        <v>19</v>
      </c>
      <c r="D795" s="3">
        <v>1</v>
      </c>
      <c r="E795" s="42" t="s">
        <v>160</v>
      </c>
      <c r="G795" s="43">
        <v>43985</v>
      </c>
    </row>
    <row r="796" spans="1:7" x14ac:dyDescent="0.25">
      <c r="A796" s="19" t="s">
        <v>1043</v>
      </c>
      <c r="B796" s="42" t="s">
        <v>120</v>
      </c>
      <c r="C796" s="3">
        <v>19</v>
      </c>
      <c r="D796" s="3">
        <v>1</v>
      </c>
      <c r="E796" s="42" t="s">
        <v>160</v>
      </c>
      <c r="G796" s="43">
        <v>43985</v>
      </c>
    </row>
    <row r="797" spans="1:7" x14ac:dyDescent="0.25">
      <c r="A797" s="19" t="s">
        <v>1044</v>
      </c>
      <c r="B797" s="42" t="s">
        <v>3</v>
      </c>
      <c r="C797" s="3">
        <v>18</v>
      </c>
      <c r="D797" s="3">
        <v>1</v>
      </c>
      <c r="G797" s="43">
        <v>43985</v>
      </c>
    </row>
    <row r="798" spans="1:7" x14ac:dyDescent="0.25">
      <c r="A798" s="19" t="s">
        <v>1045</v>
      </c>
      <c r="B798" s="42" t="s">
        <v>3</v>
      </c>
      <c r="C798" s="3">
        <v>18</v>
      </c>
      <c r="D798" s="3">
        <v>1</v>
      </c>
      <c r="G798" s="43">
        <v>43985</v>
      </c>
    </row>
    <row r="799" spans="1:7" x14ac:dyDescent="0.25">
      <c r="A799" s="19" t="s">
        <v>1046</v>
      </c>
      <c r="B799" s="42" t="s">
        <v>3</v>
      </c>
      <c r="C799" s="3">
        <v>20</v>
      </c>
      <c r="D799" s="3">
        <v>1</v>
      </c>
      <c r="G799" s="43">
        <v>43985</v>
      </c>
    </row>
    <row r="800" spans="1:7" x14ac:dyDescent="0.25">
      <c r="A800" s="19" t="s">
        <v>1047</v>
      </c>
      <c r="B800" s="42" t="s">
        <v>3</v>
      </c>
      <c r="C800" s="3">
        <v>20</v>
      </c>
      <c r="D800" s="3">
        <v>1</v>
      </c>
      <c r="G800" s="43">
        <v>43985</v>
      </c>
    </row>
    <row r="801" spans="1:7" x14ac:dyDescent="0.25">
      <c r="A801" s="19" t="s">
        <v>1048</v>
      </c>
      <c r="B801" s="42" t="s">
        <v>3</v>
      </c>
      <c r="C801" s="3">
        <v>21</v>
      </c>
      <c r="D801" s="3">
        <v>1</v>
      </c>
      <c r="G801" s="43">
        <v>43985</v>
      </c>
    </row>
    <row r="802" spans="1:7" x14ac:dyDescent="0.25">
      <c r="A802" s="19" t="s">
        <v>1049</v>
      </c>
      <c r="B802" s="42" t="s">
        <v>120</v>
      </c>
      <c r="C802" s="3">
        <v>20</v>
      </c>
      <c r="D802" s="3">
        <v>1</v>
      </c>
      <c r="E802" s="42" t="s">
        <v>160</v>
      </c>
      <c r="F802" s="42" t="s">
        <v>160</v>
      </c>
      <c r="G802" s="43">
        <v>43985</v>
      </c>
    </row>
    <row r="803" spans="1:7" x14ac:dyDescent="0.25">
      <c r="A803" s="19" t="s">
        <v>1050</v>
      </c>
      <c r="B803" s="42" t="s">
        <v>3</v>
      </c>
      <c r="C803" s="3">
        <v>24</v>
      </c>
      <c r="D803" s="3">
        <v>1</v>
      </c>
      <c r="E803" s="42" t="s">
        <v>160</v>
      </c>
      <c r="G803" s="43">
        <v>43985</v>
      </c>
    </row>
    <row r="804" spans="1:7" x14ac:dyDescent="0.25">
      <c r="A804" s="19" t="s">
        <v>1051</v>
      </c>
      <c r="B804" s="42" t="s">
        <v>120</v>
      </c>
      <c r="C804" s="3">
        <v>23</v>
      </c>
      <c r="D804" s="3">
        <v>1</v>
      </c>
      <c r="E804" s="42" t="s">
        <v>160</v>
      </c>
      <c r="G804" s="43">
        <v>43985</v>
      </c>
    </row>
    <row r="805" spans="1:7" x14ac:dyDescent="0.25">
      <c r="A805" s="19" t="s">
        <v>1052</v>
      </c>
      <c r="B805" s="42" t="s">
        <v>120</v>
      </c>
      <c r="C805" s="3">
        <v>20</v>
      </c>
      <c r="D805" s="3">
        <v>1</v>
      </c>
      <c r="E805" s="42" t="s">
        <v>160</v>
      </c>
      <c r="F805" s="42" t="s">
        <v>160</v>
      </c>
      <c r="G805" s="43">
        <v>43985</v>
      </c>
    </row>
    <row r="806" spans="1:7" x14ac:dyDescent="0.25">
      <c r="A806" s="19" t="s">
        <v>1053</v>
      </c>
      <c r="B806" s="42" t="s">
        <v>3</v>
      </c>
      <c r="C806" s="3">
        <v>18</v>
      </c>
      <c r="D806" s="3">
        <v>1</v>
      </c>
      <c r="G806" s="43">
        <v>43985</v>
      </c>
    </row>
    <row r="807" spans="1:7" x14ac:dyDescent="0.25">
      <c r="A807" s="28" t="s">
        <v>1054</v>
      </c>
      <c r="B807" s="42" t="s">
        <v>3</v>
      </c>
      <c r="C807" s="3">
        <v>19</v>
      </c>
      <c r="D807" s="3">
        <v>1</v>
      </c>
      <c r="G807" s="43">
        <v>43985</v>
      </c>
    </row>
    <row r="808" spans="1:7" x14ac:dyDescent="0.25">
      <c r="A808" s="28" t="s">
        <v>1055</v>
      </c>
      <c r="B808" s="42" t="s">
        <v>3</v>
      </c>
      <c r="C808" s="3">
        <v>19</v>
      </c>
      <c r="D808" s="3">
        <v>1</v>
      </c>
      <c r="G808" s="43">
        <v>43985</v>
      </c>
    </row>
    <row r="809" spans="1:7" x14ac:dyDescent="0.25">
      <c r="A809" s="28" t="s">
        <v>1056</v>
      </c>
      <c r="B809" s="42" t="s">
        <v>120</v>
      </c>
      <c r="C809" s="3">
        <v>19</v>
      </c>
      <c r="D809" s="3">
        <v>1</v>
      </c>
      <c r="E809" s="42" t="s">
        <v>160</v>
      </c>
      <c r="F809" s="42" t="s">
        <v>160</v>
      </c>
      <c r="G809" s="43">
        <v>43985</v>
      </c>
    </row>
    <row r="810" spans="1:7" x14ac:dyDescent="0.25">
      <c r="A810" s="28" t="s">
        <v>1057</v>
      </c>
      <c r="B810" s="42" t="s">
        <v>120</v>
      </c>
      <c r="C810" s="3">
        <v>18</v>
      </c>
      <c r="D810" s="3">
        <v>1</v>
      </c>
      <c r="E810" s="42" t="s">
        <v>160</v>
      </c>
      <c r="G810" s="43">
        <v>43985</v>
      </c>
    </row>
    <row r="811" spans="1:7" x14ac:dyDescent="0.25">
      <c r="A811" s="28" t="s">
        <v>1058</v>
      </c>
      <c r="B811" s="42" t="s">
        <v>120</v>
      </c>
      <c r="C811" s="3">
        <v>20</v>
      </c>
      <c r="D811" s="3">
        <v>1</v>
      </c>
      <c r="E811" s="42" t="s">
        <v>160</v>
      </c>
      <c r="G811" s="43">
        <v>43985</v>
      </c>
    </row>
    <row r="812" spans="1:7" x14ac:dyDescent="0.25">
      <c r="A812" s="28" t="s">
        <v>1059</v>
      </c>
      <c r="B812" s="42" t="s">
        <v>120</v>
      </c>
      <c r="C812" s="3">
        <v>19</v>
      </c>
      <c r="D812" s="3">
        <v>1</v>
      </c>
      <c r="E812" s="42" t="s">
        <v>160</v>
      </c>
      <c r="G812" s="43">
        <v>43985</v>
      </c>
    </row>
    <row r="813" spans="1:7" x14ac:dyDescent="0.25">
      <c r="A813" s="28" t="s">
        <v>1060</v>
      </c>
      <c r="B813" s="42" t="s">
        <v>120</v>
      </c>
      <c r="C813" s="3">
        <v>18</v>
      </c>
      <c r="D813" s="3">
        <v>1</v>
      </c>
      <c r="E813" s="42" t="s">
        <v>160</v>
      </c>
      <c r="G813" s="43">
        <v>43985</v>
      </c>
    </row>
    <row r="814" spans="1:7" x14ac:dyDescent="0.25">
      <c r="A814" s="28" t="s">
        <v>1061</v>
      </c>
      <c r="B814" s="42" t="s">
        <v>3</v>
      </c>
      <c r="C814" s="3">
        <v>18</v>
      </c>
      <c r="D814" s="3">
        <v>1</v>
      </c>
      <c r="G814" s="43">
        <v>43985</v>
      </c>
    </row>
    <row r="815" spans="1:7" x14ac:dyDescent="0.25">
      <c r="A815" s="28" t="s">
        <v>1062</v>
      </c>
      <c r="B815" s="42" t="s">
        <v>3</v>
      </c>
      <c r="C815" s="3">
        <v>18</v>
      </c>
      <c r="D815" s="3">
        <v>1</v>
      </c>
      <c r="G815" s="43">
        <v>43985</v>
      </c>
    </row>
    <row r="816" spans="1:7" x14ac:dyDescent="0.25">
      <c r="A816" s="28" t="s">
        <v>1063</v>
      </c>
      <c r="B816" s="42" t="s">
        <v>3</v>
      </c>
      <c r="C816" s="3">
        <v>18</v>
      </c>
      <c r="D816" s="3">
        <v>1</v>
      </c>
      <c r="E816" s="42" t="s">
        <v>160</v>
      </c>
      <c r="G816" s="43">
        <v>43985</v>
      </c>
    </row>
    <row r="817" spans="1:7" x14ac:dyDescent="0.25">
      <c r="A817" s="28" t="s">
        <v>1064</v>
      </c>
      <c r="B817" s="42" t="s">
        <v>120</v>
      </c>
      <c r="C817" s="3">
        <v>18</v>
      </c>
      <c r="D817" s="3">
        <v>1</v>
      </c>
      <c r="E817" s="42" t="s">
        <v>160</v>
      </c>
      <c r="F817" s="42" t="s">
        <v>160</v>
      </c>
      <c r="G817" s="43">
        <v>43985</v>
      </c>
    </row>
    <row r="818" spans="1:7" x14ac:dyDescent="0.25">
      <c r="A818" s="28" t="s">
        <v>1065</v>
      </c>
      <c r="B818" s="42" t="s">
        <v>3</v>
      </c>
      <c r="C818" s="3">
        <v>20</v>
      </c>
      <c r="D818" s="3">
        <v>1</v>
      </c>
      <c r="G818" s="43">
        <v>43985</v>
      </c>
    </row>
    <row r="819" spans="1:7" x14ac:dyDescent="0.25">
      <c r="A819" s="28" t="s">
        <v>1066</v>
      </c>
      <c r="B819" s="42" t="s">
        <v>120</v>
      </c>
      <c r="C819" s="3">
        <v>21</v>
      </c>
      <c r="D819" s="3">
        <v>1</v>
      </c>
      <c r="E819" s="42" t="s">
        <v>160</v>
      </c>
      <c r="G819" s="43">
        <v>43985</v>
      </c>
    </row>
    <row r="820" spans="1:7" x14ac:dyDescent="0.25">
      <c r="A820" s="28" t="s">
        <v>1067</v>
      </c>
      <c r="B820" s="42" t="s">
        <v>3</v>
      </c>
      <c r="C820" s="3">
        <v>22</v>
      </c>
      <c r="D820" s="3">
        <v>1</v>
      </c>
      <c r="G820" s="43">
        <v>43985</v>
      </c>
    </row>
    <row r="821" spans="1:7" x14ac:dyDescent="0.25">
      <c r="A821" s="28" t="s">
        <v>1068</v>
      </c>
      <c r="B821" s="42" t="s">
        <v>3</v>
      </c>
      <c r="C821" s="3">
        <v>23</v>
      </c>
      <c r="D821" s="3">
        <v>1</v>
      </c>
      <c r="G821" s="43">
        <v>43985</v>
      </c>
    </row>
    <row r="822" spans="1:7" x14ac:dyDescent="0.25">
      <c r="A822" s="28" t="s">
        <v>1069</v>
      </c>
      <c r="B822" s="42" t="s">
        <v>3</v>
      </c>
      <c r="C822" s="3">
        <v>19</v>
      </c>
      <c r="D822" s="3">
        <v>1</v>
      </c>
      <c r="G822" s="43">
        <v>43985</v>
      </c>
    </row>
    <row r="823" spans="1:7" x14ac:dyDescent="0.25">
      <c r="A823" s="28" t="s">
        <v>1070</v>
      </c>
      <c r="B823" s="42" t="s">
        <v>3</v>
      </c>
      <c r="C823" s="3">
        <v>18</v>
      </c>
      <c r="D823" s="3">
        <v>1</v>
      </c>
      <c r="G823" s="43">
        <v>43985</v>
      </c>
    </row>
    <row r="824" spans="1:7" x14ac:dyDescent="0.25">
      <c r="A824" s="28" t="s">
        <v>1071</v>
      </c>
      <c r="B824" s="42" t="s">
        <v>120</v>
      </c>
      <c r="C824" s="3">
        <v>18</v>
      </c>
      <c r="D824" s="3">
        <v>1</v>
      </c>
      <c r="E824" s="42" t="s">
        <v>160</v>
      </c>
      <c r="G824" s="43">
        <v>43985</v>
      </c>
    </row>
    <row r="825" spans="1:7" x14ac:dyDescent="0.25">
      <c r="A825" s="28" t="s">
        <v>1072</v>
      </c>
      <c r="B825" s="42" t="s">
        <v>3</v>
      </c>
      <c r="C825" s="3">
        <v>19</v>
      </c>
      <c r="D825" s="3">
        <v>1</v>
      </c>
      <c r="G825" s="43">
        <v>43985</v>
      </c>
    </row>
    <row r="826" spans="1:7" x14ac:dyDescent="0.25">
      <c r="A826" s="28" t="s">
        <v>1073</v>
      </c>
      <c r="B826" s="42" t="s">
        <v>120</v>
      </c>
      <c r="C826" s="3">
        <v>18</v>
      </c>
      <c r="D826" s="3">
        <v>1</v>
      </c>
      <c r="E826" s="42" t="s">
        <v>160</v>
      </c>
      <c r="G826" s="43">
        <v>43985</v>
      </c>
    </row>
    <row r="827" spans="1:7" x14ac:dyDescent="0.25">
      <c r="A827" s="28" t="s">
        <v>1074</v>
      </c>
      <c r="B827" s="42" t="s">
        <v>3</v>
      </c>
      <c r="C827" s="3">
        <v>22</v>
      </c>
      <c r="D827" s="3">
        <v>1</v>
      </c>
      <c r="G827" s="43">
        <v>43985</v>
      </c>
    </row>
    <row r="828" spans="1:7" x14ac:dyDescent="0.25">
      <c r="A828" s="28" t="s">
        <v>1075</v>
      </c>
      <c r="B828" s="42" t="s">
        <v>3</v>
      </c>
      <c r="C828" s="3">
        <v>18</v>
      </c>
      <c r="D828" s="3">
        <v>1</v>
      </c>
      <c r="G828" s="43">
        <v>43985</v>
      </c>
    </row>
    <row r="829" spans="1:7" x14ac:dyDescent="0.25">
      <c r="A829" s="28" t="s">
        <v>1076</v>
      </c>
      <c r="B829" s="42" t="s">
        <v>120</v>
      </c>
      <c r="C829" s="3">
        <v>18</v>
      </c>
      <c r="D829" s="3">
        <v>1</v>
      </c>
      <c r="G829" s="43">
        <v>43985</v>
      </c>
    </row>
    <row r="830" spans="1:7" x14ac:dyDescent="0.25">
      <c r="A830" s="28" t="s">
        <v>1077</v>
      </c>
      <c r="B830" s="42" t="s">
        <v>3</v>
      </c>
      <c r="C830" s="3">
        <v>18</v>
      </c>
      <c r="D830" s="3">
        <v>1</v>
      </c>
      <c r="G830" s="43">
        <v>43985</v>
      </c>
    </row>
    <row r="831" spans="1:7" x14ac:dyDescent="0.25">
      <c r="A831" s="28" t="s">
        <v>1078</v>
      </c>
      <c r="B831" s="42" t="s">
        <v>3</v>
      </c>
      <c r="C831" s="3">
        <v>18</v>
      </c>
      <c r="D831" s="3">
        <v>1</v>
      </c>
      <c r="G831" s="43">
        <v>43985</v>
      </c>
    </row>
    <row r="832" spans="1:7" x14ac:dyDescent="0.25">
      <c r="A832" s="28" t="s">
        <v>1079</v>
      </c>
      <c r="B832" s="42" t="s">
        <v>3</v>
      </c>
      <c r="C832" s="3">
        <v>24</v>
      </c>
      <c r="D832" s="3">
        <v>1</v>
      </c>
      <c r="E832" s="42" t="s">
        <v>160</v>
      </c>
      <c r="G832" s="43">
        <v>43985</v>
      </c>
    </row>
    <row r="833" spans="1:7" x14ac:dyDescent="0.25">
      <c r="A833" s="28" t="s">
        <v>1080</v>
      </c>
      <c r="B833" s="42" t="s">
        <v>3</v>
      </c>
      <c r="C833" s="3">
        <v>18</v>
      </c>
      <c r="D833" s="3">
        <v>1</v>
      </c>
      <c r="G833" s="43">
        <v>43985</v>
      </c>
    </row>
    <row r="834" spans="1:7" x14ac:dyDescent="0.25">
      <c r="A834" s="19" t="s">
        <v>1081</v>
      </c>
      <c r="B834" s="42" t="s">
        <v>85</v>
      </c>
      <c r="C834" s="3">
        <v>18</v>
      </c>
      <c r="D834" s="3">
        <v>2</v>
      </c>
      <c r="E834" s="42" t="s">
        <v>160</v>
      </c>
      <c r="G834" s="43">
        <v>43985</v>
      </c>
    </row>
    <row r="835" spans="1:7" x14ac:dyDescent="0.25">
      <c r="A835" s="19" t="s">
        <v>1082</v>
      </c>
      <c r="B835" s="42" t="s">
        <v>3</v>
      </c>
      <c r="C835" s="3">
        <v>20</v>
      </c>
      <c r="D835" s="3">
        <v>1</v>
      </c>
      <c r="G835" s="43">
        <v>43985</v>
      </c>
    </row>
    <row r="836" spans="1:7" x14ac:dyDescent="0.25">
      <c r="A836" s="19" t="s">
        <v>1083</v>
      </c>
      <c r="B836" s="42" t="s">
        <v>120</v>
      </c>
      <c r="C836" s="3">
        <v>18</v>
      </c>
      <c r="D836" s="3">
        <v>1</v>
      </c>
      <c r="E836" s="42" t="s">
        <v>160</v>
      </c>
      <c r="F836" s="42" t="s">
        <v>160</v>
      </c>
      <c r="G836" s="43">
        <v>43985</v>
      </c>
    </row>
    <row r="837" spans="1:7" x14ac:dyDescent="0.25">
      <c r="A837" s="19" t="s">
        <v>1084</v>
      </c>
      <c r="B837" s="42" t="s">
        <v>3</v>
      </c>
      <c r="C837" s="3">
        <v>18</v>
      </c>
      <c r="D837" s="3">
        <v>1</v>
      </c>
      <c r="G837" s="43">
        <v>43985</v>
      </c>
    </row>
    <row r="838" spans="1:7" x14ac:dyDescent="0.25">
      <c r="A838" s="19" t="s">
        <v>1085</v>
      </c>
      <c r="B838" s="42" t="s">
        <v>120</v>
      </c>
      <c r="C838" s="3">
        <v>18</v>
      </c>
      <c r="D838" s="3">
        <v>1</v>
      </c>
      <c r="E838" s="42" t="s">
        <v>160</v>
      </c>
      <c r="F838" s="42" t="s">
        <v>160</v>
      </c>
      <c r="G838" s="43">
        <v>43985</v>
      </c>
    </row>
    <row r="839" spans="1:7" x14ac:dyDescent="0.25">
      <c r="A839" s="19" t="s">
        <v>1086</v>
      </c>
      <c r="B839" s="42" t="s">
        <v>3</v>
      </c>
      <c r="C839" s="3">
        <v>19</v>
      </c>
      <c r="D839" s="3">
        <v>1</v>
      </c>
      <c r="G839" s="43">
        <v>43985</v>
      </c>
    </row>
    <row r="840" spans="1:7" x14ac:dyDescent="0.25">
      <c r="A840" s="19" t="s">
        <v>1087</v>
      </c>
      <c r="B840" s="42" t="s">
        <v>120</v>
      </c>
      <c r="C840" s="3">
        <v>19</v>
      </c>
      <c r="D840" s="3">
        <v>1</v>
      </c>
      <c r="E840" s="42" t="s">
        <v>160</v>
      </c>
      <c r="G840" s="43">
        <v>43985</v>
      </c>
    </row>
    <row r="841" spans="1:7" x14ac:dyDescent="0.25">
      <c r="A841" s="19" t="s">
        <v>1088</v>
      </c>
      <c r="B841" s="42" t="s">
        <v>3</v>
      </c>
      <c r="C841" s="3">
        <v>19</v>
      </c>
      <c r="D841" s="3">
        <v>1</v>
      </c>
      <c r="G841" s="43">
        <v>43985</v>
      </c>
    </row>
    <row r="842" spans="1:7" x14ac:dyDescent="0.25">
      <c r="A842" s="19" t="s">
        <v>1089</v>
      </c>
      <c r="B842" s="42" t="s">
        <v>3</v>
      </c>
      <c r="C842" s="3">
        <v>18</v>
      </c>
      <c r="D842" s="3">
        <v>1</v>
      </c>
      <c r="E842" s="42" t="s">
        <v>160</v>
      </c>
      <c r="G842" s="43">
        <v>43985</v>
      </c>
    </row>
    <row r="843" spans="1:7" x14ac:dyDescent="0.25">
      <c r="A843" s="19" t="s">
        <v>1090</v>
      </c>
      <c r="B843" s="42" t="s">
        <v>120</v>
      </c>
      <c r="C843" s="3">
        <v>23</v>
      </c>
      <c r="D843" s="3">
        <v>1</v>
      </c>
      <c r="E843" s="42" t="s">
        <v>160</v>
      </c>
      <c r="G843" s="43">
        <v>43985</v>
      </c>
    </row>
    <row r="844" spans="1:7" x14ac:dyDescent="0.25">
      <c r="A844" s="19" t="s">
        <v>1091</v>
      </c>
      <c r="B844" s="42" t="s">
        <v>120</v>
      </c>
      <c r="C844" s="3">
        <v>18</v>
      </c>
      <c r="D844" s="3">
        <v>1</v>
      </c>
      <c r="E844" s="42" t="s">
        <v>160</v>
      </c>
      <c r="G844" s="43">
        <v>43985</v>
      </c>
    </row>
    <row r="845" spans="1:7" x14ac:dyDescent="0.25">
      <c r="A845" s="19" t="s">
        <v>1092</v>
      </c>
      <c r="B845" s="42" t="s">
        <v>120</v>
      </c>
      <c r="C845" s="3">
        <v>19</v>
      </c>
      <c r="D845" s="3">
        <v>1</v>
      </c>
      <c r="E845" s="42" t="s">
        <v>160</v>
      </c>
      <c r="G845" s="43">
        <v>43985</v>
      </c>
    </row>
    <row r="846" spans="1:7" x14ac:dyDescent="0.25">
      <c r="A846" s="19" t="s">
        <v>1093</v>
      </c>
      <c r="B846" s="42" t="s">
        <v>3</v>
      </c>
      <c r="C846" s="3">
        <v>23</v>
      </c>
      <c r="D846" s="3">
        <v>1</v>
      </c>
      <c r="G846" s="43">
        <v>43985</v>
      </c>
    </row>
    <row r="847" spans="1:7" x14ac:dyDescent="0.25">
      <c r="A847" s="19" t="s">
        <v>1094</v>
      </c>
      <c r="B847" s="42" t="s">
        <v>3</v>
      </c>
      <c r="C847" s="3">
        <v>20</v>
      </c>
      <c r="D847" s="3">
        <v>1</v>
      </c>
      <c r="G847" s="43">
        <v>43985</v>
      </c>
    </row>
    <row r="848" spans="1:7" x14ac:dyDescent="0.25">
      <c r="A848" s="19" t="s">
        <v>1095</v>
      </c>
      <c r="B848" s="42" t="s">
        <v>3</v>
      </c>
      <c r="C848" s="3">
        <v>23</v>
      </c>
      <c r="D848" s="3">
        <v>1</v>
      </c>
      <c r="G848" s="43">
        <v>43985</v>
      </c>
    </row>
    <row r="849" spans="1:7" x14ac:dyDescent="0.25">
      <c r="A849" s="19" t="s">
        <v>1096</v>
      </c>
      <c r="B849" s="42" t="s">
        <v>120</v>
      </c>
      <c r="C849" s="3">
        <v>23</v>
      </c>
      <c r="D849" s="3">
        <v>1</v>
      </c>
      <c r="E849" s="42" t="s">
        <v>160</v>
      </c>
      <c r="F849" s="42" t="s">
        <v>160</v>
      </c>
      <c r="G849" s="43">
        <v>43985</v>
      </c>
    </row>
    <row r="850" spans="1:7" x14ac:dyDescent="0.25">
      <c r="A850" s="19" t="s">
        <v>1097</v>
      </c>
      <c r="B850" s="42" t="s">
        <v>120</v>
      </c>
      <c r="C850" s="3">
        <v>19</v>
      </c>
      <c r="D850" s="3">
        <v>1</v>
      </c>
      <c r="E850" s="42" t="s">
        <v>160</v>
      </c>
      <c r="F850" s="42" t="s">
        <v>160</v>
      </c>
      <c r="G850" s="43">
        <v>43985</v>
      </c>
    </row>
    <row r="851" spans="1:7" x14ac:dyDescent="0.25">
      <c r="A851" s="19" t="s">
        <v>1098</v>
      </c>
      <c r="B851" s="42" t="s">
        <v>3</v>
      </c>
      <c r="C851" s="3">
        <v>25</v>
      </c>
      <c r="D851" s="3">
        <v>1</v>
      </c>
      <c r="G851" s="43">
        <v>43985</v>
      </c>
    </row>
    <row r="852" spans="1:7" x14ac:dyDescent="0.25">
      <c r="A852" s="19" t="s">
        <v>1099</v>
      </c>
      <c r="B852" s="42" t="s">
        <v>3</v>
      </c>
      <c r="C852" s="3">
        <v>18</v>
      </c>
      <c r="D852" s="3">
        <v>1</v>
      </c>
      <c r="G852" s="43">
        <v>43985</v>
      </c>
    </row>
    <row r="853" spans="1:7" x14ac:dyDescent="0.25">
      <c r="A853" s="19" t="s">
        <v>1100</v>
      </c>
      <c r="B853" s="42" t="s">
        <v>3</v>
      </c>
      <c r="C853" s="3">
        <v>21</v>
      </c>
      <c r="D853" s="3">
        <v>1</v>
      </c>
      <c r="E853" s="42" t="s">
        <v>160</v>
      </c>
      <c r="G853" s="43">
        <v>43985</v>
      </c>
    </row>
    <row r="854" spans="1:7" x14ac:dyDescent="0.25">
      <c r="A854" s="19" t="s">
        <v>1101</v>
      </c>
      <c r="B854" s="42" t="s">
        <v>3</v>
      </c>
      <c r="C854" s="3">
        <v>20</v>
      </c>
      <c r="D854" s="3">
        <v>1</v>
      </c>
      <c r="E854" s="42" t="s">
        <v>160</v>
      </c>
      <c r="G854" s="43">
        <v>43985</v>
      </c>
    </row>
    <row r="855" spans="1:7" x14ac:dyDescent="0.25">
      <c r="A855" s="19" t="s">
        <v>1102</v>
      </c>
      <c r="B855" s="42" t="s">
        <v>3</v>
      </c>
      <c r="C855" s="3">
        <v>20</v>
      </c>
      <c r="D855" s="3">
        <v>1</v>
      </c>
      <c r="G855" s="43">
        <v>43985</v>
      </c>
    </row>
    <row r="856" spans="1:7" x14ac:dyDescent="0.25">
      <c r="A856" s="19" t="s">
        <v>1103</v>
      </c>
      <c r="B856" s="42" t="s">
        <v>3</v>
      </c>
      <c r="C856" s="3">
        <v>19</v>
      </c>
      <c r="D856" s="3">
        <v>1</v>
      </c>
      <c r="G856" s="43">
        <v>43985</v>
      </c>
    </row>
    <row r="857" spans="1:7" x14ac:dyDescent="0.25">
      <c r="A857" s="19" t="s">
        <v>1104</v>
      </c>
      <c r="B857" s="42" t="s">
        <v>120</v>
      </c>
      <c r="C857" s="3">
        <v>18</v>
      </c>
      <c r="D857" s="3">
        <v>1</v>
      </c>
      <c r="E857" s="42" t="s">
        <v>160</v>
      </c>
      <c r="G857" s="43">
        <v>43985</v>
      </c>
    </row>
    <row r="858" spans="1:7" x14ac:dyDescent="0.25">
      <c r="A858" s="19" t="s">
        <v>1105</v>
      </c>
      <c r="B858" s="42" t="s">
        <v>3</v>
      </c>
      <c r="C858" s="3">
        <v>21</v>
      </c>
      <c r="D858" s="3">
        <v>1</v>
      </c>
      <c r="G858" s="43">
        <v>43985</v>
      </c>
    </row>
    <row r="859" spans="1:7" x14ac:dyDescent="0.25">
      <c r="A859" s="19" t="s">
        <v>1106</v>
      </c>
      <c r="B859" s="42" t="s">
        <v>3</v>
      </c>
      <c r="C859" s="3">
        <v>19</v>
      </c>
      <c r="D859" s="3">
        <v>2</v>
      </c>
      <c r="G859" s="43">
        <v>43986</v>
      </c>
    </row>
    <row r="860" spans="1:7" x14ac:dyDescent="0.25">
      <c r="A860" s="19" t="s">
        <v>1107</v>
      </c>
      <c r="B860" s="42" t="s">
        <v>3</v>
      </c>
      <c r="C860" s="3">
        <v>18</v>
      </c>
      <c r="D860" s="3">
        <v>2</v>
      </c>
      <c r="E860" s="42" t="s">
        <v>160</v>
      </c>
      <c r="G860" s="43">
        <v>43986</v>
      </c>
    </row>
    <row r="861" spans="1:7" x14ac:dyDescent="0.25">
      <c r="A861" s="19" t="s">
        <v>1108</v>
      </c>
      <c r="B861" s="42" t="s">
        <v>3</v>
      </c>
      <c r="C861" s="3">
        <v>18</v>
      </c>
      <c r="D861" s="3">
        <v>2</v>
      </c>
      <c r="G861" s="43">
        <v>43986</v>
      </c>
    </row>
    <row r="862" spans="1:7" x14ac:dyDescent="0.25">
      <c r="A862" s="19" t="s">
        <v>1109</v>
      </c>
      <c r="B862" s="42" t="s">
        <v>3</v>
      </c>
      <c r="C862" s="3">
        <v>19</v>
      </c>
      <c r="D862" s="3">
        <v>2</v>
      </c>
      <c r="E862" s="42" t="s">
        <v>160</v>
      </c>
      <c r="G862" s="43">
        <v>43986</v>
      </c>
    </row>
    <row r="863" spans="1:7" x14ac:dyDescent="0.25">
      <c r="A863" s="19" t="s">
        <v>1110</v>
      </c>
      <c r="B863" s="42" t="s">
        <v>85</v>
      </c>
      <c r="C863" s="3">
        <v>18</v>
      </c>
      <c r="D863" s="3">
        <v>1</v>
      </c>
      <c r="E863" s="42" t="s">
        <v>160</v>
      </c>
      <c r="F863" s="42" t="s">
        <v>160</v>
      </c>
      <c r="G863" s="43">
        <v>43986</v>
      </c>
    </row>
    <row r="864" spans="1:7" x14ac:dyDescent="0.25">
      <c r="A864" s="19" t="s">
        <v>1111</v>
      </c>
      <c r="B864" s="42" t="s">
        <v>85</v>
      </c>
      <c r="C864" s="3">
        <v>19</v>
      </c>
      <c r="D864" s="3">
        <v>1</v>
      </c>
      <c r="E864" s="42" t="s">
        <v>160</v>
      </c>
      <c r="F864" s="42" t="s">
        <v>160</v>
      </c>
      <c r="G864" s="43">
        <v>43988</v>
      </c>
    </row>
    <row r="865" spans="1:7" x14ac:dyDescent="0.25">
      <c r="A865" s="19" t="s">
        <v>1112</v>
      </c>
      <c r="B865" s="42" t="s">
        <v>85</v>
      </c>
      <c r="C865" s="3">
        <v>21</v>
      </c>
      <c r="D865" s="3">
        <v>1</v>
      </c>
      <c r="E865" s="42" t="s">
        <v>160</v>
      </c>
      <c r="F865" s="42" t="s">
        <v>160</v>
      </c>
      <c r="G865" s="43">
        <v>43988</v>
      </c>
    </row>
    <row r="866" spans="1:7" x14ac:dyDescent="0.25">
      <c r="A866" s="19" t="s">
        <v>1113</v>
      </c>
      <c r="B866" s="42" t="s">
        <v>120</v>
      </c>
      <c r="C866" s="3">
        <v>18</v>
      </c>
      <c r="D866" s="3">
        <v>1</v>
      </c>
      <c r="E866" s="42" t="s">
        <v>160</v>
      </c>
      <c r="G866" s="43">
        <v>43991</v>
      </c>
    </row>
    <row r="867" spans="1:7" x14ac:dyDescent="0.25">
      <c r="A867" s="19" t="s">
        <v>1114</v>
      </c>
      <c r="B867" s="42" t="s">
        <v>3</v>
      </c>
      <c r="C867" s="3">
        <v>18</v>
      </c>
      <c r="D867" s="3">
        <v>1</v>
      </c>
      <c r="G867" s="43">
        <v>43991</v>
      </c>
    </row>
    <row r="868" spans="1:7" x14ac:dyDescent="0.25">
      <c r="A868" s="19" t="s">
        <v>1115</v>
      </c>
      <c r="B868" s="42" t="s">
        <v>120</v>
      </c>
      <c r="C868" s="3">
        <v>18</v>
      </c>
      <c r="D868" s="3">
        <v>1</v>
      </c>
      <c r="E868" s="42" t="s">
        <v>160</v>
      </c>
      <c r="F868" s="42" t="s">
        <v>160</v>
      </c>
      <c r="G868" s="43">
        <v>43991</v>
      </c>
    </row>
    <row r="869" spans="1:7" x14ac:dyDescent="0.25">
      <c r="A869" s="19" t="s">
        <v>1116</v>
      </c>
      <c r="B869" s="42" t="s">
        <v>3</v>
      </c>
      <c r="C869" s="3">
        <v>21</v>
      </c>
      <c r="D869" s="3">
        <v>1</v>
      </c>
      <c r="G869" s="43">
        <v>43991</v>
      </c>
    </row>
    <row r="870" spans="1:7" x14ac:dyDescent="0.25">
      <c r="A870" s="19" t="s">
        <v>1117</v>
      </c>
      <c r="B870" s="42" t="s">
        <v>120</v>
      </c>
      <c r="C870" s="3">
        <v>18</v>
      </c>
      <c r="D870" s="3">
        <v>1</v>
      </c>
      <c r="E870" s="42" t="s">
        <v>160</v>
      </c>
      <c r="F870" s="42" t="s">
        <v>160</v>
      </c>
      <c r="G870" s="43">
        <v>43991</v>
      </c>
    </row>
    <row r="871" spans="1:7" x14ac:dyDescent="0.25">
      <c r="A871" s="19" t="s">
        <v>1118</v>
      </c>
      <c r="B871" s="42" t="s">
        <v>3</v>
      </c>
      <c r="C871" s="3">
        <v>18</v>
      </c>
      <c r="D871" s="3">
        <v>1</v>
      </c>
      <c r="G871" s="43">
        <v>43991</v>
      </c>
    </row>
    <row r="872" spans="1:7" x14ac:dyDescent="0.25">
      <c r="A872" s="19" t="s">
        <v>1119</v>
      </c>
      <c r="B872" s="42" t="s">
        <v>3</v>
      </c>
      <c r="C872" s="3">
        <v>18</v>
      </c>
      <c r="D872" s="3">
        <v>1</v>
      </c>
      <c r="G872" s="43">
        <v>43991</v>
      </c>
    </row>
    <row r="873" spans="1:7" x14ac:dyDescent="0.25">
      <c r="A873" s="19" t="s">
        <v>1120</v>
      </c>
      <c r="B873" s="42" t="s">
        <v>120</v>
      </c>
      <c r="C873" s="3">
        <v>20</v>
      </c>
      <c r="D873" s="3">
        <v>1</v>
      </c>
      <c r="E873" s="42" t="s">
        <v>160</v>
      </c>
      <c r="F873" s="42" t="s">
        <v>160</v>
      </c>
      <c r="G873" s="43">
        <v>43991</v>
      </c>
    </row>
    <row r="874" spans="1:7" x14ac:dyDescent="0.25">
      <c r="A874" s="19" t="s">
        <v>1121</v>
      </c>
      <c r="B874" s="42" t="s">
        <v>120</v>
      </c>
      <c r="C874" s="3">
        <v>18</v>
      </c>
      <c r="D874" s="3">
        <v>1</v>
      </c>
      <c r="E874" s="42" t="s">
        <v>160</v>
      </c>
      <c r="F874" s="42" t="s">
        <v>160</v>
      </c>
      <c r="G874" s="43">
        <v>43991</v>
      </c>
    </row>
    <row r="875" spans="1:7" x14ac:dyDescent="0.25">
      <c r="A875" s="19" t="s">
        <v>1122</v>
      </c>
      <c r="B875" s="42" t="s">
        <v>3</v>
      </c>
      <c r="C875" s="3">
        <v>18</v>
      </c>
      <c r="D875" s="3">
        <v>1</v>
      </c>
      <c r="G875" s="43">
        <v>43991</v>
      </c>
    </row>
    <row r="876" spans="1:7" x14ac:dyDescent="0.25">
      <c r="A876" s="19" t="s">
        <v>1123</v>
      </c>
      <c r="B876" s="42" t="s">
        <v>3</v>
      </c>
      <c r="C876" s="3">
        <v>19</v>
      </c>
      <c r="D876" s="3">
        <v>1</v>
      </c>
      <c r="E876" s="42" t="s">
        <v>160</v>
      </c>
      <c r="G876" s="43">
        <v>43991</v>
      </c>
    </row>
    <row r="877" spans="1:7" x14ac:dyDescent="0.25">
      <c r="A877" s="19" t="s">
        <v>1124</v>
      </c>
      <c r="B877" s="42" t="s">
        <v>3</v>
      </c>
      <c r="C877" s="3">
        <v>18</v>
      </c>
      <c r="D877" s="3">
        <v>1</v>
      </c>
      <c r="E877" s="42" t="s">
        <v>160</v>
      </c>
      <c r="G877" s="43">
        <v>43991</v>
      </c>
    </row>
    <row r="878" spans="1:7" x14ac:dyDescent="0.25">
      <c r="A878" s="19" t="s">
        <v>1125</v>
      </c>
      <c r="B878" s="42" t="s">
        <v>120</v>
      </c>
      <c r="C878" s="3">
        <v>18</v>
      </c>
      <c r="D878" s="3">
        <v>1</v>
      </c>
      <c r="E878" s="42" t="s">
        <v>160</v>
      </c>
      <c r="F878" s="42" t="s">
        <v>160</v>
      </c>
      <c r="G878" s="43">
        <v>43991</v>
      </c>
    </row>
    <row r="879" spans="1:7" x14ac:dyDescent="0.25">
      <c r="A879" s="19" t="s">
        <v>1126</v>
      </c>
      <c r="B879" s="42" t="s">
        <v>3</v>
      </c>
      <c r="C879" s="3">
        <v>20</v>
      </c>
      <c r="D879" s="3">
        <v>1</v>
      </c>
      <c r="G879" s="43">
        <v>43991</v>
      </c>
    </row>
    <row r="880" spans="1:7" x14ac:dyDescent="0.25">
      <c r="A880" s="19" t="s">
        <v>1127</v>
      </c>
      <c r="B880" s="42" t="s">
        <v>3</v>
      </c>
      <c r="C880" s="3">
        <v>18</v>
      </c>
      <c r="D880" s="3">
        <v>1</v>
      </c>
      <c r="G880" s="43">
        <v>43991</v>
      </c>
    </row>
    <row r="881" spans="1:7" x14ac:dyDescent="0.25">
      <c r="A881" s="19" t="s">
        <v>1128</v>
      </c>
      <c r="B881" s="42" t="s">
        <v>120</v>
      </c>
      <c r="C881" s="3">
        <v>18</v>
      </c>
      <c r="D881" s="3">
        <v>1</v>
      </c>
      <c r="E881" s="42" t="s">
        <v>160</v>
      </c>
      <c r="F881" s="42" t="s">
        <v>160</v>
      </c>
      <c r="G881" s="43">
        <v>43991</v>
      </c>
    </row>
    <row r="882" spans="1:7" x14ac:dyDescent="0.25">
      <c r="A882" s="19" t="s">
        <v>1129</v>
      </c>
      <c r="B882" s="42" t="s">
        <v>3</v>
      </c>
      <c r="C882" s="3">
        <v>22</v>
      </c>
      <c r="D882" s="3">
        <v>1</v>
      </c>
      <c r="G882" s="43">
        <v>43991</v>
      </c>
    </row>
    <row r="883" spans="1:7" x14ac:dyDescent="0.25">
      <c r="A883" s="19" t="s">
        <v>1130</v>
      </c>
      <c r="B883" s="42" t="s">
        <v>120</v>
      </c>
      <c r="C883" s="3">
        <v>24</v>
      </c>
      <c r="D883" s="3">
        <v>1</v>
      </c>
      <c r="E883" s="42" t="s">
        <v>160</v>
      </c>
      <c r="F883" s="42" t="s">
        <v>160</v>
      </c>
      <c r="G883" s="43">
        <v>43991</v>
      </c>
    </row>
    <row r="884" spans="1:7" x14ac:dyDescent="0.25">
      <c r="A884" s="19" t="s">
        <v>1131</v>
      </c>
      <c r="B884" s="42" t="s">
        <v>120</v>
      </c>
      <c r="C884" s="3">
        <v>19</v>
      </c>
      <c r="D884" s="3">
        <v>1</v>
      </c>
      <c r="E884" s="42" t="s">
        <v>160</v>
      </c>
      <c r="F884" s="42" t="s">
        <v>160</v>
      </c>
      <c r="G884" s="43">
        <v>43991</v>
      </c>
    </row>
    <row r="885" spans="1:7" x14ac:dyDescent="0.25">
      <c r="A885" s="19" t="s">
        <v>1132</v>
      </c>
      <c r="B885" s="42" t="s">
        <v>120</v>
      </c>
      <c r="C885" s="3">
        <v>18</v>
      </c>
      <c r="D885" s="3">
        <v>1</v>
      </c>
      <c r="E885" s="42" t="s">
        <v>160</v>
      </c>
      <c r="F885" s="42" t="s">
        <v>160</v>
      </c>
      <c r="G885" s="43">
        <v>43991</v>
      </c>
    </row>
    <row r="886" spans="1:7" x14ac:dyDescent="0.25">
      <c r="A886" s="19" t="s">
        <v>1133</v>
      </c>
      <c r="B886" s="42" t="s">
        <v>120</v>
      </c>
      <c r="C886" s="3">
        <v>18</v>
      </c>
      <c r="D886" s="3">
        <v>1</v>
      </c>
      <c r="E886" s="42" t="s">
        <v>160</v>
      </c>
      <c r="F886" s="42" t="s">
        <v>160</v>
      </c>
      <c r="G886" s="43">
        <v>43991</v>
      </c>
    </row>
    <row r="887" spans="1:7" x14ac:dyDescent="0.25">
      <c r="A887" s="19" t="s">
        <v>1134</v>
      </c>
      <c r="B887" s="42" t="s">
        <v>120</v>
      </c>
      <c r="C887" s="3">
        <v>28</v>
      </c>
      <c r="D887" s="3">
        <v>1</v>
      </c>
      <c r="E887" s="42" t="s">
        <v>160</v>
      </c>
      <c r="G887" s="43">
        <v>43991</v>
      </c>
    </row>
    <row r="888" spans="1:7" x14ac:dyDescent="0.25">
      <c r="A888" s="19" t="s">
        <v>1135</v>
      </c>
      <c r="B888" s="42" t="s">
        <v>120</v>
      </c>
      <c r="C888" s="3">
        <v>18</v>
      </c>
      <c r="D888" s="3">
        <v>1</v>
      </c>
      <c r="E888" s="42" t="s">
        <v>160</v>
      </c>
      <c r="F888" s="42" t="s">
        <v>160</v>
      </c>
      <c r="G888" s="43">
        <v>43991</v>
      </c>
    </row>
    <row r="889" spans="1:7" x14ac:dyDescent="0.25">
      <c r="A889" s="19" t="s">
        <v>1136</v>
      </c>
      <c r="B889" s="42" t="s">
        <v>3</v>
      </c>
      <c r="C889" s="3">
        <v>19</v>
      </c>
      <c r="D889" s="3">
        <v>1</v>
      </c>
      <c r="G889" s="43">
        <v>43991</v>
      </c>
    </row>
    <row r="890" spans="1:7" x14ac:dyDescent="0.25">
      <c r="A890" s="19" t="s">
        <v>1137</v>
      </c>
      <c r="B890" s="42" t="s">
        <v>3</v>
      </c>
      <c r="C890" s="3">
        <v>19</v>
      </c>
      <c r="D890" s="3">
        <v>1</v>
      </c>
      <c r="G890" s="43">
        <v>43991</v>
      </c>
    </row>
    <row r="891" spans="1:7" x14ac:dyDescent="0.25">
      <c r="A891" s="19" t="s">
        <v>1138</v>
      </c>
      <c r="B891" s="42" t="s">
        <v>120</v>
      </c>
      <c r="C891" s="3">
        <v>19</v>
      </c>
      <c r="D891" s="3">
        <v>1</v>
      </c>
      <c r="E891" s="42" t="s">
        <v>160</v>
      </c>
      <c r="F891" s="42" t="s">
        <v>160</v>
      </c>
      <c r="G891" s="43">
        <v>43991</v>
      </c>
    </row>
    <row r="892" spans="1:7" x14ac:dyDescent="0.25">
      <c r="A892" s="19" t="s">
        <v>1139</v>
      </c>
      <c r="B892" s="42" t="s">
        <v>120</v>
      </c>
      <c r="C892" s="3">
        <v>18</v>
      </c>
      <c r="D892" s="3">
        <v>1</v>
      </c>
      <c r="E892" s="42" t="s">
        <v>160</v>
      </c>
      <c r="F892" s="42" t="s">
        <v>160</v>
      </c>
      <c r="G892" s="43">
        <v>43991</v>
      </c>
    </row>
    <row r="893" spans="1:7" x14ac:dyDescent="0.25">
      <c r="A893" s="19" t="s">
        <v>1140</v>
      </c>
      <c r="B893" s="42" t="s">
        <v>3</v>
      </c>
      <c r="C893" s="3">
        <v>19</v>
      </c>
      <c r="D893" s="3">
        <v>1</v>
      </c>
      <c r="G893" s="43">
        <v>43991</v>
      </c>
    </row>
    <row r="894" spans="1:7" x14ac:dyDescent="0.25">
      <c r="A894" s="19" t="s">
        <v>1141</v>
      </c>
      <c r="B894" s="42" t="s">
        <v>120</v>
      </c>
      <c r="C894" s="3">
        <v>18</v>
      </c>
      <c r="D894" s="3">
        <v>1</v>
      </c>
      <c r="E894" s="42" t="s">
        <v>160</v>
      </c>
      <c r="F894" s="42" t="s">
        <v>160</v>
      </c>
      <c r="G894" s="43">
        <v>43991</v>
      </c>
    </row>
    <row r="895" spans="1:7" x14ac:dyDescent="0.25">
      <c r="A895" s="19" t="s">
        <v>1142</v>
      </c>
      <c r="B895" s="42" t="s">
        <v>120</v>
      </c>
      <c r="C895" s="3">
        <v>18</v>
      </c>
      <c r="D895" s="3">
        <v>1</v>
      </c>
      <c r="E895" s="42" t="s">
        <v>160</v>
      </c>
      <c r="F895" s="42" t="s">
        <v>160</v>
      </c>
      <c r="G895" s="43">
        <v>43991</v>
      </c>
    </row>
    <row r="896" spans="1:7" x14ac:dyDescent="0.25">
      <c r="A896" s="19" t="s">
        <v>1143</v>
      </c>
      <c r="B896" s="42" t="s">
        <v>3</v>
      </c>
      <c r="C896" s="3">
        <v>19</v>
      </c>
      <c r="D896" s="3">
        <v>1</v>
      </c>
      <c r="E896" s="42" t="s">
        <v>160</v>
      </c>
      <c r="G896" s="43">
        <v>43991</v>
      </c>
    </row>
    <row r="897" spans="1:7" x14ac:dyDescent="0.25">
      <c r="A897" s="19" t="s">
        <v>1144</v>
      </c>
      <c r="B897" s="42" t="s">
        <v>120</v>
      </c>
      <c r="C897" s="3">
        <v>19</v>
      </c>
      <c r="D897" s="3">
        <v>1</v>
      </c>
      <c r="E897" s="42" t="s">
        <v>160</v>
      </c>
      <c r="F897" s="42" t="s">
        <v>160</v>
      </c>
      <c r="G897" s="43">
        <v>43991</v>
      </c>
    </row>
    <row r="898" spans="1:7" x14ac:dyDescent="0.25">
      <c r="A898" s="19" t="s">
        <v>1145</v>
      </c>
      <c r="B898" s="42" t="s">
        <v>120</v>
      </c>
      <c r="C898" s="3">
        <v>19</v>
      </c>
      <c r="D898" s="3">
        <v>1</v>
      </c>
      <c r="E898" s="42" t="s">
        <v>160</v>
      </c>
      <c r="F898" s="42" t="s">
        <v>160</v>
      </c>
      <c r="G898" s="43">
        <v>43991</v>
      </c>
    </row>
    <row r="899" spans="1:7" x14ac:dyDescent="0.25">
      <c r="A899" s="19" t="s">
        <v>1146</v>
      </c>
      <c r="B899" s="42" t="s">
        <v>3</v>
      </c>
      <c r="C899" s="3">
        <v>22</v>
      </c>
      <c r="D899" s="3">
        <v>1</v>
      </c>
      <c r="G899" s="43">
        <v>43991</v>
      </c>
    </row>
    <row r="900" spans="1:7" x14ac:dyDescent="0.25">
      <c r="A900" s="19" t="s">
        <v>1147</v>
      </c>
      <c r="B900" s="42" t="s">
        <v>3</v>
      </c>
      <c r="C900" s="3">
        <v>21</v>
      </c>
      <c r="D900" s="3">
        <v>1</v>
      </c>
      <c r="G900" s="43">
        <v>43991</v>
      </c>
    </row>
    <row r="901" spans="1:7" x14ac:dyDescent="0.25">
      <c r="A901" s="19" t="s">
        <v>1148</v>
      </c>
      <c r="B901" s="42" t="s">
        <v>120</v>
      </c>
      <c r="C901" s="3">
        <v>19</v>
      </c>
      <c r="D901" s="3">
        <v>1</v>
      </c>
      <c r="E901" s="42" t="s">
        <v>160</v>
      </c>
      <c r="F901" s="42" t="s">
        <v>160</v>
      </c>
      <c r="G901" s="43">
        <v>43991</v>
      </c>
    </row>
    <row r="902" spans="1:7" x14ac:dyDescent="0.25">
      <c r="A902" s="19" t="s">
        <v>1149</v>
      </c>
      <c r="B902" s="42" t="s">
        <v>3</v>
      </c>
      <c r="C902" s="3">
        <v>19</v>
      </c>
      <c r="D902" s="3">
        <v>1</v>
      </c>
      <c r="E902" s="42" t="s">
        <v>160</v>
      </c>
      <c r="G902" s="43">
        <v>43991</v>
      </c>
    </row>
    <row r="903" spans="1:7" x14ac:dyDescent="0.25">
      <c r="A903" s="19" t="s">
        <v>1150</v>
      </c>
      <c r="B903" s="42" t="s">
        <v>120</v>
      </c>
      <c r="C903" s="3">
        <v>18</v>
      </c>
      <c r="D903" s="3">
        <v>1</v>
      </c>
      <c r="E903" s="42" t="s">
        <v>160</v>
      </c>
      <c r="F903" s="42" t="s">
        <v>160</v>
      </c>
      <c r="G903" s="43">
        <v>43991</v>
      </c>
    </row>
    <row r="904" spans="1:7" x14ac:dyDescent="0.25">
      <c r="A904" s="19" t="s">
        <v>1151</v>
      </c>
      <c r="B904" s="42" t="s">
        <v>120</v>
      </c>
      <c r="C904" s="3">
        <v>18</v>
      </c>
      <c r="D904" s="3">
        <v>1</v>
      </c>
      <c r="E904" s="42" t="s">
        <v>160</v>
      </c>
      <c r="G904" s="43">
        <v>43991</v>
      </c>
    </row>
    <row r="905" spans="1:7" x14ac:dyDescent="0.25">
      <c r="A905" s="19" t="s">
        <v>1152</v>
      </c>
      <c r="B905" s="42" t="s">
        <v>3</v>
      </c>
      <c r="C905" s="3">
        <v>20</v>
      </c>
      <c r="D905" s="3">
        <v>1</v>
      </c>
      <c r="G905" s="43">
        <v>43991</v>
      </c>
    </row>
    <row r="906" spans="1:7" x14ac:dyDescent="0.25">
      <c r="A906" s="19" t="s">
        <v>1153</v>
      </c>
      <c r="B906" s="42" t="s">
        <v>120</v>
      </c>
      <c r="C906" s="3">
        <v>20</v>
      </c>
      <c r="D906" s="3">
        <v>1</v>
      </c>
      <c r="G906" s="43">
        <v>43991</v>
      </c>
    </row>
    <row r="907" spans="1:7" x14ac:dyDescent="0.25">
      <c r="A907" s="19" t="s">
        <v>1154</v>
      </c>
      <c r="B907" s="42" t="s">
        <v>3</v>
      </c>
      <c r="C907" s="3">
        <v>19</v>
      </c>
      <c r="D907" s="3">
        <v>1</v>
      </c>
      <c r="E907" s="42" t="s">
        <v>160</v>
      </c>
      <c r="G907" s="43">
        <v>43991</v>
      </c>
    </row>
    <row r="908" spans="1:7" x14ac:dyDescent="0.25">
      <c r="A908" s="19" t="s">
        <v>1155</v>
      </c>
      <c r="B908" s="42" t="s">
        <v>120</v>
      </c>
      <c r="C908" s="3">
        <v>18</v>
      </c>
      <c r="D908" s="3">
        <v>1</v>
      </c>
      <c r="E908" s="42" t="s">
        <v>160</v>
      </c>
      <c r="F908" s="42" t="s">
        <v>160</v>
      </c>
      <c r="G908" s="43">
        <v>43991</v>
      </c>
    </row>
    <row r="909" spans="1:7" x14ac:dyDescent="0.25">
      <c r="A909" s="19" t="s">
        <v>1156</v>
      </c>
      <c r="B909" s="42" t="s">
        <v>120</v>
      </c>
      <c r="C909" s="3">
        <v>24</v>
      </c>
      <c r="D909" s="3">
        <v>1</v>
      </c>
      <c r="E909" s="42" t="s">
        <v>160</v>
      </c>
      <c r="G909" s="43">
        <v>43991</v>
      </c>
    </row>
    <row r="910" spans="1:7" x14ac:dyDescent="0.25">
      <c r="A910" s="19" t="s">
        <v>1157</v>
      </c>
      <c r="B910" s="42" t="s">
        <v>120</v>
      </c>
      <c r="C910" s="3">
        <v>18</v>
      </c>
      <c r="D910" s="3">
        <v>1</v>
      </c>
      <c r="E910" s="42" t="s">
        <v>160</v>
      </c>
      <c r="G910" s="43">
        <v>43991</v>
      </c>
    </row>
    <row r="911" spans="1:7" x14ac:dyDescent="0.25">
      <c r="A911" s="19" t="s">
        <v>1158</v>
      </c>
      <c r="B911" s="42" t="s">
        <v>3</v>
      </c>
      <c r="C911" s="3">
        <v>18</v>
      </c>
      <c r="D911" s="3">
        <v>1</v>
      </c>
      <c r="G911" s="43">
        <v>43991</v>
      </c>
    </row>
    <row r="912" spans="1:7" x14ac:dyDescent="0.25">
      <c r="A912" s="19" t="s">
        <v>1159</v>
      </c>
      <c r="B912" s="42" t="s">
        <v>120</v>
      </c>
      <c r="C912" s="3">
        <v>18</v>
      </c>
      <c r="D912" s="3">
        <v>1</v>
      </c>
      <c r="E912" s="42" t="s">
        <v>160</v>
      </c>
      <c r="F912" s="42" t="s">
        <v>160</v>
      </c>
      <c r="G912" s="43">
        <v>43991</v>
      </c>
    </row>
    <row r="913" spans="1:7" x14ac:dyDescent="0.25">
      <c r="A913" s="19" t="s">
        <v>1160</v>
      </c>
      <c r="B913" s="42" t="s">
        <v>120</v>
      </c>
      <c r="C913" s="3">
        <v>18</v>
      </c>
      <c r="D913" s="3">
        <v>1</v>
      </c>
      <c r="E913" s="42" t="s">
        <v>160</v>
      </c>
      <c r="F913" s="42" t="s">
        <v>160</v>
      </c>
      <c r="G913" s="43">
        <v>43991</v>
      </c>
    </row>
    <row r="914" spans="1:7" x14ac:dyDescent="0.25">
      <c r="A914" s="19" t="s">
        <v>1161</v>
      </c>
      <c r="B914" s="42" t="s">
        <v>3</v>
      </c>
      <c r="C914" s="3">
        <v>18</v>
      </c>
      <c r="D914" s="3">
        <v>1</v>
      </c>
      <c r="E914" s="42" t="s">
        <v>160</v>
      </c>
      <c r="G914" s="43">
        <v>43991</v>
      </c>
    </row>
    <row r="915" spans="1:7" x14ac:dyDescent="0.25">
      <c r="A915" s="19" t="s">
        <v>1162</v>
      </c>
      <c r="B915" s="42" t="s">
        <v>3</v>
      </c>
      <c r="C915" s="3">
        <v>18</v>
      </c>
      <c r="D915" s="3">
        <v>1</v>
      </c>
      <c r="G915" s="43">
        <v>43991</v>
      </c>
    </row>
    <row r="916" spans="1:7" x14ac:dyDescent="0.25">
      <c r="A916" s="19" t="s">
        <v>1163</v>
      </c>
      <c r="B916" s="42" t="s">
        <v>3</v>
      </c>
      <c r="C916" s="3">
        <v>18</v>
      </c>
      <c r="D916" s="3">
        <v>1</v>
      </c>
      <c r="E916" s="42" t="s">
        <v>160</v>
      </c>
      <c r="G916" s="43">
        <v>43991</v>
      </c>
    </row>
    <row r="917" spans="1:7" x14ac:dyDescent="0.25">
      <c r="A917" s="19" t="s">
        <v>1164</v>
      </c>
      <c r="B917" s="42" t="s">
        <v>3</v>
      </c>
      <c r="C917" s="3">
        <v>18</v>
      </c>
      <c r="D917" s="3">
        <v>1</v>
      </c>
      <c r="G917" s="43">
        <v>43991</v>
      </c>
    </row>
    <row r="918" spans="1:7" x14ac:dyDescent="0.25">
      <c r="A918" s="19" t="s">
        <v>1165</v>
      </c>
      <c r="B918" s="42" t="s">
        <v>120</v>
      </c>
      <c r="C918" s="3">
        <v>18</v>
      </c>
      <c r="D918" s="3">
        <v>1</v>
      </c>
      <c r="E918" s="42" t="s">
        <v>160</v>
      </c>
      <c r="F918" s="42" t="s">
        <v>160</v>
      </c>
      <c r="G918" s="43">
        <v>43991</v>
      </c>
    </row>
    <row r="919" spans="1:7" x14ac:dyDescent="0.25">
      <c r="A919" s="19" t="s">
        <v>1166</v>
      </c>
      <c r="B919" s="42" t="s">
        <v>3</v>
      </c>
      <c r="C919" s="3">
        <v>18</v>
      </c>
      <c r="D919" s="3">
        <v>1</v>
      </c>
      <c r="E919" s="42" t="s">
        <v>160</v>
      </c>
      <c r="G919" s="43">
        <v>43991</v>
      </c>
    </row>
    <row r="920" spans="1:7" x14ac:dyDescent="0.25">
      <c r="A920" s="19" t="s">
        <v>1167</v>
      </c>
      <c r="B920" s="42" t="s">
        <v>120</v>
      </c>
      <c r="C920" s="3">
        <v>18</v>
      </c>
      <c r="D920" s="3">
        <v>1</v>
      </c>
      <c r="E920" s="42" t="s">
        <v>160</v>
      </c>
      <c r="F920" s="42" t="s">
        <v>160</v>
      </c>
      <c r="G920" s="43">
        <v>43991</v>
      </c>
    </row>
    <row r="921" spans="1:7" x14ac:dyDescent="0.25">
      <c r="A921" s="19" t="s">
        <v>1168</v>
      </c>
      <c r="B921" s="42" t="s">
        <v>3</v>
      </c>
      <c r="C921" s="3">
        <v>18</v>
      </c>
      <c r="D921" s="3">
        <v>1</v>
      </c>
      <c r="G921" s="43">
        <v>43991</v>
      </c>
    </row>
    <row r="922" spans="1:7" x14ac:dyDescent="0.25">
      <c r="A922" s="19" t="s">
        <v>1169</v>
      </c>
      <c r="B922" s="42" t="s">
        <v>120</v>
      </c>
      <c r="C922" s="3">
        <v>18</v>
      </c>
      <c r="D922" s="3">
        <v>1</v>
      </c>
      <c r="E922" s="42" t="s">
        <v>160</v>
      </c>
      <c r="F922" s="42" t="s">
        <v>160</v>
      </c>
      <c r="G922" s="43">
        <v>43991</v>
      </c>
    </row>
    <row r="923" spans="1:7" x14ac:dyDescent="0.25">
      <c r="A923" s="19" t="s">
        <v>1170</v>
      </c>
      <c r="B923" s="42" t="s">
        <v>3</v>
      </c>
      <c r="C923" s="3">
        <v>19</v>
      </c>
      <c r="D923" s="3">
        <v>1</v>
      </c>
      <c r="G923" s="43">
        <v>43991</v>
      </c>
    </row>
    <row r="924" spans="1:7" x14ac:dyDescent="0.25">
      <c r="A924" s="19" t="s">
        <v>1171</v>
      </c>
      <c r="B924" s="42" t="s">
        <v>3</v>
      </c>
      <c r="C924" s="3">
        <v>21</v>
      </c>
      <c r="D924" s="3">
        <v>1</v>
      </c>
      <c r="G924" s="43">
        <v>43991</v>
      </c>
    </row>
    <row r="925" spans="1:7" x14ac:dyDescent="0.25">
      <c r="A925" s="19" t="s">
        <v>1172</v>
      </c>
      <c r="B925" s="42" t="s">
        <v>3</v>
      </c>
      <c r="C925" s="3">
        <v>18</v>
      </c>
      <c r="D925" s="3">
        <v>1</v>
      </c>
      <c r="G925" s="43">
        <v>43991</v>
      </c>
    </row>
    <row r="926" spans="1:7" x14ac:dyDescent="0.25">
      <c r="A926" s="19" t="s">
        <v>1173</v>
      </c>
      <c r="B926" s="42" t="s">
        <v>120</v>
      </c>
      <c r="C926" s="3">
        <v>18</v>
      </c>
      <c r="D926" s="3">
        <v>1</v>
      </c>
      <c r="E926" s="42" t="s">
        <v>160</v>
      </c>
      <c r="F926" s="42" t="s">
        <v>160</v>
      </c>
      <c r="G926" s="43">
        <v>43991</v>
      </c>
    </row>
    <row r="927" spans="1:7" x14ac:dyDescent="0.25">
      <c r="A927" s="19" t="s">
        <v>1174</v>
      </c>
      <c r="B927" s="42" t="s">
        <v>3</v>
      </c>
      <c r="C927" s="3">
        <v>21</v>
      </c>
      <c r="D927" s="3">
        <v>1</v>
      </c>
      <c r="G927" s="43">
        <v>43991</v>
      </c>
    </row>
    <row r="928" spans="1:7" x14ac:dyDescent="0.25">
      <c r="A928" s="19" t="s">
        <v>1175</v>
      </c>
      <c r="B928" s="42" t="s">
        <v>3</v>
      </c>
      <c r="C928" s="3">
        <v>18</v>
      </c>
      <c r="D928" s="3">
        <v>1</v>
      </c>
      <c r="G928" s="43">
        <v>43991</v>
      </c>
    </row>
    <row r="929" spans="1:7" x14ac:dyDescent="0.25">
      <c r="A929" s="19" t="s">
        <v>1176</v>
      </c>
      <c r="B929" s="42" t="s">
        <v>120</v>
      </c>
      <c r="C929" s="3">
        <v>18</v>
      </c>
      <c r="D929" s="3">
        <v>1</v>
      </c>
      <c r="E929" s="42" t="s">
        <v>160</v>
      </c>
      <c r="F929" s="42" t="s">
        <v>160</v>
      </c>
      <c r="G929" s="43">
        <v>43992</v>
      </c>
    </row>
    <row r="930" spans="1:7" x14ac:dyDescent="0.25">
      <c r="A930" s="19" t="s">
        <v>1177</v>
      </c>
      <c r="B930" s="42" t="s">
        <v>3</v>
      </c>
      <c r="C930" s="3">
        <v>18</v>
      </c>
      <c r="D930" s="3">
        <v>1</v>
      </c>
      <c r="G930" s="43">
        <v>43992</v>
      </c>
    </row>
    <row r="931" spans="1:7" x14ac:dyDescent="0.25">
      <c r="A931" s="19" t="s">
        <v>1178</v>
      </c>
      <c r="B931" s="42" t="s">
        <v>120</v>
      </c>
      <c r="C931" s="3">
        <v>19</v>
      </c>
      <c r="D931" s="3">
        <v>1</v>
      </c>
      <c r="E931" s="42" t="s">
        <v>160</v>
      </c>
      <c r="F931" s="42" t="s">
        <v>160</v>
      </c>
      <c r="G931" s="43">
        <v>43992</v>
      </c>
    </row>
    <row r="932" spans="1:7" x14ac:dyDescent="0.25">
      <c r="A932" s="19" t="s">
        <v>1179</v>
      </c>
      <c r="B932" s="42" t="s">
        <v>120</v>
      </c>
      <c r="C932" s="3">
        <v>18</v>
      </c>
      <c r="D932" s="3">
        <v>1</v>
      </c>
      <c r="E932" s="42" t="s">
        <v>160</v>
      </c>
      <c r="F932" s="42" t="s">
        <v>160</v>
      </c>
      <c r="G932" s="43">
        <v>43992</v>
      </c>
    </row>
    <row r="933" spans="1:7" x14ac:dyDescent="0.25">
      <c r="A933" s="19" t="s">
        <v>1180</v>
      </c>
      <c r="B933" s="42" t="s">
        <v>120</v>
      </c>
      <c r="C933" s="3">
        <v>18</v>
      </c>
      <c r="D933" s="3">
        <v>1</v>
      </c>
      <c r="E933" s="42" t="s">
        <v>160</v>
      </c>
      <c r="F933" s="42" t="s">
        <v>160</v>
      </c>
      <c r="G933" s="43">
        <v>43992</v>
      </c>
    </row>
    <row r="934" spans="1:7" x14ac:dyDescent="0.25">
      <c r="A934" s="19" t="s">
        <v>1181</v>
      </c>
      <c r="B934" s="42" t="s">
        <v>120</v>
      </c>
      <c r="C934" s="3">
        <v>18</v>
      </c>
      <c r="D934" s="3">
        <v>1</v>
      </c>
      <c r="E934" s="42" t="s">
        <v>160</v>
      </c>
      <c r="F934" s="42" t="s">
        <v>160</v>
      </c>
      <c r="G934" s="43">
        <v>43992</v>
      </c>
    </row>
    <row r="935" spans="1:7" x14ac:dyDescent="0.25">
      <c r="A935" s="19" t="s">
        <v>1182</v>
      </c>
      <c r="B935" s="42" t="s">
        <v>3</v>
      </c>
      <c r="C935" s="3">
        <v>19</v>
      </c>
      <c r="D935" s="3">
        <v>1</v>
      </c>
      <c r="G935" s="43">
        <v>43992</v>
      </c>
    </row>
    <row r="936" spans="1:7" x14ac:dyDescent="0.25">
      <c r="A936" s="19" t="s">
        <v>1183</v>
      </c>
      <c r="B936" s="42" t="s">
        <v>3</v>
      </c>
      <c r="C936" s="3">
        <v>18</v>
      </c>
      <c r="D936" s="3">
        <v>1</v>
      </c>
      <c r="E936" s="42" t="s">
        <v>160</v>
      </c>
      <c r="G936" s="43">
        <v>43992</v>
      </c>
    </row>
    <row r="937" spans="1:7" x14ac:dyDescent="0.25">
      <c r="A937" s="19" t="s">
        <v>1184</v>
      </c>
      <c r="B937" s="42" t="s">
        <v>120</v>
      </c>
      <c r="C937" s="3">
        <v>18</v>
      </c>
      <c r="D937" s="3">
        <v>1</v>
      </c>
      <c r="E937" s="42" t="s">
        <v>160</v>
      </c>
      <c r="F937" s="42" t="s">
        <v>160</v>
      </c>
      <c r="G937" s="43">
        <v>43992</v>
      </c>
    </row>
    <row r="938" spans="1:7" x14ac:dyDescent="0.25">
      <c r="A938" s="19" t="s">
        <v>1185</v>
      </c>
      <c r="B938" s="42" t="s">
        <v>120</v>
      </c>
      <c r="C938" s="3">
        <v>22</v>
      </c>
      <c r="D938" s="3">
        <v>1</v>
      </c>
      <c r="E938" s="42" t="s">
        <v>160</v>
      </c>
      <c r="F938" s="42" t="s">
        <v>160</v>
      </c>
      <c r="G938" s="43">
        <v>43992</v>
      </c>
    </row>
    <row r="939" spans="1:7" x14ac:dyDescent="0.25">
      <c r="A939" s="19" t="s">
        <v>1186</v>
      </c>
      <c r="B939" s="42" t="s">
        <v>120</v>
      </c>
      <c r="C939" s="3">
        <v>18</v>
      </c>
      <c r="D939" s="3">
        <v>1</v>
      </c>
      <c r="E939" s="42" t="s">
        <v>160</v>
      </c>
      <c r="G939" s="43">
        <v>43992</v>
      </c>
    </row>
    <row r="940" spans="1:7" x14ac:dyDescent="0.25">
      <c r="A940" s="19" t="s">
        <v>1187</v>
      </c>
      <c r="B940" s="42" t="s">
        <v>3</v>
      </c>
      <c r="C940" s="3">
        <v>18</v>
      </c>
      <c r="D940" s="3">
        <v>1</v>
      </c>
      <c r="G940" s="43">
        <v>43992</v>
      </c>
    </row>
    <row r="941" spans="1:7" x14ac:dyDescent="0.25">
      <c r="A941" s="19" t="s">
        <v>1188</v>
      </c>
      <c r="B941" s="42" t="s">
        <v>120</v>
      </c>
      <c r="C941" s="3">
        <v>18</v>
      </c>
      <c r="D941" s="3">
        <v>1</v>
      </c>
      <c r="E941" s="42" t="s">
        <v>160</v>
      </c>
      <c r="F941" s="42" t="s">
        <v>160</v>
      </c>
      <c r="G941" s="43">
        <v>43992</v>
      </c>
    </row>
    <row r="942" spans="1:7" x14ac:dyDescent="0.25">
      <c r="A942" s="19" t="s">
        <v>1189</v>
      </c>
      <c r="B942" s="42" t="s">
        <v>3</v>
      </c>
      <c r="C942" s="3">
        <v>24</v>
      </c>
      <c r="D942" s="3">
        <v>1</v>
      </c>
      <c r="G942" s="43">
        <v>43992</v>
      </c>
    </row>
    <row r="943" spans="1:7" x14ac:dyDescent="0.25">
      <c r="A943" s="19" t="s">
        <v>1190</v>
      </c>
      <c r="B943" s="42" t="s">
        <v>120</v>
      </c>
      <c r="C943" s="3">
        <v>19</v>
      </c>
      <c r="D943" s="3">
        <v>1</v>
      </c>
      <c r="E943" s="42" t="s">
        <v>160</v>
      </c>
      <c r="F943" s="42" t="s">
        <v>160</v>
      </c>
      <c r="G943" s="43">
        <v>43992</v>
      </c>
    </row>
    <row r="944" spans="1:7" x14ac:dyDescent="0.25">
      <c r="A944" s="19" t="s">
        <v>1191</v>
      </c>
      <c r="B944" s="42" t="s">
        <v>120</v>
      </c>
      <c r="C944" s="3">
        <v>19</v>
      </c>
      <c r="D944" s="3">
        <v>1</v>
      </c>
      <c r="E944" s="42" t="s">
        <v>160</v>
      </c>
      <c r="F944" s="42" t="s">
        <v>160</v>
      </c>
      <c r="G944" s="43">
        <v>43992</v>
      </c>
    </row>
    <row r="945" spans="1:7" x14ac:dyDescent="0.25">
      <c r="A945" s="19" t="s">
        <v>1192</v>
      </c>
      <c r="B945" s="42" t="s">
        <v>3</v>
      </c>
      <c r="C945" s="3">
        <v>18</v>
      </c>
      <c r="D945" s="3">
        <v>1</v>
      </c>
      <c r="G945" s="43">
        <v>43992</v>
      </c>
    </row>
    <row r="946" spans="1:7" x14ac:dyDescent="0.25">
      <c r="A946" s="19" t="s">
        <v>1193</v>
      </c>
      <c r="B946" s="42" t="s">
        <v>3</v>
      </c>
      <c r="C946" s="3">
        <v>18</v>
      </c>
      <c r="D946" s="3">
        <v>1</v>
      </c>
      <c r="G946" s="43">
        <v>43992</v>
      </c>
    </row>
    <row r="947" spans="1:7" x14ac:dyDescent="0.25">
      <c r="A947" s="19" t="s">
        <v>1194</v>
      </c>
      <c r="B947" s="42" t="s">
        <v>3</v>
      </c>
      <c r="C947" s="3">
        <v>20</v>
      </c>
      <c r="D947" s="3">
        <v>1</v>
      </c>
      <c r="G947" s="43">
        <v>43992</v>
      </c>
    </row>
    <row r="948" spans="1:7" x14ac:dyDescent="0.25">
      <c r="A948" s="19" t="s">
        <v>1195</v>
      </c>
      <c r="B948" s="42" t="s">
        <v>3</v>
      </c>
      <c r="C948" s="3">
        <v>18</v>
      </c>
      <c r="D948" s="3">
        <v>1</v>
      </c>
      <c r="G948" s="43">
        <v>43992</v>
      </c>
    </row>
    <row r="949" spans="1:7" x14ac:dyDescent="0.25">
      <c r="A949" s="19" t="s">
        <v>1196</v>
      </c>
      <c r="B949" s="42" t="s">
        <v>120</v>
      </c>
      <c r="C949" s="3">
        <v>19</v>
      </c>
      <c r="D949" s="3">
        <v>1</v>
      </c>
      <c r="E949" s="42" t="s">
        <v>160</v>
      </c>
      <c r="G949" s="43">
        <v>43992</v>
      </c>
    </row>
    <row r="950" spans="1:7" x14ac:dyDescent="0.25">
      <c r="A950" s="19" t="s">
        <v>1197</v>
      </c>
      <c r="B950" s="42" t="s">
        <v>120</v>
      </c>
      <c r="C950" s="3">
        <v>18</v>
      </c>
      <c r="D950" s="3">
        <v>1</v>
      </c>
      <c r="E950" s="42" t="s">
        <v>160</v>
      </c>
      <c r="G950" s="43">
        <v>43992</v>
      </c>
    </row>
    <row r="951" spans="1:7" x14ac:dyDescent="0.25">
      <c r="A951" s="19" t="s">
        <v>1198</v>
      </c>
      <c r="B951" s="42" t="s">
        <v>120</v>
      </c>
      <c r="C951" s="3">
        <v>19</v>
      </c>
      <c r="D951" s="3">
        <v>1</v>
      </c>
      <c r="E951" s="42" t="s">
        <v>160</v>
      </c>
      <c r="F951" s="42" t="s">
        <v>160</v>
      </c>
      <c r="G951" s="43">
        <v>43992</v>
      </c>
    </row>
    <row r="952" spans="1:7" x14ac:dyDescent="0.25">
      <c r="A952" s="19" t="s">
        <v>1199</v>
      </c>
      <c r="B952" s="42" t="s">
        <v>120</v>
      </c>
      <c r="C952" s="3">
        <v>18</v>
      </c>
      <c r="D952" s="3">
        <v>1</v>
      </c>
      <c r="E952" s="42" t="s">
        <v>160</v>
      </c>
      <c r="F952" s="42" t="s">
        <v>160</v>
      </c>
      <c r="G952" s="43">
        <v>43992</v>
      </c>
    </row>
    <row r="953" spans="1:7" x14ac:dyDescent="0.25">
      <c r="A953" s="19" t="s">
        <v>1200</v>
      </c>
      <c r="B953" s="42" t="s">
        <v>120</v>
      </c>
      <c r="C953" s="3">
        <v>22</v>
      </c>
      <c r="D953" s="3">
        <v>1</v>
      </c>
      <c r="E953" s="42" t="s">
        <v>160</v>
      </c>
      <c r="F953" s="42" t="s">
        <v>160</v>
      </c>
      <c r="G953" s="43">
        <v>43992</v>
      </c>
    </row>
    <row r="954" spans="1:7" x14ac:dyDescent="0.25">
      <c r="A954" s="19" t="s">
        <v>1201</v>
      </c>
      <c r="B954" s="42" t="s">
        <v>120</v>
      </c>
      <c r="C954" s="3">
        <v>19</v>
      </c>
      <c r="D954" s="3">
        <v>1</v>
      </c>
      <c r="E954" s="42" t="s">
        <v>160</v>
      </c>
      <c r="F954" s="42" t="s">
        <v>160</v>
      </c>
      <c r="G954" s="43">
        <v>43992</v>
      </c>
    </row>
    <row r="955" spans="1:7" x14ac:dyDescent="0.25">
      <c r="A955" s="19" t="s">
        <v>1202</v>
      </c>
      <c r="B955" s="42" t="s">
        <v>120</v>
      </c>
      <c r="C955" s="3">
        <v>20</v>
      </c>
      <c r="D955" s="3">
        <v>1</v>
      </c>
      <c r="E955" s="42" t="s">
        <v>160</v>
      </c>
      <c r="F955" s="42" t="s">
        <v>160</v>
      </c>
      <c r="G955" s="43">
        <v>43992</v>
      </c>
    </row>
    <row r="956" spans="1:7" x14ac:dyDescent="0.25">
      <c r="A956" s="19" t="s">
        <v>1203</v>
      </c>
      <c r="B956" s="42" t="s">
        <v>120</v>
      </c>
      <c r="C956" s="3">
        <v>18</v>
      </c>
      <c r="D956" s="3">
        <v>1</v>
      </c>
      <c r="E956" s="42" t="s">
        <v>160</v>
      </c>
      <c r="G956" s="43">
        <v>43992</v>
      </c>
    </row>
    <row r="957" spans="1:7" x14ac:dyDescent="0.25">
      <c r="A957" s="19" t="s">
        <v>1204</v>
      </c>
      <c r="B957" s="42" t="s">
        <v>3</v>
      </c>
      <c r="C957" s="3">
        <v>19</v>
      </c>
      <c r="D957" s="3">
        <v>1</v>
      </c>
      <c r="G957" s="43">
        <v>43992</v>
      </c>
    </row>
    <row r="958" spans="1:7" x14ac:dyDescent="0.25">
      <c r="A958" s="19" t="s">
        <v>1205</v>
      </c>
      <c r="B958" s="42" t="s">
        <v>3</v>
      </c>
      <c r="C958" s="3">
        <v>18</v>
      </c>
      <c r="D958" s="3">
        <v>1</v>
      </c>
      <c r="G958" s="43">
        <v>43992</v>
      </c>
    </row>
    <row r="959" spans="1:7" x14ac:dyDescent="0.25">
      <c r="A959" s="19" t="s">
        <v>1206</v>
      </c>
      <c r="B959" s="42" t="s">
        <v>120</v>
      </c>
      <c r="C959" s="3">
        <v>19</v>
      </c>
      <c r="D959" s="3">
        <v>1</v>
      </c>
      <c r="E959" s="42" t="s">
        <v>160</v>
      </c>
      <c r="F959" s="42" t="s">
        <v>160</v>
      </c>
      <c r="G959" s="43">
        <v>43992</v>
      </c>
    </row>
    <row r="960" spans="1:7" x14ac:dyDescent="0.25">
      <c r="A960" s="19" t="s">
        <v>1207</v>
      </c>
      <c r="B960" s="42" t="s">
        <v>3</v>
      </c>
      <c r="C960" s="3">
        <v>18</v>
      </c>
      <c r="D960" s="3">
        <v>1</v>
      </c>
      <c r="G960" s="43">
        <v>43992</v>
      </c>
    </row>
    <row r="961" spans="1:7" x14ac:dyDescent="0.25">
      <c r="A961" s="19" t="s">
        <v>1208</v>
      </c>
      <c r="B961" s="42" t="s">
        <v>3</v>
      </c>
      <c r="C961" s="3">
        <v>19</v>
      </c>
      <c r="D961" s="3">
        <v>1</v>
      </c>
      <c r="G961" s="43">
        <v>43992</v>
      </c>
    </row>
    <row r="962" spans="1:7" x14ac:dyDescent="0.25">
      <c r="A962" s="19" t="s">
        <v>1209</v>
      </c>
      <c r="B962" s="42" t="s">
        <v>120</v>
      </c>
      <c r="C962" s="3">
        <v>18</v>
      </c>
      <c r="D962" s="3">
        <v>1</v>
      </c>
      <c r="E962" s="42" t="s">
        <v>160</v>
      </c>
      <c r="F962" s="42" t="s">
        <v>160</v>
      </c>
      <c r="G962" s="43">
        <v>43992</v>
      </c>
    </row>
    <row r="963" spans="1:7" x14ac:dyDescent="0.25">
      <c r="A963" s="19" t="s">
        <v>1210</v>
      </c>
      <c r="B963" s="42" t="s">
        <v>120</v>
      </c>
      <c r="C963" s="3">
        <v>18</v>
      </c>
      <c r="D963" s="3">
        <v>1</v>
      </c>
      <c r="E963" s="42" t="s">
        <v>160</v>
      </c>
      <c r="F963" s="42" t="s">
        <v>160</v>
      </c>
      <c r="G963" s="43">
        <v>43992</v>
      </c>
    </row>
    <row r="964" spans="1:7" x14ac:dyDescent="0.25">
      <c r="A964" s="19" t="s">
        <v>1211</v>
      </c>
      <c r="B964" s="42" t="s">
        <v>120</v>
      </c>
      <c r="C964" s="3">
        <v>18</v>
      </c>
      <c r="D964" s="3">
        <v>1</v>
      </c>
      <c r="E964" s="42" t="s">
        <v>160</v>
      </c>
      <c r="F964" s="42" t="s">
        <v>160</v>
      </c>
      <c r="G964" s="43">
        <v>43992</v>
      </c>
    </row>
    <row r="965" spans="1:7" x14ac:dyDescent="0.25">
      <c r="A965" s="19" t="s">
        <v>1212</v>
      </c>
      <c r="B965" s="42" t="s">
        <v>120</v>
      </c>
      <c r="C965" s="3">
        <v>18</v>
      </c>
      <c r="D965" s="3">
        <v>1</v>
      </c>
      <c r="E965" s="42" t="s">
        <v>160</v>
      </c>
      <c r="F965" s="42" t="s">
        <v>160</v>
      </c>
      <c r="G965" s="43">
        <v>43992</v>
      </c>
    </row>
    <row r="966" spans="1:7" x14ac:dyDescent="0.25">
      <c r="A966" s="19" t="s">
        <v>1213</v>
      </c>
      <c r="B966" s="42" t="s">
        <v>3</v>
      </c>
      <c r="C966" s="3">
        <v>18</v>
      </c>
      <c r="D966" s="3">
        <v>1</v>
      </c>
      <c r="G966" s="43">
        <v>43992</v>
      </c>
    </row>
    <row r="967" spans="1:7" x14ac:dyDescent="0.25">
      <c r="A967" s="19" t="s">
        <v>1214</v>
      </c>
      <c r="B967" s="42" t="s">
        <v>3</v>
      </c>
      <c r="C967" s="3">
        <v>19</v>
      </c>
      <c r="D967" s="3">
        <v>1</v>
      </c>
      <c r="E967" s="42" t="s">
        <v>160</v>
      </c>
      <c r="G967" s="43">
        <v>43992</v>
      </c>
    </row>
    <row r="968" spans="1:7" x14ac:dyDescent="0.25">
      <c r="A968" s="19" t="s">
        <v>1215</v>
      </c>
      <c r="B968" s="42" t="s">
        <v>120</v>
      </c>
      <c r="C968" s="3">
        <v>19</v>
      </c>
      <c r="D968" s="3">
        <v>1</v>
      </c>
      <c r="E968" s="42" t="s">
        <v>160</v>
      </c>
      <c r="F968" s="42" t="s">
        <v>160</v>
      </c>
      <c r="G968" s="43">
        <v>43992</v>
      </c>
    </row>
    <row r="969" spans="1:7" x14ac:dyDescent="0.25">
      <c r="A969" s="19" t="s">
        <v>1216</v>
      </c>
      <c r="B969" s="42" t="s">
        <v>3</v>
      </c>
      <c r="C969" s="3">
        <v>22</v>
      </c>
      <c r="D969" s="3">
        <v>1</v>
      </c>
      <c r="G969" s="43">
        <v>43992</v>
      </c>
    </row>
    <row r="970" spans="1:7" x14ac:dyDescent="0.25">
      <c r="A970" s="19" t="s">
        <v>1217</v>
      </c>
      <c r="B970" s="42" t="s">
        <v>3</v>
      </c>
      <c r="C970" s="3">
        <v>22</v>
      </c>
      <c r="D970" s="3">
        <v>1</v>
      </c>
      <c r="E970" s="42" t="s">
        <v>160</v>
      </c>
      <c r="G970" s="43">
        <v>43992</v>
      </c>
    </row>
    <row r="971" spans="1:7" x14ac:dyDescent="0.25">
      <c r="A971" s="19" t="s">
        <v>1218</v>
      </c>
      <c r="B971" s="42" t="s">
        <v>3</v>
      </c>
      <c r="C971" s="3">
        <v>21</v>
      </c>
      <c r="D971" s="3">
        <v>1</v>
      </c>
      <c r="G971" s="43">
        <v>43992</v>
      </c>
    </row>
    <row r="972" spans="1:7" x14ac:dyDescent="0.25">
      <c r="A972" s="19" t="s">
        <v>1219</v>
      </c>
      <c r="B972" s="42" t="s">
        <v>3</v>
      </c>
      <c r="C972" s="3">
        <v>22</v>
      </c>
      <c r="D972" s="3">
        <v>1</v>
      </c>
      <c r="G972" s="43">
        <v>43992</v>
      </c>
    </row>
    <row r="973" spans="1:7" x14ac:dyDescent="0.25">
      <c r="A973" s="19" t="s">
        <v>1220</v>
      </c>
      <c r="B973" s="42" t="s">
        <v>120</v>
      </c>
      <c r="C973" s="3">
        <v>19</v>
      </c>
      <c r="D973" s="3">
        <v>1</v>
      </c>
      <c r="E973" s="42" t="s">
        <v>160</v>
      </c>
      <c r="F973" s="42" t="s">
        <v>160</v>
      </c>
      <c r="G973" s="43">
        <v>43992</v>
      </c>
    </row>
    <row r="974" spans="1:7" x14ac:dyDescent="0.25">
      <c r="A974" s="19" t="s">
        <v>1221</v>
      </c>
      <c r="B974" s="42" t="s">
        <v>120</v>
      </c>
      <c r="C974" s="3">
        <v>22</v>
      </c>
      <c r="D974" s="3">
        <v>1</v>
      </c>
      <c r="E974" s="42" t="s">
        <v>160</v>
      </c>
      <c r="F974" s="42" t="s">
        <v>160</v>
      </c>
      <c r="G974" s="43">
        <v>43992</v>
      </c>
    </row>
    <row r="975" spans="1:7" x14ac:dyDescent="0.25">
      <c r="A975" s="19" t="s">
        <v>1222</v>
      </c>
      <c r="B975" s="42" t="s">
        <v>120</v>
      </c>
      <c r="C975" s="3">
        <v>18</v>
      </c>
      <c r="D975" s="3">
        <v>1</v>
      </c>
      <c r="E975" s="42" t="s">
        <v>160</v>
      </c>
      <c r="F975" s="42" t="s">
        <v>160</v>
      </c>
      <c r="G975" s="43">
        <v>43992</v>
      </c>
    </row>
    <row r="976" spans="1:7" x14ac:dyDescent="0.25">
      <c r="A976" s="19" t="s">
        <v>1223</v>
      </c>
      <c r="B976" s="42" t="s">
        <v>120</v>
      </c>
      <c r="C976" s="3">
        <v>18</v>
      </c>
      <c r="D976" s="3">
        <v>1</v>
      </c>
      <c r="E976" s="42" t="s">
        <v>160</v>
      </c>
      <c r="F976" s="42" t="s">
        <v>160</v>
      </c>
      <c r="G976" s="43">
        <v>43992</v>
      </c>
    </row>
    <row r="977" spans="1:7" x14ac:dyDescent="0.25">
      <c r="A977" s="19" t="s">
        <v>1224</v>
      </c>
      <c r="B977" s="42" t="s">
        <v>120</v>
      </c>
      <c r="C977" s="3">
        <v>18</v>
      </c>
      <c r="D977" s="3">
        <v>1</v>
      </c>
      <c r="E977" s="42" t="s">
        <v>160</v>
      </c>
      <c r="G977" s="43">
        <v>43992</v>
      </c>
    </row>
    <row r="978" spans="1:7" x14ac:dyDescent="0.25">
      <c r="A978" s="19" t="s">
        <v>1225</v>
      </c>
      <c r="B978" s="42" t="s">
        <v>120</v>
      </c>
      <c r="C978" s="3">
        <v>18</v>
      </c>
      <c r="D978" s="3">
        <v>1</v>
      </c>
      <c r="E978" s="42" t="s">
        <v>160</v>
      </c>
      <c r="G978" s="43">
        <v>43992</v>
      </c>
    </row>
    <row r="979" spans="1:7" x14ac:dyDescent="0.25">
      <c r="A979" s="19" t="s">
        <v>1226</v>
      </c>
      <c r="B979" s="42" t="s">
        <v>3</v>
      </c>
      <c r="C979" s="3">
        <v>18</v>
      </c>
      <c r="D979" s="3">
        <v>1</v>
      </c>
      <c r="G979" s="43">
        <v>43992</v>
      </c>
    </row>
    <row r="980" spans="1:7" x14ac:dyDescent="0.25">
      <c r="A980" s="19" t="s">
        <v>1227</v>
      </c>
      <c r="B980" s="42" t="s">
        <v>3</v>
      </c>
      <c r="C980" s="3">
        <v>24</v>
      </c>
      <c r="D980" s="3">
        <v>1</v>
      </c>
      <c r="G980" s="43">
        <v>43992</v>
      </c>
    </row>
    <row r="981" spans="1:7" x14ac:dyDescent="0.25">
      <c r="A981" s="19" t="s">
        <v>1228</v>
      </c>
      <c r="B981" s="42" t="s">
        <v>120</v>
      </c>
      <c r="C981" s="3">
        <v>18</v>
      </c>
      <c r="D981" s="3">
        <v>1</v>
      </c>
      <c r="E981" s="42" t="s">
        <v>160</v>
      </c>
      <c r="F981" s="42" t="s">
        <v>160</v>
      </c>
      <c r="G981" s="43">
        <v>43992</v>
      </c>
    </row>
    <row r="982" spans="1:7" x14ac:dyDescent="0.25">
      <c r="A982" s="19" t="s">
        <v>1229</v>
      </c>
      <c r="B982" s="42" t="s">
        <v>3</v>
      </c>
      <c r="C982" s="3">
        <v>21</v>
      </c>
      <c r="D982" s="3">
        <v>1</v>
      </c>
      <c r="G982" s="43">
        <v>43992</v>
      </c>
    </row>
    <row r="983" spans="1:7" x14ac:dyDescent="0.25">
      <c r="A983" s="19" t="s">
        <v>1230</v>
      </c>
      <c r="B983" s="42" t="s">
        <v>3</v>
      </c>
      <c r="C983" s="3">
        <v>18</v>
      </c>
      <c r="D983" s="3">
        <v>1</v>
      </c>
      <c r="G983" s="43">
        <v>43992</v>
      </c>
    </row>
    <row r="984" spans="1:7" x14ac:dyDescent="0.25">
      <c r="A984" s="19" t="s">
        <v>1231</v>
      </c>
      <c r="B984" s="42" t="s">
        <v>3</v>
      </c>
      <c r="C984" s="3">
        <v>18</v>
      </c>
      <c r="D984" s="3">
        <v>1</v>
      </c>
      <c r="G984" s="43">
        <v>43992</v>
      </c>
    </row>
    <row r="985" spans="1:7" x14ac:dyDescent="0.25">
      <c r="A985" s="19" t="s">
        <v>1232</v>
      </c>
      <c r="B985" s="42" t="s">
        <v>120</v>
      </c>
      <c r="C985" s="3">
        <v>18</v>
      </c>
      <c r="D985" s="3">
        <v>1</v>
      </c>
      <c r="E985" s="42" t="s">
        <v>160</v>
      </c>
      <c r="F985" s="42" t="s">
        <v>160</v>
      </c>
      <c r="G985" s="43">
        <v>43992</v>
      </c>
    </row>
    <row r="986" spans="1:7" x14ac:dyDescent="0.25">
      <c r="A986" s="19" t="s">
        <v>1233</v>
      </c>
      <c r="B986" s="42" t="s">
        <v>120</v>
      </c>
      <c r="C986" s="3">
        <v>18</v>
      </c>
      <c r="D986" s="3">
        <v>1</v>
      </c>
      <c r="E986" s="42" t="s">
        <v>160</v>
      </c>
      <c r="F986" s="42" t="s">
        <v>160</v>
      </c>
      <c r="G986" s="43">
        <v>43992</v>
      </c>
    </row>
    <row r="987" spans="1:7" x14ac:dyDescent="0.25">
      <c r="A987" s="19" t="s">
        <v>1234</v>
      </c>
      <c r="B987" s="42" t="s">
        <v>3</v>
      </c>
      <c r="C987" s="3">
        <v>18</v>
      </c>
      <c r="D987" s="3">
        <v>1</v>
      </c>
      <c r="G987" s="43">
        <v>43992</v>
      </c>
    </row>
    <row r="988" spans="1:7" x14ac:dyDescent="0.25">
      <c r="A988" s="19" t="s">
        <v>1235</v>
      </c>
      <c r="B988" s="42" t="s">
        <v>120</v>
      </c>
      <c r="C988" s="3">
        <v>25</v>
      </c>
      <c r="D988" s="3">
        <v>1</v>
      </c>
      <c r="E988" s="42" t="s">
        <v>160</v>
      </c>
      <c r="G988" s="43">
        <v>43992</v>
      </c>
    </row>
    <row r="989" spans="1:7" x14ac:dyDescent="0.25">
      <c r="A989" s="19" t="s">
        <v>1236</v>
      </c>
      <c r="B989" s="42" t="s">
        <v>3</v>
      </c>
      <c r="C989" s="3">
        <v>20</v>
      </c>
      <c r="D989" s="3">
        <v>1</v>
      </c>
      <c r="G989" s="43">
        <v>43992</v>
      </c>
    </row>
    <row r="990" spans="1:7" x14ac:dyDescent="0.25">
      <c r="A990" s="19" t="s">
        <v>1237</v>
      </c>
      <c r="B990" s="42" t="s">
        <v>120</v>
      </c>
      <c r="C990" s="3">
        <v>18</v>
      </c>
      <c r="D990" s="3">
        <v>1</v>
      </c>
      <c r="E990" s="42" t="s">
        <v>160</v>
      </c>
      <c r="F990" s="42" t="s">
        <v>160</v>
      </c>
      <c r="G990" s="43">
        <v>43992</v>
      </c>
    </row>
    <row r="991" spans="1:7" x14ac:dyDescent="0.25">
      <c r="A991" s="19" t="s">
        <v>1238</v>
      </c>
      <c r="B991" s="42" t="s">
        <v>120</v>
      </c>
      <c r="C991" s="3">
        <v>24</v>
      </c>
      <c r="D991" s="3">
        <v>1</v>
      </c>
      <c r="E991" s="42" t="s">
        <v>160</v>
      </c>
      <c r="G991" s="43">
        <v>43992</v>
      </c>
    </row>
    <row r="992" spans="1:7" x14ac:dyDescent="0.25">
      <c r="A992" s="19" t="s">
        <v>1239</v>
      </c>
      <c r="B992" s="42" t="s">
        <v>3</v>
      </c>
      <c r="C992" s="3">
        <v>24</v>
      </c>
      <c r="D992" s="3">
        <v>1</v>
      </c>
      <c r="G992" s="43">
        <v>43992</v>
      </c>
    </row>
    <row r="993" spans="1:7" x14ac:dyDescent="0.25">
      <c r="A993" s="19" t="s">
        <v>1240</v>
      </c>
      <c r="B993" s="42" t="s">
        <v>3</v>
      </c>
      <c r="C993" s="3">
        <v>19</v>
      </c>
      <c r="D993" s="3">
        <v>1</v>
      </c>
      <c r="G993" s="43">
        <v>43992</v>
      </c>
    </row>
    <row r="994" spans="1:7" x14ac:dyDescent="0.25">
      <c r="A994" s="32" t="s">
        <v>1241</v>
      </c>
      <c r="B994" s="42" t="s">
        <v>85</v>
      </c>
      <c r="C994" s="3">
        <v>20</v>
      </c>
      <c r="D994" s="3">
        <v>2</v>
      </c>
      <c r="E994" s="42" t="s">
        <v>160</v>
      </c>
      <c r="F994" s="42" t="s">
        <v>160</v>
      </c>
      <c r="G994" s="43">
        <v>43993</v>
      </c>
    </row>
    <row r="995" spans="1:7" x14ac:dyDescent="0.25">
      <c r="A995" s="32" t="s">
        <v>1242</v>
      </c>
      <c r="B995" s="42" t="s">
        <v>85</v>
      </c>
      <c r="C995" s="3">
        <v>19</v>
      </c>
      <c r="D995" s="3">
        <v>2</v>
      </c>
      <c r="E995" s="42" t="s">
        <v>160</v>
      </c>
      <c r="F995" s="42" t="s">
        <v>160</v>
      </c>
      <c r="G995" s="43">
        <v>43993</v>
      </c>
    </row>
    <row r="996" spans="1:7" x14ac:dyDescent="0.25">
      <c r="A996" s="32" t="s">
        <v>1243</v>
      </c>
      <c r="B996" s="42" t="s">
        <v>85</v>
      </c>
      <c r="C996" s="3">
        <v>18</v>
      </c>
      <c r="D996" s="3">
        <v>2</v>
      </c>
      <c r="E996" s="42" t="s">
        <v>160</v>
      </c>
      <c r="F996" s="42" t="s">
        <v>160</v>
      </c>
      <c r="G996" s="43">
        <v>43993</v>
      </c>
    </row>
    <row r="997" spans="1:7" x14ac:dyDescent="0.25">
      <c r="A997" s="32" t="s">
        <v>1244</v>
      </c>
      <c r="B997" s="42" t="s">
        <v>85</v>
      </c>
      <c r="C997" s="3">
        <v>21</v>
      </c>
      <c r="D997" s="3">
        <v>2</v>
      </c>
      <c r="E997" s="42" t="s">
        <v>160</v>
      </c>
      <c r="F997" s="42" t="s">
        <v>160</v>
      </c>
      <c r="G997" s="43">
        <v>43993</v>
      </c>
    </row>
    <row r="998" spans="1:7" x14ac:dyDescent="0.25">
      <c r="A998" s="32" t="s">
        <v>1245</v>
      </c>
      <c r="B998" s="42" t="s">
        <v>85</v>
      </c>
      <c r="C998" s="3">
        <v>19</v>
      </c>
      <c r="D998" s="3">
        <v>2</v>
      </c>
      <c r="E998" s="42" t="s">
        <v>160</v>
      </c>
      <c r="F998" s="42" t="s">
        <v>160</v>
      </c>
      <c r="G998" s="43">
        <v>43993</v>
      </c>
    </row>
    <row r="999" spans="1:7" x14ac:dyDescent="0.25">
      <c r="A999" s="32" t="s">
        <v>1246</v>
      </c>
      <c r="B999" s="42" t="s">
        <v>85</v>
      </c>
      <c r="C999" s="3">
        <v>22</v>
      </c>
      <c r="D999" s="3">
        <v>2</v>
      </c>
      <c r="E999" s="42" t="s">
        <v>160</v>
      </c>
      <c r="F999" s="42" t="s">
        <v>160</v>
      </c>
      <c r="G999" s="43">
        <v>43993</v>
      </c>
    </row>
    <row r="1000" spans="1:7" x14ac:dyDescent="0.25">
      <c r="A1000" s="32" t="s">
        <v>1247</v>
      </c>
      <c r="B1000" s="42" t="s">
        <v>85</v>
      </c>
      <c r="C1000" s="3">
        <v>24</v>
      </c>
      <c r="D1000" s="3">
        <v>2</v>
      </c>
      <c r="E1000" s="42" t="s">
        <v>160</v>
      </c>
      <c r="G1000" s="43">
        <v>43993</v>
      </c>
    </row>
    <row r="1001" spans="1:7" x14ac:dyDescent="0.25">
      <c r="A1001" s="32" t="s">
        <v>1248</v>
      </c>
      <c r="B1001" s="42" t="s">
        <v>85</v>
      </c>
      <c r="C1001" s="3">
        <v>19</v>
      </c>
      <c r="D1001" s="3">
        <v>2</v>
      </c>
      <c r="E1001" s="42" t="s">
        <v>160</v>
      </c>
      <c r="F1001" s="42" t="s">
        <v>160</v>
      </c>
      <c r="G1001" s="43">
        <v>43993</v>
      </c>
    </row>
    <row r="1002" spans="1:7" x14ac:dyDescent="0.25">
      <c r="A1002" s="32" t="s">
        <v>1249</v>
      </c>
      <c r="B1002" s="42" t="s">
        <v>85</v>
      </c>
      <c r="C1002" s="3">
        <v>19</v>
      </c>
      <c r="D1002" s="3">
        <v>2</v>
      </c>
      <c r="E1002" s="42" t="s">
        <v>160</v>
      </c>
      <c r="F1002" s="42" t="s">
        <v>160</v>
      </c>
      <c r="G1002" s="43">
        <v>43993</v>
      </c>
    </row>
    <row r="1003" spans="1:7" x14ac:dyDescent="0.25">
      <c r="A1003" s="3" t="s">
        <v>1250</v>
      </c>
      <c r="B1003" s="42" t="s">
        <v>85</v>
      </c>
      <c r="C1003" s="3">
        <v>18</v>
      </c>
      <c r="D1003" s="3">
        <v>1</v>
      </c>
      <c r="E1003" s="42" t="s">
        <v>160</v>
      </c>
      <c r="F1003" s="42" t="s">
        <v>160</v>
      </c>
      <c r="G1003" s="43">
        <v>43994</v>
      </c>
    </row>
    <row r="1004" spans="1:7" x14ac:dyDescent="0.25">
      <c r="A1004" s="3" t="s">
        <v>1251</v>
      </c>
      <c r="B1004" s="42" t="s">
        <v>85</v>
      </c>
      <c r="C1004" s="3">
        <v>19</v>
      </c>
      <c r="D1004" s="3">
        <v>1</v>
      </c>
      <c r="E1004" s="42" t="s">
        <v>160</v>
      </c>
      <c r="F1004" s="42" t="s">
        <v>160</v>
      </c>
      <c r="G1004" s="43">
        <v>43994</v>
      </c>
    </row>
    <row r="1005" spans="1:7" x14ac:dyDescent="0.25">
      <c r="A1005" s="19" t="s">
        <v>1252</v>
      </c>
      <c r="B1005" s="42" t="s">
        <v>3</v>
      </c>
      <c r="C1005" s="3">
        <v>18</v>
      </c>
      <c r="D1005" s="3">
        <v>1</v>
      </c>
      <c r="G1005" s="43">
        <v>43994</v>
      </c>
    </row>
    <row r="1006" spans="1:7" x14ac:dyDescent="0.25">
      <c r="A1006" s="32" t="s">
        <v>1253</v>
      </c>
      <c r="B1006" s="42" t="s">
        <v>85</v>
      </c>
      <c r="C1006" s="3">
        <v>21</v>
      </c>
      <c r="D1006" s="3">
        <v>2</v>
      </c>
      <c r="E1006" s="42" t="s">
        <v>160</v>
      </c>
      <c r="F1006" s="42" t="s">
        <v>160</v>
      </c>
      <c r="G1006" s="43">
        <v>43993</v>
      </c>
    </row>
    <row r="1007" spans="1:7" x14ac:dyDescent="0.25">
      <c r="A1007" s="32" t="s">
        <v>1254</v>
      </c>
      <c r="B1007" s="42" t="s">
        <v>85</v>
      </c>
      <c r="C1007" s="3">
        <v>19</v>
      </c>
      <c r="D1007" s="3">
        <v>2</v>
      </c>
      <c r="E1007" s="42" t="s">
        <v>160</v>
      </c>
      <c r="G1007" s="43">
        <v>43993</v>
      </c>
    </row>
    <row r="1008" spans="1:7" x14ac:dyDescent="0.25">
      <c r="A1008" s="32" t="s">
        <v>1255</v>
      </c>
      <c r="B1008" s="42" t="s">
        <v>85</v>
      </c>
      <c r="C1008" s="3">
        <v>18</v>
      </c>
      <c r="D1008" s="3">
        <v>2</v>
      </c>
      <c r="E1008" s="42" t="s">
        <v>160</v>
      </c>
      <c r="F1008" s="42" t="s">
        <v>160</v>
      </c>
      <c r="G1008" s="43">
        <v>43993</v>
      </c>
    </row>
    <row r="1009" spans="1:8" x14ac:dyDescent="0.25">
      <c r="A1009" s="32" t="s">
        <v>1256</v>
      </c>
      <c r="B1009" s="42" t="s">
        <v>85</v>
      </c>
      <c r="C1009" s="3">
        <v>20</v>
      </c>
      <c r="D1009" s="3">
        <v>2</v>
      </c>
      <c r="E1009" s="42" t="s">
        <v>160</v>
      </c>
      <c r="G1009" s="43">
        <v>43993</v>
      </c>
    </row>
    <row r="1010" spans="1:8" x14ac:dyDescent="0.25">
      <c r="A1010" s="32" t="s">
        <v>1257</v>
      </c>
      <c r="B1010" s="42" t="s">
        <v>85</v>
      </c>
      <c r="C1010" s="3">
        <v>20</v>
      </c>
      <c r="D1010" s="3">
        <v>2</v>
      </c>
      <c r="E1010" s="42" t="s">
        <v>160</v>
      </c>
      <c r="F1010" s="42" t="s">
        <v>160</v>
      </c>
      <c r="G1010" s="43">
        <v>43993</v>
      </c>
    </row>
    <row r="1011" spans="1:8" x14ac:dyDescent="0.25">
      <c r="A1011" s="32" t="s">
        <v>1258</v>
      </c>
      <c r="B1011" s="42" t="s">
        <v>85</v>
      </c>
      <c r="C1011" s="3">
        <v>19</v>
      </c>
      <c r="D1011" s="3">
        <v>2</v>
      </c>
      <c r="E1011" s="42" t="s">
        <v>160</v>
      </c>
      <c r="F1011" s="42" t="s">
        <v>160</v>
      </c>
      <c r="G1011" s="43">
        <v>43993</v>
      </c>
    </row>
    <row r="1012" spans="1:8" x14ac:dyDescent="0.25">
      <c r="A1012" s="32" t="s">
        <v>1259</v>
      </c>
      <c r="B1012" s="42" t="s">
        <v>85</v>
      </c>
      <c r="C1012" s="3">
        <v>21</v>
      </c>
      <c r="D1012" s="3">
        <v>2</v>
      </c>
      <c r="E1012" s="42" t="s">
        <v>160</v>
      </c>
      <c r="F1012" s="42" t="s">
        <v>160</v>
      </c>
      <c r="G1012" s="43">
        <v>43993</v>
      </c>
    </row>
    <row r="1013" spans="1:8" x14ac:dyDescent="0.25">
      <c r="A1013" s="32" t="s">
        <v>1260</v>
      </c>
      <c r="B1013" s="42" t="s">
        <v>85</v>
      </c>
      <c r="C1013" s="3">
        <v>27</v>
      </c>
      <c r="D1013" s="3">
        <v>2</v>
      </c>
      <c r="E1013" s="42" t="s">
        <v>160</v>
      </c>
      <c r="F1013" s="42" t="s">
        <v>160</v>
      </c>
      <c r="G1013" s="43">
        <v>43993</v>
      </c>
    </row>
    <row r="1014" spans="1:8" x14ac:dyDescent="0.25">
      <c r="A1014" s="19" t="s">
        <v>1261</v>
      </c>
      <c r="B1014" s="42" t="s">
        <v>3</v>
      </c>
      <c r="C1014" s="3">
        <v>18</v>
      </c>
      <c r="D1014" s="3">
        <v>1</v>
      </c>
      <c r="G1014" s="43">
        <v>43994</v>
      </c>
    </row>
    <row r="1015" spans="1:8" x14ac:dyDescent="0.25">
      <c r="A1015" s="19" t="s">
        <v>1262</v>
      </c>
      <c r="B1015" s="42" t="s">
        <v>85</v>
      </c>
      <c r="C1015" s="3">
        <v>20</v>
      </c>
      <c r="D1015" s="3">
        <v>2</v>
      </c>
      <c r="G1015" s="43">
        <v>43996</v>
      </c>
    </row>
    <row r="1016" spans="1:8" x14ac:dyDescent="0.25">
      <c r="A1016" s="3" t="s">
        <v>1263</v>
      </c>
      <c r="B1016" s="42" t="s">
        <v>85</v>
      </c>
      <c r="C1016" s="3">
        <v>19</v>
      </c>
      <c r="D1016" s="3">
        <v>2</v>
      </c>
      <c r="G1016" s="43">
        <v>43996</v>
      </c>
    </row>
    <row r="1017" spans="1:8" x14ac:dyDescent="0.25">
      <c r="A1017" s="3" t="s">
        <v>1264</v>
      </c>
      <c r="B1017" s="42" t="s">
        <v>85</v>
      </c>
      <c r="C1017" s="3">
        <v>19</v>
      </c>
      <c r="D1017" s="3">
        <v>2</v>
      </c>
      <c r="E1017" s="42" t="s">
        <v>160</v>
      </c>
      <c r="G1017" s="43">
        <v>43996</v>
      </c>
    </row>
    <row r="1018" spans="1:8" x14ac:dyDescent="0.25">
      <c r="A1018" s="3" t="s">
        <v>1265</v>
      </c>
      <c r="B1018" s="42" t="s">
        <v>85</v>
      </c>
      <c r="C1018" s="3">
        <v>19</v>
      </c>
      <c r="D1018" s="3">
        <v>1</v>
      </c>
      <c r="E1018" s="42" t="s">
        <v>160</v>
      </c>
      <c r="F1018" s="42" t="s">
        <v>160</v>
      </c>
      <c r="G1018" s="43">
        <v>43996</v>
      </c>
    </row>
    <row r="1019" spans="1:8" x14ac:dyDescent="0.25">
      <c r="A1019" s="44" t="s">
        <v>1266</v>
      </c>
      <c r="B1019" s="42" t="s">
        <v>3</v>
      </c>
      <c r="C1019" s="3">
        <v>18</v>
      </c>
      <c r="D1019" s="3">
        <v>2</v>
      </c>
      <c r="G1019" s="43">
        <v>43998</v>
      </c>
    </row>
    <row r="1020" spans="1:8" x14ac:dyDescent="0.25">
      <c r="A1020" s="44" t="s">
        <v>1267</v>
      </c>
      <c r="B1020" s="42" t="s">
        <v>3</v>
      </c>
      <c r="C1020" s="3">
        <v>18</v>
      </c>
      <c r="D1020" s="3">
        <v>2</v>
      </c>
      <c r="E1020" s="42" t="s">
        <v>160</v>
      </c>
      <c r="G1020" s="43">
        <v>43998</v>
      </c>
    </row>
    <row r="1021" spans="1:8" x14ac:dyDescent="0.25">
      <c r="A1021" s="44" t="s">
        <v>1268</v>
      </c>
      <c r="B1021" s="42" t="s">
        <v>3</v>
      </c>
      <c r="C1021" s="3">
        <v>18</v>
      </c>
      <c r="D1021" s="3">
        <v>2</v>
      </c>
      <c r="G1021" s="43">
        <v>43998</v>
      </c>
    </row>
    <row r="1022" spans="1:8" x14ac:dyDescent="0.25">
      <c r="A1022" s="44" t="s">
        <v>1269</v>
      </c>
      <c r="B1022" s="42" t="s">
        <v>3</v>
      </c>
      <c r="C1022" s="3">
        <v>18</v>
      </c>
      <c r="D1022" s="3">
        <v>2</v>
      </c>
      <c r="G1022" s="43">
        <v>43998</v>
      </c>
    </row>
    <row r="1023" spans="1:8" x14ac:dyDescent="0.25">
      <c r="A1023" s="44" t="s">
        <v>1270</v>
      </c>
      <c r="B1023" s="42" t="s">
        <v>120</v>
      </c>
      <c r="C1023" s="3">
        <v>20</v>
      </c>
      <c r="D1023" s="3">
        <v>2</v>
      </c>
      <c r="E1023" s="42" t="s">
        <v>160</v>
      </c>
      <c r="F1023" s="42" t="s">
        <v>160</v>
      </c>
      <c r="G1023" s="43">
        <v>43998</v>
      </c>
    </row>
    <row r="1024" spans="1:8" x14ac:dyDescent="0.25">
      <c r="A1024" s="44" t="s">
        <v>1271</v>
      </c>
      <c r="B1024" s="42" t="s">
        <v>120</v>
      </c>
      <c r="C1024" s="3">
        <v>18</v>
      </c>
      <c r="D1024" s="3">
        <v>2</v>
      </c>
      <c r="E1024" s="42" t="s">
        <v>160</v>
      </c>
      <c r="F1024" s="42" t="s">
        <v>160</v>
      </c>
      <c r="G1024" s="43">
        <v>43998</v>
      </c>
      <c r="H1024" s="42" t="s">
        <v>238</v>
      </c>
    </row>
    <row r="1025" spans="1:8" x14ac:dyDescent="0.25">
      <c r="A1025" s="44" t="s">
        <v>1272</v>
      </c>
      <c r="B1025" s="42" t="s">
        <v>3</v>
      </c>
      <c r="C1025" s="3">
        <v>18</v>
      </c>
      <c r="D1025" s="3">
        <v>2</v>
      </c>
      <c r="G1025" s="43">
        <v>43998</v>
      </c>
    </row>
    <row r="1026" spans="1:8" x14ac:dyDescent="0.25">
      <c r="A1026" s="44" t="s">
        <v>1273</v>
      </c>
      <c r="B1026" s="42" t="s">
        <v>3</v>
      </c>
      <c r="C1026" s="3">
        <v>19</v>
      </c>
      <c r="D1026" s="3">
        <v>2</v>
      </c>
      <c r="E1026" s="42" t="s">
        <v>160</v>
      </c>
      <c r="G1026" s="43">
        <v>43998</v>
      </c>
    </row>
    <row r="1027" spans="1:8" x14ac:dyDescent="0.25">
      <c r="A1027" s="44" t="s">
        <v>1274</v>
      </c>
      <c r="B1027" s="42" t="s">
        <v>3</v>
      </c>
      <c r="C1027" s="3">
        <v>19</v>
      </c>
      <c r="D1027" s="3">
        <v>2</v>
      </c>
      <c r="E1027" s="42" t="s">
        <v>160</v>
      </c>
      <c r="G1027" s="43">
        <v>43998</v>
      </c>
    </row>
    <row r="1028" spans="1:8" x14ac:dyDescent="0.25">
      <c r="A1028" s="44" t="s">
        <v>1275</v>
      </c>
      <c r="B1028" s="42" t="s">
        <v>3</v>
      </c>
      <c r="C1028" s="3">
        <v>18</v>
      </c>
      <c r="D1028" s="3">
        <v>2</v>
      </c>
      <c r="E1028" s="42" t="s">
        <v>160</v>
      </c>
      <c r="G1028" s="43">
        <v>43998</v>
      </c>
    </row>
    <row r="1029" spans="1:8" x14ac:dyDescent="0.25">
      <c r="A1029" s="44" t="s">
        <v>1276</v>
      </c>
      <c r="B1029" s="42" t="s">
        <v>3</v>
      </c>
      <c r="C1029" s="3">
        <v>18</v>
      </c>
      <c r="D1029" s="3">
        <v>2</v>
      </c>
      <c r="E1029" s="42" t="s">
        <v>160</v>
      </c>
      <c r="F1029" s="42" t="s">
        <v>160</v>
      </c>
      <c r="G1029" s="43">
        <v>43998</v>
      </c>
    </row>
    <row r="1030" spans="1:8" x14ac:dyDescent="0.25">
      <c r="A1030" s="44" t="s">
        <v>1277</v>
      </c>
      <c r="B1030" s="42" t="s">
        <v>3</v>
      </c>
      <c r="C1030" s="3">
        <v>18</v>
      </c>
      <c r="D1030" s="3">
        <v>2</v>
      </c>
      <c r="G1030" s="43">
        <v>43998</v>
      </c>
    </row>
    <row r="1031" spans="1:8" x14ac:dyDescent="0.25">
      <c r="A1031" s="44" t="s">
        <v>1278</v>
      </c>
      <c r="B1031" s="42" t="s">
        <v>3</v>
      </c>
      <c r="C1031" s="3">
        <v>18</v>
      </c>
      <c r="D1031" s="3">
        <v>2</v>
      </c>
      <c r="G1031" s="43">
        <v>43998</v>
      </c>
    </row>
    <row r="1032" spans="1:8" x14ac:dyDescent="0.25">
      <c r="A1032" s="44" t="s">
        <v>1279</v>
      </c>
      <c r="B1032" s="42" t="s">
        <v>120</v>
      </c>
      <c r="C1032" s="3">
        <v>18</v>
      </c>
      <c r="D1032" s="3">
        <v>2</v>
      </c>
      <c r="E1032" s="42" t="s">
        <v>160</v>
      </c>
      <c r="G1032" s="43">
        <v>43998</v>
      </c>
      <c r="H1032" s="42" t="s">
        <v>238</v>
      </c>
    </row>
    <row r="1033" spans="1:8" x14ac:dyDescent="0.25">
      <c r="A1033" s="44" t="s">
        <v>1280</v>
      </c>
      <c r="B1033" s="42" t="s">
        <v>3</v>
      </c>
      <c r="C1033" s="3">
        <v>18</v>
      </c>
      <c r="D1033" s="3">
        <v>2</v>
      </c>
      <c r="E1033" s="42" t="s">
        <v>160</v>
      </c>
      <c r="G1033" s="43">
        <v>43998</v>
      </c>
    </row>
    <row r="1034" spans="1:8" x14ac:dyDescent="0.25">
      <c r="A1034" s="44" t="s">
        <v>1281</v>
      </c>
      <c r="B1034" s="42" t="s">
        <v>3</v>
      </c>
      <c r="C1034" s="3">
        <v>21</v>
      </c>
      <c r="D1034" s="3">
        <v>2</v>
      </c>
      <c r="E1034" s="42" t="s">
        <v>160</v>
      </c>
      <c r="G1034" s="43">
        <v>43998</v>
      </c>
    </row>
    <row r="1035" spans="1:8" x14ac:dyDescent="0.25">
      <c r="A1035" s="44" t="s">
        <v>1282</v>
      </c>
      <c r="B1035" s="42" t="s">
        <v>3</v>
      </c>
      <c r="C1035" s="3">
        <v>18</v>
      </c>
      <c r="D1035" s="3">
        <v>2</v>
      </c>
      <c r="E1035" s="42" t="s">
        <v>160</v>
      </c>
      <c r="G1035" s="43">
        <v>43998</v>
      </c>
    </row>
    <row r="1036" spans="1:8" x14ac:dyDescent="0.25">
      <c r="A1036" s="44" t="s">
        <v>1283</v>
      </c>
      <c r="B1036" s="42" t="s">
        <v>3</v>
      </c>
      <c r="C1036" s="3">
        <v>20</v>
      </c>
      <c r="D1036" s="3">
        <v>2</v>
      </c>
      <c r="G1036" s="43">
        <v>43998</v>
      </c>
    </row>
    <row r="1037" spans="1:8" x14ac:dyDescent="0.25">
      <c r="A1037" s="44" t="s">
        <v>1284</v>
      </c>
      <c r="B1037" s="42" t="s">
        <v>120</v>
      </c>
      <c r="C1037" s="3">
        <v>19</v>
      </c>
      <c r="D1037" s="3">
        <v>2</v>
      </c>
      <c r="E1037" s="42" t="s">
        <v>160</v>
      </c>
      <c r="G1037" s="43">
        <v>43998</v>
      </c>
      <c r="H1037" s="42" t="s">
        <v>238</v>
      </c>
    </row>
    <row r="1038" spans="1:8" x14ac:dyDescent="0.25">
      <c r="A1038" s="44" t="s">
        <v>1285</v>
      </c>
      <c r="B1038" s="42" t="s">
        <v>3</v>
      </c>
      <c r="C1038" s="3">
        <v>19</v>
      </c>
      <c r="D1038" s="3">
        <v>2</v>
      </c>
      <c r="G1038" s="43">
        <v>43998</v>
      </c>
    </row>
    <row r="1039" spans="1:8" x14ac:dyDescent="0.25">
      <c r="A1039" s="44" t="s">
        <v>1286</v>
      </c>
      <c r="B1039" s="42" t="s">
        <v>3</v>
      </c>
      <c r="C1039" s="3">
        <v>18</v>
      </c>
      <c r="D1039" s="3">
        <v>2</v>
      </c>
      <c r="G1039" s="43">
        <v>43998</v>
      </c>
    </row>
    <row r="1040" spans="1:8" x14ac:dyDescent="0.25">
      <c r="A1040" s="44" t="s">
        <v>1287</v>
      </c>
      <c r="B1040" s="42" t="s">
        <v>3</v>
      </c>
      <c r="C1040" s="3">
        <v>18</v>
      </c>
      <c r="D1040" s="3">
        <v>2</v>
      </c>
      <c r="E1040" s="42" t="s">
        <v>160</v>
      </c>
      <c r="G1040" s="43">
        <v>43998</v>
      </c>
    </row>
    <row r="1041" spans="1:7" x14ac:dyDescent="0.25">
      <c r="A1041" s="44" t="s">
        <v>1288</v>
      </c>
      <c r="B1041" s="42" t="s">
        <v>120</v>
      </c>
      <c r="C1041" s="3">
        <v>18</v>
      </c>
      <c r="D1041" s="3">
        <v>2</v>
      </c>
      <c r="E1041" s="42" t="s">
        <v>160</v>
      </c>
      <c r="F1041" s="42" t="s">
        <v>160</v>
      </c>
      <c r="G1041" s="43">
        <v>43998</v>
      </c>
    </row>
    <row r="1042" spans="1:7" x14ac:dyDescent="0.25">
      <c r="A1042" s="44" t="s">
        <v>1289</v>
      </c>
      <c r="B1042" s="42" t="s">
        <v>3</v>
      </c>
      <c r="C1042" s="3">
        <v>18</v>
      </c>
      <c r="D1042" s="3">
        <v>2</v>
      </c>
      <c r="E1042" s="42" t="s">
        <v>160</v>
      </c>
      <c r="G1042" s="43">
        <v>43998</v>
      </c>
    </row>
    <row r="1043" spans="1:7" x14ac:dyDescent="0.25">
      <c r="A1043" s="44" t="s">
        <v>1290</v>
      </c>
      <c r="B1043" s="42" t="s">
        <v>3</v>
      </c>
      <c r="C1043" s="3">
        <v>18</v>
      </c>
      <c r="D1043" s="3">
        <v>2</v>
      </c>
      <c r="G1043" s="43">
        <v>43998</v>
      </c>
    </row>
    <row r="1044" spans="1:7" x14ac:dyDescent="0.25">
      <c r="A1044" s="44" t="s">
        <v>1291</v>
      </c>
      <c r="B1044" s="42" t="s">
        <v>120</v>
      </c>
      <c r="C1044" s="3">
        <v>19</v>
      </c>
      <c r="D1044" s="3">
        <v>2</v>
      </c>
      <c r="E1044" s="42" t="s">
        <v>160</v>
      </c>
      <c r="F1044" s="42" t="s">
        <v>160</v>
      </c>
      <c r="G1044" s="43">
        <v>43998</v>
      </c>
    </row>
    <row r="1045" spans="1:7" x14ac:dyDescent="0.25">
      <c r="A1045" s="44" t="s">
        <v>1292</v>
      </c>
      <c r="B1045" s="42" t="s">
        <v>120</v>
      </c>
      <c r="C1045" s="3">
        <v>18</v>
      </c>
      <c r="D1045" s="3">
        <v>2</v>
      </c>
      <c r="E1045" s="42" t="s">
        <v>160</v>
      </c>
      <c r="F1045" s="42" t="s">
        <v>160</v>
      </c>
      <c r="G1045" s="43">
        <v>43998</v>
      </c>
    </row>
    <row r="1046" spans="1:7" x14ac:dyDescent="0.25">
      <c r="A1046" s="44" t="s">
        <v>1293</v>
      </c>
      <c r="B1046" s="42" t="s">
        <v>3</v>
      </c>
      <c r="C1046" s="3">
        <v>18</v>
      </c>
      <c r="D1046" s="3">
        <v>2</v>
      </c>
      <c r="E1046" s="42" t="s">
        <v>160</v>
      </c>
      <c r="G1046" s="43">
        <v>43998</v>
      </c>
    </row>
    <row r="1047" spans="1:7" x14ac:dyDescent="0.25">
      <c r="A1047" s="44" t="s">
        <v>1294</v>
      </c>
      <c r="B1047" s="42" t="s">
        <v>3</v>
      </c>
      <c r="C1047" s="3">
        <v>19</v>
      </c>
      <c r="D1047" s="3">
        <v>2</v>
      </c>
      <c r="E1047" s="42" t="s">
        <v>160</v>
      </c>
      <c r="G1047" s="43">
        <v>43998</v>
      </c>
    </row>
    <row r="1048" spans="1:7" x14ac:dyDescent="0.25">
      <c r="A1048" s="44" t="s">
        <v>1295</v>
      </c>
      <c r="B1048" s="42" t="s">
        <v>120</v>
      </c>
      <c r="C1048" s="3">
        <v>18</v>
      </c>
      <c r="D1048" s="3">
        <v>2</v>
      </c>
      <c r="E1048" s="42" t="s">
        <v>160</v>
      </c>
      <c r="F1048" s="42" t="s">
        <v>160</v>
      </c>
      <c r="G1048" s="43">
        <v>43998</v>
      </c>
    </row>
    <row r="1049" spans="1:7" x14ac:dyDescent="0.25">
      <c r="A1049" s="44" t="s">
        <v>1296</v>
      </c>
      <c r="B1049" s="42" t="s">
        <v>120</v>
      </c>
      <c r="C1049" s="3">
        <v>18</v>
      </c>
      <c r="D1049" s="3">
        <v>2</v>
      </c>
      <c r="E1049" s="42" t="s">
        <v>160</v>
      </c>
      <c r="F1049" s="42" t="s">
        <v>160</v>
      </c>
      <c r="G1049" s="43">
        <v>43998</v>
      </c>
    </row>
    <row r="1050" spans="1:7" x14ac:dyDescent="0.25">
      <c r="A1050" s="44" t="s">
        <v>1297</v>
      </c>
      <c r="B1050" s="42" t="s">
        <v>3</v>
      </c>
      <c r="C1050" s="3">
        <v>18</v>
      </c>
      <c r="D1050" s="3">
        <v>2</v>
      </c>
      <c r="G1050" s="43">
        <v>43998</v>
      </c>
    </row>
    <row r="1051" spans="1:7" x14ac:dyDescent="0.25">
      <c r="A1051" s="44" t="s">
        <v>1298</v>
      </c>
      <c r="B1051" s="42" t="s">
        <v>3</v>
      </c>
      <c r="C1051" s="3">
        <v>18</v>
      </c>
      <c r="D1051" s="3">
        <v>2</v>
      </c>
      <c r="G1051" s="43">
        <v>43998</v>
      </c>
    </row>
    <row r="1052" spans="1:7" x14ac:dyDescent="0.25">
      <c r="A1052" s="44" t="s">
        <v>1299</v>
      </c>
      <c r="B1052" s="42" t="s">
        <v>3</v>
      </c>
      <c r="C1052" s="3">
        <v>19</v>
      </c>
      <c r="D1052" s="3">
        <v>2</v>
      </c>
      <c r="G1052" s="43">
        <v>43998</v>
      </c>
    </row>
    <row r="1053" spans="1:7" x14ac:dyDescent="0.25">
      <c r="A1053" s="44" t="s">
        <v>1300</v>
      </c>
      <c r="B1053" s="42" t="s">
        <v>120</v>
      </c>
      <c r="C1053" s="3">
        <v>20</v>
      </c>
      <c r="D1053" s="3">
        <v>1</v>
      </c>
      <c r="E1053" s="42" t="s">
        <v>160</v>
      </c>
      <c r="F1053" s="42" t="s">
        <v>160</v>
      </c>
      <c r="G1053" s="43">
        <v>43998</v>
      </c>
    </row>
    <row r="1054" spans="1:7" x14ac:dyDescent="0.25">
      <c r="A1054" s="44" t="s">
        <v>1301</v>
      </c>
      <c r="B1054" s="42" t="s">
        <v>3</v>
      </c>
      <c r="C1054" s="3">
        <v>18</v>
      </c>
      <c r="D1054" s="3">
        <v>1</v>
      </c>
      <c r="G1054" s="43">
        <v>43998</v>
      </c>
    </row>
    <row r="1055" spans="1:7" x14ac:dyDescent="0.25">
      <c r="A1055" s="44" t="s">
        <v>1302</v>
      </c>
      <c r="B1055" s="42" t="s">
        <v>3</v>
      </c>
      <c r="C1055" s="3">
        <v>18</v>
      </c>
      <c r="D1055" s="3">
        <v>1</v>
      </c>
      <c r="G1055" s="43">
        <v>43998</v>
      </c>
    </row>
    <row r="1056" spans="1:7" x14ac:dyDescent="0.25">
      <c r="A1056" s="44" t="s">
        <v>1303</v>
      </c>
      <c r="B1056" s="42" t="s">
        <v>120</v>
      </c>
      <c r="C1056" s="3">
        <v>18</v>
      </c>
      <c r="D1056" s="3">
        <v>1</v>
      </c>
      <c r="E1056" s="42" t="s">
        <v>160</v>
      </c>
      <c r="F1056" s="42" t="s">
        <v>160</v>
      </c>
      <c r="G1056" s="43">
        <v>43998</v>
      </c>
    </row>
    <row r="1057" spans="1:7" x14ac:dyDescent="0.25">
      <c r="A1057" s="44" t="s">
        <v>1304</v>
      </c>
      <c r="B1057" s="42" t="s">
        <v>3</v>
      </c>
      <c r="C1057" s="3">
        <v>18</v>
      </c>
      <c r="D1057" s="3">
        <v>1</v>
      </c>
      <c r="G1057" s="43">
        <v>43998</v>
      </c>
    </row>
    <row r="1058" spans="1:7" x14ac:dyDescent="0.25">
      <c r="A1058" s="44" t="s">
        <v>1305</v>
      </c>
      <c r="B1058" s="42" t="s">
        <v>3</v>
      </c>
      <c r="C1058" s="3">
        <v>18</v>
      </c>
      <c r="D1058" s="3">
        <v>1</v>
      </c>
      <c r="E1058" s="42" t="s">
        <v>160</v>
      </c>
      <c r="G1058" s="43">
        <v>43998</v>
      </c>
    </row>
    <row r="1059" spans="1:7" x14ac:dyDescent="0.25">
      <c r="A1059" s="44" t="s">
        <v>1306</v>
      </c>
      <c r="B1059" s="42" t="s">
        <v>3</v>
      </c>
      <c r="C1059" s="3">
        <v>18</v>
      </c>
      <c r="D1059" s="3">
        <v>1</v>
      </c>
      <c r="G1059" s="43">
        <v>43998</v>
      </c>
    </row>
    <row r="1060" spans="1:7" x14ac:dyDescent="0.25">
      <c r="A1060" s="44" t="s">
        <v>1307</v>
      </c>
      <c r="B1060" s="42" t="s">
        <v>3</v>
      </c>
      <c r="C1060" s="3">
        <v>18</v>
      </c>
      <c r="D1060" s="3">
        <v>1</v>
      </c>
      <c r="G1060" s="43">
        <v>43998</v>
      </c>
    </row>
    <row r="1061" spans="1:7" x14ac:dyDescent="0.25">
      <c r="A1061" s="44" t="s">
        <v>1308</v>
      </c>
      <c r="B1061" s="42" t="s">
        <v>3</v>
      </c>
      <c r="C1061" s="3">
        <v>18</v>
      </c>
      <c r="D1061" s="3">
        <v>1</v>
      </c>
      <c r="G1061" s="43">
        <v>43998</v>
      </c>
    </row>
    <row r="1062" spans="1:7" x14ac:dyDescent="0.25">
      <c r="A1062" s="44" t="s">
        <v>1309</v>
      </c>
      <c r="B1062" s="42" t="s">
        <v>3</v>
      </c>
      <c r="C1062" s="3">
        <v>18</v>
      </c>
      <c r="D1062" s="3">
        <v>1</v>
      </c>
      <c r="G1062" s="43">
        <v>43998</v>
      </c>
    </row>
    <row r="1063" spans="1:7" x14ac:dyDescent="0.25">
      <c r="A1063" s="44" t="s">
        <v>1310</v>
      </c>
      <c r="B1063" s="42" t="s">
        <v>3</v>
      </c>
      <c r="C1063" s="3">
        <v>18</v>
      </c>
      <c r="D1063" s="3">
        <v>1</v>
      </c>
      <c r="G1063" s="43">
        <v>43998</v>
      </c>
    </row>
    <row r="1064" spans="1:7" x14ac:dyDescent="0.25">
      <c r="A1064" s="44" t="s">
        <v>1311</v>
      </c>
      <c r="B1064" s="42" t="s">
        <v>3</v>
      </c>
      <c r="C1064" s="3">
        <v>18</v>
      </c>
      <c r="D1064" s="3">
        <v>1</v>
      </c>
      <c r="G1064" s="43">
        <v>43998</v>
      </c>
    </row>
    <row r="1065" spans="1:7" x14ac:dyDescent="0.25">
      <c r="A1065" s="44" t="s">
        <v>1312</v>
      </c>
      <c r="B1065" s="42" t="s">
        <v>3</v>
      </c>
      <c r="C1065" s="3">
        <v>18</v>
      </c>
      <c r="D1065" s="3">
        <v>1</v>
      </c>
      <c r="G1065" s="43">
        <v>43998</v>
      </c>
    </row>
    <row r="1066" spans="1:7" x14ac:dyDescent="0.25">
      <c r="A1066" s="44" t="s">
        <v>1313</v>
      </c>
      <c r="B1066" s="42" t="s">
        <v>3</v>
      </c>
      <c r="C1066" s="3">
        <v>18</v>
      </c>
      <c r="D1066" s="3">
        <v>1</v>
      </c>
      <c r="G1066" s="43">
        <v>43998</v>
      </c>
    </row>
    <row r="1067" spans="1:7" x14ac:dyDescent="0.25">
      <c r="A1067" s="44" t="s">
        <v>1314</v>
      </c>
      <c r="B1067" s="42" t="s">
        <v>3</v>
      </c>
      <c r="C1067" s="3">
        <v>20</v>
      </c>
      <c r="D1067" s="3">
        <v>1</v>
      </c>
      <c r="G1067" s="43">
        <v>43998</v>
      </c>
    </row>
    <row r="1068" spans="1:7" x14ac:dyDescent="0.25">
      <c r="A1068" s="44" t="s">
        <v>1315</v>
      </c>
      <c r="B1068" s="42" t="s">
        <v>3</v>
      </c>
      <c r="C1068" s="3">
        <v>20</v>
      </c>
      <c r="D1068" s="3">
        <v>1</v>
      </c>
      <c r="G1068" s="43">
        <v>43998</v>
      </c>
    </row>
    <row r="1069" spans="1:7" x14ac:dyDescent="0.25">
      <c r="A1069" s="44" t="s">
        <v>1316</v>
      </c>
      <c r="B1069" s="42" t="s">
        <v>3</v>
      </c>
      <c r="C1069" s="3">
        <v>18</v>
      </c>
      <c r="D1069" s="3">
        <v>1</v>
      </c>
      <c r="G1069" s="43">
        <v>43998</v>
      </c>
    </row>
    <row r="1070" spans="1:7" x14ac:dyDescent="0.25">
      <c r="A1070" s="44" t="s">
        <v>1317</v>
      </c>
      <c r="B1070" s="42" t="s">
        <v>120</v>
      </c>
      <c r="C1070" s="3">
        <v>19</v>
      </c>
      <c r="D1070" s="3">
        <v>1</v>
      </c>
      <c r="E1070" s="42" t="s">
        <v>160</v>
      </c>
      <c r="F1070" s="42" t="s">
        <v>160</v>
      </c>
      <c r="G1070" s="43">
        <v>43998</v>
      </c>
    </row>
    <row r="1071" spans="1:7" x14ac:dyDescent="0.25">
      <c r="A1071" s="44" t="s">
        <v>1318</v>
      </c>
      <c r="B1071" s="42" t="s">
        <v>3</v>
      </c>
      <c r="C1071" s="3">
        <v>18</v>
      </c>
      <c r="D1071" s="3">
        <v>1</v>
      </c>
      <c r="G1071" s="43">
        <v>43998</v>
      </c>
    </row>
    <row r="1072" spans="1:7" x14ac:dyDescent="0.25">
      <c r="A1072" s="44" t="s">
        <v>1319</v>
      </c>
      <c r="B1072" s="42" t="s">
        <v>3</v>
      </c>
      <c r="C1072" s="3">
        <v>18</v>
      </c>
      <c r="D1072" s="3">
        <v>1</v>
      </c>
      <c r="G1072" s="43">
        <v>43998</v>
      </c>
    </row>
    <row r="1073" spans="1:7" x14ac:dyDescent="0.25">
      <c r="A1073" s="44" t="s">
        <v>1320</v>
      </c>
      <c r="B1073" s="42" t="s">
        <v>3</v>
      </c>
      <c r="C1073" s="3">
        <v>18</v>
      </c>
      <c r="D1073" s="3">
        <v>1</v>
      </c>
      <c r="G1073" s="43">
        <v>43998</v>
      </c>
    </row>
    <row r="1074" spans="1:7" x14ac:dyDescent="0.25">
      <c r="A1074" s="44" t="s">
        <v>1321</v>
      </c>
      <c r="B1074" s="42" t="s">
        <v>3</v>
      </c>
      <c r="C1074" s="3">
        <v>18</v>
      </c>
      <c r="D1074" s="3">
        <v>1</v>
      </c>
      <c r="G1074" s="43">
        <v>43998</v>
      </c>
    </row>
    <row r="1075" spans="1:7" x14ac:dyDescent="0.25">
      <c r="A1075" s="44" t="s">
        <v>1322</v>
      </c>
      <c r="B1075" s="42" t="s">
        <v>3</v>
      </c>
      <c r="C1075" s="3">
        <v>19</v>
      </c>
      <c r="D1075" s="3">
        <v>1</v>
      </c>
      <c r="G1075" s="43">
        <v>43998</v>
      </c>
    </row>
    <row r="1076" spans="1:7" x14ac:dyDescent="0.25">
      <c r="A1076" s="44" t="s">
        <v>1323</v>
      </c>
      <c r="B1076" s="42" t="s">
        <v>3</v>
      </c>
      <c r="C1076" s="3">
        <v>18</v>
      </c>
      <c r="D1076" s="3">
        <v>1</v>
      </c>
      <c r="G1076" s="43">
        <v>43998</v>
      </c>
    </row>
    <row r="1077" spans="1:7" x14ac:dyDescent="0.25">
      <c r="A1077" s="44" t="s">
        <v>1324</v>
      </c>
      <c r="B1077" s="42" t="s">
        <v>3</v>
      </c>
      <c r="C1077" s="3">
        <v>18</v>
      </c>
      <c r="D1077" s="3">
        <v>1</v>
      </c>
      <c r="G1077" s="43">
        <v>43998</v>
      </c>
    </row>
    <row r="1078" spans="1:7" x14ac:dyDescent="0.25">
      <c r="A1078" s="44" t="s">
        <v>1325</v>
      </c>
      <c r="B1078" s="42" t="s">
        <v>3</v>
      </c>
      <c r="C1078" s="3">
        <v>19</v>
      </c>
      <c r="D1078" s="3">
        <v>1</v>
      </c>
      <c r="G1078" s="43">
        <v>43998</v>
      </c>
    </row>
    <row r="1079" spans="1:7" x14ac:dyDescent="0.25">
      <c r="A1079" s="44" t="s">
        <v>1326</v>
      </c>
      <c r="B1079" s="42" t="s">
        <v>120</v>
      </c>
      <c r="C1079" s="3">
        <v>18</v>
      </c>
      <c r="D1079" s="3">
        <v>1</v>
      </c>
      <c r="E1079" s="42" t="s">
        <v>160</v>
      </c>
      <c r="F1079" s="42" t="s">
        <v>160</v>
      </c>
      <c r="G1079" s="43">
        <v>43998</v>
      </c>
    </row>
    <row r="1080" spans="1:7" x14ac:dyDescent="0.25">
      <c r="A1080" s="44" t="s">
        <v>1327</v>
      </c>
      <c r="B1080" s="42" t="s">
        <v>3</v>
      </c>
      <c r="C1080" s="3">
        <v>18</v>
      </c>
      <c r="D1080" s="3">
        <v>1</v>
      </c>
      <c r="G1080" s="43">
        <v>43998</v>
      </c>
    </row>
    <row r="1081" spans="1:7" x14ac:dyDescent="0.25">
      <c r="A1081" s="44" t="s">
        <v>1328</v>
      </c>
      <c r="B1081" s="42" t="s">
        <v>3</v>
      </c>
      <c r="C1081" s="3">
        <v>21</v>
      </c>
      <c r="D1081" s="3">
        <v>1</v>
      </c>
      <c r="G1081" s="43">
        <v>43998</v>
      </c>
    </row>
    <row r="1082" spans="1:7" x14ac:dyDescent="0.25">
      <c r="A1082" s="44" t="s">
        <v>1329</v>
      </c>
      <c r="B1082" s="42" t="s">
        <v>120</v>
      </c>
      <c r="C1082" s="3">
        <v>18</v>
      </c>
      <c r="D1082" s="3">
        <v>1</v>
      </c>
      <c r="E1082" s="42" t="s">
        <v>160</v>
      </c>
      <c r="F1082" s="42" t="s">
        <v>160</v>
      </c>
      <c r="G1082" s="43">
        <v>43998</v>
      </c>
    </row>
    <row r="1083" spans="1:7" x14ac:dyDescent="0.25">
      <c r="A1083" s="44" t="s">
        <v>1330</v>
      </c>
      <c r="B1083" s="42" t="s">
        <v>3</v>
      </c>
      <c r="C1083" s="3">
        <v>18</v>
      </c>
      <c r="D1083" s="3">
        <v>1</v>
      </c>
      <c r="G1083" s="43">
        <v>43998</v>
      </c>
    </row>
    <row r="1084" spans="1:7" x14ac:dyDescent="0.25">
      <c r="A1084" s="44" t="s">
        <v>1331</v>
      </c>
      <c r="B1084" s="42" t="s">
        <v>3</v>
      </c>
      <c r="C1084" s="3">
        <v>18</v>
      </c>
      <c r="D1084" s="3">
        <v>1</v>
      </c>
      <c r="G1084" s="43">
        <v>43998</v>
      </c>
    </row>
    <row r="1085" spans="1:7" x14ac:dyDescent="0.25">
      <c r="A1085" s="44" t="s">
        <v>1332</v>
      </c>
      <c r="B1085" s="42" t="s">
        <v>3</v>
      </c>
      <c r="C1085" s="3">
        <v>19</v>
      </c>
      <c r="D1085" s="3">
        <v>1</v>
      </c>
      <c r="E1085" s="42" t="s">
        <v>160</v>
      </c>
      <c r="G1085" s="43">
        <v>43998</v>
      </c>
    </row>
    <row r="1086" spans="1:7" x14ac:dyDescent="0.25">
      <c r="A1086" s="44" t="s">
        <v>1333</v>
      </c>
      <c r="B1086" s="42" t="s">
        <v>3</v>
      </c>
      <c r="C1086" s="3">
        <v>19</v>
      </c>
      <c r="D1086" s="3">
        <v>1</v>
      </c>
      <c r="E1086" s="42" t="s">
        <v>160</v>
      </c>
      <c r="G1086" s="43">
        <v>43998</v>
      </c>
    </row>
    <row r="1087" spans="1:7" x14ac:dyDescent="0.25">
      <c r="A1087" s="44" t="s">
        <v>1334</v>
      </c>
      <c r="B1087" s="42" t="s">
        <v>3</v>
      </c>
      <c r="C1087" s="3">
        <v>18</v>
      </c>
      <c r="D1087" s="3">
        <v>1</v>
      </c>
      <c r="G1087" s="43">
        <v>43998</v>
      </c>
    </row>
    <row r="1088" spans="1:7" x14ac:dyDescent="0.25">
      <c r="A1088" s="44" t="s">
        <v>1335</v>
      </c>
      <c r="B1088" s="42" t="s">
        <v>3</v>
      </c>
      <c r="C1088" s="3">
        <v>18</v>
      </c>
      <c r="D1088" s="3">
        <v>1</v>
      </c>
      <c r="G1088" s="43">
        <v>43998</v>
      </c>
    </row>
    <row r="1089" spans="1:8" x14ac:dyDescent="0.25">
      <c r="A1089" s="44" t="s">
        <v>1336</v>
      </c>
      <c r="B1089" s="42" t="s">
        <v>3</v>
      </c>
      <c r="C1089" s="3">
        <v>18</v>
      </c>
      <c r="D1089" s="3">
        <v>1</v>
      </c>
      <c r="E1089" s="42" t="s">
        <v>160</v>
      </c>
      <c r="F1089" s="42" t="s">
        <v>160</v>
      </c>
      <c r="G1089" s="43">
        <v>43998</v>
      </c>
    </row>
    <row r="1090" spans="1:8" x14ac:dyDescent="0.25">
      <c r="A1090" s="44" t="s">
        <v>1337</v>
      </c>
      <c r="B1090" s="42" t="s">
        <v>3</v>
      </c>
      <c r="C1090" s="3">
        <v>18</v>
      </c>
      <c r="D1090" s="3">
        <v>1</v>
      </c>
      <c r="G1090" s="43">
        <v>43998</v>
      </c>
    </row>
    <row r="1091" spans="1:8" x14ac:dyDescent="0.25">
      <c r="A1091" s="44" t="s">
        <v>1338</v>
      </c>
      <c r="B1091" s="42" t="s">
        <v>3</v>
      </c>
      <c r="C1091" s="3">
        <v>18</v>
      </c>
      <c r="D1091" s="3">
        <v>1</v>
      </c>
      <c r="G1091" s="43">
        <v>43998</v>
      </c>
    </row>
    <row r="1092" spans="1:8" x14ac:dyDescent="0.25">
      <c r="A1092" s="44" t="s">
        <v>1339</v>
      </c>
      <c r="B1092" s="42" t="s">
        <v>120</v>
      </c>
      <c r="C1092" s="3">
        <v>19</v>
      </c>
      <c r="D1092" s="3">
        <v>1</v>
      </c>
      <c r="E1092" s="42" t="s">
        <v>160</v>
      </c>
      <c r="G1092" s="43">
        <v>43998</v>
      </c>
    </row>
    <row r="1093" spans="1:8" x14ac:dyDescent="0.25">
      <c r="A1093" s="44" t="s">
        <v>1340</v>
      </c>
      <c r="B1093" s="42" t="s">
        <v>120</v>
      </c>
      <c r="C1093" s="3">
        <v>20</v>
      </c>
      <c r="D1093" s="3">
        <v>1</v>
      </c>
      <c r="E1093" s="42" t="s">
        <v>160</v>
      </c>
      <c r="G1093" s="43">
        <v>43998</v>
      </c>
    </row>
    <row r="1094" spans="1:8" x14ac:dyDescent="0.25">
      <c r="A1094" s="44" t="s">
        <v>1341</v>
      </c>
      <c r="B1094" s="42" t="s">
        <v>3</v>
      </c>
      <c r="C1094" s="3">
        <v>18</v>
      </c>
      <c r="D1094" s="3">
        <v>1</v>
      </c>
      <c r="G1094" s="43">
        <v>43998</v>
      </c>
    </row>
    <row r="1095" spans="1:8" x14ac:dyDescent="0.25">
      <c r="A1095" s="44" t="s">
        <v>1342</v>
      </c>
      <c r="B1095" s="42" t="s">
        <v>3</v>
      </c>
      <c r="C1095" s="3">
        <v>19</v>
      </c>
      <c r="D1095" s="3">
        <v>1</v>
      </c>
      <c r="G1095" s="43">
        <v>43998</v>
      </c>
    </row>
    <row r="1096" spans="1:8" x14ac:dyDescent="0.25">
      <c r="A1096" s="44" t="s">
        <v>1343</v>
      </c>
      <c r="B1096" s="42" t="s">
        <v>3</v>
      </c>
      <c r="C1096" s="3">
        <v>18</v>
      </c>
      <c r="D1096" s="3">
        <v>1</v>
      </c>
      <c r="G1096" s="43">
        <v>43998</v>
      </c>
    </row>
    <row r="1097" spans="1:8" x14ac:dyDescent="0.25">
      <c r="A1097" s="44" t="s">
        <v>1344</v>
      </c>
      <c r="B1097" s="42" t="s">
        <v>3</v>
      </c>
      <c r="C1097" s="3">
        <v>18</v>
      </c>
      <c r="D1097" s="3">
        <v>1</v>
      </c>
      <c r="G1097" s="43">
        <v>43998</v>
      </c>
    </row>
    <row r="1098" spans="1:8" x14ac:dyDescent="0.25">
      <c r="A1098" s="44" t="s">
        <v>1345</v>
      </c>
      <c r="B1098" s="42" t="s">
        <v>3</v>
      </c>
      <c r="C1098" s="3">
        <v>18</v>
      </c>
      <c r="D1098" s="3">
        <v>1</v>
      </c>
      <c r="G1098" s="43">
        <v>43998</v>
      </c>
    </row>
    <row r="1099" spans="1:8" x14ac:dyDescent="0.25">
      <c r="A1099" s="44" t="s">
        <v>1346</v>
      </c>
      <c r="B1099" s="42" t="s">
        <v>120</v>
      </c>
      <c r="C1099" s="3">
        <v>18</v>
      </c>
      <c r="D1099" s="3">
        <v>1</v>
      </c>
      <c r="E1099" s="42" t="s">
        <v>160</v>
      </c>
      <c r="F1099" s="42" t="s">
        <v>160</v>
      </c>
      <c r="G1099" s="43">
        <v>43998</v>
      </c>
    </row>
    <row r="1100" spans="1:8" x14ac:dyDescent="0.25">
      <c r="A1100" s="44" t="s">
        <v>1347</v>
      </c>
      <c r="B1100" s="42" t="s">
        <v>3</v>
      </c>
      <c r="C1100" s="3">
        <v>24</v>
      </c>
      <c r="D1100" s="3">
        <v>1</v>
      </c>
      <c r="G1100" s="43">
        <v>43998</v>
      </c>
    </row>
    <row r="1101" spans="1:8" x14ac:dyDescent="0.25">
      <c r="A1101" s="44" t="s">
        <v>1348</v>
      </c>
      <c r="B1101" s="42" t="s">
        <v>3</v>
      </c>
      <c r="C1101" s="3">
        <v>19</v>
      </c>
      <c r="D1101" s="3">
        <v>1</v>
      </c>
      <c r="G1101" s="43">
        <v>43998</v>
      </c>
    </row>
    <row r="1102" spans="1:8" x14ac:dyDescent="0.25">
      <c r="A1102" s="44" t="s">
        <v>1349</v>
      </c>
      <c r="B1102" s="42" t="s">
        <v>120</v>
      </c>
      <c r="C1102" s="3">
        <v>19</v>
      </c>
      <c r="D1102" s="3">
        <v>1</v>
      </c>
      <c r="G1102" s="43">
        <v>43998</v>
      </c>
      <c r="H1102" s="42" t="s">
        <v>238</v>
      </c>
    </row>
    <row r="1103" spans="1:8" x14ac:dyDescent="0.25">
      <c r="A1103" s="44" t="s">
        <v>1350</v>
      </c>
      <c r="B1103" s="42" t="s">
        <v>3</v>
      </c>
      <c r="C1103" s="3">
        <v>18</v>
      </c>
      <c r="D1103" s="3">
        <v>1</v>
      </c>
      <c r="G1103" s="43">
        <v>43998</v>
      </c>
    </row>
    <row r="1104" spans="1:8" x14ac:dyDescent="0.25">
      <c r="A1104" s="44" t="s">
        <v>1351</v>
      </c>
      <c r="B1104" s="42" t="s">
        <v>120</v>
      </c>
      <c r="C1104" s="3">
        <v>18</v>
      </c>
      <c r="D1104" s="3">
        <v>1</v>
      </c>
      <c r="E1104" s="42" t="s">
        <v>160</v>
      </c>
      <c r="F1104" s="42" t="s">
        <v>160</v>
      </c>
      <c r="G1104" s="43">
        <v>43998</v>
      </c>
    </row>
    <row r="1105" spans="1:7" x14ac:dyDescent="0.25">
      <c r="A1105" s="44" t="s">
        <v>1352</v>
      </c>
      <c r="B1105" s="42" t="s">
        <v>3</v>
      </c>
      <c r="C1105" s="3">
        <v>18</v>
      </c>
      <c r="D1105" s="3">
        <v>1</v>
      </c>
      <c r="G1105" s="43">
        <v>43998</v>
      </c>
    </row>
    <row r="1106" spans="1:7" x14ac:dyDescent="0.25">
      <c r="A1106" s="44" t="s">
        <v>1353</v>
      </c>
      <c r="B1106" s="42" t="s">
        <v>120</v>
      </c>
      <c r="C1106" s="3">
        <v>18</v>
      </c>
      <c r="D1106" s="3">
        <v>1</v>
      </c>
      <c r="E1106" s="42" t="s">
        <v>160</v>
      </c>
      <c r="F1106" s="42" t="s">
        <v>160</v>
      </c>
      <c r="G1106" s="43">
        <v>43998</v>
      </c>
    </row>
    <row r="1107" spans="1:7" x14ac:dyDescent="0.25">
      <c r="A1107" s="44" t="s">
        <v>1354</v>
      </c>
      <c r="B1107" s="42" t="s">
        <v>3</v>
      </c>
      <c r="C1107" s="3">
        <v>19</v>
      </c>
      <c r="D1107" s="3">
        <v>1</v>
      </c>
      <c r="E1107" s="42" t="s">
        <v>160</v>
      </c>
      <c r="G1107" s="43">
        <v>43998</v>
      </c>
    </row>
    <row r="1108" spans="1:7" x14ac:dyDescent="0.25">
      <c r="A1108" s="44" t="s">
        <v>1355</v>
      </c>
      <c r="B1108" s="42" t="s">
        <v>3</v>
      </c>
      <c r="C1108" s="3">
        <v>19</v>
      </c>
      <c r="D1108" s="3">
        <v>1</v>
      </c>
      <c r="G1108" s="43">
        <v>43998</v>
      </c>
    </row>
    <row r="1109" spans="1:7" x14ac:dyDescent="0.25">
      <c r="A1109" s="44" t="s">
        <v>1356</v>
      </c>
      <c r="B1109" s="42" t="s">
        <v>120</v>
      </c>
      <c r="C1109" s="3">
        <v>19</v>
      </c>
      <c r="D1109" s="3">
        <v>1</v>
      </c>
      <c r="E1109" s="42" t="s">
        <v>160</v>
      </c>
      <c r="F1109" s="42" t="s">
        <v>160</v>
      </c>
      <c r="G1109" s="43">
        <v>43998</v>
      </c>
    </row>
    <row r="1110" spans="1:7" x14ac:dyDescent="0.25">
      <c r="A1110" s="44" t="s">
        <v>1357</v>
      </c>
      <c r="B1110" s="42" t="s">
        <v>3</v>
      </c>
      <c r="C1110" s="3">
        <v>18</v>
      </c>
      <c r="D1110" s="3">
        <v>1</v>
      </c>
      <c r="G1110" s="43">
        <v>43998</v>
      </c>
    </row>
    <row r="1111" spans="1:7" x14ac:dyDescent="0.25">
      <c r="A1111" s="44" t="s">
        <v>1358</v>
      </c>
      <c r="B1111" s="42" t="s">
        <v>120</v>
      </c>
      <c r="C1111" s="3">
        <v>18</v>
      </c>
      <c r="D1111" s="3">
        <v>1</v>
      </c>
      <c r="E1111" s="42" t="s">
        <v>160</v>
      </c>
      <c r="F1111" s="42" t="s">
        <v>160</v>
      </c>
      <c r="G1111" s="43">
        <v>43998</v>
      </c>
    </row>
    <row r="1112" spans="1:7" x14ac:dyDescent="0.25">
      <c r="A1112" s="44" t="s">
        <v>1359</v>
      </c>
      <c r="B1112" s="42" t="s">
        <v>3</v>
      </c>
      <c r="C1112" s="3">
        <v>18</v>
      </c>
      <c r="D1112" s="3">
        <v>1</v>
      </c>
      <c r="G1112" s="43">
        <v>43998</v>
      </c>
    </row>
    <row r="1113" spans="1:7" x14ac:dyDescent="0.25">
      <c r="A1113" s="44" t="s">
        <v>1360</v>
      </c>
      <c r="B1113" s="42" t="s">
        <v>3</v>
      </c>
      <c r="C1113" s="3">
        <v>22</v>
      </c>
      <c r="D1113" s="3">
        <v>1</v>
      </c>
      <c r="E1113" s="42" t="s">
        <v>160</v>
      </c>
      <c r="G1113" s="43">
        <v>43998</v>
      </c>
    </row>
    <row r="1114" spans="1:7" x14ac:dyDescent="0.25">
      <c r="A1114" s="44" t="s">
        <v>1361</v>
      </c>
      <c r="B1114" s="42" t="s">
        <v>3</v>
      </c>
      <c r="C1114" s="3">
        <v>19</v>
      </c>
      <c r="D1114" s="3">
        <v>1</v>
      </c>
      <c r="G1114" s="43">
        <v>43998</v>
      </c>
    </row>
    <row r="1115" spans="1:7" x14ac:dyDescent="0.25">
      <c r="A1115" s="44" t="s">
        <v>1362</v>
      </c>
      <c r="B1115" s="42" t="s">
        <v>120</v>
      </c>
      <c r="C1115" s="3">
        <v>18</v>
      </c>
      <c r="D1115" s="3">
        <v>1</v>
      </c>
      <c r="E1115" s="42" t="s">
        <v>160</v>
      </c>
      <c r="G1115" s="43">
        <v>43998</v>
      </c>
    </row>
    <row r="1116" spans="1:7" x14ac:dyDescent="0.25">
      <c r="A1116" s="44" t="s">
        <v>1363</v>
      </c>
      <c r="B1116" s="42" t="s">
        <v>120</v>
      </c>
      <c r="C1116" s="3">
        <v>18</v>
      </c>
      <c r="D1116" s="3">
        <v>1</v>
      </c>
      <c r="E1116" s="42" t="s">
        <v>160</v>
      </c>
      <c r="F1116" s="42" t="s">
        <v>160</v>
      </c>
      <c r="G1116" s="43">
        <v>43998</v>
      </c>
    </row>
    <row r="1117" spans="1:7" x14ac:dyDescent="0.25">
      <c r="A1117" s="44" t="s">
        <v>1364</v>
      </c>
      <c r="B1117" s="42" t="s">
        <v>3</v>
      </c>
      <c r="C1117" s="3">
        <v>19</v>
      </c>
      <c r="D1117" s="3">
        <v>1</v>
      </c>
      <c r="G1117" s="43">
        <v>43998</v>
      </c>
    </row>
    <row r="1118" spans="1:7" x14ac:dyDescent="0.25">
      <c r="A1118" s="44" t="s">
        <v>1365</v>
      </c>
      <c r="B1118" s="42" t="s">
        <v>120</v>
      </c>
      <c r="C1118" s="3">
        <v>18</v>
      </c>
      <c r="D1118" s="3">
        <v>1</v>
      </c>
      <c r="E1118" s="42" t="s">
        <v>160</v>
      </c>
      <c r="G1118" s="43">
        <v>43998</v>
      </c>
    </row>
    <row r="1119" spans="1:7" x14ac:dyDescent="0.25">
      <c r="A1119" s="44" t="s">
        <v>1366</v>
      </c>
      <c r="B1119" s="42" t="s">
        <v>3</v>
      </c>
      <c r="C1119" s="3">
        <v>18</v>
      </c>
      <c r="D1119" s="3">
        <v>1</v>
      </c>
      <c r="G1119" s="43">
        <v>43998</v>
      </c>
    </row>
    <row r="1120" spans="1:7" x14ac:dyDescent="0.25">
      <c r="A1120" s="44" t="s">
        <v>1367</v>
      </c>
      <c r="B1120" s="42" t="s">
        <v>120</v>
      </c>
      <c r="C1120" s="3">
        <v>20</v>
      </c>
      <c r="D1120" s="3">
        <v>1</v>
      </c>
      <c r="E1120" s="42" t="s">
        <v>160</v>
      </c>
      <c r="F1120" s="42" t="s">
        <v>160</v>
      </c>
      <c r="G1120" s="43">
        <v>43998</v>
      </c>
    </row>
    <row r="1121" spans="1:7" x14ac:dyDescent="0.25">
      <c r="A1121" s="44" t="s">
        <v>1368</v>
      </c>
      <c r="B1121" s="42" t="s">
        <v>120</v>
      </c>
      <c r="C1121" s="3">
        <v>19</v>
      </c>
      <c r="D1121" s="3">
        <v>1</v>
      </c>
      <c r="E1121" s="42" t="s">
        <v>160</v>
      </c>
      <c r="F1121" s="42" t="s">
        <v>160</v>
      </c>
      <c r="G1121" s="43">
        <v>43998</v>
      </c>
    </row>
    <row r="1122" spans="1:7" x14ac:dyDescent="0.25">
      <c r="A1122" s="44" t="s">
        <v>1369</v>
      </c>
      <c r="B1122" s="42" t="s">
        <v>3</v>
      </c>
      <c r="C1122" s="3">
        <v>18</v>
      </c>
      <c r="D1122" s="3">
        <v>1</v>
      </c>
      <c r="E1122" s="42" t="s">
        <v>160</v>
      </c>
      <c r="G1122" s="43">
        <v>43998</v>
      </c>
    </row>
    <row r="1123" spans="1:7" x14ac:dyDescent="0.25">
      <c r="A1123" s="44" t="s">
        <v>1370</v>
      </c>
      <c r="B1123" s="42" t="s">
        <v>120</v>
      </c>
      <c r="C1123" s="3">
        <v>18</v>
      </c>
      <c r="D1123" s="3">
        <v>1</v>
      </c>
      <c r="E1123" s="42" t="s">
        <v>160</v>
      </c>
      <c r="F1123" s="42" t="s">
        <v>160</v>
      </c>
      <c r="G1123" s="43">
        <v>43998</v>
      </c>
    </row>
    <row r="1124" spans="1:7" x14ac:dyDescent="0.25">
      <c r="A1124" s="44" t="s">
        <v>1371</v>
      </c>
      <c r="B1124" s="42" t="s">
        <v>120</v>
      </c>
      <c r="C1124" s="3">
        <v>18</v>
      </c>
      <c r="D1124" s="3">
        <v>1</v>
      </c>
      <c r="E1124" s="42" t="s">
        <v>160</v>
      </c>
      <c r="F1124" s="42" t="s">
        <v>160</v>
      </c>
      <c r="G1124" s="43">
        <v>43998</v>
      </c>
    </row>
    <row r="1125" spans="1:7" x14ac:dyDescent="0.25">
      <c r="A1125" s="44" t="s">
        <v>1372</v>
      </c>
      <c r="B1125" s="42" t="s">
        <v>3</v>
      </c>
      <c r="C1125" s="3">
        <v>18</v>
      </c>
      <c r="D1125" s="3">
        <v>1</v>
      </c>
      <c r="G1125" s="43">
        <v>43998</v>
      </c>
    </row>
    <row r="1126" spans="1:7" x14ac:dyDescent="0.25">
      <c r="A1126" s="44" t="s">
        <v>1373</v>
      </c>
      <c r="B1126" s="42" t="s">
        <v>3</v>
      </c>
      <c r="C1126" s="3">
        <v>19</v>
      </c>
      <c r="D1126" s="3">
        <v>1</v>
      </c>
      <c r="G1126" s="43">
        <v>43998</v>
      </c>
    </row>
    <row r="1127" spans="1:7" x14ac:dyDescent="0.25">
      <c r="A1127" s="44" t="s">
        <v>1374</v>
      </c>
      <c r="B1127" s="42" t="s">
        <v>3</v>
      </c>
      <c r="C1127" s="3">
        <v>18</v>
      </c>
      <c r="D1127" s="3">
        <v>1</v>
      </c>
      <c r="G1127" s="43">
        <v>43998</v>
      </c>
    </row>
    <row r="1128" spans="1:7" x14ac:dyDescent="0.25">
      <c r="A1128" s="44" t="s">
        <v>1375</v>
      </c>
      <c r="B1128" s="42" t="s">
        <v>3</v>
      </c>
      <c r="C1128" s="3">
        <v>20</v>
      </c>
      <c r="D1128" s="3">
        <v>1</v>
      </c>
      <c r="G1128" s="43">
        <v>43998</v>
      </c>
    </row>
    <row r="1129" spans="1:7" x14ac:dyDescent="0.25">
      <c r="A1129" s="44" t="s">
        <v>1376</v>
      </c>
      <c r="B1129" s="42" t="s">
        <v>3</v>
      </c>
      <c r="C1129" s="3">
        <v>28</v>
      </c>
      <c r="D1129" s="3">
        <v>1</v>
      </c>
      <c r="G1129" s="43">
        <v>43998</v>
      </c>
    </row>
    <row r="1130" spans="1:7" x14ac:dyDescent="0.25">
      <c r="A1130" s="44" t="s">
        <v>1377</v>
      </c>
      <c r="B1130" s="42" t="s">
        <v>3</v>
      </c>
      <c r="C1130" s="3">
        <v>18</v>
      </c>
      <c r="D1130" s="3">
        <v>1</v>
      </c>
      <c r="E1130" s="42" t="s">
        <v>160</v>
      </c>
      <c r="G1130" s="43">
        <v>43998</v>
      </c>
    </row>
    <row r="1131" spans="1:7" x14ac:dyDescent="0.25">
      <c r="A1131" s="44" t="s">
        <v>1378</v>
      </c>
      <c r="B1131" s="42" t="s">
        <v>3</v>
      </c>
      <c r="C1131" s="3">
        <v>18</v>
      </c>
      <c r="D1131" s="3">
        <v>1</v>
      </c>
      <c r="G1131" s="43">
        <v>43998</v>
      </c>
    </row>
    <row r="1132" spans="1:7" x14ac:dyDescent="0.25">
      <c r="A1132" s="44" t="s">
        <v>1379</v>
      </c>
      <c r="B1132" s="42" t="s">
        <v>3</v>
      </c>
      <c r="C1132" s="3">
        <v>18</v>
      </c>
      <c r="D1132" s="3">
        <v>1</v>
      </c>
      <c r="E1132" s="42" t="s">
        <v>160</v>
      </c>
      <c r="G1132" s="43">
        <v>43998</v>
      </c>
    </row>
    <row r="1133" spans="1:7" x14ac:dyDescent="0.25">
      <c r="A1133" s="45" t="s">
        <v>1380</v>
      </c>
      <c r="B1133" s="42" t="s">
        <v>3</v>
      </c>
      <c r="C1133" s="3">
        <v>23</v>
      </c>
      <c r="D1133" s="3">
        <v>1</v>
      </c>
      <c r="G1133" s="43">
        <v>43998</v>
      </c>
    </row>
    <row r="1134" spans="1:7" x14ac:dyDescent="0.25">
      <c r="A1134" s="44" t="s">
        <v>1381</v>
      </c>
      <c r="B1134" s="42" t="s">
        <v>3</v>
      </c>
      <c r="C1134" s="3">
        <v>20</v>
      </c>
      <c r="D1134" s="3">
        <v>1</v>
      </c>
      <c r="G1134" s="43">
        <v>43998</v>
      </c>
    </row>
    <row r="1135" spans="1:7" x14ac:dyDescent="0.25">
      <c r="A1135" s="44" t="s">
        <v>1382</v>
      </c>
      <c r="B1135" s="42" t="s">
        <v>3</v>
      </c>
      <c r="C1135" s="3">
        <v>23</v>
      </c>
      <c r="D1135" s="3">
        <v>1</v>
      </c>
      <c r="G1135" s="43">
        <v>43998</v>
      </c>
    </row>
    <row r="1136" spans="1:7" x14ac:dyDescent="0.25">
      <c r="A1136" s="44" t="s">
        <v>1383</v>
      </c>
      <c r="B1136" s="42" t="s">
        <v>120</v>
      </c>
      <c r="C1136" s="3">
        <v>18</v>
      </c>
      <c r="D1136" s="3">
        <v>1</v>
      </c>
      <c r="E1136" s="42" t="s">
        <v>160</v>
      </c>
      <c r="F1136" s="42" t="s">
        <v>160</v>
      </c>
      <c r="G1136" s="43">
        <v>43998</v>
      </c>
    </row>
    <row r="1137" spans="1:8" x14ac:dyDescent="0.25">
      <c r="A1137" s="44" t="s">
        <v>1384</v>
      </c>
      <c r="B1137" s="42" t="s">
        <v>3</v>
      </c>
      <c r="C1137" s="3">
        <v>19</v>
      </c>
      <c r="D1137" s="3">
        <v>1</v>
      </c>
      <c r="G1137" s="43">
        <v>43998</v>
      </c>
    </row>
    <row r="1138" spans="1:8" x14ac:dyDescent="0.25">
      <c r="A1138" s="44" t="s">
        <v>1385</v>
      </c>
      <c r="B1138" s="42" t="s">
        <v>120</v>
      </c>
      <c r="C1138" s="3">
        <v>18</v>
      </c>
      <c r="D1138" s="3">
        <v>1</v>
      </c>
      <c r="E1138" s="42" t="s">
        <v>160</v>
      </c>
      <c r="F1138" s="42" t="s">
        <v>160</v>
      </c>
      <c r="G1138" s="43">
        <v>43998</v>
      </c>
    </row>
    <row r="1139" spans="1:8" x14ac:dyDescent="0.25">
      <c r="A1139" s="44" t="s">
        <v>1386</v>
      </c>
      <c r="B1139" s="42" t="s">
        <v>3</v>
      </c>
      <c r="C1139" s="3">
        <v>18</v>
      </c>
      <c r="D1139" s="3">
        <v>1</v>
      </c>
      <c r="G1139" s="43">
        <v>43998</v>
      </c>
    </row>
    <row r="1140" spans="1:8" x14ac:dyDescent="0.25">
      <c r="A1140" s="44" t="s">
        <v>1387</v>
      </c>
      <c r="B1140" s="42" t="s">
        <v>120</v>
      </c>
      <c r="C1140" s="3">
        <v>18</v>
      </c>
      <c r="D1140" s="3">
        <v>1</v>
      </c>
      <c r="E1140" s="42" t="s">
        <v>160</v>
      </c>
      <c r="G1140" s="43">
        <v>43998</v>
      </c>
      <c r="H1140" s="42" t="s">
        <v>238</v>
      </c>
    </row>
    <row r="1141" spans="1:8" x14ac:dyDescent="0.25">
      <c r="A1141" s="44" t="s">
        <v>1388</v>
      </c>
      <c r="B1141" s="42" t="s">
        <v>3</v>
      </c>
      <c r="C1141" s="3">
        <v>19</v>
      </c>
      <c r="D1141" s="3">
        <v>1</v>
      </c>
      <c r="G1141" s="43">
        <v>43998</v>
      </c>
    </row>
    <row r="1142" spans="1:8" x14ac:dyDescent="0.25">
      <c r="A1142" s="44" t="s">
        <v>1389</v>
      </c>
      <c r="B1142" s="42" t="s">
        <v>120</v>
      </c>
      <c r="C1142" s="3">
        <v>18</v>
      </c>
      <c r="D1142" s="3">
        <v>1</v>
      </c>
      <c r="E1142" s="42" t="s">
        <v>160</v>
      </c>
      <c r="F1142" s="42" t="s">
        <v>160</v>
      </c>
      <c r="G1142" s="43">
        <v>43998</v>
      </c>
    </row>
    <row r="1143" spans="1:8" x14ac:dyDescent="0.25">
      <c r="A1143" s="44" t="s">
        <v>1390</v>
      </c>
      <c r="B1143" s="42" t="s">
        <v>3</v>
      </c>
      <c r="C1143" s="3">
        <v>21</v>
      </c>
      <c r="D1143" s="3">
        <v>1</v>
      </c>
      <c r="G1143" s="43">
        <v>43998</v>
      </c>
    </row>
    <row r="1144" spans="1:8" x14ac:dyDescent="0.25">
      <c r="A1144" s="44" t="s">
        <v>1391</v>
      </c>
      <c r="B1144" s="42" t="s">
        <v>3</v>
      </c>
      <c r="C1144" s="3">
        <v>18</v>
      </c>
      <c r="D1144" s="3">
        <v>1</v>
      </c>
      <c r="G1144" s="43">
        <v>43999</v>
      </c>
    </row>
    <row r="1145" spans="1:8" x14ac:dyDescent="0.25">
      <c r="A1145" s="44" t="s">
        <v>1392</v>
      </c>
      <c r="B1145" s="42" t="s">
        <v>3</v>
      </c>
      <c r="C1145" s="3">
        <v>19</v>
      </c>
      <c r="D1145" s="3">
        <v>1</v>
      </c>
      <c r="G1145" s="43">
        <v>43999</v>
      </c>
    </row>
    <row r="1146" spans="1:8" x14ac:dyDescent="0.25">
      <c r="A1146" s="44" t="s">
        <v>1393</v>
      </c>
      <c r="B1146" s="42" t="s">
        <v>120</v>
      </c>
      <c r="C1146" s="3">
        <v>19</v>
      </c>
      <c r="D1146" s="3">
        <v>1</v>
      </c>
      <c r="E1146" s="42" t="s">
        <v>160</v>
      </c>
      <c r="F1146" s="42" t="s">
        <v>160</v>
      </c>
      <c r="G1146" s="43">
        <v>43999</v>
      </c>
    </row>
    <row r="1147" spans="1:8" x14ac:dyDescent="0.25">
      <c r="A1147" s="44" t="s">
        <v>1394</v>
      </c>
      <c r="B1147" s="42" t="s">
        <v>3</v>
      </c>
      <c r="C1147" s="3">
        <v>18</v>
      </c>
      <c r="D1147" s="3">
        <v>1</v>
      </c>
      <c r="G1147" s="43">
        <v>43999</v>
      </c>
    </row>
    <row r="1148" spans="1:8" x14ac:dyDescent="0.25">
      <c r="A1148" s="44" t="s">
        <v>1395</v>
      </c>
      <c r="B1148" s="42" t="s">
        <v>3</v>
      </c>
      <c r="C1148" s="3">
        <v>18</v>
      </c>
      <c r="D1148" s="3">
        <v>1</v>
      </c>
      <c r="E1148" s="42" t="s">
        <v>160</v>
      </c>
      <c r="G1148" s="43">
        <v>43999</v>
      </c>
    </row>
    <row r="1149" spans="1:8" x14ac:dyDescent="0.25">
      <c r="A1149" s="44" t="s">
        <v>1396</v>
      </c>
      <c r="B1149" s="42" t="s">
        <v>3</v>
      </c>
      <c r="C1149" s="3">
        <v>18</v>
      </c>
      <c r="D1149" s="3">
        <v>1</v>
      </c>
      <c r="G1149" s="43">
        <v>43999</v>
      </c>
    </row>
    <row r="1150" spans="1:8" x14ac:dyDescent="0.25">
      <c r="A1150" s="44" t="s">
        <v>1397</v>
      </c>
      <c r="B1150" s="42" t="s">
        <v>3</v>
      </c>
      <c r="C1150" s="3">
        <v>18</v>
      </c>
      <c r="D1150" s="3">
        <v>1</v>
      </c>
      <c r="G1150" s="43">
        <v>43999</v>
      </c>
    </row>
    <row r="1151" spans="1:8" x14ac:dyDescent="0.25">
      <c r="A1151" s="44" t="s">
        <v>1398</v>
      </c>
      <c r="B1151" s="42" t="s">
        <v>3</v>
      </c>
      <c r="C1151" s="3">
        <v>18</v>
      </c>
      <c r="D1151" s="3">
        <v>1</v>
      </c>
      <c r="E1151" s="42" t="s">
        <v>160</v>
      </c>
      <c r="G1151" s="43">
        <v>43999</v>
      </c>
    </row>
    <row r="1152" spans="1:8" x14ac:dyDescent="0.25">
      <c r="A1152" s="44" t="s">
        <v>1399</v>
      </c>
      <c r="B1152" s="42" t="s">
        <v>3</v>
      </c>
      <c r="C1152" s="3">
        <v>20</v>
      </c>
      <c r="D1152" s="3">
        <v>1</v>
      </c>
      <c r="G1152" s="43">
        <v>43999</v>
      </c>
    </row>
    <row r="1153" spans="1:7" x14ac:dyDescent="0.25">
      <c r="A1153" s="44" t="s">
        <v>1400</v>
      </c>
      <c r="B1153" s="42" t="s">
        <v>3</v>
      </c>
      <c r="C1153" s="3">
        <v>18</v>
      </c>
      <c r="D1153" s="3">
        <v>1</v>
      </c>
      <c r="G1153" s="43">
        <v>43999</v>
      </c>
    </row>
    <row r="1154" spans="1:7" x14ac:dyDescent="0.25">
      <c r="A1154" s="44" t="s">
        <v>1401</v>
      </c>
      <c r="B1154" s="42" t="s">
        <v>3</v>
      </c>
      <c r="C1154" s="3">
        <v>18</v>
      </c>
      <c r="D1154" s="3">
        <v>1</v>
      </c>
      <c r="G1154" s="43">
        <v>43999</v>
      </c>
    </row>
    <row r="1155" spans="1:7" x14ac:dyDescent="0.25">
      <c r="A1155" s="44" t="s">
        <v>1402</v>
      </c>
      <c r="B1155" s="42" t="s">
        <v>3</v>
      </c>
      <c r="C1155" s="3">
        <v>25</v>
      </c>
      <c r="D1155" s="3">
        <v>1</v>
      </c>
      <c r="G1155" s="43">
        <v>43999</v>
      </c>
    </row>
    <row r="1156" spans="1:7" x14ac:dyDescent="0.25">
      <c r="A1156" s="44" t="s">
        <v>1403</v>
      </c>
      <c r="B1156" s="42" t="s">
        <v>120</v>
      </c>
      <c r="C1156" s="3">
        <v>19</v>
      </c>
      <c r="D1156" s="3">
        <v>1</v>
      </c>
      <c r="E1156" s="42" t="s">
        <v>160</v>
      </c>
      <c r="F1156" s="42" t="s">
        <v>160</v>
      </c>
      <c r="G1156" s="43">
        <v>43999</v>
      </c>
    </row>
    <row r="1157" spans="1:7" x14ac:dyDescent="0.25">
      <c r="A1157" s="44" t="s">
        <v>1404</v>
      </c>
      <c r="B1157" s="42" t="s">
        <v>120</v>
      </c>
      <c r="C1157" s="3">
        <v>18</v>
      </c>
      <c r="D1157" s="3">
        <v>1</v>
      </c>
      <c r="E1157" s="42" t="s">
        <v>160</v>
      </c>
      <c r="F1157" s="42" t="s">
        <v>160</v>
      </c>
      <c r="G1157" s="43">
        <v>43999</v>
      </c>
    </row>
    <row r="1158" spans="1:7" x14ac:dyDescent="0.25">
      <c r="A1158" s="44" t="s">
        <v>1405</v>
      </c>
      <c r="B1158" s="42" t="s">
        <v>3</v>
      </c>
      <c r="C1158" s="3">
        <v>18</v>
      </c>
      <c r="D1158" s="3">
        <v>1</v>
      </c>
      <c r="G1158" s="43">
        <v>43999</v>
      </c>
    </row>
    <row r="1159" spans="1:7" x14ac:dyDescent="0.25">
      <c r="A1159" s="44" t="s">
        <v>1406</v>
      </c>
      <c r="B1159" s="42" t="s">
        <v>3</v>
      </c>
      <c r="C1159" s="3">
        <v>18</v>
      </c>
      <c r="D1159" s="3">
        <v>1</v>
      </c>
      <c r="G1159" s="43">
        <v>43999</v>
      </c>
    </row>
    <row r="1160" spans="1:7" x14ac:dyDescent="0.25">
      <c r="A1160" s="44" t="s">
        <v>1407</v>
      </c>
      <c r="B1160" s="42" t="s">
        <v>3</v>
      </c>
      <c r="C1160" s="3">
        <v>19</v>
      </c>
      <c r="D1160" s="3">
        <v>1</v>
      </c>
      <c r="G1160" s="43">
        <v>43999</v>
      </c>
    </row>
    <row r="1161" spans="1:7" x14ac:dyDescent="0.25">
      <c r="A1161" s="44" t="s">
        <v>1408</v>
      </c>
      <c r="B1161" s="42" t="s">
        <v>120</v>
      </c>
      <c r="C1161" s="3">
        <v>18</v>
      </c>
      <c r="D1161" s="3">
        <v>1</v>
      </c>
      <c r="E1161" s="42" t="s">
        <v>160</v>
      </c>
      <c r="F1161" s="42" t="s">
        <v>160</v>
      </c>
      <c r="G1161" s="43">
        <v>43999</v>
      </c>
    </row>
    <row r="1162" spans="1:7" x14ac:dyDescent="0.25">
      <c r="A1162" s="44" t="s">
        <v>1409</v>
      </c>
      <c r="B1162" s="42" t="s">
        <v>3</v>
      </c>
      <c r="C1162" s="3">
        <v>18</v>
      </c>
      <c r="D1162" s="3">
        <v>1</v>
      </c>
      <c r="G1162" s="43">
        <v>43999</v>
      </c>
    </row>
    <row r="1163" spans="1:7" x14ac:dyDescent="0.25">
      <c r="A1163" s="44" t="s">
        <v>1410</v>
      </c>
      <c r="B1163" s="42" t="s">
        <v>3</v>
      </c>
      <c r="C1163" s="3">
        <v>19</v>
      </c>
      <c r="D1163" s="3">
        <v>1</v>
      </c>
      <c r="G1163" s="43">
        <v>43999</v>
      </c>
    </row>
    <row r="1164" spans="1:7" x14ac:dyDescent="0.25">
      <c r="A1164" s="44" t="s">
        <v>1411</v>
      </c>
      <c r="B1164" s="42" t="s">
        <v>120</v>
      </c>
      <c r="C1164" s="3">
        <v>18</v>
      </c>
      <c r="D1164" s="3">
        <v>1</v>
      </c>
      <c r="E1164" s="42" t="s">
        <v>160</v>
      </c>
      <c r="F1164" s="42" t="s">
        <v>160</v>
      </c>
      <c r="G1164" s="43">
        <v>43999</v>
      </c>
    </row>
    <row r="1165" spans="1:7" x14ac:dyDescent="0.25">
      <c r="A1165" s="44" t="s">
        <v>1412</v>
      </c>
      <c r="B1165" s="42" t="s">
        <v>120</v>
      </c>
      <c r="C1165" s="3">
        <v>18</v>
      </c>
      <c r="D1165" s="3">
        <v>1</v>
      </c>
      <c r="E1165" s="42" t="s">
        <v>160</v>
      </c>
      <c r="F1165" s="42" t="s">
        <v>160</v>
      </c>
      <c r="G1165" s="43">
        <v>43999</v>
      </c>
    </row>
    <row r="1166" spans="1:7" x14ac:dyDescent="0.25">
      <c r="A1166" s="44" t="s">
        <v>1413</v>
      </c>
      <c r="B1166" s="42" t="s">
        <v>3</v>
      </c>
      <c r="C1166" s="3">
        <v>20</v>
      </c>
      <c r="D1166" s="3">
        <v>1</v>
      </c>
      <c r="G1166" s="43">
        <v>43999</v>
      </c>
    </row>
    <row r="1167" spans="1:7" x14ac:dyDescent="0.25">
      <c r="A1167" s="44" t="s">
        <v>1414</v>
      </c>
      <c r="B1167" s="42" t="s">
        <v>3</v>
      </c>
      <c r="C1167" s="3">
        <v>23</v>
      </c>
      <c r="D1167" s="3">
        <v>1</v>
      </c>
      <c r="G1167" s="43">
        <v>43999</v>
      </c>
    </row>
    <row r="1168" spans="1:7" x14ac:dyDescent="0.25">
      <c r="A1168" s="44" t="s">
        <v>1415</v>
      </c>
      <c r="B1168" s="42" t="s">
        <v>3</v>
      </c>
      <c r="C1168" s="3">
        <v>18</v>
      </c>
      <c r="D1168" s="3">
        <v>1</v>
      </c>
      <c r="G1168" s="43">
        <v>43999</v>
      </c>
    </row>
    <row r="1169" spans="1:7" x14ac:dyDescent="0.25">
      <c r="A1169" s="44" t="s">
        <v>1416</v>
      </c>
      <c r="B1169" s="42" t="s">
        <v>3</v>
      </c>
      <c r="C1169" s="3">
        <v>18</v>
      </c>
      <c r="D1169" s="3">
        <v>1</v>
      </c>
      <c r="E1169" s="42" t="s">
        <v>160</v>
      </c>
      <c r="G1169" s="43">
        <v>43999</v>
      </c>
    </row>
    <row r="1170" spans="1:7" x14ac:dyDescent="0.25">
      <c r="A1170" s="44" t="s">
        <v>1417</v>
      </c>
      <c r="B1170" s="42" t="s">
        <v>3</v>
      </c>
      <c r="C1170" s="3">
        <v>18</v>
      </c>
      <c r="D1170" s="3">
        <v>2</v>
      </c>
      <c r="G1170" s="43">
        <v>43999</v>
      </c>
    </row>
    <row r="1171" spans="1:7" x14ac:dyDescent="0.25">
      <c r="A1171" s="44" t="s">
        <v>1418</v>
      </c>
      <c r="B1171" s="42" t="s">
        <v>3</v>
      </c>
      <c r="C1171" s="3">
        <v>19</v>
      </c>
      <c r="D1171" s="3">
        <v>1</v>
      </c>
      <c r="G1171" s="43">
        <v>43999</v>
      </c>
    </row>
    <row r="1172" spans="1:7" x14ac:dyDescent="0.25">
      <c r="A1172" s="44" t="s">
        <v>1419</v>
      </c>
      <c r="B1172" s="42" t="s">
        <v>120</v>
      </c>
      <c r="C1172" s="3">
        <v>18</v>
      </c>
      <c r="D1172" s="3">
        <v>1</v>
      </c>
      <c r="E1172" s="42" t="s">
        <v>160</v>
      </c>
      <c r="F1172" s="42" t="s">
        <v>160</v>
      </c>
      <c r="G1172" s="43">
        <v>43999</v>
      </c>
    </row>
    <row r="1173" spans="1:7" x14ac:dyDescent="0.25">
      <c r="A1173" s="44" t="s">
        <v>1420</v>
      </c>
      <c r="B1173" s="42" t="s">
        <v>120</v>
      </c>
      <c r="C1173" s="3">
        <v>18</v>
      </c>
      <c r="D1173" s="3">
        <v>1</v>
      </c>
      <c r="E1173" s="42" t="s">
        <v>160</v>
      </c>
      <c r="F1173" s="42" t="s">
        <v>160</v>
      </c>
      <c r="G1173" s="43">
        <v>43999</v>
      </c>
    </row>
    <row r="1174" spans="1:7" x14ac:dyDescent="0.25">
      <c r="A1174" s="44" t="s">
        <v>1421</v>
      </c>
      <c r="B1174" s="42" t="s">
        <v>3</v>
      </c>
      <c r="C1174" s="3">
        <v>20</v>
      </c>
      <c r="D1174" s="3">
        <v>2</v>
      </c>
      <c r="E1174" s="42" t="s">
        <v>160</v>
      </c>
      <c r="G1174" s="43">
        <v>43999</v>
      </c>
    </row>
    <row r="1175" spans="1:7" x14ac:dyDescent="0.25">
      <c r="A1175" s="44" t="s">
        <v>1422</v>
      </c>
      <c r="B1175" s="42" t="s">
        <v>3</v>
      </c>
      <c r="C1175" s="3">
        <v>18</v>
      </c>
      <c r="D1175" s="3">
        <v>2</v>
      </c>
      <c r="G1175" s="43">
        <v>43999</v>
      </c>
    </row>
    <row r="1176" spans="1:7" x14ac:dyDescent="0.25">
      <c r="A1176" s="44" t="s">
        <v>1423</v>
      </c>
      <c r="B1176" s="42" t="s">
        <v>120</v>
      </c>
      <c r="C1176" s="3">
        <v>18</v>
      </c>
      <c r="D1176" s="3">
        <v>1</v>
      </c>
      <c r="E1176" s="42" t="s">
        <v>160</v>
      </c>
      <c r="F1176" s="42" t="s">
        <v>160</v>
      </c>
      <c r="G1176" s="43">
        <v>43999</v>
      </c>
    </row>
    <row r="1177" spans="1:7" x14ac:dyDescent="0.25">
      <c r="A1177" s="44" t="s">
        <v>1424</v>
      </c>
      <c r="B1177" s="42" t="s">
        <v>3</v>
      </c>
      <c r="C1177" s="3">
        <v>28</v>
      </c>
      <c r="D1177" s="3">
        <v>1</v>
      </c>
      <c r="G1177" s="43">
        <v>43999</v>
      </c>
    </row>
    <row r="1178" spans="1:7" x14ac:dyDescent="0.25">
      <c r="A1178" s="44" t="s">
        <v>1425</v>
      </c>
      <c r="B1178" s="42" t="s">
        <v>120</v>
      </c>
      <c r="C1178" s="3">
        <v>18</v>
      </c>
      <c r="D1178" s="3">
        <v>1</v>
      </c>
      <c r="E1178" s="42" t="s">
        <v>160</v>
      </c>
      <c r="F1178" s="42" t="s">
        <v>160</v>
      </c>
      <c r="G1178" s="43">
        <v>43999</v>
      </c>
    </row>
    <row r="1179" spans="1:7" x14ac:dyDescent="0.25">
      <c r="A1179" s="44" t="s">
        <v>1426</v>
      </c>
      <c r="B1179" s="42" t="s">
        <v>120</v>
      </c>
      <c r="C1179" s="3">
        <v>18</v>
      </c>
      <c r="D1179" s="3">
        <v>1</v>
      </c>
      <c r="E1179" s="42" t="s">
        <v>160</v>
      </c>
      <c r="G1179" s="43">
        <v>43999</v>
      </c>
    </row>
    <row r="1180" spans="1:7" x14ac:dyDescent="0.25">
      <c r="A1180" s="44" t="s">
        <v>1427</v>
      </c>
      <c r="B1180" s="42" t="s">
        <v>3</v>
      </c>
      <c r="C1180" s="3">
        <v>18</v>
      </c>
      <c r="D1180" s="3">
        <v>1</v>
      </c>
      <c r="G1180" s="43">
        <v>43999</v>
      </c>
    </row>
    <row r="1181" spans="1:7" x14ac:dyDescent="0.25">
      <c r="A1181" s="44" t="s">
        <v>1428</v>
      </c>
      <c r="B1181" s="42" t="s">
        <v>120</v>
      </c>
      <c r="C1181" s="3">
        <v>18</v>
      </c>
      <c r="D1181" s="3">
        <v>1</v>
      </c>
      <c r="E1181" s="42" t="s">
        <v>160</v>
      </c>
      <c r="G1181" s="43">
        <v>43999</v>
      </c>
    </row>
    <row r="1182" spans="1:7" x14ac:dyDescent="0.25">
      <c r="A1182" s="44" t="s">
        <v>1429</v>
      </c>
      <c r="B1182" s="42" t="s">
        <v>3</v>
      </c>
      <c r="C1182" s="3">
        <v>19</v>
      </c>
      <c r="D1182" s="3">
        <v>1</v>
      </c>
      <c r="E1182" s="42" t="s">
        <v>160</v>
      </c>
      <c r="G1182" s="43">
        <v>43999</v>
      </c>
    </row>
    <row r="1183" spans="1:7" x14ac:dyDescent="0.25">
      <c r="A1183" s="44" t="s">
        <v>1430</v>
      </c>
      <c r="B1183" s="42" t="s">
        <v>3</v>
      </c>
      <c r="C1183" s="3">
        <v>19</v>
      </c>
      <c r="D1183" s="3">
        <v>1</v>
      </c>
      <c r="G1183" s="43">
        <v>43999</v>
      </c>
    </row>
    <row r="1184" spans="1:7" x14ac:dyDescent="0.25">
      <c r="A1184" s="44" t="s">
        <v>1431</v>
      </c>
      <c r="B1184" s="42" t="s">
        <v>3</v>
      </c>
      <c r="C1184" s="3">
        <v>18</v>
      </c>
      <c r="D1184" s="3">
        <v>1</v>
      </c>
      <c r="G1184" s="43">
        <v>43999</v>
      </c>
    </row>
    <row r="1185" spans="1:7" x14ac:dyDescent="0.25">
      <c r="A1185" s="44" t="s">
        <v>1432</v>
      </c>
      <c r="B1185" s="42" t="s">
        <v>120</v>
      </c>
      <c r="C1185" s="3">
        <v>21</v>
      </c>
      <c r="D1185" s="3">
        <v>1</v>
      </c>
      <c r="E1185" s="42" t="s">
        <v>160</v>
      </c>
      <c r="F1185" s="42" t="s">
        <v>160</v>
      </c>
      <c r="G1185" s="43">
        <v>43999</v>
      </c>
    </row>
    <row r="1186" spans="1:7" x14ac:dyDescent="0.25">
      <c r="A1186" s="44" t="s">
        <v>1433</v>
      </c>
      <c r="B1186" s="42" t="s">
        <v>3</v>
      </c>
      <c r="C1186" s="3">
        <v>18</v>
      </c>
      <c r="D1186" s="3">
        <v>1</v>
      </c>
      <c r="G1186" s="43">
        <v>43999</v>
      </c>
    </row>
    <row r="1187" spans="1:7" x14ac:dyDescent="0.25">
      <c r="A1187" s="44" t="s">
        <v>1434</v>
      </c>
      <c r="B1187" s="42" t="s">
        <v>120</v>
      </c>
      <c r="C1187" s="3">
        <v>19</v>
      </c>
      <c r="D1187" s="3">
        <v>1</v>
      </c>
      <c r="E1187" s="42" t="s">
        <v>160</v>
      </c>
      <c r="F1187" s="42" t="s">
        <v>160</v>
      </c>
      <c r="G1187" s="43">
        <v>43999</v>
      </c>
    </row>
    <row r="1188" spans="1:7" x14ac:dyDescent="0.25">
      <c r="A1188" s="44" t="s">
        <v>1435</v>
      </c>
      <c r="B1188" s="42" t="s">
        <v>3</v>
      </c>
      <c r="C1188" s="3">
        <v>18</v>
      </c>
      <c r="D1188" s="3">
        <v>1</v>
      </c>
      <c r="G1188" s="43">
        <v>43999</v>
      </c>
    </row>
    <row r="1189" spans="1:7" x14ac:dyDescent="0.25">
      <c r="A1189" s="44" t="s">
        <v>1436</v>
      </c>
      <c r="B1189" s="42" t="s">
        <v>120</v>
      </c>
      <c r="C1189" s="3">
        <v>18</v>
      </c>
      <c r="D1189" s="3">
        <v>1</v>
      </c>
      <c r="E1189" s="42" t="s">
        <v>160</v>
      </c>
      <c r="F1189" s="42" t="s">
        <v>160</v>
      </c>
      <c r="G1189" s="43">
        <v>43999</v>
      </c>
    </row>
    <row r="1190" spans="1:7" x14ac:dyDescent="0.25">
      <c r="A1190" s="44" t="s">
        <v>1437</v>
      </c>
      <c r="B1190" s="42" t="s">
        <v>3</v>
      </c>
      <c r="C1190" s="3">
        <v>26</v>
      </c>
      <c r="D1190" s="3">
        <v>1</v>
      </c>
      <c r="G1190" s="43">
        <v>43999</v>
      </c>
    </row>
    <row r="1191" spans="1:7" x14ac:dyDescent="0.25">
      <c r="A1191" s="44" t="s">
        <v>1438</v>
      </c>
      <c r="B1191" s="42" t="s">
        <v>3</v>
      </c>
      <c r="C1191" s="3">
        <v>18</v>
      </c>
      <c r="D1191" s="3">
        <v>1</v>
      </c>
      <c r="G1191" s="43">
        <v>43999</v>
      </c>
    </row>
    <row r="1192" spans="1:7" x14ac:dyDescent="0.25">
      <c r="A1192" s="44" t="s">
        <v>1439</v>
      </c>
      <c r="B1192" s="42" t="s">
        <v>3</v>
      </c>
      <c r="C1192" s="3">
        <v>18</v>
      </c>
      <c r="D1192" s="3">
        <v>1</v>
      </c>
      <c r="G1192" s="43">
        <v>43999</v>
      </c>
    </row>
    <row r="1193" spans="1:7" x14ac:dyDescent="0.25">
      <c r="A1193" s="44" t="s">
        <v>1440</v>
      </c>
      <c r="B1193" s="42" t="s">
        <v>120</v>
      </c>
      <c r="C1193" s="3">
        <v>18</v>
      </c>
      <c r="D1193" s="3">
        <v>1</v>
      </c>
      <c r="E1193" s="42" t="s">
        <v>160</v>
      </c>
      <c r="F1193" s="42" t="s">
        <v>160</v>
      </c>
      <c r="G1193" s="43">
        <v>43999</v>
      </c>
    </row>
    <row r="1194" spans="1:7" x14ac:dyDescent="0.25">
      <c r="A1194" s="44" t="s">
        <v>1441</v>
      </c>
      <c r="B1194" s="42" t="s">
        <v>120</v>
      </c>
      <c r="C1194" s="3">
        <v>18</v>
      </c>
      <c r="D1194" s="3">
        <v>1</v>
      </c>
      <c r="E1194" s="42" t="s">
        <v>160</v>
      </c>
      <c r="G1194" s="43">
        <v>43999</v>
      </c>
    </row>
    <row r="1195" spans="1:7" x14ac:dyDescent="0.25">
      <c r="A1195" s="44" t="s">
        <v>1442</v>
      </c>
      <c r="B1195" s="42" t="s">
        <v>120</v>
      </c>
      <c r="C1195" s="3">
        <v>21</v>
      </c>
      <c r="D1195" s="3">
        <v>1</v>
      </c>
      <c r="E1195" s="42" t="s">
        <v>160</v>
      </c>
      <c r="F1195" s="42" t="s">
        <v>160</v>
      </c>
      <c r="G1195" s="43">
        <v>43999</v>
      </c>
    </row>
    <row r="1196" spans="1:7" x14ac:dyDescent="0.25">
      <c r="A1196" s="44" t="s">
        <v>1443</v>
      </c>
      <c r="B1196" s="42" t="s">
        <v>120</v>
      </c>
      <c r="C1196" s="3">
        <v>18</v>
      </c>
      <c r="D1196" s="3">
        <v>1</v>
      </c>
      <c r="E1196" s="42" t="s">
        <v>160</v>
      </c>
      <c r="G1196" s="43">
        <v>43999</v>
      </c>
    </row>
    <row r="1197" spans="1:7" x14ac:dyDescent="0.25">
      <c r="A1197" s="44" t="s">
        <v>1444</v>
      </c>
      <c r="B1197" s="42" t="s">
        <v>3</v>
      </c>
      <c r="C1197" s="3">
        <v>20</v>
      </c>
      <c r="D1197" s="3">
        <v>1</v>
      </c>
      <c r="G1197" s="43">
        <v>43999</v>
      </c>
    </row>
    <row r="1198" spans="1:7" x14ac:dyDescent="0.25">
      <c r="A1198" s="44" t="s">
        <v>1445</v>
      </c>
      <c r="B1198" s="42" t="s">
        <v>120</v>
      </c>
      <c r="C1198" s="3">
        <v>19</v>
      </c>
      <c r="D1198" s="3">
        <v>1</v>
      </c>
      <c r="E1198" s="42" t="s">
        <v>160</v>
      </c>
      <c r="G1198" s="43">
        <v>43999</v>
      </c>
    </row>
    <row r="1199" spans="1:7" x14ac:dyDescent="0.25">
      <c r="A1199" s="44" t="s">
        <v>1446</v>
      </c>
      <c r="B1199" s="42" t="s">
        <v>3</v>
      </c>
      <c r="C1199" s="3">
        <v>19</v>
      </c>
      <c r="D1199" s="3">
        <v>1</v>
      </c>
      <c r="G1199" s="43">
        <v>43999</v>
      </c>
    </row>
    <row r="1200" spans="1:7" x14ac:dyDescent="0.25">
      <c r="A1200" s="44" t="s">
        <v>1447</v>
      </c>
      <c r="B1200" s="42" t="s">
        <v>3</v>
      </c>
      <c r="C1200" s="3">
        <v>18</v>
      </c>
      <c r="D1200" s="3">
        <v>1</v>
      </c>
      <c r="G1200" s="43">
        <v>43999</v>
      </c>
    </row>
    <row r="1201" spans="1:7" x14ac:dyDescent="0.25">
      <c r="A1201" s="44" t="s">
        <v>1448</v>
      </c>
      <c r="B1201" s="42" t="s">
        <v>120</v>
      </c>
      <c r="C1201" s="3">
        <v>18</v>
      </c>
      <c r="D1201" s="3">
        <v>1</v>
      </c>
      <c r="E1201" s="42" t="s">
        <v>160</v>
      </c>
      <c r="F1201" s="42" t="s">
        <v>160</v>
      </c>
      <c r="G1201" s="43">
        <v>43999</v>
      </c>
    </row>
    <row r="1202" spans="1:7" x14ac:dyDescent="0.25">
      <c r="A1202" s="44" t="s">
        <v>1449</v>
      </c>
      <c r="B1202" s="42" t="s">
        <v>120</v>
      </c>
      <c r="C1202" s="3">
        <v>18</v>
      </c>
      <c r="D1202" s="3">
        <v>1</v>
      </c>
      <c r="E1202" s="42" t="s">
        <v>160</v>
      </c>
      <c r="G1202" s="43">
        <v>43999</v>
      </c>
    </row>
    <row r="1203" spans="1:7" x14ac:dyDescent="0.25">
      <c r="A1203" s="44" t="s">
        <v>1450</v>
      </c>
      <c r="B1203" s="42" t="s">
        <v>3</v>
      </c>
      <c r="C1203" s="3">
        <v>18</v>
      </c>
      <c r="D1203" s="3">
        <v>1</v>
      </c>
      <c r="G1203" s="43">
        <v>43999</v>
      </c>
    </row>
    <row r="1204" spans="1:7" x14ac:dyDescent="0.25">
      <c r="A1204" s="44" t="s">
        <v>1451</v>
      </c>
      <c r="B1204" s="42" t="s">
        <v>3</v>
      </c>
      <c r="C1204" s="3">
        <v>19</v>
      </c>
      <c r="D1204" s="3">
        <v>1</v>
      </c>
      <c r="G1204" s="43">
        <v>43999</v>
      </c>
    </row>
    <row r="1205" spans="1:7" x14ac:dyDescent="0.25">
      <c r="A1205" s="44" t="s">
        <v>1452</v>
      </c>
      <c r="B1205" s="42" t="s">
        <v>3</v>
      </c>
      <c r="C1205" s="3">
        <v>19</v>
      </c>
      <c r="D1205" s="3">
        <v>1</v>
      </c>
      <c r="G1205" s="43">
        <v>43999</v>
      </c>
    </row>
    <row r="1206" spans="1:7" x14ac:dyDescent="0.25">
      <c r="A1206" s="44" t="s">
        <v>1453</v>
      </c>
      <c r="B1206" s="42" t="s">
        <v>120</v>
      </c>
      <c r="C1206" s="3">
        <v>19</v>
      </c>
      <c r="D1206" s="3">
        <v>1</v>
      </c>
      <c r="E1206" s="42" t="s">
        <v>160</v>
      </c>
      <c r="F1206" s="42" t="s">
        <v>160</v>
      </c>
      <c r="G1206" s="43">
        <v>43999</v>
      </c>
    </row>
    <row r="1207" spans="1:7" x14ac:dyDescent="0.25">
      <c r="A1207" s="44" t="s">
        <v>1454</v>
      </c>
      <c r="B1207" s="42" t="s">
        <v>3</v>
      </c>
      <c r="C1207" s="3">
        <v>18</v>
      </c>
      <c r="D1207" s="3">
        <v>1</v>
      </c>
      <c r="E1207" s="42" t="s">
        <v>160</v>
      </c>
      <c r="F1207" s="42" t="s">
        <v>160</v>
      </c>
      <c r="G1207" s="43">
        <v>43999</v>
      </c>
    </row>
    <row r="1208" spans="1:7" x14ac:dyDescent="0.25">
      <c r="A1208" s="44" t="s">
        <v>1455</v>
      </c>
      <c r="B1208" s="42" t="s">
        <v>3</v>
      </c>
      <c r="C1208" s="3">
        <v>18</v>
      </c>
      <c r="D1208" s="3">
        <v>1</v>
      </c>
      <c r="G1208" s="43">
        <v>43999</v>
      </c>
    </row>
    <row r="1209" spans="1:7" x14ac:dyDescent="0.25">
      <c r="A1209" s="44" t="s">
        <v>1456</v>
      </c>
      <c r="B1209" s="42" t="s">
        <v>3</v>
      </c>
      <c r="C1209" s="3">
        <v>19</v>
      </c>
      <c r="D1209" s="3">
        <v>1</v>
      </c>
      <c r="E1209" s="42" t="s">
        <v>160</v>
      </c>
      <c r="G1209" s="43">
        <v>43999</v>
      </c>
    </row>
    <row r="1210" spans="1:7" x14ac:dyDescent="0.25">
      <c r="A1210" s="44" t="s">
        <v>1457</v>
      </c>
      <c r="B1210" s="42" t="s">
        <v>120</v>
      </c>
      <c r="C1210" s="3">
        <v>19</v>
      </c>
      <c r="D1210" s="3">
        <v>1</v>
      </c>
      <c r="E1210" s="42" t="s">
        <v>160</v>
      </c>
      <c r="F1210" s="42" t="s">
        <v>160</v>
      </c>
      <c r="G1210" s="43">
        <v>43999</v>
      </c>
    </row>
    <row r="1211" spans="1:7" x14ac:dyDescent="0.25">
      <c r="A1211" s="44" t="s">
        <v>1458</v>
      </c>
      <c r="B1211" s="42" t="s">
        <v>120</v>
      </c>
      <c r="C1211" s="3">
        <v>18</v>
      </c>
      <c r="D1211" s="3">
        <v>1</v>
      </c>
      <c r="E1211" s="42" t="s">
        <v>160</v>
      </c>
      <c r="F1211" s="42" t="s">
        <v>160</v>
      </c>
      <c r="G1211" s="43">
        <v>43999</v>
      </c>
    </row>
    <row r="1212" spans="1:7" x14ac:dyDescent="0.25">
      <c r="A1212" s="44" t="s">
        <v>1459</v>
      </c>
      <c r="B1212" s="42" t="s">
        <v>120</v>
      </c>
      <c r="C1212" s="3">
        <v>18</v>
      </c>
      <c r="D1212" s="3">
        <v>1</v>
      </c>
      <c r="E1212" s="42" t="s">
        <v>160</v>
      </c>
      <c r="F1212" s="42" t="s">
        <v>160</v>
      </c>
      <c r="G1212" s="43">
        <v>43999</v>
      </c>
    </row>
    <row r="1213" spans="1:7" x14ac:dyDescent="0.25">
      <c r="A1213" s="44" t="s">
        <v>1460</v>
      </c>
      <c r="B1213" s="42" t="s">
        <v>3</v>
      </c>
      <c r="C1213" s="3">
        <v>19</v>
      </c>
      <c r="D1213" s="3">
        <v>1</v>
      </c>
      <c r="G1213" s="43">
        <v>43999</v>
      </c>
    </row>
    <row r="1214" spans="1:7" x14ac:dyDescent="0.25">
      <c r="A1214" s="44" t="s">
        <v>1461</v>
      </c>
      <c r="B1214" s="42" t="s">
        <v>120</v>
      </c>
      <c r="C1214" s="3">
        <v>18</v>
      </c>
      <c r="D1214" s="3">
        <v>1</v>
      </c>
      <c r="E1214" s="42" t="s">
        <v>160</v>
      </c>
      <c r="F1214" s="42" t="s">
        <v>160</v>
      </c>
      <c r="G1214" s="43">
        <v>43999</v>
      </c>
    </row>
    <row r="1215" spans="1:7" x14ac:dyDescent="0.25">
      <c r="A1215" s="44" t="s">
        <v>1462</v>
      </c>
      <c r="B1215" s="42" t="s">
        <v>3</v>
      </c>
      <c r="C1215" s="3">
        <v>18</v>
      </c>
      <c r="D1215" s="3">
        <v>1</v>
      </c>
      <c r="G1215" s="43">
        <v>43999</v>
      </c>
    </row>
    <row r="1216" spans="1:7" x14ac:dyDescent="0.25">
      <c r="A1216" s="44" t="s">
        <v>1463</v>
      </c>
      <c r="B1216" s="42" t="s">
        <v>120</v>
      </c>
      <c r="C1216" s="3">
        <v>18</v>
      </c>
      <c r="D1216" s="3">
        <v>1</v>
      </c>
      <c r="E1216" s="42" t="s">
        <v>160</v>
      </c>
      <c r="G1216" s="43">
        <v>43999</v>
      </c>
    </row>
    <row r="1217" spans="1:7" x14ac:dyDescent="0.25">
      <c r="A1217" s="44" t="s">
        <v>1464</v>
      </c>
      <c r="B1217" s="42" t="s">
        <v>120</v>
      </c>
      <c r="C1217" s="3">
        <v>18</v>
      </c>
      <c r="D1217" s="3">
        <v>1</v>
      </c>
      <c r="E1217" s="42" t="s">
        <v>160</v>
      </c>
      <c r="G1217" s="43">
        <v>43999</v>
      </c>
    </row>
    <row r="1218" spans="1:7" x14ac:dyDescent="0.25">
      <c r="A1218" s="44" t="s">
        <v>1465</v>
      </c>
      <c r="B1218" s="42" t="s">
        <v>120</v>
      </c>
      <c r="C1218" s="3">
        <v>19</v>
      </c>
      <c r="D1218" s="3">
        <v>1</v>
      </c>
      <c r="E1218" s="42" t="s">
        <v>160</v>
      </c>
      <c r="F1218" s="42" t="s">
        <v>160</v>
      </c>
      <c r="G1218" s="43">
        <v>43999</v>
      </c>
    </row>
    <row r="1219" spans="1:7" x14ac:dyDescent="0.25">
      <c r="A1219" s="44" t="s">
        <v>1466</v>
      </c>
      <c r="B1219" s="42" t="s">
        <v>120</v>
      </c>
      <c r="C1219" s="3">
        <v>18</v>
      </c>
      <c r="D1219" s="3">
        <v>1</v>
      </c>
      <c r="E1219" s="42" t="s">
        <v>160</v>
      </c>
      <c r="F1219" s="42" t="s">
        <v>160</v>
      </c>
      <c r="G1219" s="43">
        <v>43999</v>
      </c>
    </row>
    <row r="1220" spans="1:7" x14ac:dyDescent="0.25">
      <c r="A1220" s="44" t="s">
        <v>1467</v>
      </c>
      <c r="B1220" s="42" t="s">
        <v>120</v>
      </c>
      <c r="C1220" s="3">
        <v>18</v>
      </c>
      <c r="D1220" s="3">
        <v>1</v>
      </c>
      <c r="E1220" s="42" t="s">
        <v>160</v>
      </c>
      <c r="F1220" s="42" t="s">
        <v>160</v>
      </c>
      <c r="G1220" s="43">
        <v>43999</v>
      </c>
    </row>
    <row r="1221" spans="1:7" x14ac:dyDescent="0.25">
      <c r="A1221" s="44" t="s">
        <v>1468</v>
      </c>
      <c r="B1221" s="42" t="s">
        <v>120</v>
      </c>
      <c r="C1221" s="3">
        <v>18</v>
      </c>
      <c r="D1221" s="3">
        <v>1</v>
      </c>
      <c r="E1221" s="42" t="s">
        <v>160</v>
      </c>
      <c r="F1221" s="42" t="s">
        <v>160</v>
      </c>
      <c r="G1221" s="43">
        <v>43999</v>
      </c>
    </row>
    <row r="1222" spans="1:7" x14ac:dyDescent="0.25">
      <c r="A1222" s="44" t="s">
        <v>1469</v>
      </c>
      <c r="B1222" s="42" t="s">
        <v>120</v>
      </c>
      <c r="C1222" s="3">
        <v>18</v>
      </c>
      <c r="D1222" s="3">
        <v>1</v>
      </c>
      <c r="E1222" s="42" t="s">
        <v>160</v>
      </c>
      <c r="F1222" s="42" t="s">
        <v>160</v>
      </c>
      <c r="G1222" s="43">
        <v>43999</v>
      </c>
    </row>
    <row r="1223" spans="1:7" x14ac:dyDescent="0.25">
      <c r="A1223" s="44" t="s">
        <v>1470</v>
      </c>
      <c r="B1223" s="42" t="s">
        <v>120</v>
      </c>
      <c r="C1223" s="3">
        <v>20</v>
      </c>
      <c r="D1223" s="3">
        <v>1</v>
      </c>
      <c r="E1223" s="42" t="s">
        <v>160</v>
      </c>
      <c r="F1223" s="42" t="s">
        <v>160</v>
      </c>
      <c r="G1223" s="43">
        <v>43999</v>
      </c>
    </row>
    <row r="1224" spans="1:7" x14ac:dyDescent="0.25">
      <c r="A1224" s="44" t="s">
        <v>1471</v>
      </c>
      <c r="B1224" s="42" t="s">
        <v>3</v>
      </c>
      <c r="C1224" s="3">
        <v>18</v>
      </c>
      <c r="D1224" s="3">
        <v>1</v>
      </c>
      <c r="G1224" s="43">
        <v>43999</v>
      </c>
    </row>
    <row r="1225" spans="1:7" x14ac:dyDescent="0.25">
      <c r="A1225" s="44" t="s">
        <v>1472</v>
      </c>
      <c r="B1225" s="42" t="s">
        <v>3</v>
      </c>
      <c r="C1225" s="3">
        <v>18</v>
      </c>
      <c r="D1225" s="3">
        <v>1</v>
      </c>
      <c r="G1225" s="43">
        <v>43999</v>
      </c>
    </row>
    <row r="1226" spans="1:7" x14ac:dyDescent="0.25">
      <c r="A1226" s="44" t="s">
        <v>1473</v>
      </c>
      <c r="B1226" s="42" t="s">
        <v>120</v>
      </c>
      <c r="C1226" s="3">
        <v>19</v>
      </c>
      <c r="D1226" s="3">
        <v>1</v>
      </c>
      <c r="E1226" s="42" t="s">
        <v>160</v>
      </c>
      <c r="F1226" s="42" t="s">
        <v>160</v>
      </c>
      <c r="G1226" s="43">
        <v>43999</v>
      </c>
    </row>
    <row r="1227" spans="1:7" x14ac:dyDescent="0.25">
      <c r="A1227" s="44" t="s">
        <v>1474</v>
      </c>
      <c r="B1227" s="42" t="s">
        <v>3</v>
      </c>
      <c r="C1227" s="3">
        <v>28</v>
      </c>
      <c r="D1227" s="3">
        <v>1</v>
      </c>
      <c r="G1227" s="43">
        <v>43999</v>
      </c>
    </row>
    <row r="1228" spans="1:7" x14ac:dyDescent="0.25">
      <c r="A1228" s="44" t="s">
        <v>1475</v>
      </c>
      <c r="B1228" s="42" t="s">
        <v>120</v>
      </c>
      <c r="C1228" s="3">
        <v>18</v>
      </c>
      <c r="D1228" s="3">
        <v>1</v>
      </c>
      <c r="E1228" s="42" t="s">
        <v>160</v>
      </c>
      <c r="F1228" s="42" t="s">
        <v>160</v>
      </c>
      <c r="G1228" s="43">
        <v>43999</v>
      </c>
    </row>
    <row r="1229" spans="1:7" x14ac:dyDescent="0.25">
      <c r="A1229" s="44" t="s">
        <v>1476</v>
      </c>
      <c r="B1229" s="42" t="s">
        <v>120</v>
      </c>
      <c r="C1229" s="3">
        <v>18</v>
      </c>
      <c r="D1229" s="3">
        <v>1</v>
      </c>
      <c r="E1229" s="42" t="s">
        <v>160</v>
      </c>
      <c r="G1229" s="43">
        <v>43999</v>
      </c>
    </row>
    <row r="1230" spans="1:7" x14ac:dyDescent="0.25">
      <c r="A1230" s="44" t="s">
        <v>1477</v>
      </c>
      <c r="B1230" s="42" t="s">
        <v>120</v>
      </c>
      <c r="C1230" s="3">
        <v>18</v>
      </c>
      <c r="D1230" s="3">
        <v>1</v>
      </c>
      <c r="E1230" s="42" t="s">
        <v>160</v>
      </c>
      <c r="G1230" s="43">
        <v>43999</v>
      </c>
    </row>
    <row r="1231" spans="1:7" x14ac:dyDescent="0.25">
      <c r="A1231" s="44" t="s">
        <v>1478</v>
      </c>
      <c r="B1231" s="42" t="s">
        <v>3</v>
      </c>
      <c r="C1231" s="3">
        <v>18</v>
      </c>
      <c r="D1231" s="3">
        <v>1</v>
      </c>
      <c r="G1231" s="43">
        <v>43999</v>
      </c>
    </row>
    <row r="1232" spans="1:7" x14ac:dyDescent="0.25">
      <c r="A1232" s="44" t="s">
        <v>1479</v>
      </c>
      <c r="B1232" s="42" t="s">
        <v>3</v>
      </c>
      <c r="C1232" s="3">
        <v>18</v>
      </c>
      <c r="D1232" s="3">
        <v>1</v>
      </c>
      <c r="G1232" s="43">
        <v>43999</v>
      </c>
    </row>
    <row r="1233" spans="1:7" x14ac:dyDescent="0.25">
      <c r="A1233" s="44" t="s">
        <v>1480</v>
      </c>
      <c r="B1233" s="42" t="s">
        <v>120</v>
      </c>
      <c r="C1233" s="3">
        <v>18</v>
      </c>
      <c r="D1233" s="3">
        <v>1</v>
      </c>
      <c r="E1233" s="42" t="s">
        <v>160</v>
      </c>
      <c r="G1233" s="43">
        <v>43999</v>
      </c>
    </row>
    <row r="1234" spans="1:7" x14ac:dyDescent="0.25">
      <c r="A1234" s="44" t="s">
        <v>1481</v>
      </c>
      <c r="B1234" s="42" t="s">
        <v>120</v>
      </c>
      <c r="C1234" s="3">
        <v>23</v>
      </c>
      <c r="D1234" s="3">
        <v>1</v>
      </c>
      <c r="E1234" s="42" t="s">
        <v>160</v>
      </c>
      <c r="G1234" s="43">
        <v>43999</v>
      </c>
    </row>
    <row r="1235" spans="1:7" x14ac:dyDescent="0.25">
      <c r="A1235" s="44" t="s">
        <v>1482</v>
      </c>
      <c r="B1235" s="42" t="s">
        <v>3</v>
      </c>
      <c r="C1235" s="3">
        <v>18</v>
      </c>
      <c r="D1235" s="3">
        <v>1</v>
      </c>
      <c r="G1235" s="43">
        <v>43999</v>
      </c>
    </row>
    <row r="1236" spans="1:7" x14ac:dyDescent="0.25">
      <c r="A1236" s="44" t="s">
        <v>1483</v>
      </c>
      <c r="B1236" s="42" t="s">
        <v>120</v>
      </c>
      <c r="C1236" s="3">
        <v>18</v>
      </c>
      <c r="D1236" s="3">
        <v>1</v>
      </c>
      <c r="E1236" s="42" t="s">
        <v>160</v>
      </c>
      <c r="G1236" s="43">
        <v>43999</v>
      </c>
    </row>
    <row r="1237" spans="1:7" x14ac:dyDescent="0.25">
      <c r="A1237" s="44" t="s">
        <v>1484</v>
      </c>
      <c r="B1237" s="42" t="s">
        <v>120</v>
      </c>
      <c r="C1237" s="3">
        <v>19</v>
      </c>
      <c r="D1237" s="3">
        <v>1</v>
      </c>
      <c r="E1237" s="42" t="s">
        <v>160</v>
      </c>
      <c r="G1237" s="43">
        <v>43999</v>
      </c>
    </row>
    <row r="1238" spans="1:7" x14ac:dyDescent="0.25">
      <c r="A1238" s="44" t="s">
        <v>1485</v>
      </c>
      <c r="B1238" s="42" t="s">
        <v>3</v>
      </c>
      <c r="C1238" s="3">
        <v>18</v>
      </c>
      <c r="D1238" s="3">
        <v>1</v>
      </c>
      <c r="G1238" s="43">
        <v>43999</v>
      </c>
    </row>
    <row r="1239" spans="1:7" x14ac:dyDescent="0.25">
      <c r="A1239" s="44" t="s">
        <v>1486</v>
      </c>
      <c r="B1239" s="42" t="s">
        <v>3</v>
      </c>
      <c r="C1239" s="3">
        <v>18</v>
      </c>
      <c r="D1239" s="3">
        <v>1</v>
      </c>
      <c r="G1239" s="43">
        <v>43999</v>
      </c>
    </row>
    <row r="1240" spans="1:7" x14ac:dyDescent="0.25">
      <c r="A1240" s="44" t="s">
        <v>1487</v>
      </c>
      <c r="B1240" s="42" t="s">
        <v>120</v>
      </c>
      <c r="C1240" s="3">
        <v>18</v>
      </c>
      <c r="D1240" s="3">
        <v>1</v>
      </c>
      <c r="E1240" s="42" t="s">
        <v>160</v>
      </c>
      <c r="G1240" s="43">
        <v>43999</v>
      </c>
    </row>
    <row r="1241" spans="1:7" x14ac:dyDescent="0.25">
      <c r="A1241" s="44" t="s">
        <v>1488</v>
      </c>
      <c r="B1241" s="42" t="s">
        <v>3</v>
      </c>
      <c r="C1241" s="3">
        <v>20</v>
      </c>
      <c r="D1241" s="3">
        <v>1</v>
      </c>
      <c r="G1241" s="43">
        <v>43999</v>
      </c>
    </row>
    <row r="1242" spans="1:7" x14ac:dyDescent="0.25">
      <c r="A1242" s="44" t="s">
        <v>1489</v>
      </c>
      <c r="B1242" s="42" t="s">
        <v>3</v>
      </c>
      <c r="C1242" s="3">
        <v>18</v>
      </c>
      <c r="D1242" s="3">
        <v>1</v>
      </c>
      <c r="G1242" s="43">
        <v>43999</v>
      </c>
    </row>
    <row r="1243" spans="1:7" x14ac:dyDescent="0.25">
      <c r="A1243" s="44" t="s">
        <v>1490</v>
      </c>
      <c r="B1243" s="42" t="s">
        <v>120</v>
      </c>
      <c r="C1243" s="3">
        <v>18</v>
      </c>
      <c r="D1243" s="3">
        <v>1</v>
      </c>
      <c r="E1243" s="42" t="s">
        <v>160</v>
      </c>
      <c r="G1243" s="43">
        <v>43999</v>
      </c>
    </row>
    <row r="1244" spans="1:7" x14ac:dyDescent="0.25">
      <c r="A1244" s="44" t="s">
        <v>1491</v>
      </c>
      <c r="B1244" s="42" t="s">
        <v>120</v>
      </c>
      <c r="C1244" s="3">
        <v>18</v>
      </c>
      <c r="D1244" s="3">
        <v>1</v>
      </c>
      <c r="E1244" s="42" t="s">
        <v>160</v>
      </c>
      <c r="G1244" s="43">
        <v>43999</v>
      </c>
    </row>
    <row r="1245" spans="1:7" x14ac:dyDescent="0.25">
      <c r="A1245" s="44" t="s">
        <v>1492</v>
      </c>
      <c r="B1245" s="42" t="s">
        <v>3</v>
      </c>
      <c r="C1245" s="3">
        <v>22</v>
      </c>
      <c r="D1245" s="3">
        <v>2</v>
      </c>
      <c r="E1245" s="42" t="s">
        <v>160</v>
      </c>
      <c r="G1245" s="43">
        <v>44000</v>
      </c>
    </row>
    <row r="1246" spans="1:7" x14ac:dyDescent="0.25">
      <c r="A1246" s="44" t="s">
        <v>1493</v>
      </c>
      <c r="B1246" s="42" t="s">
        <v>120</v>
      </c>
      <c r="C1246" s="3">
        <v>18</v>
      </c>
      <c r="D1246" s="3">
        <v>1</v>
      </c>
      <c r="E1246" s="42" t="s">
        <v>160</v>
      </c>
      <c r="F1246" s="42" t="s">
        <v>160</v>
      </c>
      <c r="G1246" s="43">
        <v>44000</v>
      </c>
    </row>
    <row r="1247" spans="1:7" x14ac:dyDescent="0.25">
      <c r="A1247" s="44" t="s">
        <v>1494</v>
      </c>
      <c r="B1247" s="42" t="s">
        <v>120</v>
      </c>
      <c r="C1247" s="3">
        <v>18</v>
      </c>
      <c r="D1247" s="3">
        <v>1</v>
      </c>
      <c r="E1247" s="42" t="s">
        <v>160</v>
      </c>
      <c r="G1247" s="43">
        <v>44000</v>
      </c>
    </row>
    <row r="1248" spans="1:7" x14ac:dyDescent="0.25">
      <c r="A1248" s="44" t="s">
        <v>1495</v>
      </c>
      <c r="B1248" s="42" t="s">
        <v>120</v>
      </c>
      <c r="C1248" s="3">
        <v>18</v>
      </c>
      <c r="D1248" s="3">
        <v>1</v>
      </c>
      <c r="E1248" s="42" t="s">
        <v>160</v>
      </c>
      <c r="F1248" s="42" t="s">
        <v>160</v>
      </c>
      <c r="G1248" s="43">
        <v>44000</v>
      </c>
    </row>
    <row r="1249" spans="1:7" x14ac:dyDescent="0.25">
      <c r="A1249" s="44" t="s">
        <v>1496</v>
      </c>
      <c r="B1249" s="42" t="s">
        <v>120</v>
      </c>
      <c r="C1249" s="3">
        <v>18</v>
      </c>
      <c r="D1249" s="3">
        <v>1</v>
      </c>
      <c r="E1249" s="42" t="s">
        <v>160</v>
      </c>
      <c r="G1249" s="43">
        <v>44000</v>
      </c>
    </row>
    <row r="1250" spans="1:7" x14ac:dyDescent="0.25">
      <c r="A1250" s="44" t="s">
        <v>1497</v>
      </c>
      <c r="B1250" s="42" t="s">
        <v>120</v>
      </c>
      <c r="C1250" s="3">
        <v>18</v>
      </c>
      <c r="D1250" s="3">
        <v>1</v>
      </c>
      <c r="E1250" s="42" t="s">
        <v>160</v>
      </c>
      <c r="F1250" s="42" t="s">
        <v>160</v>
      </c>
      <c r="G1250" s="43">
        <v>44000</v>
      </c>
    </row>
    <row r="1251" spans="1:7" x14ac:dyDescent="0.25">
      <c r="A1251" s="44" t="s">
        <v>1498</v>
      </c>
      <c r="B1251" s="42" t="s">
        <v>120</v>
      </c>
      <c r="C1251" s="3">
        <v>18</v>
      </c>
      <c r="D1251" s="3">
        <v>1</v>
      </c>
      <c r="E1251" s="42" t="s">
        <v>160</v>
      </c>
      <c r="G1251" s="43">
        <v>44000</v>
      </c>
    </row>
    <row r="1252" spans="1:7" x14ac:dyDescent="0.25">
      <c r="A1252" s="44" t="s">
        <v>1499</v>
      </c>
      <c r="B1252" s="42" t="s">
        <v>120</v>
      </c>
      <c r="C1252" s="3">
        <v>18</v>
      </c>
      <c r="D1252" s="3">
        <v>1</v>
      </c>
      <c r="E1252" s="42" t="s">
        <v>160</v>
      </c>
      <c r="G1252" s="43">
        <v>44000</v>
      </c>
    </row>
    <row r="1253" spans="1:7" x14ac:dyDescent="0.25">
      <c r="A1253" s="44" t="s">
        <v>1500</v>
      </c>
      <c r="B1253" s="42" t="s">
        <v>120</v>
      </c>
      <c r="C1253" s="3">
        <v>18</v>
      </c>
      <c r="D1253" s="3">
        <v>1</v>
      </c>
      <c r="E1253" s="42" t="s">
        <v>160</v>
      </c>
      <c r="G1253" s="43">
        <v>44000</v>
      </c>
    </row>
    <row r="1254" spans="1:7" x14ac:dyDescent="0.25">
      <c r="A1254" s="44" t="s">
        <v>1501</v>
      </c>
      <c r="B1254" s="42" t="s">
        <v>3</v>
      </c>
      <c r="C1254" s="3">
        <v>18</v>
      </c>
      <c r="D1254" s="3">
        <v>1</v>
      </c>
      <c r="G1254" s="43">
        <v>44000</v>
      </c>
    </row>
    <row r="1255" spans="1:7" x14ac:dyDescent="0.25">
      <c r="A1255" s="44" t="s">
        <v>1502</v>
      </c>
      <c r="B1255" s="42" t="s">
        <v>3</v>
      </c>
      <c r="C1255" s="3">
        <v>18</v>
      </c>
      <c r="D1255" s="3">
        <v>1</v>
      </c>
      <c r="G1255" s="43">
        <v>44000</v>
      </c>
    </row>
    <row r="1256" spans="1:7" x14ac:dyDescent="0.25">
      <c r="A1256" s="44" t="s">
        <v>1503</v>
      </c>
      <c r="B1256" s="42" t="s">
        <v>120</v>
      </c>
      <c r="C1256" s="3">
        <v>20</v>
      </c>
      <c r="D1256" s="3">
        <v>1</v>
      </c>
      <c r="E1256" s="42" t="s">
        <v>160</v>
      </c>
      <c r="F1256" s="42" t="s">
        <v>160</v>
      </c>
      <c r="G1256" s="43">
        <v>44000</v>
      </c>
    </row>
    <row r="1257" spans="1:7" x14ac:dyDescent="0.25">
      <c r="A1257" s="44" t="s">
        <v>1504</v>
      </c>
      <c r="B1257" s="42" t="s">
        <v>120</v>
      </c>
      <c r="C1257" s="3">
        <v>18</v>
      </c>
      <c r="D1257" s="3">
        <v>1</v>
      </c>
      <c r="E1257" s="42" t="s">
        <v>160</v>
      </c>
      <c r="F1257" s="42" t="s">
        <v>160</v>
      </c>
      <c r="G1257" s="43">
        <v>44000</v>
      </c>
    </row>
    <row r="1258" spans="1:7" x14ac:dyDescent="0.25">
      <c r="A1258" s="44" t="s">
        <v>1505</v>
      </c>
      <c r="B1258" s="42" t="s">
        <v>120</v>
      </c>
      <c r="C1258" s="3">
        <v>18</v>
      </c>
      <c r="D1258" s="3">
        <v>1</v>
      </c>
      <c r="E1258" s="42" t="s">
        <v>160</v>
      </c>
      <c r="G1258" s="43">
        <v>44000</v>
      </c>
    </row>
    <row r="1259" spans="1:7" x14ac:dyDescent="0.25">
      <c r="A1259" s="44" t="s">
        <v>1506</v>
      </c>
      <c r="B1259" s="42" t="s">
        <v>3</v>
      </c>
      <c r="C1259" s="3">
        <v>22</v>
      </c>
      <c r="D1259" s="3">
        <v>1</v>
      </c>
      <c r="G1259" s="43">
        <v>44000</v>
      </c>
    </row>
    <row r="1260" spans="1:7" x14ac:dyDescent="0.25">
      <c r="A1260" s="44" t="s">
        <v>1507</v>
      </c>
      <c r="B1260" s="42" t="s">
        <v>120</v>
      </c>
      <c r="C1260" s="3">
        <v>19</v>
      </c>
      <c r="D1260" s="3">
        <v>1</v>
      </c>
      <c r="E1260" s="42" t="s">
        <v>160</v>
      </c>
      <c r="G1260" s="43">
        <v>44000</v>
      </c>
    </row>
    <row r="1261" spans="1:7" x14ac:dyDescent="0.25">
      <c r="A1261" s="44" t="s">
        <v>1508</v>
      </c>
      <c r="B1261" s="42" t="s">
        <v>3</v>
      </c>
      <c r="C1261" s="3">
        <v>18</v>
      </c>
      <c r="D1261" s="3">
        <v>1</v>
      </c>
      <c r="G1261" s="43">
        <v>44000</v>
      </c>
    </row>
    <row r="1262" spans="1:7" x14ac:dyDescent="0.25">
      <c r="A1262" s="44" t="s">
        <v>1509</v>
      </c>
      <c r="B1262" s="42" t="s">
        <v>120</v>
      </c>
      <c r="C1262" s="3">
        <v>18</v>
      </c>
      <c r="D1262" s="3">
        <v>1</v>
      </c>
      <c r="E1262" s="42" t="s">
        <v>160</v>
      </c>
      <c r="G1262" s="43">
        <v>44000</v>
      </c>
    </row>
    <row r="1263" spans="1:7" x14ac:dyDescent="0.25">
      <c r="A1263" s="19" t="s">
        <v>1510</v>
      </c>
      <c r="B1263" s="42" t="s">
        <v>3</v>
      </c>
      <c r="C1263" s="3">
        <v>18</v>
      </c>
      <c r="D1263" s="3">
        <v>1</v>
      </c>
      <c r="G1263" s="43">
        <v>44005</v>
      </c>
    </row>
    <row r="1264" spans="1:7" x14ac:dyDescent="0.25">
      <c r="A1264" s="19" t="s">
        <v>1511</v>
      </c>
      <c r="B1264" s="42" t="s">
        <v>3</v>
      </c>
      <c r="C1264" s="3">
        <v>18</v>
      </c>
      <c r="D1264" s="3">
        <v>1</v>
      </c>
      <c r="G1264" s="43">
        <v>44005</v>
      </c>
    </row>
    <row r="1265" spans="1:7" x14ac:dyDescent="0.25">
      <c r="A1265" s="19" t="s">
        <v>1512</v>
      </c>
      <c r="B1265" s="42" t="s">
        <v>3</v>
      </c>
      <c r="C1265" s="3">
        <v>20</v>
      </c>
      <c r="D1265" s="3">
        <v>1</v>
      </c>
      <c r="G1265" s="43">
        <v>44005</v>
      </c>
    </row>
    <row r="1266" spans="1:7" x14ac:dyDescent="0.25">
      <c r="A1266" s="19" t="s">
        <v>1513</v>
      </c>
      <c r="B1266" s="42" t="s">
        <v>3</v>
      </c>
      <c r="C1266" s="3">
        <v>18</v>
      </c>
      <c r="D1266" s="3">
        <v>1</v>
      </c>
      <c r="G1266" s="43">
        <v>44005</v>
      </c>
    </row>
    <row r="1267" spans="1:7" x14ac:dyDescent="0.25">
      <c r="A1267" s="19" t="s">
        <v>1514</v>
      </c>
      <c r="B1267" s="42" t="s">
        <v>3</v>
      </c>
      <c r="C1267" s="3">
        <v>18</v>
      </c>
      <c r="D1267" s="3">
        <v>1</v>
      </c>
      <c r="G1267" s="43">
        <v>44005</v>
      </c>
    </row>
    <row r="1268" spans="1:7" x14ac:dyDescent="0.25">
      <c r="A1268" s="19" t="s">
        <v>1515</v>
      </c>
      <c r="B1268" s="42" t="s">
        <v>120</v>
      </c>
      <c r="C1268" s="3">
        <v>18</v>
      </c>
      <c r="D1268" s="3">
        <v>1</v>
      </c>
      <c r="E1268" s="42" t="s">
        <v>160</v>
      </c>
      <c r="F1268" s="42" t="s">
        <v>160</v>
      </c>
      <c r="G1268" s="43">
        <v>44005</v>
      </c>
    </row>
    <row r="1269" spans="1:7" x14ac:dyDescent="0.25">
      <c r="A1269" s="19" t="s">
        <v>1516</v>
      </c>
      <c r="B1269" s="42" t="s">
        <v>3</v>
      </c>
      <c r="C1269" s="3">
        <v>27</v>
      </c>
      <c r="D1269" s="3">
        <v>1</v>
      </c>
      <c r="G1269" s="43">
        <v>44005</v>
      </c>
    </row>
    <row r="1270" spans="1:7" x14ac:dyDescent="0.25">
      <c r="A1270" s="19" t="s">
        <v>1517</v>
      </c>
      <c r="B1270" s="42" t="s">
        <v>3</v>
      </c>
      <c r="C1270" s="3">
        <v>18</v>
      </c>
      <c r="D1270" s="3">
        <v>1</v>
      </c>
      <c r="G1270" s="43">
        <v>44005</v>
      </c>
    </row>
    <row r="1271" spans="1:7" x14ac:dyDescent="0.25">
      <c r="A1271" s="19" t="s">
        <v>1518</v>
      </c>
      <c r="B1271" s="42" t="s">
        <v>3</v>
      </c>
      <c r="C1271" s="3">
        <v>18</v>
      </c>
      <c r="D1271" s="3">
        <v>1</v>
      </c>
      <c r="G1271" s="43">
        <v>44005</v>
      </c>
    </row>
    <row r="1272" spans="1:7" x14ac:dyDescent="0.25">
      <c r="A1272" s="19" t="s">
        <v>1519</v>
      </c>
      <c r="B1272" s="42" t="s">
        <v>3</v>
      </c>
      <c r="C1272" s="3">
        <v>18</v>
      </c>
      <c r="D1272" s="3">
        <v>1</v>
      </c>
      <c r="E1272" s="42" t="s">
        <v>160</v>
      </c>
      <c r="G1272" s="43">
        <v>44005</v>
      </c>
    </row>
    <row r="1273" spans="1:7" x14ac:dyDescent="0.25">
      <c r="A1273" s="19" t="s">
        <v>1520</v>
      </c>
      <c r="B1273" s="42" t="s">
        <v>120</v>
      </c>
      <c r="C1273" s="3">
        <v>19</v>
      </c>
      <c r="D1273" s="3">
        <v>1</v>
      </c>
      <c r="E1273" s="42" t="s">
        <v>160</v>
      </c>
      <c r="F1273" s="42" t="s">
        <v>160</v>
      </c>
      <c r="G1273" s="43">
        <v>44005</v>
      </c>
    </row>
    <row r="1274" spans="1:7" x14ac:dyDescent="0.25">
      <c r="A1274" s="19" t="s">
        <v>1521</v>
      </c>
      <c r="B1274" s="42" t="s">
        <v>3</v>
      </c>
      <c r="C1274" s="3">
        <v>18</v>
      </c>
      <c r="D1274" s="3">
        <v>1</v>
      </c>
      <c r="G1274" s="43">
        <v>44005</v>
      </c>
    </row>
    <row r="1275" spans="1:7" x14ac:dyDescent="0.25">
      <c r="A1275" s="19" t="s">
        <v>1522</v>
      </c>
      <c r="B1275" s="42" t="s">
        <v>120</v>
      </c>
      <c r="C1275" s="3">
        <v>18</v>
      </c>
      <c r="D1275" s="3">
        <v>1</v>
      </c>
      <c r="E1275" s="42" t="s">
        <v>160</v>
      </c>
      <c r="G1275" s="43">
        <v>44005</v>
      </c>
    </row>
    <row r="1276" spans="1:7" x14ac:dyDescent="0.25">
      <c r="A1276" s="19" t="s">
        <v>1523</v>
      </c>
      <c r="B1276" s="42" t="s">
        <v>3</v>
      </c>
      <c r="C1276" s="3">
        <v>18</v>
      </c>
      <c r="D1276" s="3">
        <v>1</v>
      </c>
      <c r="E1276" s="42" t="s">
        <v>160</v>
      </c>
      <c r="G1276" s="43">
        <v>44005</v>
      </c>
    </row>
    <row r="1277" spans="1:7" x14ac:dyDescent="0.25">
      <c r="A1277" s="19" t="s">
        <v>1524</v>
      </c>
      <c r="B1277" s="42" t="s">
        <v>3</v>
      </c>
      <c r="C1277" s="3">
        <v>18</v>
      </c>
      <c r="D1277" s="3">
        <v>1</v>
      </c>
      <c r="G1277" s="43">
        <v>44005</v>
      </c>
    </row>
    <row r="1278" spans="1:7" x14ac:dyDescent="0.25">
      <c r="A1278" s="19" t="s">
        <v>1525</v>
      </c>
      <c r="B1278" s="42" t="s">
        <v>3</v>
      </c>
      <c r="C1278" s="3">
        <v>18</v>
      </c>
      <c r="D1278" s="3">
        <v>1</v>
      </c>
      <c r="G1278" s="43">
        <v>44005</v>
      </c>
    </row>
    <row r="1279" spans="1:7" x14ac:dyDescent="0.25">
      <c r="A1279" s="19" t="s">
        <v>1526</v>
      </c>
      <c r="B1279" s="42" t="s">
        <v>3</v>
      </c>
      <c r="C1279" s="3">
        <v>18</v>
      </c>
      <c r="D1279" s="3">
        <v>1</v>
      </c>
      <c r="G1279" s="43">
        <v>44005</v>
      </c>
    </row>
    <row r="1280" spans="1:7" x14ac:dyDescent="0.25">
      <c r="A1280" s="19" t="s">
        <v>1527</v>
      </c>
      <c r="B1280" s="42" t="s">
        <v>3</v>
      </c>
      <c r="C1280" s="3">
        <v>20</v>
      </c>
      <c r="D1280" s="3">
        <v>1</v>
      </c>
      <c r="G1280" s="43">
        <v>44005</v>
      </c>
    </row>
    <row r="1281" spans="1:7" x14ac:dyDescent="0.25">
      <c r="A1281" s="19" t="s">
        <v>1528</v>
      </c>
      <c r="B1281" s="42" t="s">
        <v>3</v>
      </c>
      <c r="C1281" s="3">
        <v>20</v>
      </c>
      <c r="D1281" s="3">
        <v>1</v>
      </c>
      <c r="G1281" s="43">
        <v>44005</v>
      </c>
    </row>
    <row r="1282" spans="1:7" x14ac:dyDescent="0.25">
      <c r="A1282" s="19" t="s">
        <v>1529</v>
      </c>
      <c r="B1282" s="42" t="s">
        <v>3</v>
      </c>
      <c r="C1282" s="3">
        <v>18</v>
      </c>
      <c r="D1282" s="3">
        <v>1</v>
      </c>
      <c r="G1282" s="43">
        <v>44005</v>
      </c>
    </row>
    <row r="1283" spans="1:7" x14ac:dyDescent="0.25">
      <c r="A1283" s="19" t="s">
        <v>1530</v>
      </c>
      <c r="B1283" s="42" t="s">
        <v>3</v>
      </c>
      <c r="C1283" s="3">
        <v>19</v>
      </c>
      <c r="D1283" s="3">
        <v>1</v>
      </c>
      <c r="G1283" s="43">
        <v>44005</v>
      </c>
    </row>
    <row r="1284" spans="1:7" x14ac:dyDescent="0.25">
      <c r="A1284" s="19" t="s">
        <v>1531</v>
      </c>
      <c r="B1284" s="42" t="s">
        <v>120</v>
      </c>
      <c r="C1284" s="3">
        <v>18</v>
      </c>
      <c r="D1284" s="3">
        <v>1</v>
      </c>
      <c r="E1284" s="42" t="s">
        <v>160</v>
      </c>
      <c r="F1284" s="42" t="s">
        <v>160</v>
      </c>
      <c r="G1284" s="43">
        <v>44005</v>
      </c>
    </row>
    <row r="1285" spans="1:7" x14ac:dyDescent="0.25">
      <c r="A1285" s="19" t="s">
        <v>1532</v>
      </c>
      <c r="B1285" s="42" t="s">
        <v>3</v>
      </c>
      <c r="C1285" s="3">
        <v>18</v>
      </c>
      <c r="D1285" s="3">
        <v>1</v>
      </c>
      <c r="E1285" s="42" t="s">
        <v>160</v>
      </c>
      <c r="G1285" s="43">
        <v>44005</v>
      </c>
    </row>
    <row r="1286" spans="1:7" x14ac:dyDescent="0.25">
      <c r="A1286" s="19" t="s">
        <v>1533</v>
      </c>
      <c r="B1286" s="42" t="s">
        <v>3</v>
      </c>
      <c r="C1286" s="3">
        <v>20</v>
      </c>
      <c r="D1286" s="3">
        <v>1</v>
      </c>
      <c r="G1286" s="43">
        <v>44005</v>
      </c>
    </row>
    <row r="1287" spans="1:7" x14ac:dyDescent="0.25">
      <c r="A1287" s="19" t="s">
        <v>1534</v>
      </c>
      <c r="B1287" s="42" t="s">
        <v>3</v>
      </c>
      <c r="C1287" s="3">
        <v>18</v>
      </c>
      <c r="D1287" s="3">
        <v>1</v>
      </c>
      <c r="G1287" s="43">
        <v>44005</v>
      </c>
    </row>
    <row r="1288" spans="1:7" x14ac:dyDescent="0.25">
      <c r="A1288" s="19" t="s">
        <v>1535</v>
      </c>
      <c r="B1288" s="42" t="s">
        <v>3</v>
      </c>
      <c r="C1288" s="3">
        <v>18</v>
      </c>
      <c r="D1288" s="3">
        <v>1</v>
      </c>
      <c r="G1288" s="43">
        <v>44005</v>
      </c>
    </row>
    <row r="1289" spans="1:7" x14ac:dyDescent="0.25">
      <c r="A1289" s="19" t="s">
        <v>1536</v>
      </c>
      <c r="B1289" s="42" t="s">
        <v>3</v>
      </c>
      <c r="C1289" s="3">
        <v>18</v>
      </c>
      <c r="D1289" s="3">
        <v>1</v>
      </c>
      <c r="E1289" s="42" t="s">
        <v>160</v>
      </c>
      <c r="G1289" s="43">
        <v>44005</v>
      </c>
    </row>
    <row r="1290" spans="1:7" x14ac:dyDescent="0.25">
      <c r="A1290" s="19" t="s">
        <v>1537</v>
      </c>
      <c r="B1290" s="42" t="s">
        <v>3</v>
      </c>
      <c r="C1290" s="3">
        <v>18</v>
      </c>
      <c r="D1290" s="3">
        <v>1</v>
      </c>
      <c r="E1290" s="42" t="s">
        <v>160</v>
      </c>
      <c r="G1290" s="43">
        <v>44005</v>
      </c>
    </row>
    <row r="1291" spans="1:7" x14ac:dyDescent="0.25">
      <c r="A1291" s="19" t="s">
        <v>1538</v>
      </c>
      <c r="B1291" s="42" t="s">
        <v>120</v>
      </c>
      <c r="C1291" s="3">
        <v>18</v>
      </c>
      <c r="D1291" s="3">
        <v>1</v>
      </c>
      <c r="E1291" s="42" t="s">
        <v>160</v>
      </c>
      <c r="F1291" s="42" t="s">
        <v>160</v>
      </c>
      <c r="G1291" s="43">
        <v>44005</v>
      </c>
    </row>
    <row r="1292" spans="1:7" x14ac:dyDescent="0.25">
      <c r="A1292" s="19" t="s">
        <v>1539</v>
      </c>
      <c r="B1292" s="42" t="s">
        <v>3</v>
      </c>
      <c r="C1292" s="3">
        <v>18</v>
      </c>
      <c r="D1292" s="3">
        <v>1</v>
      </c>
      <c r="E1292" s="42" t="s">
        <v>160</v>
      </c>
      <c r="G1292" s="43">
        <v>44005</v>
      </c>
    </row>
    <row r="1293" spans="1:7" x14ac:dyDescent="0.25">
      <c r="A1293" s="19" t="s">
        <v>1540</v>
      </c>
      <c r="B1293" s="42" t="s">
        <v>3</v>
      </c>
      <c r="C1293" s="3">
        <v>19</v>
      </c>
      <c r="D1293" s="3">
        <v>1</v>
      </c>
      <c r="E1293" s="42" t="s">
        <v>160</v>
      </c>
      <c r="F1293" s="42" t="s">
        <v>160</v>
      </c>
      <c r="G1293" s="43">
        <v>44005</v>
      </c>
    </row>
    <row r="1294" spans="1:7" x14ac:dyDescent="0.25">
      <c r="A1294" s="19" t="s">
        <v>1541</v>
      </c>
      <c r="B1294" s="42" t="s">
        <v>3</v>
      </c>
      <c r="C1294" s="3">
        <v>19</v>
      </c>
      <c r="D1294" s="3">
        <v>1</v>
      </c>
      <c r="E1294" s="42" t="s">
        <v>160</v>
      </c>
      <c r="G1294" s="43">
        <v>44005</v>
      </c>
    </row>
    <row r="1295" spans="1:7" x14ac:dyDescent="0.25">
      <c r="A1295" s="19" t="s">
        <v>1542</v>
      </c>
      <c r="B1295" s="42" t="s">
        <v>120</v>
      </c>
      <c r="C1295" s="3">
        <v>20</v>
      </c>
      <c r="D1295" s="3">
        <v>1</v>
      </c>
      <c r="E1295" s="42" t="s">
        <v>160</v>
      </c>
      <c r="F1295" s="42" t="s">
        <v>160</v>
      </c>
      <c r="G1295" s="43">
        <v>44005</v>
      </c>
    </row>
    <row r="1296" spans="1:7" x14ac:dyDescent="0.25">
      <c r="A1296" s="19" t="s">
        <v>1543</v>
      </c>
      <c r="B1296" s="42" t="s">
        <v>3</v>
      </c>
      <c r="C1296" s="3">
        <v>18</v>
      </c>
      <c r="D1296" s="3">
        <v>1</v>
      </c>
      <c r="G1296" s="43">
        <v>44005</v>
      </c>
    </row>
    <row r="1297" spans="1:7" x14ac:dyDescent="0.25">
      <c r="A1297" s="19" t="s">
        <v>1544</v>
      </c>
      <c r="B1297" s="42" t="s">
        <v>3</v>
      </c>
      <c r="C1297" s="3">
        <v>18</v>
      </c>
      <c r="D1297" s="3">
        <v>1</v>
      </c>
      <c r="G1297" s="43">
        <v>44005</v>
      </c>
    </row>
    <row r="1298" spans="1:7" x14ac:dyDescent="0.25">
      <c r="A1298" s="19" t="s">
        <v>1545</v>
      </c>
      <c r="B1298" s="42" t="s">
        <v>3</v>
      </c>
      <c r="C1298" s="3">
        <v>19</v>
      </c>
      <c r="D1298" s="3">
        <v>1</v>
      </c>
      <c r="G1298" s="43">
        <v>44005</v>
      </c>
    </row>
    <row r="1299" spans="1:7" x14ac:dyDescent="0.25">
      <c r="A1299" s="19" t="s">
        <v>1546</v>
      </c>
      <c r="B1299" s="42" t="s">
        <v>3</v>
      </c>
      <c r="C1299" s="3">
        <v>18</v>
      </c>
      <c r="D1299" s="3">
        <v>1</v>
      </c>
      <c r="G1299" s="43">
        <v>44005</v>
      </c>
    </row>
    <row r="1300" spans="1:7" x14ac:dyDescent="0.25">
      <c r="A1300" s="19" t="s">
        <v>1547</v>
      </c>
      <c r="B1300" s="42" t="s">
        <v>3</v>
      </c>
      <c r="C1300" s="3">
        <v>23</v>
      </c>
      <c r="D1300" s="3">
        <v>1</v>
      </c>
      <c r="E1300" s="42" t="s">
        <v>160</v>
      </c>
      <c r="G1300" s="43">
        <v>44005</v>
      </c>
    </row>
    <row r="1301" spans="1:7" x14ac:dyDescent="0.25">
      <c r="A1301" s="19" t="s">
        <v>1548</v>
      </c>
      <c r="B1301" s="42" t="s">
        <v>3</v>
      </c>
      <c r="C1301" s="3">
        <v>18</v>
      </c>
      <c r="D1301" s="3">
        <v>1</v>
      </c>
      <c r="E1301" s="42" t="s">
        <v>160</v>
      </c>
      <c r="F1301" s="42" t="s">
        <v>160</v>
      </c>
      <c r="G1301" s="43">
        <v>44005</v>
      </c>
    </row>
    <row r="1302" spans="1:7" x14ac:dyDescent="0.25">
      <c r="A1302" s="19" t="s">
        <v>1549</v>
      </c>
      <c r="B1302" s="42" t="s">
        <v>120</v>
      </c>
      <c r="C1302" s="3">
        <v>18</v>
      </c>
      <c r="D1302" s="3">
        <v>1</v>
      </c>
      <c r="E1302" s="42" t="s">
        <v>160</v>
      </c>
      <c r="G1302" s="43">
        <v>44005</v>
      </c>
    </row>
    <row r="1303" spans="1:7" x14ac:dyDescent="0.25">
      <c r="A1303" s="19" t="s">
        <v>1550</v>
      </c>
      <c r="B1303" s="42" t="s">
        <v>120</v>
      </c>
      <c r="C1303" s="3">
        <v>18</v>
      </c>
      <c r="D1303" s="3">
        <v>1</v>
      </c>
      <c r="E1303" s="42" t="s">
        <v>160</v>
      </c>
      <c r="F1303" s="42" t="s">
        <v>160</v>
      </c>
      <c r="G1303" s="43">
        <v>44005</v>
      </c>
    </row>
    <row r="1304" spans="1:7" x14ac:dyDescent="0.25">
      <c r="A1304" s="19" t="s">
        <v>1551</v>
      </c>
      <c r="B1304" s="42" t="s">
        <v>120</v>
      </c>
      <c r="C1304" s="3">
        <v>18</v>
      </c>
      <c r="D1304" s="3">
        <v>1</v>
      </c>
      <c r="G1304" s="43">
        <v>44005</v>
      </c>
    </row>
    <row r="1305" spans="1:7" x14ac:dyDescent="0.25">
      <c r="A1305" s="19" t="s">
        <v>1552</v>
      </c>
      <c r="B1305" s="42" t="s">
        <v>3</v>
      </c>
      <c r="D1305" s="3">
        <v>1</v>
      </c>
      <c r="G1305" s="43">
        <v>44005</v>
      </c>
    </row>
    <row r="1306" spans="1:7" x14ac:dyDescent="0.25">
      <c r="A1306" s="19" t="s">
        <v>1553</v>
      </c>
      <c r="B1306" s="42" t="s">
        <v>3</v>
      </c>
      <c r="C1306" s="3">
        <v>18</v>
      </c>
      <c r="D1306" s="3">
        <v>1</v>
      </c>
      <c r="G1306" s="43">
        <v>44005</v>
      </c>
    </row>
    <row r="1307" spans="1:7" x14ac:dyDescent="0.25">
      <c r="A1307" s="19" t="s">
        <v>1554</v>
      </c>
      <c r="B1307" s="42" t="s">
        <v>120</v>
      </c>
      <c r="C1307" s="3">
        <v>19</v>
      </c>
      <c r="D1307" s="3">
        <v>1</v>
      </c>
      <c r="E1307" s="42" t="s">
        <v>160</v>
      </c>
      <c r="G1307" s="43">
        <v>44005</v>
      </c>
    </row>
    <row r="1308" spans="1:7" x14ac:dyDescent="0.25">
      <c r="A1308" s="19" t="s">
        <v>1555</v>
      </c>
      <c r="B1308" s="42" t="s">
        <v>3</v>
      </c>
      <c r="C1308" s="3">
        <v>18</v>
      </c>
      <c r="D1308" s="3">
        <v>1</v>
      </c>
      <c r="E1308" s="42" t="s">
        <v>160</v>
      </c>
      <c r="G1308" s="43">
        <v>44005</v>
      </c>
    </row>
    <row r="1309" spans="1:7" x14ac:dyDescent="0.25">
      <c r="A1309" s="19" t="s">
        <v>1556</v>
      </c>
      <c r="B1309" s="42" t="s">
        <v>120</v>
      </c>
      <c r="C1309" s="3">
        <v>19</v>
      </c>
      <c r="D1309" s="3">
        <v>1</v>
      </c>
      <c r="E1309" s="42" t="s">
        <v>160</v>
      </c>
      <c r="G1309" s="43">
        <v>44005</v>
      </c>
    </row>
    <row r="1310" spans="1:7" x14ac:dyDescent="0.25">
      <c r="A1310" s="19" t="s">
        <v>1557</v>
      </c>
      <c r="B1310" s="42" t="s">
        <v>3</v>
      </c>
      <c r="C1310" s="3">
        <v>18</v>
      </c>
      <c r="D1310" s="3">
        <v>1</v>
      </c>
      <c r="G1310" s="43">
        <v>44005</v>
      </c>
    </row>
    <row r="1311" spans="1:7" x14ac:dyDescent="0.25">
      <c r="A1311" s="19" t="s">
        <v>1558</v>
      </c>
      <c r="B1311" s="42" t="s">
        <v>3</v>
      </c>
      <c r="C1311" s="3">
        <v>18</v>
      </c>
      <c r="D1311" s="3">
        <v>1</v>
      </c>
      <c r="E1311" s="42" t="s">
        <v>160</v>
      </c>
      <c r="G1311" s="43">
        <v>44005</v>
      </c>
    </row>
    <row r="1312" spans="1:7" x14ac:dyDescent="0.25">
      <c r="A1312" s="19" t="s">
        <v>1559</v>
      </c>
      <c r="B1312" s="42" t="s">
        <v>3</v>
      </c>
      <c r="C1312" s="3">
        <v>18</v>
      </c>
      <c r="D1312" s="3">
        <v>1</v>
      </c>
      <c r="E1312" s="42" t="s">
        <v>160</v>
      </c>
      <c r="G1312" s="43">
        <v>44005</v>
      </c>
    </row>
    <row r="1313" spans="1:7" x14ac:dyDescent="0.25">
      <c r="A1313" s="19" t="s">
        <v>1560</v>
      </c>
      <c r="B1313" s="42" t="s">
        <v>3</v>
      </c>
      <c r="C1313" s="3">
        <v>20</v>
      </c>
      <c r="D1313" s="3">
        <v>1</v>
      </c>
      <c r="G1313" s="43">
        <v>44005</v>
      </c>
    </row>
    <row r="1314" spans="1:7" x14ac:dyDescent="0.25">
      <c r="A1314" s="19" t="s">
        <v>1561</v>
      </c>
      <c r="B1314" s="42" t="s">
        <v>3</v>
      </c>
      <c r="C1314" s="3">
        <v>18</v>
      </c>
      <c r="D1314" s="3">
        <v>1</v>
      </c>
      <c r="G1314" s="43">
        <v>44005</v>
      </c>
    </row>
    <row r="1315" spans="1:7" x14ac:dyDescent="0.25">
      <c r="A1315" s="19" t="s">
        <v>1562</v>
      </c>
      <c r="B1315" s="42" t="s">
        <v>3</v>
      </c>
      <c r="C1315" s="3">
        <v>18</v>
      </c>
      <c r="D1315" s="3">
        <v>1</v>
      </c>
      <c r="G1315" s="43">
        <v>44005</v>
      </c>
    </row>
    <row r="1316" spans="1:7" x14ac:dyDescent="0.25">
      <c r="A1316" s="19" t="s">
        <v>1563</v>
      </c>
      <c r="B1316" s="42" t="s">
        <v>120</v>
      </c>
      <c r="C1316" s="3">
        <v>18</v>
      </c>
      <c r="D1316" s="3">
        <v>1</v>
      </c>
      <c r="E1316" s="42" t="s">
        <v>160</v>
      </c>
      <c r="G1316" s="43">
        <v>44005</v>
      </c>
    </row>
    <row r="1317" spans="1:7" x14ac:dyDescent="0.25">
      <c r="A1317" s="19" t="s">
        <v>1564</v>
      </c>
      <c r="B1317" s="42" t="s">
        <v>3</v>
      </c>
      <c r="C1317" s="3">
        <v>18</v>
      </c>
      <c r="D1317" s="3">
        <v>1</v>
      </c>
      <c r="E1317" s="42" t="s">
        <v>160</v>
      </c>
      <c r="G1317" s="43">
        <v>44005</v>
      </c>
    </row>
    <row r="1318" spans="1:7" x14ac:dyDescent="0.25">
      <c r="A1318" s="19" t="s">
        <v>1565</v>
      </c>
      <c r="B1318" s="42" t="s">
        <v>3</v>
      </c>
      <c r="C1318" s="3">
        <v>18</v>
      </c>
      <c r="D1318" s="3">
        <v>1</v>
      </c>
      <c r="G1318" s="43">
        <v>44005</v>
      </c>
    </row>
    <row r="1319" spans="1:7" x14ac:dyDescent="0.25">
      <c r="A1319" s="19" t="s">
        <v>1566</v>
      </c>
      <c r="B1319" s="42" t="s">
        <v>3</v>
      </c>
      <c r="C1319" s="3">
        <v>18</v>
      </c>
      <c r="D1319" s="3">
        <v>1</v>
      </c>
      <c r="G1319" s="43">
        <v>44005</v>
      </c>
    </row>
    <row r="1320" spans="1:7" x14ac:dyDescent="0.25">
      <c r="A1320" s="19" t="s">
        <v>1567</v>
      </c>
      <c r="B1320" s="42" t="s">
        <v>3</v>
      </c>
      <c r="C1320" s="3">
        <v>18</v>
      </c>
      <c r="D1320" s="3">
        <v>1</v>
      </c>
      <c r="G1320" s="43">
        <v>44005</v>
      </c>
    </row>
    <row r="1321" spans="1:7" x14ac:dyDescent="0.25">
      <c r="A1321" s="19" t="s">
        <v>1568</v>
      </c>
      <c r="B1321" s="42" t="s">
        <v>3</v>
      </c>
      <c r="C1321" s="3">
        <v>18</v>
      </c>
      <c r="D1321" s="3">
        <v>1</v>
      </c>
      <c r="E1321" s="42" t="s">
        <v>160</v>
      </c>
      <c r="G1321" s="43">
        <v>44005</v>
      </c>
    </row>
    <row r="1322" spans="1:7" x14ac:dyDescent="0.25">
      <c r="A1322" s="19" t="s">
        <v>1569</v>
      </c>
      <c r="B1322" s="42" t="s">
        <v>3</v>
      </c>
      <c r="C1322" s="3">
        <v>19</v>
      </c>
      <c r="D1322" s="3">
        <v>1</v>
      </c>
      <c r="E1322" s="42" t="s">
        <v>160</v>
      </c>
      <c r="G1322" s="43">
        <v>44005</v>
      </c>
    </row>
    <row r="1323" spans="1:7" x14ac:dyDescent="0.25">
      <c r="A1323" s="19" t="s">
        <v>1570</v>
      </c>
      <c r="B1323" s="42" t="s">
        <v>3</v>
      </c>
      <c r="C1323" s="3">
        <v>19</v>
      </c>
      <c r="D1323" s="3">
        <v>1</v>
      </c>
      <c r="E1323" s="42" t="s">
        <v>160</v>
      </c>
      <c r="F1323" s="42" t="s">
        <v>160</v>
      </c>
      <c r="G1323" s="43">
        <v>44005</v>
      </c>
    </row>
    <row r="1324" spans="1:7" x14ac:dyDescent="0.25">
      <c r="A1324" s="19" t="s">
        <v>1571</v>
      </c>
      <c r="B1324" s="42" t="s">
        <v>3</v>
      </c>
      <c r="C1324" s="3">
        <v>19</v>
      </c>
      <c r="D1324" s="3">
        <v>1</v>
      </c>
      <c r="G1324" s="43">
        <v>44005</v>
      </c>
    </row>
    <row r="1325" spans="1:7" x14ac:dyDescent="0.25">
      <c r="A1325" s="19" t="s">
        <v>1572</v>
      </c>
      <c r="B1325" s="42" t="s">
        <v>3</v>
      </c>
      <c r="C1325" s="3">
        <v>18</v>
      </c>
      <c r="D1325" s="3">
        <v>1</v>
      </c>
      <c r="E1325" s="42" t="s">
        <v>160</v>
      </c>
      <c r="G1325" s="43">
        <v>44005</v>
      </c>
    </row>
    <row r="1326" spans="1:7" x14ac:dyDescent="0.25">
      <c r="A1326" s="19" t="s">
        <v>1573</v>
      </c>
      <c r="B1326" s="42" t="s">
        <v>3</v>
      </c>
      <c r="C1326" s="3">
        <v>19</v>
      </c>
      <c r="D1326" s="3">
        <v>1</v>
      </c>
      <c r="G1326" s="43">
        <v>44005</v>
      </c>
    </row>
    <row r="1327" spans="1:7" x14ac:dyDescent="0.25">
      <c r="A1327" s="19" t="s">
        <v>1574</v>
      </c>
      <c r="B1327" s="42" t="s">
        <v>3</v>
      </c>
      <c r="C1327" s="3">
        <v>18</v>
      </c>
      <c r="D1327" s="3">
        <v>1</v>
      </c>
      <c r="E1327" s="42" t="s">
        <v>160</v>
      </c>
      <c r="G1327" s="43">
        <v>44005</v>
      </c>
    </row>
    <row r="1328" spans="1:7" x14ac:dyDescent="0.25">
      <c r="A1328" s="19" t="s">
        <v>1575</v>
      </c>
      <c r="B1328" s="42" t="s">
        <v>3</v>
      </c>
      <c r="C1328" s="3">
        <v>18</v>
      </c>
      <c r="D1328" s="3">
        <v>1</v>
      </c>
      <c r="G1328" s="43">
        <v>44005</v>
      </c>
    </row>
    <row r="1329" spans="1:7" x14ac:dyDescent="0.25">
      <c r="A1329" s="19" t="s">
        <v>1576</v>
      </c>
      <c r="B1329" s="42" t="s">
        <v>3</v>
      </c>
      <c r="C1329" s="3">
        <v>18</v>
      </c>
      <c r="D1329" s="3">
        <v>1</v>
      </c>
      <c r="G1329" s="43">
        <v>44005</v>
      </c>
    </row>
    <row r="1330" spans="1:7" x14ac:dyDescent="0.25">
      <c r="A1330" s="19" t="s">
        <v>1577</v>
      </c>
      <c r="B1330" s="42" t="s">
        <v>120</v>
      </c>
      <c r="C1330" s="3">
        <v>21</v>
      </c>
      <c r="D1330" s="3">
        <v>1</v>
      </c>
      <c r="E1330" s="42" t="s">
        <v>160</v>
      </c>
      <c r="F1330" s="42" t="s">
        <v>160</v>
      </c>
      <c r="G1330" s="43">
        <v>44005</v>
      </c>
    </row>
    <row r="1331" spans="1:7" x14ac:dyDescent="0.25">
      <c r="A1331" s="19" t="s">
        <v>1578</v>
      </c>
      <c r="B1331" s="42" t="s">
        <v>3</v>
      </c>
      <c r="C1331" s="3">
        <v>18</v>
      </c>
      <c r="D1331" s="3">
        <v>1</v>
      </c>
      <c r="E1331" s="42" t="s">
        <v>160</v>
      </c>
      <c r="G1331" s="43">
        <v>44005</v>
      </c>
    </row>
    <row r="1332" spans="1:7" x14ac:dyDescent="0.25">
      <c r="A1332" s="19" t="s">
        <v>1579</v>
      </c>
      <c r="B1332" s="42" t="s">
        <v>3</v>
      </c>
      <c r="C1332" s="3">
        <v>19</v>
      </c>
      <c r="D1332" s="3">
        <v>1</v>
      </c>
      <c r="E1332" s="42" t="s">
        <v>160</v>
      </c>
      <c r="G1332" s="43">
        <v>44005</v>
      </c>
    </row>
    <row r="1333" spans="1:7" x14ac:dyDescent="0.25">
      <c r="A1333" s="19" t="s">
        <v>1580</v>
      </c>
      <c r="B1333" s="42" t="s">
        <v>120</v>
      </c>
      <c r="C1333" s="3">
        <v>19</v>
      </c>
      <c r="D1333" s="3">
        <v>1</v>
      </c>
      <c r="E1333" s="42" t="s">
        <v>160</v>
      </c>
      <c r="F1333" s="42" t="s">
        <v>160</v>
      </c>
      <c r="G1333" s="43">
        <v>44005</v>
      </c>
    </row>
    <row r="1334" spans="1:7" x14ac:dyDescent="0.25">
      <c r="A1334" s="19" t="s">
        <v>1581</v>
      </c>
      <c r="B1334" s="42" t="s">
        <v>3</v>
      </c>
      <c r="C1334" s="3">
        <v>18</v>
      </c>
      <c r="D1334" s="3">
        <v>1</v>
      </c>
      <c r="G1334" s="43">
        <v>44005</v>
      </c>
    </row>
    <row r="1335" spans="1:7" x14ac:dyDescent="0.25">
      <c r="A1335" s="19" t="s">
        <v>1582</v>
      </c>
      <c r="B1335" s="42" t="s">
        <v>3</v>
      </c>
      <c r="C1335" s="3">
        <v>18</v>
      </c>
      <c r="D1335" s="3">
        <v>1</v>
      </c>
      <c r="G1335" s="43">
        <v>44005</v>
      </c>
    </row>
    <row r="1336" spans="1:7" x14ac:dyDescent="0.25">
      <c r="A1336" s="19" t="s">
        <v>1583</v>
      </c>
      <c r="B1336" s="42" t="s">
        <v>3</v>
      </c>
      <c r="C1336" s="3">
        <v>18</v>
      </c>
      <c r="D1336" s="3">
        <v>1</v>
      </c>
      <c r="G1336" s="43">
        <v>44005</v>
      </c>
    </row>
    <row r="1337" spans="1:7" x14ac:dyDescent="0.25">
      <c r="A1337" s="19" t="s">
        <v>1584</v>
      </c>
      <c r="B1337" s="42" t="s">
        <v>3</v>
      </c>
      <c r="C1337" s="3">
        <v>19</v>
      </c>
      <c r="D1337" s="3">
        <v>1</v>
      </c>
      <c r="E1337" s="42" t="s">
        <v>160</v>
      </c>
      <c r="G1337" s="43">
        <v>44005</v>
      </c>
    </row>
    <row r="1338" spans="1:7" x14ac:dyDescent="0.25">
      <c r="A1338" s="19" t="s">
        <v>1585</v>
      </c>
      <c r="B1338" s="42" t="s">
        <v>3</v>
      </c>
      <c r="C1338" s="3">
        <v>18</v>
      </c>
      <c r="D1338" s="3">
        <v>1</v>
      </c>
      <c r="G1338" s="43">
        <v>44005</v>
      </c>
    </row>
    <row r="1339" spans="1:7" x14ac:dyDescent="0.25">
      <c r="A1339" s="19" t="s">
        <v>1586</v>
      </c>
      <c r="B1339" s="42" t="s">
        <v>3</v>
      </c>
      <c r="C1339" s="3">
        <v>20</v>
      </c>
      <c r="D1339" s="3">
        <v>1</v>
      </c>
      <c r="E1339" s="42" t="s">
        <v>160</v>
      </c>
      <c r="G1339" s="43">
        <v>44005</v>
      </c>
    </row>
    <row r="1340" spans="1:7" x14ac:dyDescent="0.25">
      <c r="A1340" s="19" t="s">
        <v>1587</v>
      </c>
      <c r="B1340" s="42" t="s">
        <v>3</v>
      </c>
      <c r="C1340" s="3">
        <v>18</v>
      </c>
      <c r="D1340" s="3">
        <v>1</v>
      </c>
      <c r="G1340" s="43">
        <v>44005</v>
      </c>
    </row>
    <row r="1341" spans="1:7" x14ac:dyDescent="0.25">
      <c r="A1341" s="19" t="s">
        <v>1588</v>
      </c>
      <c r="B1341" s="42" t="s">
        <v>3</v>
      </c>
      <c r="C1341" s="3">
        <v>19</v>
      </c>
      <c r="D1341" s="3">
        <v>1</v>
      </c>
      <c r="E1341" s="42" t="s">
        <v>160</v>
      </c>
      <c r="G1341" s="43">
        <v>44005</v>
      </c>
    </row>
    <row r="1342" spans="1:7" x14ac:dyDescent="0.25">
      <c r="A1342" s="19" t="s">
        <v>1589</v>
      </c>
      <c r="B1342" s="42" t="s">
        <v>3</v>
      </c>
      <c r="C1342" s="3">
        <v>18</v>
      </c>
      <c r="D1342" s="3">
        <v>1</v>
      </c>
      <c r="E1342" s="42" t="s">
        <v>160</v>
      </c>
      <c r="G1342" s="43">
        <v>44005</v>
      </c>
    </row>
    <row r="1343" spans="1:7" x14ac:dyDescent="0.25">
      <c r="A1343" s="19" t="s">
        <v>1590</v>
      </c>
      <c r="B1343" s="42" t="s">
        <v>3</v>
      </c>
      <c r="C1343" s="3">
        <v>18</v>
      </c>
      <c r="D1343" s="3">
        <v>1</v>
      </c>
      <c r="G1343" s="43">
        <v>44005</v>
      </c>
    </row>
    <row r="1344" spans="1:7" x14ac:dyDescent="0.25">
      <c r="A1344" s="19" t="s">
        <v>1591</v>
      </c>
      <c r="B1344" s="42" t="s">
        <v>3</v>
      </c>
      <c r="C1344" s="3">
        <v>18</v>
      </c>
      <c r="D1344" s="3">
        <v>1</v>
      </c>
      <c r="G1344" s="43">
        <v>44005</v>
      </c>
    </row>
    <row r="1345" spans="1:7" x14ac:dyDescent="0.25">
      <c r="A1345" s="19" t="s">
        <v>1592</v>
      </c>
      <c r="B1345" s="42" t="s">
        <v>3</v>
      </c>
      <c r="C1345" s="3">
        <v>18</v>
      </c>
      <c r="D1345" s="3">
        <v>1</v>
      </c>
      <c r="G1345" s="43">
        <v>44005</v>
      </c>
    </row>
    <row r="1346" spans="1:7" x14ac:dyDescent="0.25">
      <c r="A1346" s="19" t="s">
        <v>1593</v>
      </c>
      <c r="B1346" s="42" t="s">
        <v>3</v>
      </c>
      <c r="C1346" s="3">
        <v>19</v>
      </c>
      <c r="D1346" s="3">
        <v>1</v>
      </c>
      <c r="G1346" s="43">
        <v>44005</v>
      </c>
    </row>
    <row r="1347" spans="1:7" x14ac:dyDescent="0.25">
      <c r="A1347" s="19" t="s">
        <v>1594</v>
      </c>
      <c r="B1347" s="42" t="s">
        <v>3</v>
      </c>
      <c r="C1347" s="3">
        <v>19</v>
      </c>
      <c r="D1347" s="3">
        <v>1</v>
      </c>
      <c r="G1347" s="43">
        <v>44005</v>
      </c>
    </row>
    <row r="1348" spans="1:7" x14ac:dyDescent="0.25">
      <c r="A1348" s="19" t="s">
        <v>1595</v>
      </c>
      <c r="B1348" s="42" t="s">
        <v>3</v>
      </c>
      <c r="C1348" s="3">
        <v>18</v>
      </c>
      <c r="D1348" s="3">
        <v>1</v>
      </c>
      <c r="G1348" s="43">
        <v>44005</v>
      </c>
    </row>
    <row r="1349" spans="1:7" x14ac:dyDescent="0.25">
      <c r="A1349" s="19" t="s">
        <v>1596</v>
      </c>
      <c r="B1349" s="42" t="s">
        <v>3</v>
      </c>
      <c r="C1349" s="3">
        <v>19</v>
      </c>
      <c r="D1349" s="3">
        <v>1</v>
      </c>
      <c r="E1349" s="42" t="s">
        <v>160</v>
      </c>
      <c r="G1349" s="43">
        <v>44005</v>
      </c>
    </row>
    <row r="1350" spans="1:7" x14ac:dyDescent="0.25">
      <c r="A1350" s="19" t="s">
        <v>1597</v>
      </c>
      <c r="B1350" s="42" t="s">
        <v>3</v>
      </c>
      <c r="C1350" s="3">
        <v>18</v>
      </c>
      <c r="D1350" s="3">
        <v>1</v>
      </c>
      <c r="E1350" s="42" t="s">
        <v>160</v>
      </c>
      <c r="G1350" s="43">
        <v>44005</v>
      </c>
    </row>
    <row r="1351" spans="1:7" x14ac:dyDescent="0.25">
      <c r="A1351" s="19" t="s">
        <v>1598</v>
      </c>
      <c r="B1351" s="42" t="s">
        <v>3</v>
      </c>
      <c r="C1351" s="3">
        <v>19</v>
      </c>
      <c r="D1351" s="3">
        <v>1</v>
      </c>
      <c r="G1351" s="43">
        <v>44005</v>
      </c>
    </row>
    <row r="1352" spans="1:7" x14ac:dyDescent="0.25">
      <c r="A1352" s="19" t="s">
        <v>1599</v>
      </c>
      <c r="B1352" s="42" t="s">
        <v>3</v>
      </c>
      <c r="C1352" s="3">
        <v>18</v>
      </c>
      <c r="D1352" s="3">
        <v>1</v>
      </c>
      <c r="E1352" s="42" t="s">
        <v>160</v>
      </c>
      <c r="F1352" s="42" t="s">
        <v>160</v>
      </c>
      <c r="G1352" s="43">
        <v>44005</v>
      </c>
    </row>
    <row r="1353" spans="1:7" x14ac:dyDescent="0.25">
      <c r="A1353" s="19" t="s">
        <v>1600</v>
      </c>
      <c r="B1353" s="42" t="s">
        <v>3</v>
      </c>
      <c r="C1353" s="3">
        <v>18</v>
      </c>
      <c r="D1353" s="3">
        <v>1</v>
      </c>
      <c r="E1353" s="42" t="s">
        <v>160</v>
      </c>
      <c r="G1353" s="43">
        <v>44005</v>
      </c>
    </row>
    <row r="1354" spans="1:7" x14ac:dyDescent="0.25">
      <c r="A1354" s="19" t="s">
        <v>1601</v>
      </c>
      <c r="B1354" s="42" t="s">
        <v>3</v>
      </c>
      <c r="C1354" s="3">
        <v>18</v>
      </c>
      <c r="D1354" s="3">
        <v>1</v>
      </c>
      <c r="E1354" s="42" t="s">
        <v>160</v>
      </c>
      <c r="G1354" s="43">
        <v>44005</v>
      </c>
    </row>
    <row r="1355" spans="1:7" x14ac:dyDescent="0.25">
      <c r="A1355" s="19" t="s">
        <v>1602</v>
      </c>
      <c r="B1355" s="42" t="s">
        <v>3</v>
      </c>
      <c r="C1355" s="3">
        <v>18</v>
      </c>
      <c r="D1355" s="3">
        <v>1</v>
      </c>
      <c r="G1355" s="43">
        <v>44005</v>
      </c>
    </row>
    <row r="1356" spans="1:7" x14ac:dyDescent="0.25">
      <c r="A1356" s="19" t="s">
        <v>1603</v>
      </c>
      <c r="B1356" s="42" t="s">
        <v>3</v>
      </c>
      <c r="C1356" s="3">
        <v>19</v>
      </c>
      <c r="D1356" s="3">
        <v>1</v>
      </c>
      <c r="G1356" s="43">
        <v>44005</v>
      </c>
    </row>
    <row r="1357" spans="1:7" x14ac:dyDescent="0.25">
      <c r="A1357" s="19" t="s">
        <v>1604</v>
      </c>
      <c r="B1357" s="42" t="s">
        <v>3</v>
      </c>
      <c r="C1357" s="3">
        <v>18</v>
      </c>
      <c r="D1357" s="3">
        <v>1</v>
      </c>
      <c r="G1357" s="43">
        <v>44005</v>
      </c>
    </row>
    <row r="1358" spans="1:7" x14ac:dyDescent="0.25">
      <c r="A1358" s="19" t="s">
        <v>1605</v>
      </c>
      <c r="B1358" s="42" t="s">
        <v>3</v>
      </c>
      <c r="C1358" s="3">
        <v>18</v>
      </c>
      <c r="D1358" s="3">
        <v>1</v>
      </c>
      <c r="E1358" s="42" t="s">
        <v>160</v>
      </c>
      <c r="G1358" s="43">
        <v>44005</v>
      </c>
    </row>
    <row r="1359" spans="1:7" x14ac:dyDescent="0.25">
      <c r="A1359" s="19" t="s">
        <v>1606</v>
      </c>
      <c r="B1359" s="42" t="s">
        <v>3</v>
      </c>
      <c r="C1359" s="3">
        <v>18</v>
      </c>
      <c r="D1359" s="3">
        <v>1</v>
      </c>
      <c r="G1359" s="43">
        <v>44005</v>
      </c>
    </row>
    <row r="1360" spans="1:7" x14ac:dyDescent="0.25">
      <c r="A1360" s="19" t="s">
        <v>1607</v>
      </c>
      <c r="B1360" s="42" t="s">
        <v>3</v>
      </c>
      <c r="C1360" s="3">
        <v>18</v>
      </c>
      <c r="D1360" s="3">
        <v>1</v>
      </c>
      <c r="G1360" s="43">
        <v>44005</v>
      </c>
    </row>
    <row r="1361" spans="1:7" x14ac:dyDescent="0.25">
      <c r="A1361" s="19" t="s">
        <v>1608</v>
      </c>
      <c r="B1361" s="42" t="s">
        <v>3</v>
      </c>
      <c r="C1361" s="3">
        <v>19</v>
      </c>
      <c r="D1361" s="3">
        <v>1</v>
      </c>
      <c r="G1361" s="43">
        <v>44005</v>
      </c>
    </row>
    <row r="1362" spans="1:7" x14ac:dyDescent="0.25">
      <c r="A1362" s="19" t="s">
        <v>1609</v>
      </c>
      <c r="B1362" s="42" t="s">
        <v>3</v>
      </c>
      <c r="C1362" s="3">
        <v>19</v>
      </c>
      <c r="D1362" s="3">
        <v>1</v>
      </c>
      <c r="G1362" s="43">
        <v>44005</v>
      </c>
    </row>
    <row r="1363" spans="1:7" x14ac:dyDescent="0.25">
      <c r="A1363" s="19" t="s">
        <v>1610</v>
      </c>
      <c r="B1363" s="42" t="s">
        <v>3</v>
      </c>
      <c r="C1363" s="3">
        <v>18</v>
      </c>
      <c r="D1363" s="3">
        <v>1</v>
      </c>
      <c r="G1363" s="43">
        <v>44005</v>
      </c>
    </row>
    <row r="1364" spans="1:7" x14ac:dyDescent="0.25">
      <c r="A1364" s="19" t="s">
        <v>1611</v>
      </c>
      <c r="B1364" s="42" t="s">
        <v>3</v>
      </c>
      <c r="C1364" s="3">
        <v>20</v>
      </c>
      <c r="D1364" s="3">
        <v>1</v>
      </c>
      <c r="G1364" s="43">
        <v>44005</v>
      </c>
    </row>
    <row r="1365" spans="1:7" x14ac:dyDescent="0.25">
      <c r="A1365" s="19" t="s">
        <v>1612</v>
      </c>
      <c r="B1365" s="42" t="s">
        <v>120</v>
      </c>
      <c r="C1365" s="3">
        <v>18</v>
      </c>
      <c r="D1365" s="3">
        <v>1</v>
      </c>
      <c r="E1365" s="42" t="s">
        <v>160</v>
      </c>
      <c r="F1365" s="42" t="s">
        <v>160</v>
      </c>
      <c r="G1365" s="43">
        <v>44005</v>
      </c>
    </row>
    <row r="1366" spans="1:7" x14ac:dyDescent="0.25">
      <c r="A1366" s="19" t="s">
        <v>1613</v>
      </c>
      <c r="B1366" s="42" t="s">
        <v>3</v>
      </c>
      <c r="C1366" s="3">
        <v>18</v>
      </c>
      <c r="D1366" s="3">
        <v>1</v>
      </c>
      <c r="G1366" s="43">
        <v>44005</v>
      </c>
    </row>
    <row r="1367" spans="1:7" x14ac:dyDescent="0.25">
      <c r="A1367" s="19" t="s">
        <v>1614</v>
      </c>
      <c r="B1367" s="42" t="s">
        <v>3</v>
      </c>
      <c r="C1367" s="3">
        <v>18</v>
      </c>
      <c r="D1367" s="3">
        <v>1</v>
      </c>
      <c r="G1367" s="43">
        <v>44005</v>
      </c>
    </row>
    <row r="1368" spans="1:7" x14ac:dyDescent="0.25">
      <c r="A1368" s="19" t="s">
        <v>1615</v>
      </c>
      <c r="B1368" s="42" t="s">
        <v>3</v>
      </c>
      <c r="C1368" s="3">
        <v>18</v>
      </c>
      <c r="D1368" s="3">
        <v>1</v>
      </c>
      <c r="E1368" s="42" t="s">
        <v>160</v>
      </c>
      <c r="G1368" s="43">
        <v>44005</v>
      </c>
    </row>
    <row r="1369" spans="1:7" x14ac:dyDescent="0.25">
      <c r="A1369" s="19" t="s">
        <v>1616</v>
      </c>
      <c r="B1369" s="42" t="s">
        <v>120</v>
      </c>
      <c r="C1369" s="3">
        <v>18</v>
      </c>
      <c r="D1369" s="3">
        <v>1</v>
      </c>
      <c r="E1369" s="42" t="s">
        <v>160</v>
      </c>
      <c r="F1369" s="42" t="s">
        <v>160</v>
      </c>
      <c r="G1369" s="43">
        <v>44005</v>
      </c>
    </row>
    <row r="1370" spans="1:7" x14ac:dyDescent="0.25">
      <c r="A1370" s="19" t="s">
        <v>1617</v>
      </c>
      <c r="B1370" s="42" t="s">
        <v>3</v>
      </c>
      <c r="C1370" s="3">
        <v>18</v>
      </c>
      <c r="D1370" s="3">
        <v>1</v>
      </c>
      <c r="G1370" s="43">
        <v>44005</v>
      </c>
    </row>
    <row r="1371" spans="1:7" x14ac:dyDescent="0.25">
      <c r="A1371" s="19" t="s">
        <v>1618</v>
      </c>
      <c r="B1371" s="42" t="s">
        <v>3</v>
      </c>
      <c r="C1371" s="3">
        <v>19</v>
      </c>
      <c r="D1371" s="3">
        <v>1</v>
      </c>
      <c r="G1371" s="43">
        <v>44005</v>
      </c>
    </row>
    <row r="1372" spans="1:7" x14ac:dyDescent="0.25">
      <c r="A1372" s="19" t="s">
        <v>1619</v>
      </c>
      <c r="B1372" s="42" t="s">
        <v>3</v>
      </c>
      <c r="C1372" s="3">
        <v>18</v>
      </c>
      <c r="D1372" s="3">
        <v>1</v>
      </c>
      <c r="E1372" s="42" t="s">
        <v>160</v>
      </c>
      <c r="G1372" s="43">
        <v>44005</v>
      </c>
    </row>
    <row r="1373" spans="1:7" x14ac:dyDescent="0.25">
      <c r="A1373" s="19" t="s">
        <v>1620</v>
      </c>
      <c r="B1373" s="42" t="s">
        <v>3</v>
      </c>
      <c r="C1373" s="3">
        <v>18</v>
      </c>
      <c r="D1373" s="3">
        <v>1</v>
      </c>
      <c r="G1373" s="43">
        <v>44005</v>
      </c>
    </row>
    <row r="1374" spans="1:7" x14ac:dyDescent="0.25">
      <c r="A1374" s="19" t="s">
        <v>1621</v>
      </c>
      <c r="B1374" s="42" t="s">
        <v>3</v>
      </c>
      <c r="C1374" s="3">
        <v>20</v>
      </c>
      <c r="D1374" s="3">
        <v>1</v>
      </c>
      <c r="G1374" s="43">
        <v>44005</v>
      </c>
    </row>
    <row r="1375" spans="1:7" x14ac:dyDescent="0.25">
      <c r="A1375" s="19" t="s">
        <v>1622</v>
      </c>
      <c r="B1375" s="42" t="s">
        <v>3</v>
      </c>
      <c r="C1375" s="3">
        <v>18</v>
      </c>
      <c r="D1375" s="3">
        <v>1</v>
      </c>
      <c r="E1375" s="42" t="s">
        <v>160</v>
      </c>
      <c r="G1375" s="43">
        <v>44005</v>
      </c>
    </row>
    <row r="1376" spans="1:7" x14ac:dyDescent="0.25">
      <c r="A1376" s="19" t="s">
        <v>1623</v>
      </c>
      <c r="B1376" s="42" t="s">
        <v>3</v>
      </c>
      <c r="C1376" s="3">
        <v>19</v>
      </c>
      <c r="D1376" s="3">
        <v>1</v>
      </c>
      <c r="E1376" s="42" t="s">
        <v>160</v>
      </c>
      <c r="G1376" s="43">
        <v>44005</v>
      </c>
    </row>
    <row r="1377" spans="1:7" x14ac:dyDescent="0.25">
      <c r="A1377" s="28" t="s">
        <v>1624</v>
      </c>
      <c r="B1377" s="42" t="s">
        <v>120</v>
      </c>
      <c r="C1377" s="3">
        <v>18</v>
      </c>
      <c r="D1377" s="3">
        <v>1</v>
      </c>
      <c r="E1377" s="42" t="s">
        <v>160</v>
      </c>
      <c r="F1377" s="42" t="s">
        <v>160</v>
      </c>
      <c r="G1377" s="43">
        <v>44005</v>
      </c>
    </row>
    <row r="1378" spans="1:7" x14ac:dyDescent="0.25">
      <c r="A1378" s="28" t="s">
        <v>1625</v>
      </c>
      <c r="B1378" s="42" t="s">
        <v>120</v>
      </c>
      <c r="C1378" s="3">
        <v>19</v>
      </c>
      <c r="D1378" s="3">
        <v>1</v>
      </c>
      <c r="E1378" s="42" t="s">
        <v>160</v>
      </c>
      <c r="F1378" s="42" t="s">
        <v>160</v>
      </c>
      <c r="G1378" s="43">
        <v>44005</v>
      </c>
    </row>
    <row r="1379" spans="1:7" x14ac:dyDescent="0.25">
      <c r="A1379" s="28" t="s">
        <v>1626</v>
      </c>
      <c r="B1379" s="42" t="s">
        <v>120</v>
      </c>
      <c r="C1379" s="3">
        <v>18</v>
      </c>
      <c r="D1379" s="3">
        <v>1</v>
      </c>
      <c r="E1379" s="42" t="s">
        <v>160</v>
      </c>
      <c r="F1379" s="42" t="s">
        <v>160</v>
      </c>
      <c r="G1379" s="43">
        <v>44005</v>
      </c>
    </row>
    <row r="1380" spans="1:7" x14ac:dyDescent="0.25">
      <c r="A1380" s="28" t="s">
        <v>1627</v>
      </c>
      <c r="B1380" s="42" t="s">
        <v>120</v>
      </c>
      <c r="C1380" s="3">
        <v>18</v>
      </c>
      <c r="D1380" s="3">
        <v>1</v>
      </c>
      <c r="E1380" s="42" t="s">
        <v>160</v>
      </c>
      <c r="F1380" s="42" t="s">
        <v>160</v>
      </c>
      <c r="G1380" s="43">
        <v>44005</v>
      </c>
    </row>
    <row r="1381" spans="1:7" x14ac:dyDescent="0.25">
      <c r="A1381" s="28" t="s">
        <v>1628</v>
      </c>
      <c r="B1381" s="42" t="s">
        <v>3</v>
      </c>
      <c r="C1381" s="3">
        <v>18</v>
      </c>
      <c r="D1381" s="3">
        <v>1</v>
      </c>
      <c r="G1381" s="43">
        <v>44005</v>
      </c>
    </row>
    <row r="1382" spans="1:7" x14ac:dyDescent="0.25">
      <c r="A1382" s="28" t="s">
        <v>1629</v>
      </c>
      <c r="B1382" s="42" t="s">
        <v>120</v>
      </c>
      <c r="C1382" s="3">
        <v>18</v>
      </c>
      <c r="D1382" s="3">
        <v>1</v>
      </c>
      <c r="E1382" s="42" t="s">
        <v>160</v>
      </c>
      <c r="F1382" s="42" t="s">
        <v>160</v>
      </c>
      <c r="G1382" s="43">
        <v>44005</v>
      </c>
    </row>
    <row r="1383" spans="1:7" x14ac:dyDescent="0.25">
      <c r="A1383" s="28" t="s">
        <v>1630</v>
      </c>
      <c r="B1383" s="42" t="s">
        <v>120</v>
      </c>
      <c r="C1383" s="3">
        <v>18</v>
      </c>
      <c r="D1383" s="3">
        <v>1</v>
      </c>
      <c r="E1383" s="42" t="s">
        <v>160</v>
      </c>
      <c r="F1383" s="42" t="s">
        <v>160</v>
      </c>
      <c r="G1383" s="43">
        <v>44005</v>
      </c>
    </row>
    <row r="1384" spans="1:7" x14ac:dyDescent="0.25">
      <c r="A1384" s="28" t="s">
        <v>1631</v>
      </c>
      <c r="B1384" s="42" t="s">
        <v>120</v>
      </c>
      <c r="C1384" s="3">
        <v>18</v>
      </c>
      <c r="D1384" s="3">
        <v>1</v>
      </c>
      <c r="E1384" s="42" t="s">
        <v>160</v>
      </c>
      <c r="F1384" s="42" t="s">
        <v>160</v>
      </c>
      <c r="G1384" s="43">
        <v>44005</v>
      </c>
    </row>
    <row r="1385" spans="1:7" x14ac:dyDescent="0.25">
      <c r="A1385" s="28" t="s">
        <v>1632</v>
      </c>
      <c r="B1385" s="42" t="s">
        <v>3</v>
      </c>
      <c r="C1385" s="3">
        <v>18</v>
      </c>
      <c r="D1385" s="3">
        <v>1</v>
      </c>
      <c r="G1385" s="43">
        <v>44005</v>
      </c>
    </row>
    <row r="1386" spans="1:7" x14ac:dyDescent="0.25">
      <c r="A1386" s="28" t="s">
        <v>1633</v>
      </c>
      <c r="B1386" s="42" t="s">
        <v>3</v>
      </c>
      <c r="C1386" s="3">
        <v>24</v>
      </c>
      <c r="D1386" s="3">
        <v>1</v>
      </c>
      <c r="G1386" s="43">
        <v>44005</v>
      </c>
    </row>
    <row r="1387" spans="1:7" x14ac:dyDescent="0.25">
      <c r="A1387" s="28" t="s">
        <v>1634</v>
      </c>
      <c r="B1387" s="42" t="s">
        <v>120</v>
      </c>
      <c r="C1387" s="3">
        <v>18</v>
      </c>
      <c r="D1387" s="3">
        <v>1</v>
      </c>
      <c r="E1387" s="42" t="s">
        <v>160</v>
      </c>
      <c r="F1387" s="42" t="s">
        <v>160</v>
      </c>
      <c r="G1387" s="43">
        <v>44005</v>
      </c>
    </row>
    <row r="1388" spans="1:7" x14ac:dyDescent="0.25">
      <c r="A1388" s="28" t="s">
        <v>1635</v>
      </c>
      <c r="B1388" s="42" t="s">
        <v>3</v>
      </c>
      <c r="C1388" s="3">
        <v>20</v>
      </c>
      <c r="D1388" s="3">
        <v>1</v>
      </c>
      <c r="G1388" s="43">
        <v>44005</v>
      </c>
    </row>
    <row r="1389" spans="1:7" x14ac:dyDescent="0.25">
      <c r="A1389" s="28" t="s">
        <v>1636</v>
      </c>
      <c r="B1389" s="42" t="s">
        <v>120</v>
      </c>
      <c r="C1389" s="3">
        <v>22</v>
      </c>
      <c r="D1389" s="3">
        <v>1</v>
      </c>
      <c r="E1389" s="42" t="s">
        <v>160</v>
      </c>
      <c r="F1389" s="42" t="s">
        <v>160</v>
      </c>
      <c r="G1389" s="43">
        <v>44005</v>
      </c>
    </row>
    <row r="1390" spans="1:7" x14ac:dyDescent="0.25">
      <c r="A1390" s="28" t="s">
        <v>1637</v>
      </c>
      <c r="B1390" s="42" t="s">
        <v>3</v>
      </c>
      <c r="C1390" s="3">
        <v>18</v>
      </c>
      <c r="D1390" s="3">
        <v>1</v>
      </c>
      <c r="E1390" s="42" t="s">
        <v>160</v>
      </c>
      <c r="G1390" s="43">
        <v>44005</v>
      </c>
    </row>
    <row r="1391" spans="1:7" x14ac:dyDescent="0.25">
      <c r="A1391" s="28" t="s">
        <v>1638</v>
      </c>
      <c r="B1391" s="42" t="s">
        <v>120</v>
      </c>
      <c r="C1391" s="3">
        <v>18</v>
      </c>
      <c r="D1391" s="3">
        <v>1</v>
      </c>
      <c r="E1391" s="42" t="s">
        <v>160</v>
      </c>
      <c r="F1391" s="42" t="s">
        <v>160</v>
      </c>
      <c r="G1391" s="43">
        <v>44005</v>
      </c>
    </row>
    <row r="1392" spans="1:7" x14ac:dyDescent="0.25">
      <c r="A1392" s="28" t="s">
        <v>1639</v>
      </c>
      <c r="B1392" s="42" t="s">
        <v>120</v>
      </c>
      <c r="C1392" s="3">
        <v>18</v>
      </c>
      <c r="D1392" s="3">
        <v>1</v>
      </c>
      <c r="E1392" s="42" t="s">
        <v>160</v>
      </c>
      <c r="F1392" s="42" t="s">
        <v>160</v>
      </c>
      <c r="G1392" s="43">
        <v>44005</v>
      </c>
    </row>
    <row r="1393" spans="1:7" x14ac:dyDescent="0.25">
      <c r="A1393" s="28" t="s">
        <v>1640</v>
      </c>
      <c r="B1393" s="42" t="s">
        <v>120</v>
      </c>
      <c r="C1393" s="3">
        <v>18</v>
      </c>
      <c r="D1393" s="3">
        <v>1</v>
      </c>
      <c r="E1393" s="42" t="s">
        <v>160</v>
      </c>
      <c r="F1393" s="42" t="s">
        <v>160</v>
      </c>
      <c r="G1393" s="43">
        <v>44005</v>
      </c>
    </row>
    <row r="1394" spans="1:7" x14ac:dyDescent="0.25">
      <c r="A1394" s="28" t="s">
        <v>1641</v>
      </c>
      <c r="B1394" s="42" t="s">
        <v>3</v>
      </c>
      <c r="C1394" s="3">
        <v>18</v>
      </c>
      <c r="D1394" s="3">
        <v>1</v>
      </c>
      <c r="E1394" s="42" t="s">
        <v>160</v>
      </c>
      <c r="F1394" s="42" t="s">
        <v>160</v>
      </c>
      <c r="G1394" s="43">
        <v>44005</v>
      </c>
    </row>
    <row r="1395" spans="1:7" x14ac:dyDescent="0.25">
      <c r="A1395" s="28" t="s">
        <v>1642</v>
      </c>
      <c r="B1395" s="42" t="s">
        <v>120</v>
      </c>
      <c r="C1395" s="3">
        <v>18</v>
      </c>
      <c r="D1395" s="3">
        <v>1</v>
      </c>
      <c r="E1395" s="42" t="s">
        <v>160</v>
      </c>
      <c r="F1395" s="42" t="s">
        <v>160</v>
      </c>
      <c r="G1395" s="43">
        <v>44005</v>
      </c>
    </row>
    <row r="1396" spans="1:7" x14ac:dyDescent="0.25">
      <c r="A1396" s="28" t="s">
        <v>1643</v>
      </c>
      <c r="B1396" s="42" t="s">
        <v>3</v>
      </c>
      <c r="C1396" s="3">
        <v>18</v>
      </c>
      <c r="D1396" s="3">
        <v>1</v>
      </c>
      <c r="G1396" s="43">
        <v>44005</v>
      </c>
    </row>
    <row r="1397" spans="1:7" x14ac:dyDescent="0.25">
      <c r="A1397" s="28" t="s">
        <v>1644</v>
      </c>
      <c r="B1397" s="42" t="s">
        <v>120</v>
      </c>
      <c r="C1397" s="3">
        <v>18</v>
      </c>
      <c r="D1397" s="3">
        <v>1</v>
      </c>
      <c r="E1397" s="42" t="s">
        <v>160</v>
      </c>
      <c r="F1397" s="42" t="s">
        <v>160</v>
      </c>
      <c r="G1397" s="43">
        <v>44005</v>
      </c>
    </row>
    <row r="1398" spans="1:7" x14ac:dyDescent="0.25">
      <c r="A1398" s="28" t="s">
        <v>1645</v>
      </c>
      <c r="B1398" s="42" t="s">
        <v>3</v>
      </c>
      <c r="C1398" s="3">
        <v>18</v>
      </c>
      <c r="D1398" s="3">
        <v>1</v>
      </c>
      <c r="G1398" s="43">
        <v>44005</v>
      </c>
    </row>
    <row r="1399" spans="1:7" x14ac:dyDescent="0.25">
      <c r="A1399" s="28" t="s">
        <v>1646</v>
      </c>
      <c r="B1399" s="42" t="s">
        <v>3</v>
      </c>
      <c r="C1399" s="3">
        <v>20</v>
      </c>
      <c r="D1399" s="3">
        <v>1</v>
      </c>
      <c r="E1399" s="42" t="s">
        <v>160</v>
      </c>
      <c r="G1399" s="43">
        <v>44005</v>
      </c>
    </row>
    <row r="1400" spans="1:7" x14ac:dyDescent="0.25">
      <c r="A1400" s="28" t="s">
        <v>1647</v>
      </c>
      <c r="B1400" s="42" t="s">
        <v>120</v>
      </c>
      <c r="C1400" s="3">
        <v>18</v>
      </c>
      <c r="D1400" s="3">
        <v>1</v>
      </c>
      <c r="E1400" s="42" t="s">
        <v>160</v>
      </c>
      <c r="F1400" s="42" t="s">
        <v>160</v>
      </c>
      <c r="G1400" s="43">
        <v>44005</v>
      </c>
    </row>
    <row r="1401" spans="1:7" x14ac:dyDescent="0.25">
      <c r="A1401" s="28" t="s">
        <v>1648</v>
      </c>
      <c r="B1401" s="42" t="s">
        <v>3</v>
      </c>
      <c r="C1401" s="3">
        <v>22</v>
      </c>
      <c r="D1401" s="3">
        <v>1</v>
      </c>
      <c r="G1401" s="43">
        <v>44005</v>
      </c>
    </row>
    <row r="1402" spans="1:7" x14ac:dyDescent="0.25">
      <c r="A1402" s="28" t="s">
        <v>1649</v>
      </c>
      <c r="B1402" s="42" t="s">
        <v>120</v>
      </c>
      <c r="C1402" s="3">
        <v>24</v>
      </c>
      <c r="D1402" s="3">
        <v>1</v>
      </c>
      <c r="E1402" s="42" t="s">
        <v>160</v>
      </c>
      <c r="F1402" s="42" t="s">
        <v>160</v>
      </c>
      <c r="G1402" s="43">
        <v>44005</v>
      </c>
    </row>
    <row r="1403" spans="1:7" x14ac:dyDescent="0.25">
      <c r="A1403" s="28" t="s">
        <v>1650</v>
      </c>
      <c r="B1403" s="42" t="s">
        <v>3</v>
      </c>
      <c r="C1403" s="3">
        <v>19</v>
      </c>
      <c r="D1403" s="3">
        <v>1</v>
      </c>
      <c r="G1403" s="43">
        <v>44005</v>
      </c>
    </row>
    <row r="1404" spans="1:7" x14ac:dyDescent="0.25">
      <c r="A1404" s="28" t="s">
        <v>1651</v>
      </c>
      <c r="B1404" s="42" t="s">
        <v>3</v>
      </c>
      <c r="C1404" s="3">
        <v>19</v>
      </c>
      <c r="D1404" s="3">
        <v>1</v>
      </c>
      <c r="G1404" s="43">
        <v>44005</v>
      </c>
    </row>
    <row r="1405" spans="1:7" x14ac:dyDescent="0.25">
      <c r="A1405" s="28" t="s">
        <v>1652</v>
      </c>
      <c r="B1405" s="42" t="s">
        <v>3</v>
      </c>
      <c r="C1405" s="3">
        <v>18</v>
      </c>
      <c r="D1405" s="3">
        <v>1</v>
      </c>
      <c r="G1405" s="43">
        <v>44005</v>
      </c>
    </row>
    <row r="1406" spans="1:7" x14ac:dyDescent="0.25">
      <c r="A1406" s="28" t="s">
        <v>1653</v>
      </c>
      <c r="B1406" s="42" t="s">
        <v>120</v>
      </c>
      <c r="C1406" s="3">
        <v>19</v>
      </c>
      <c r="D1406" s="3">
        <v>1</v>
      </c>
      <c r="E1406" s="42" t="s">
        <v>160</v>
      </c>
      <c r="F1406" s="42" t="s">
        <v>160</v>
      </c>
      <c r="G1406" s="43">
        <v>44005</v>
      </c>
    </row>
    <row r="1407" spans="1:7" x14ac:dyDescent="0.25">
      <c r="A1407" s="28" t="s">
        <v>1654</v>
      </c>
      <c r="B1407" s="42" t="s">
        <v>3</v>
      </c>
      <c r="C1407" s="3">
        <v>18</v>
      </c>
      <c r="D1407" s="3">
        <v>1</v>
      </c>
      <c r="G1407" s="43">
        <v>44005</v>
      </c>
    </row>
    <row r="1408" spans="1:7" x14ac:dyDescent="0.25">
      <c r="A1408" s="28" t="s">
        <v>1655</v>
      </c>
      <c r="B1408" s="42" t="s">
        <v>120</v>
      </c>
      <c r="C1408" s="3">
        <v>18</v>
      </c>
      <c r="D1408" s="3">
        <v>1</v>
      </c>
      <c r="E1408" s="42" t="s">
        <v>160</v>
      </c>
      <c r="F1408" s="42" t="s">
        <v>160</v>
      </c>
      <c r="G1408" s="43">
        <v>44005</v>
      </c>
    </row>
    <row r="1409" spans="1:7" x14ac:dyDescent="0.25">
      <c r="A1409" s="28" t="s">
        <v>1656</v>
      </c>
      <c r="B1409" s="42" t="s">
        <v>120</v>
      </c>
      <c r="C1409" s="3">
        <v>18</v>
      </c>
      <c r="D1409" s="3">
        <v>1</v>
      </c>
      <c r="E1409" s="42" t="s">
        <v>160</v>
      </c>
      <c r="F1409" s="42" t="s">
        <v>160</v>
      </c>
      <c r="G1409" s="43">
        <v>44005</v>
      </c>
    </row>
    <row r="1410" spans="1:7" x14ac:dyDescent="0.25">
      <c r="A1410" s="28" t="s">
        <v>1657</v>
      </c>
      <c r="B1410" s="42" t="s">
        <v>120</v>
      </c>
      <c r="C1410" s="3">
        <v>18</v>
      </c>
      <c r="D1410" s="3">
        <v>1</v>
      </c>
      <c r="E1410" s="42" t="s">
        <v>160</v>
      </c>
      <c r="F1410" s="42" t="s">
        <v>160</v>
      </c>
      <c r="G1410" s="43">
        <v>44005</v>
      </c>
    </row>
    <row r="1411" spans="1:7" x14ac:dyDescent="0.25">
      <c r="A1411" s="28" t="s">
        <v>1658</v>
      </c>
      <c r="B1411" s="42" t="s">
        <v>120</v>
      </c>
      <c r="C1411" s="3">
        <v>18</v>
      </c>
      <c r="D1411" s="3">
        <v>1</v>
      </c>
      <c r="E1411" s="42" t="s">
        <v>160</v>
      </c>
      <c r="F1411" s="42" t="s">
        <v>160</v>
      </c>
      <c r="G1411" s="43">
        <v>44005</v>
      </c>
    </row>
    <row r="1412" spans="1:7" x14ac:dyDescent="0.25">
      <c r="A1412" s="28" t="s">
        <v>1659</v>
      </c>
      <c r="B1412" s="42" t="s">
        <v>3</v>
      </c>
      <c r="C1412" s="3">
        <v>18</v>
      </c>
      <c r="D1412" s="3">
        <v>1</v>
      </c>
      <c r="G1412" s="43">
        <v>44006</v>
      </c>
    </row>
    <row r="1413" spans="1:7" x14ac:dyDescent="0.25">
      <c r="A1413" s="28" t="s">
        <v>1660</v>
      </c>
      <c r="B1413" s="42" t="s">
        <v>120</v>
      </c>
      <c r="C1413" s="3">
        <v>18</v>
      </c>
      <c r="D1413" s="3">
        <v>1</v>
      </c>
      <c r="E1413" s="42" t="s">
        <v>160</v>
      </c>
      <c r="F1413" s="42" t="s">
        <v>160</v>
      </c>
      <c r="G1413" s="43">
        <v>44006</v>
      </c>
    </row>
    <row r="1414" spans="1:7" x14ac:dyDescent="0.25">
      <c r="A1414" s="28" t="s">
        <v>1661</v>
      </c>
      <c r="B1414" s="42" t="s">
        <v>120</v>
      </c>
      <c r="C1414" s="3">
        <v>18</v>
      </c>
      <c r="D1414" s="3">
        <v>1</v>
      </c>
      <c r="E1414" s="42" t="s">
        <v>160</v>
      </c>
      <c r="F1414" s="42" t="s">
        <v>160</v>
      </c>
      <c r="G1414" s="43">
        <v>44006</v>
      </c>
    </row>
    <row r="1415" spans="1:7" x14ac:dyDescent="0.25">
      <c r="A1415" s="28" t="s">
        <v>1662</v>
      </c>
      <c r="B1415" s="42" t="s">
        <v>120</v>
      </c>
      <c r="C1415" s="3">
        <v>19</v>
      </c>
      <c r="D1415" s="3">
        <v>1</v>
      </c>
      <c r="E1415" s="42" t="s">
        <v>160</v>
      </c>
      <c r="G1415" s="43">
        <v>44006</v>
      </c>
    </row>
    <row r="1416" spans="1:7" x14ac:dyDescent="0.25">
      <c r="A1416" s="28" t="s">
        <v>1663</v>
      </c>
      <c r="B1416" s="42" t="s">
        <v>3</v>
      </c>
      <c r="C1416" s="3">
        <v>19</v>
      </c>
      <c r="D1416" s="3">
        <v>1</v>
      </c>
      <c r="E1416" s="42" t="s">
        <v>160</v>
      </c>
      <c r="G1416" s="43">
        <v>44006</v>
      </c>
    </row>
    <row r="1417" spans="1:7" x14ac:dyDescent="0.25">
      <c r="A1417" s="28" t="s">
        <v>1664</v>
      </c>
      <c r="B1417" s="42" t="s">
        <v>3</v>
      </c>
      <c r="C1417" s="3">
        <v>18</v>
      </c>
      <c r="D1417" s="3">
        <v>1</v>
      </c>
      <c r="G1417" s="43">
        <v>44006</v>
      </c>
    </row>
    <row r="1418" spans="1:7" x14ac:dyDescent="0.25">
      <c r="A1418" s="28" t="s">
        <v>1665</v>
      </c>
      <c r="B1418" s="42" t="s">
        <v>3</v>
      </c>
      <c r="C1418" s="3">
        <v>21</v>
      </c>
      <c r="D1418" s="3">
        <v>1</v>
      </c>
      <c r="G1418" s="43">
        <v>44006</v>
      </c>
    </row>
    <row r="1419" spans="1:7" x14ac:dyDescent="0.25">
      <c r="A1419" s="19" t="s">
        <v>1666</v>
      </c>
      <c r="B1419" s="42" t="s">
        <v>120</v>
      </c>
      <c r="C1419" s="3">
        <v>18</v>
      </c>
      <c r="D1419" s="3">
        <v>1</v>
      </c>
      <c r="E1419" s="42" t="s">
        <v>160</v>
      </c>
      <c r="F1419" s="42" t="s">
        <v>160</v>
      </c>
      <c r="G1419" s="43">
        <v>44006</v>
      </c>
    </row>
    <row r="1420" spans="1:7" x14ac:dyDescent="0.25">
      <c r="A1420" s="19" t="s">
        <v>1667</v>
      </c>
      <c r="B1420" s="42" t="s">
        <v>3</v>
      </c>
      <c r="C1420" s="3">
        <v>18</v>
      </c>
      <c r="D1420" s="3">
        <v>1</v>
      </c>
      <c r="E1420" s="42" t="s">
        <v>160</v>
      </c>
      <c r="G1420" s="43">
        <v>44006</v>
      </c>
    </row>
    <row r="1421" spans="1:7" x14ac:dyDescent="0.25">
      <c r="A1421" s="19" t="s">
        <v>1668</v>
      </c>
      <c r="B1421" s="42" t="s">
        <v>3</v>
      </c>
      <c r="C1421" s="3">
        <v>18</v>
      </c>
      <c r="D1421" s="3">
        <v>1</v>
      </c>
      <c r="G1421" s="43">
        <v>44006</v>
      </c>
    </row>
    <row r="1422" spans="1:7" x14ac:dyDescent="0.25">
      <c r="A1422" s="19" t="s">
        <v>1669</v>
      </c>
      <c r="B1422" s="42" t="s">
        <v>3</v>
      </c>
      <c r="C1422" s="3">
        <v>19</v>
      </c>
      <c r="D1422" s="3">
        <v>1</v>
      </c>
      <c r="G1422" s="43">
        <v>44006</v>
      </c>
    </row>
    <row r="1423" spans="1:7" x14ac:dyDescent="0.25">
      <c r="A1423" s="19" t="s">
        <v>1670</v>
      </c>
      <c r="B1423" s="42" t="s">
        <v>3</v>
      </c>
      <c r="C1423" s="3">
        <v>18</v>
      </c>
      <c r="D1423" s="3">
        <v>1</v>
      </c>
      <c r="G1423" s="43">
        <v>44006</v>
      </c>
    </row>
    <row r="1424" spans="1:7" x14ac:dyDescent="0.25">
      <c r="A1424" s="19" t="s">
        <v>1671</v>
      </c>
      <c r="B1424" s="42" t="s">
        <v>3</v>
      </c>
      <c r="C1424" s="3">
        <v>19</v>
      </c>
      <c r="D1424" s="3">
        <v>1</v>
      </c>
      <c r="G1424" s="43">
        <v>44006</v>
      </c>
    </row>
    <row r="1425" spans="1:7" x14ac:dyDescent="0.25">
      <c r="A1425" s="19" t="s">
        <v>1672</v>
      </c>
      <c r="B1425" s="42" t="s">
        <v>120</v>
      </c>
      <c r="C1425" s="3">
        <v>18</v>
      </c>
      <c r="D1425" s="3">
        <v>1</v>
      </c>
      <c r="E1425" s="42" t="s">
        <v>160</v>
      </c>
      <c r="F1425" s="42" t="s">
        <v>160</v>
      </c>
      <c r="G1425" s="43">
        <v>44006</v>
      </c>
    </row>
    <row r="1426" spans="1:7" x14ac:dyDescent="0.25">
      <c r="A1426" s="19" t="s">
        <v>1673</v>
      </c>
      <c r="B1426" s="42" t="s">
        <v>120</v>
      </c>
      <c r="C1426" s="3">
        <v>18</v>
      </c>
      <c r="D1426" s="3">
        <v>1</v>
      </c>
      <c r="E1426" s="42" t="s">
        <v>160</v>
      </c>
      <c r="F1426" s="42" t="s">
        <v>160</v>
      </c>
      <c r="G1426" s="43">
        <v>44006</v>
      </c>
    </row>
    <row r="1427" spans="1:7" x14ac:dyDescent="0.25">
      <c r="A1427" s="19" t="s">
        <v>1674</v>
      </c>
      <c r="B1427" s="42" t="s">
        <v>120</v>
      </c>
      <c r="C1427" s="3">
        <v>19</v>
      </c>
      <c r="D1427" s="3">
        <v>1</v>
      </c>
      <c r="E1427" s="42" t="s">
        <v>160</v>
      </c>
      <c r="G1427" s="43">
        <v>44006</v>
      </c>
    </row>
    <row r="1428" spans="1:7" x14ac:dyDescent="0.25">
      <c r="A1428" s="19" t="s">
        <v>1675</v>
      </c>
      <c r="B1428" s="42" t="s">
        <v>3</v>
      </c>
      <c r="C1428" s="3">
        <v>18</v>
      </c>
      <c r="D1428" s="3">
        <v>1</v>
      </c>
      <c r="G1428" s="43">
        <v>44006</v>
      </c>
    </row>
    <row r="1429" spans="1:7" x14ac:dyDescent="0.25">
      <c r="A1429" s="19" t="s">
        <v>1676</v>
      </c>
      <c r="B1429" s="42" t="s">
        <v>3</v>
      </c>
      <c r="C1429" s="3">
        <v>21</v>
      </c>
      <c r="D1429" s="3">
        <v>1</v>
      </c>
      <c r="G1429" s="43">
        <v>44006</v>
      </c>
    </row>
    <row r="1430" spans="1:7" x14ac:dyDescent="0.25">
      <c r="A1430" s="19" t="s">
        <v>1677</v>
      </c>
      <c r="B1430" s="42" t="s">
        <v>3</v>
      </c>
      <c r="C1430" s="3">
        <v>19</v>
      </c>
      <c r="D1430" s="3">
        <v>1</v>
      </c>
      <c r="G1430" s="43">
        <v>44006</v>
      </c>
    </row>
    <row r="1431" spans="1:7" x14ac:dyDescent="0.25">
      <c r="A1431" s="19" t="s">
        <v>1678</v>
      </c>
      <c r="B1431" s="42" t="s">
        <v>3</v>
      </c>
      <c r="C1431" s="3">
        <v>18</v>
      </c>
      <c r="D1431" s="3">
        <v>1</v>
      </c>
      <c r="G1431" s="43">
        <v>44006</v>
      </c>
    </row>
    <row r="1432" spans="1:7" x14ac:dyDescent="0.25">
      <c r="A1432" s="19" t="s">
        <v>1679</v>
      </c>
      <c r="B1432" s="42" t="s">
        <v>3</v>
      </c>
      <c r="C1432" s="3">
        <v>18</v>
      </c>
      <c r="D1432" s="3">
        <v>1</v>
      </c>
      <c r="G1432" s="43">
        <v>44006</v>
      </c>
    </row>
    <row r="1433" spans="1:7" x14ac:dyDescent="0.25">
      <c r="A1433" s="19" t="s">
        <v>1680</v>
      </c>
      <c r="B1433" s="42" t="s">
        <v>120</v>
      </c>
      <c r="C1433" s="3">
        <v>18</v>
      </c>
      <c r="D1433" s="3">
        <v>1</v>
      </c>
      <c r="E1433" s="42" t="s">
        <v>160</v>
      </c>
      <c r="F1433" s="42" t="s">
        <v>160</v>
      </c>
      <c r="G1433" s="43">
        <v>44006</v>
      </c>
    </row>
    <row r="1434" spans="1:7" x14ac:dyDescent="0.25">
      <c r="A1434" s="19" t="s">
        <v>1681</v>
      </c>
      <c r="B1434" s="42" t="s">
        <v>3</v>
      </c>
      <c r="C1434" s="3">
        <v>18</v>
      </c>
      <c r="D1434" s="3">
        <v>1</v>
      </c>
      <c r="G1434" s="43">
        <v>44006</v>
      </c>
    </row>
    <row r="1435" spans="1:7" x14ac:dyDescent="0.25">
      <c r="A1435" s="19" t="s">
        <v>1682</v>
      </c>
      <c r="B1435" s="42" t="s">
        <v>3</v>
      </c>
      <c r="C1435" s="3">
        <v>21</v>
      </c>
      <c r="D1435" s="3">
        <v>1</v>
      </c>
      <c r="E1435" s="42" t="s">
        <v>160</v>
      </c>
      <c r="G1435" s="43">
        <v>44006</v>
      </c>
    </row>
    <row r="1436" spans="1:7" x14ac:dyDescent="0.25">
      <c r="A1436" s="19" t="s">
        <v>1683</v>
      </c>
      <c r="B1436" s="42" t="s">
        <v>120</v>
      </c>
      <c r="C1436" s="3">
        <v>18</v>
      </c>
      <c r="D1436" s="3">
        <v>1</v>
      </c>
      <c r="E1436" s="42" t="s">
        <v>160</v>
      </c>
      <c r="F1436" s="42" t="s">
        <v>160</v>
      </c>
      <c r="G1436" s="43">
        <v>44006</v>
      </c>
    </row>
    <row r="1437" spans="1:7" x14ac:dyDescent="0.25">
      <c r="A1437" s="19" t="s">
        <v>1684</v>
      </c>
      <c r="B1437" s="42" t="s">
        <v>3</v>
      </c>
      <c r="C1437" s="3">
        <v>18</v>
      </c>
      <c r="D1437" s="3">
        <v>1</v>
      </c>
      <c r="G1437" s="43">
        <v>44006</v>
      </c>
    </row>
    <row r="1438" spans="1:7" x14ac:dyDescent="0.25">
      <c r="A1438" s="19" t="s">
        <v>1685</v>
      </c>
      <c r="B1438" s="42" t="s">
        <v>3</v>
      </c>
      <c r="C1438" s="3">
        <v>19</v>
      </c>
      <c r="D1438" s="3">
        <v>1</v>
      </c>
      <c r="G1438" s="43">
        <v>44006</v>
      </c>
    </row>
    <row r="1439" spans="1:7" x14ac:dyDescent="0.25">
      <c r="A1439" s="19" t="s">
        <v>1686</v>
      </c>
      <c r="B1439" s="42" t="s">
        <v>3</v>
      </c>
      <c r="C1439" s="3">
        <v>20</v>
      </c>
      <c r="D1439" s="3">
        <v>1</v>
      </c>
      <c r="G1439" s="43">
        <v>44006</v>
      </c>
    </row>
    <row r="1440" spans="1:7" x14ac:dyDescent="0.25">
      <c r="A1440" s="19" t="s">
        <v>1687</v>
      </c>
      <c r="B1440" s="42" t="s">
        <v>3</v>
      </c>
      <c r="C1440" s="3">
        <v>18</v>
      </c>
      <c r="D1440" s="3">
        <v>1</v>
      </c>
      <c r="G1440" s="43">
        <v>44006</v>
      </c>
    </row>
    <row r="1441" spans="1:7" x14ac:dyDescent="0.25">
      <c r="A1441" s="19" t="s">
        <v>1688</v>
      </c>
      <c r="B1441" s="42" t="s">
        <v>3</v>
      </c>
      <c r="C1441" s="3">
        <v>19</v>
      </c>
      <c r="D1441" s="3">
        <v>1</v>
      </c>
      <c r="G1441" s="43">
        <v>44006</v>
      </c>
    </row>
    <row r="1442" spans="1:7" x14ac:dyDescent="0.25">
      <c r="A1442" s="19" t="s">
        <v>1689</v>
      </c>
      <c r="B1442" s="42" t="s">
        <v>3</v>
      </c>
      <c r="C1442" s="3">
        <v>18</v>
      </c>
      <c r="D1442" s="3">
        <v>1</v>
      </c>
      <c r="G1442" s="43">
        <v>44006</v>
      </c>
    </row>
    <row r="1443" spans="1:7" x14ac:dyDescent="0.25">
      <c r="A1443" s="19" t="s">
        <v>1690</v>
      </c>
      <c r="B1443" s="42" t="s">
        <v>3</v>
      </c>
      <c r="C1443" s="3">
        <v>18</v>
      </c>
      <c r="D1443" s="3">
        <v>1</v>
      </c>
      <c r="E1443" s="42" t="s">
        <v>160</v>
      </c>
      <c r="G1443" s="43">
        <v>44006</v>
      </c>
    </row>
    <row r="1444" spans="1:7" x14ac:dyDescent="0.25">
      <c r="A1444" s="19" t="s">
        <v>1691</v>
      </c>
      <c r="B1444" s="42" t="s">
        <v>3</v>
      </c>
      <c r="C1444" s="3">
        <v>18</v>
      </c>
      <c r="D1444" s="3">
        <v>1</v>
      </c>
      <c r="G1444" s="43">
        <v>44006</v>
      </c>
    </row>
    <row r="1445" spans="1:7" x14ac:dyDescent="0.25">
      <c r="A1445" s="19" t="s">
        <v>1692</v>
      </c>
      <c r="B1445" s="42" t="s">
        <v>3</v>
      </c>
      <c r="C1445" s="3">
        <v>18</v>
      </c>
      <c r="D1445" s="3">
        <v>1</v>
      </c>
      <c r="G1445" s="43">
        <v>44006</v>
      </c>
    </row>
    <row r="1446" spans="1:7" x14ac:dyDescent="0.25">
      <c r="A1446" s="19" t="s">
        <v>1693</v>
      </c>
      <c r="B1446" s="42" t="s">
        <v>3</v>
      </c>
      <c r="C1446" s="3">
        <v>18</v>
      </c>
      <c r="D1446" s="3">
        <v>1</v>
      </c>
      <c r="G1446" s="43">
        <v>44006</v>
      </c>
    </row>
    <row r="1447" spans="1:7" x14ac:dyDescent="0.25">
      <c r="A1447" s="19" t="s">
        <v>1694</v>
      </c>
      <c r="B1447" s="42" t="s">
        <v>3</v>
      </c>
      <c r="C1447" s="3">
        <v>18</v>
      </c>
      <c r="D1447" s="3">
        <v>1</v>
      </c>
      <c r="G1447" s="43">
        <v>44006</v>
      </c>
    </row>
    <row r="1448" spans="1:7" x14ac:dyDescent="0.25">
      <c r="A1448" s="19" t="s">
        <v>1695</v>
      </c>
      <c r="B1448" s="42" t="s">
        <v>3</v>
      </c>
      <c r="C1448" s="3">
        <v>19</v>
      </c>
      <c r="D1448" s="3">
        <v>1</v>
      </c>
      <c r="G1448" s="43">
        <v>44006</v>
      </c>
    </row>
    <row r="1449" spans="1:7" x14ac:dyDescent="0.25">
      <c r="A1449" s="19" t="s">
        <v>1696</v>
      </c>
      <c r="B1449" s="42" t="s">
        <v>120</v>
      </c>
      <c r="C1449" s="3">
        <v>18</v>
      </c>
      <c r="D1449" s="3">
        <v>1</v>
      </c>
      <c r="E1449" s="42" t="s">
        <v>160</v>
      </c>
      <c r="F1449" s="42" t="s">
        <v>160</v>
      </c>
      <c r="G1449" s="43">
        <v>44006</v>
      </c>
    </row>
    <row r="1450" spans="1:7" x14ac:dyDescent="0.25">
      <c r="A1450" s="28" t="s">
        <v>1697</v>
      </c>
      <c r="B1450" s="42" t="s">
        <v>3</v>
      </c>
      <c r="C1450" s="3">
        <v>20</v>
      </c>
      <c r="D1450" s="3">
        <v>1</v>
      </c>
      <c r="G1450" s="43">
        <v>44006</v>
      </c>
    </row>
    <row r="1451" spans="1:7" x14ac:dyDescent="0.25">
      <c r="A1451" s="28" t="s">
        <v>1698</v>
      </c>
      <c r="B1451" s="42" t="s">
        <v>3</v>
      </c>
      <c r="C1451" s="3">
        <v>18</v>
      </c>
      <c r="D1451" s="3">
        <v>1</v>
      </c>
      <c r="G1451" s="43">
        <v>44006</v>
      </c>
    </row>
    <row r="1452" spans="1:7" x14ac:dyDescent="0.25">
      <c r="A1452" s="28" t="s">
        <v>1699</v>
      </c>
      <c r="B1452" s="42" t="s">
        <v>120</v>
      </c>
      <c r="C1452" s="3">
        <v>18</v>
      </c>
      <c r="D1452" s="3">
        <v>1</v>
      </c>
      <c r="E1452" s="42" t="s">
        <v>160</v>
      </c>
      <c r="F1452" s="42" t="s">
        <v>160</v>
      </c>
      <c r="G1452" s="43">
        <v>44006</v>
      </c>
    </row>
    <row r="1453" spans="1:7" x14ac:dyDescent="0.25">
      <c r="A1453" s="28" t="s">
        <v>1700</v>
      </c>
      <c r="B1453" s="42" t="s">
        <v>3</v>
      </c>
      <c r="C1453" s="3">
        <v>18</v>
      </c>
      <c r="D1453" s="3">
        <v>1</v>
      </c>
      <c r="G1453" s="43">
        <v>44006</v>
      </c>
    </row>
    <row r="1454" spans="1:7" x14ac:dyDescent="0.25">
      <c r="A1454" s="28" t="s">
        <v>1701</v>
      </c>
      <c r="B1454" s="42" t="s">
        <v>3</v>
      </c>
      <c r="C1454" s="3">
        <v>18</v>
      </c>
      <c r="D1454" s="3">
        <v>1</v>
      </c>
      <c r="G1454" s="43">
        <v>44006</v>
      </c>
    </row>
    <row r="1455" spans="1:7" x14ac:dyDescent="0.25">
      <c r="A1455" s="28" t="s">
        <v>1702</v>
      </c>
      <c r="B1455" s="42" t="s">
        <v>3</v>
      </c>
      <c r="C1455" s="3">
        <v>18</v>
      </c>
      <c r="D1455" s="3">
        <v>1</v>
      </c>
      <c r="G1455" s="43">
        <v>44006</v>
      </c>
    </row>
    <row r="1456" spans="1:7" x14ac:dyDescent="0.25">
      <c r="A1456" s="28" t="s">
        <v>1703</v>
      </c>
      <c r="B1456" s="42" t="s">
        <v>3</v>
      </c>
      <c r="C1456" s="3">
        <v>21</v>
      </c>
      <c r="D1456" s="3">
        <v>1</v>
      </c>
      <c r="G1456" s="43">
        <v>44006</v>
      </c>
    </row>
    <row r="1457" spans="1:8" x14ac:dyDescent="0.25">
      <c r="A1457" s="28" t="s">
        <v>1704</v>
      </c>
      <c r="B1457" s="42" t="s">
        <v>3</v>
      </c>
      <c r="C1457" s="3">
        <v>18</v>
      </c>
      <c r="D1457" s="3">
        <v>1</v>
      </c>
      <c r="E1457" s="42" t="s">
        <v>160</v>
      </c>
      <c r="G1457" s="43">
        <v>44006</v>
      </c>
    </row>
    <row r="1458" spans="1:8" x14ac:dyDescent="0.25">
      <c r="A1458" s="28" t="s">
        <v>1705</v>
      </c>
      <c r="B1458" s="42" t="s">
        <v>3</v>
      </c>
      <c r="C1458" s="3">
        <v>18</v>
      </c>
      <c r="D1458" s="3">
        <v>1</v>
      </c>
      <c r="G1458" s="43">
        <v>44006</v>
      </c>
    </row>
    <row r="1459" spans="1:8" x14ac:dyDescent="0.25">
      <c r="A1459" s="28" t="s">
        <v>1706</v>
      </c>
      <c r="B1459" s="42" t="s">
        <v>3</v>
      </c>
      <c r="C1459" s="3">
        <v>19</v>
      </c>
      <c r="D1459" s="3">
        <v>1</v>
      </c>
      <c r="G1459" s="43">
        <v>44006</v>
      </c>
    </row>
    <row r="1460" spans="1:8" x14ac:dyDescent="0.25">
      <c r="A1460" s="28" t="s">
        <v>1707</v>
      </c>
      <c r="B1460" s="42" t="s">
        <v>3</v>
      </c>
      <c r="C1460" s="3">
        <v>19</v>
      </c>
      <c r="D1460" s="3">
        <v>1</v>
      </c>
      <c r="G1460" s="43">
        <v>44006</v>
      </c>
    </row>
    <row r="1461" spans="1:8" x14ac:dyDescent="0.25">
      <c r="A1461" s="28" t="s">
        <v>1708</v>
      </c>
      <c r="B1461" s="42" t="s">
        <v>3</v>
      </c>
      <c r="C1461" s="3">
        <v>18</v>
      </c>
      <c r="D1461" s="3">
        <v>1</v>
      </c>
      <c r="E1461" s="42" t="s">
        <v>160</v>
      </c>
      <c r="G1461" s="43">
        <v>44006</v>
      </c>
    </row>
    <row r="1462" spans="1:8" x14ac:dyDescent="0.25">
      <c r="A1462" s="28" t="s">
        <v>1709</v>
      </c>
      <c r="B1462" s="42" t="s">
        <v>3</v>
      </c>
      <c r="D1462" s="3">
        <v>1</v>
      </c>
      <c r="E1462" s="42" t="s">
        <v>160</v>
      </c>
      <c r="G1462" s="43">
        <v>44006</v>
      </c>
    </row>
    <row r="1463" spans="1:8" x14ac:dyDescent="0.25">
      <c r="A1463" s="28" t="s">
        <v>1710</v>
      </c>
      <c r="B1463" s="42" t="s">
        <v>3</v>
      </c>
      <c r="C1463" s="3">
        <v>19</v>
      </c>
      <c r="D1463" s="3">
        <v>1</v>
      </c>
      <c r="E1463" s="42" t="s">
        <v>160</v>
      </c>
      <c r="G1463" s="43">
        <v>44006</v>
      </c>
    </row>
    <row r="1464" spans="1:8" x14ac:dyDescent="0.25">
      <c r="A1464" s="28" t="s">
        <v>1711</v>
      </c>
      <c r="B1464" s="42" t="s">
        <v>3</v>
      </c>
      <c r="C1464" s="3">
        <v>18</v>
      </c>
      <c r="D1464" s="3">
        <v>1</v>
      </c>
      <c r="E1464" s="42" t="s">
        <v>160</v>
      </c>
      <c r="G1464" s="43">
        <v>44006</v>
      </c>
    </row>
    <row r="1465" spans="1:8" x14ac:dyDescent="0.25">
      <c r="A1465" s="28" t="s">
        <v>1712</v>
      </c>
      <c r="B1465" s="42" t="s">
        <v>3</v>
      </c>
      <c r="C1465" s="3">
        <v>19</v>
      </c>
      <c r="D1465" s="3">
        <v>1</v>
      </c>
      <c r="G1465" s="43">
        <v>44006</v>
      </c>
    </row>
    <row r="1466" spans="1:8" x14ac:dyDescent="0.25">
      <c r="A1466" s="28" t="s">
        <v>1713</v>
      </c>
      <c r="B1466" s="42" t="s">
        <v>3</v>
      </c>
      <c r="C1466" s="3">
        <v>23</v>
      </c>
      <c r="D1466" s="3">
        <v>1</v>
      </c>
      <c r="E1466" s="42" t="s">
        <v>160</v>
      </c>
      <c r="G1466" s="43">
        <v>44006</v>
      </c>
    </row>
    <row r="1467" spans="1:8" x14ac:dyDescent="0.25">
      <c r="A1467" s="28" t="s">
        <v>1714</v>
      </c>
      <c r="B1467" s="42" t="s">
        <v>3</v>
      </c>
      <c r="C1467" s="3">
        <v>18</v>
      </c>
      <c r="D1467" s="3">
        <v>1</v>
      </c>
      <c r="E1467" s="42" t="s">
        <v>160</v>
      </c>
      <c r="G1467" s="43">
        <v>44006</v>
      </c>
    </row>
    <row r="1468" spans="1:8" x14ac:dyDescent="0.25">
      <c r="A1468" s="28" t="s">
        <v>1715</v>
      </c>
      <c r="B1468" s="42" t="s">
        <v>3</v>
      </c>
      <c r="C1468" s="3">
        <v>18</v>
      </c>
      <c r="D1468" s="3">
        <v>1</v>
      </c>
      <c r="E1468" s="42" t="s">
        <v>160</v>
      </c>
      <c r="G1468" s="43">
        <v>44006</v>
      </c>
    </row>
    <row r="1469" spans="1:8" x14ac:dyDescent="0.25">
      <c r="A1469" s="28" t="s">
        <v>1716</v>
      </c>
      <c r="B1469" s="42" t="s">
        <v>3</v>
      </c>
      <c r="C1469" s="3">
        <v>18</v>
      </c>
      <c r="D1469" s="3">
        <v>1</v>
      </c>
      <c r="E1469" s="42" t="s">
        <v>160</v>
      </c>
      <c r="G1469" s="43">
        <v>44006</v>
      </c>
    </row>
    <row r="1470" spans="1:8" x14ac:dyDescent="0.25">
      <c r="A1470" s="28" t="s">
        <v>1717</v>
      </c>
      <c r="B1470" s="42" t="s">
        <v>120</v>
      </c>
      <c r="C1470" s="3">
        <v>18</v>
      </c>
      <c r="D1470" s="3">
        <v>1</v>
      </c>
      <c r="E1470" s="42" t="s">
        <v>160</v>
      </c>
      <c r="F1470" s="42" t="s">
        <v>160</v>
      </c>
      <c r="G1470" s="43">
        <v>44006</v>
      </c>
      <c r="H1470" s="42" t="s">
        <v>238</v>
      </c>
    </row>
    <row r="1471" spans="1:8" x14ac:dyDescent="0.25">
      <c r="A1471" s="28" t="s">
        <v>1718</v>
      </c>
      <c r="B1471" s="42" t="s">
        <v>3</v>
      </c>
      <c r="C1471" s="3">
        <v>25</v>
      </c>
      <c r="D1471" s="3">
        <v>1</v>
      </c>
      <c r="G1471" s="43">
        <v>44006</v>
      </c>
    </row>
    <row r="1472" spans="1:8" x14ac:dyDescent="0.25">
      <c r="A1472" s="28" t="s">
        <v>1719</v>
      </c>
      <c r="B1472" s="42" t="s">
        <v>3</v>
      </c>
      <c r="C1472" s="3">
        <v>18</v>
      </c>
      <c r="D1472" s="3">
        <v>1</v>
      </c>
      <c r="E1472" s="42" t="s">
        <v>160</v>
      </c>
      <c r="G1472" s="43">
        <v>44006</v>
      </c>
    </row>
    <row r="1473" spans="1:7" x14ac:dyDescent="0.25">
      <c r="A1473" s="28" t="s">
        <v>1720</v>
      </c>
      <c r="B1473" s="42" t="s">
        <v>3</v>
      </c>
      <c r="C1473" s="3">
        <v>18</v>
      </c>
      <c r="D1473" s="3">
        <v>1</v>
      </c>
      <c r="G1473" s="43">
        <v>44006</v>
      </c>
    </row>
    <row r="1474" spans="1:7" x14ac:dyDescent="0.25">
      <c r="A1474" s="28" t="s">
        <v>1721</v>
      </c>
      <c r="B1474" s="42" t="s">
        <v>3</v>
      </c>
      <c r="C1474" s="3">
        <v>18</v>
      </c>
      <c r="D1474" s="3">
        <v>1</v>
      </c>
      <c r="E1474" s="42" t="s">
        <v>160</v>
      </c>
      <c r="F1474" s="42" t="s">
        <v>160</v>
      </c>
      <c r="G1474" s="43">
        <v>44006</v>
      </c>
    </row>
    <row r="1475" spans="1:7" x14ac:dyDescent="0.25">
      <c r="A1475" s="28" t="s">
        <v>1722</v>
      </c>
      <c r="B1475" s="42" t="s">
        <v>3</v>
      </c>
      <c r="C1475" s="3">
        <v>18</v>
      </c>
      <c r="D1475" s="3">
        <v>1</v>
      </c>
      <c r="E1475" s="42" t="s">
        <v>160</v>
      </c>
      <c r="G1475" s="43">
        <v>44006</v>
      </c>
    </row>
    <row r="1476" spans="1:7" x14ac:dyDescent="0.25">
      <c r="A1476" s="28" t="s">
        <v>1723</v>
      </c>
      <c r="B1476" s="42" t="s">
        <v>3</v>
      </c>
      <c r="C1476" s="4">
        <v>27</v>
      </c>
      <c r="D1476" s="3">
        <v>1</v>
      </c>
      <c r="E1476" s="42" t="s">
        <v>160</v>
      </c>
      <c r="G1476" s="43">
        <v>44006</v>
      </c>
    </row>
    <row r="1477" spans="1:7" x14ac:dyDescent="0.25">
      <c r="A1477" s="28" t="s">
        <v>1724</v>
      </c>
      <c r="B1477" s="42" t="s">
        <v>3</v>
      </c>
      <c r="C1477" s="4">
        <v>22</v>
      </c>
      <c r="D1477" s="3">
        <v>1</v>
      </c>
      <c r="E1477" s="42" t="s">
        <v>160</v>
      </c>
      <c r="F1477" s="42" t="s">
        <v>160</v>
      </c>
      <c r="G1477" s="43">
        <v>44006</v>
      </c>
    </row>
    <row r="1478" spans="1:7" x14ac:dyDescent="0.25">
      <c r="A1478" s="28" t="s">
        <v>1725</v>
      </c>
      <c r="B1478" s="42" t="s">
        <v>85</v>
      </c>
      <c r="C1478" s="4">
        <v>23</v>
      </c>
      <c r="D1478" s="3">
        <v>1</v>
      </c>
      <c r="E1478" s="42" t="s">
        <v>160</v>
      </c>
      <c r="G1478" s="43">
        <v>44007</v>
      </c>
    </row>
    <row r="1479" spans="1:7" x14ac:dyDescent="0.25">
      <c r="A1479" s="28" t="s">
        <v>1726</v>
      </c>
      <c r="B1479" s="42" t="s">
        <v>85</v>
      </c>
      <c r="C1479" s="4">
        <v>19</v>
      </c>
      <c r="D1479" s="3">
        <v>1</v>
      </c>
      <c r="G1479" s="43">
        <v>44007</v>
      </c>
    </row>
    <row r="1480" spans="1:7" x14ac:dyDescent="0.25">
      <c r="A1480" s="28" t="s">
        <v>1727</v>
      </c>
      <c r="B1480" s="42" t="s">
        <v>85</v>
      </c>
      <c r="C1480" s="4">
        <v>20</v>
      </c>
      <c r="D1480" s="3">
        <v>1</v>
      </c>
      <c r="E1480" s="42" t="s">
        <v>160</v>
      </c>
      <c r="G1480" s="43">
        <v>44007</v>
      </c>
    </row>
    <row r="1481" spans="1:7" x14ac:dyDescent="0.25">
      <c r="A1481" s="28" t="s">
        <v>1728</v>
      </c>
      <c r="B1481" s="42" t="s">
        <v>85</v>
      </c>
      <c r="C1481" s="4">
        <v>21</v>
      </c>
      <c r="D1481" s="4">
        <v>1</v>
      </c>
      <c r="E1481" s="42" t="s">
        <v>160</v>
      </c>
      <c r="F1481" s="42" t="s">
        <v>160</v>
      </c>
      <c r="G1481" s="43">
        <v>44007</v>
      </c>
    </row>
    <row r="1482" spans="1:7" x14ac:dyDescent="0.25">
      <c r="A1482" s="28" t="s">
        <v>1729</v>
      </c>
      <c r="B1482" s="42" t="s">
        <v>3</v>
      </c>
      <c r="C1482" s="3">
        <v>20</v>
      </c>
      <c r="D1482" s="3">
        <v>2</v>
      </c>
      <c r="G1482" s="43">
        <v>44010</v>
      </c>
    </row>
    <row r="1483" spans="1:7" x14ac:dyDescent="0.25">
      <c r="A1483" s="19" t="s">
        <v>1730</v>
      </c>
      <c r="B1483" s="42" t="s">
        <v>3</v>
      </c>
      <c r="C1483" s="3">
        <v>19</v>
      </c>
      <c r="D1483" s="3">
        <v>2</v>
      </c>
      <c r="G1483" s="43">
        <v>44012</v>
      </c>
    </row>
    <row r="1484" spans="1:7" x14ac:dyDescent="0.25">
      <c r="A1484" s="19" t="s">
        <v>1731</v>
      </c>
      <c r="B1484" s="42" t="s">
        <v>3</v>
      </c>
      <c r="C1484" s="3">
        <v>18</v>
      </c>
      <c r="D1484" s="3">
        <v>2</v>
      </c>
      <c r="G1484" s="43">
        <v>44012</v>
      </c>
    </row>
    <row r="1485" spans="1:7" x14ac:dyDescent="0.25">
      <c r="A1485" s="19" t="s">
        <v>1732</v>
      </c>
      <c r="B1485" s="42" t="s">
        <v>3</v>
      </c>
      <c r="C1485" s="3">
        <v>18</v>
      </c>
      <c r="D1485" s="3">
        <v>2</v>
      </c>
      <c r="G1485" s="43">
        <v>44012</v>
      </c>
    </row>
    <row r="1486" spans="1:7" x14ac:dyDescent="0.25">
      <c r="A1486" s="19" t="s">
        <v>1733</v>
      </c>
      <c r="B1486" s="42" t="s">
        <v>3</v>
      </c>
      <c r="C1486" s="3">
        <v>18</v>
      </c>
      <c r="D1486" s="3">
        <v>2</v>
      </c>
      <c r="E1486" s="42" t="s">
        <v>160</v>
      </c>
      <c r="G1486" s="43">
        <v>44012</v>
      </c>
    </row>
    <row r="1487" spans="1:7" x14ac:dyDescent="0.25">
      <c r="A1487" s="19" t="s">
        <v>1734</v>
      </c>
      <c r="B1487" s="42" t="s">
        <v>3</v>
      </c>
      <c r="C1487" s="3">
        <v>18</v>
      </c>
      <c r="D1487" s="3">
        <v>2</v>
      </c>
      <c r="E1487" s="42" t="s">
        <v>160</v>
      </c>
      <c r="G1487" s="43">
        <v>44012</v>
      </c>
    </row>
    <row r="1488" spans="1:7" x14ac:dyDescent="0.25">
      <c r="A1488" s="19" t="s">
        <v>1735</v>
      </c>
      <c r="B1488" s="42" t="s">
        <v>3</v>
      </c>
      <c r="C1488" s="3">
        <v>18</v>
      </c>
      <c r="D1488" s="3">
        <v>2</v>
      </c>
      <c r="G1488" s="43">
        <v>44012</v>
      </c>
    </row>
    <row r="1489" spans="1:8" x14ac:dyDescent="0.25">
      <c r="A1489" s="19" t="s">
        <v>1736</v>
      </c>
      <c r="B1489" s="42" t="s">
        <v>3</v>
      </c>
      <c r="C1489" s="3">
        <v>18</v>
      </c>
      <c r="D1489" s="3">
        <v>2</v>
      </c>
      <c r="E1489" s="42" t="s">
        <v>160</v>
      </c>
      <c r="F1489" s="42" t="s">
        <v>160</v>
      </c>
      <c r="G1489" s="43">
        <v>44012</v>
      </c>
    </row>
    <row r="1490" spans="1:8" x14ac:dyDescent="0.25">
      <c r="A1490" s="19" t="s">
        <v>1737</v>
      </c>
      <c r="B1490" s="42" t="s">
        <v>3</v>
      </c>
      <c r="C1490" s="3">
        <v>18</v>
      </c>
      <c r="D1490" s="3">
        <v>2</v>
      </c>
      <c r="E1490" s="42" t="s">
        <v>160</v>
      </c>
      <c r="G1490" s="43">
        <v>44012</v>
      </c>
    </row>
    <row r="1491" spans="1:8" x14ac:dyDescent="0.25">
      <c r="A1491" s="19" t="s">
        <v>1738</v>
      </c>
      <c r="B1491" s="42" t="s">
        <v>120</v>
      </c>
      <c r="C1491" s="3">
        <v>18</v>
      </c>
      <c r="D1491" s="3">
        <v>2</v>
      </c>
      <c r="E1491" s="42" t="s">
        <v>160</v>
      </c>
      <c r="F1491" s="42" t="s">
        <v>160</v>
      </c>
      <c r="G1491" s="43">
        <v>44012</v>
      </c>
      <c r="H1491" s="42" t="s">
        <v>238</v>
      </c>
    </row>
    <row r="1492" spans="1:8" x14ac:dyDescent="0.25">
      <c r="A1492" s="19" t="s">
        <v>1739</v>
      </c>
      <c r="B1492" s="42" t="s">
        <v>120</v>
      </c>
      <c r="C1492" s="3">
        <v>18</v>
      </c>
      <c r="D1492" s="3">
        <v>2</v>
      </c>
      <c r="E1492" s="42" t="s">
        <v>160</v>
      </c>
      <c r="F1492" s="42" t="s">
        <v>160</v>
      </c>
      <c r="G1492" s="43">
        <v>44012</v>
      </c>
      <c r="H1492" s="42" t="s">
        <v>238</v>
      </c>
    </row>
    <row r="1493" spans="1:8" x14ac:dyDescent="0.25">
      <c r="A1493" s="19" t="s">
        <v>1740</v>
      </c>
      <c r="B1493" s="42" t="s">
        <v>120</v>
      </c>
      <c r="C1493" s="3">
        <v>18</v>
      </c>
      <c r="D1493" s="3">
        <v>2</v>
      </c>
      <c r="E1493" s="42" t="s">
        <v>160</v>
      </c>
      <c r="F1493" s="42" t="s">
        <v>160</v>
      </c>
      <c r="G1493" s="43">
        <v>44012</v>
      </c>
      <c r="H1493" s="42" t="s">
        <v>238</v>
      </c>
    </row>
    <row r="1494" spans="1:8" x14ac:dyDescent="0.25">
      <c r="A1494" s="19" t="s">
        <v>1741</v>
      </c>
      <c r="B1494" s="42" t="s">
        <v>120</v>
      </c>
      <c r="C1494" s="3">
        <v>19</v>
      </c>
      <c r="D1494" s="3">
        <v>2</v>
      </c>
      <c r="E1494" s="42" t="s">
        <v>160</v>
      </c>
      <c r="G1494" s="43">
        <v>44012</v>
      </c>
      <c r="H1494" s="42" t="s">
        <v>238</v>
      </c>
    </row>
    <row r="1495" spans="1:8" x14ac:dyDescent="0.25">
      <c r="A1495" s="19" t="s">
        <v>1742</v>
      </c>
      <c r="B1495" s="42" t="s">
        <v>120</v>
      </c>
      <c r="C1495" s="3">
        <v>21</v>
      </c>
      <c r="D1495" s="3">
        <v>2</v>
      </c>
      <c r="E1495" s="42" t="s">
        <v>160</v>
      </c>
      <c r="F1495" s="42" t="s">
        <v>160</v>
      </c>
      <c r="G1495" s="43">
        <v>44012</v>
      </c>
      <c r="H1495" s="42" t="s">
        <v>238</v>
      </c>
    </row>
    <row r="1496" spans="1:8" x14ac:dyDescent="0.25">
      <c r="A1496" s="19" t="s">
        <v>1743</v>
      </c>
      <c r="B1496" s="42" t="s">
        <v>120</v>
      </c>
      <c r="C1496" s="3">
        <v>18</v>
      </c>
      <c r="D1496" s="3">
        <v>2</v>
      </c>
      <c r="E1496" s="42" t="s">
        <v>160</v>
      </c>
      <c r="G1496" s="43">
        <v>44012</v>
      </c>
      <c r="H1496" s="42" t="s">
        <v>238</v>
      </c>
    </row>
    <row r="1497" spans="1:8" x14ac:dyDescent="0.25">
      <c r="A1497" s="19" t="s">
        <v>1744</v>
      </c>
      <c r="B1497" s="42" t="s">
        <v>3</v>
      </c>
      <c r="C1497" s="3">
        <v>18</v>
      </c>
      <c r="D1497" s="3">
        <v>2</v>
      </c>
      <c r="G1497" s="43">
        <v>44012</v>
      </c>
    </row>
    <row r="1498" spans="1:8" x14ac:dyDescent="0.25">
      <c r="A1498" s="19" t="s">
        <v>1745</v>
      </c>
      <c r="B1498" s="42" t="s">
        <v>3</v>
      </c>
      <c r="C1498" s="3">
        <v>18</v>
      </c>
      <c r="D1498" s="3">
        <v>2</v>
      </c>
      <c r="E1498" s="42" t="s">
        <v>160</v>
      </c>
      <c r="G1498" s="43">
        <v>44012</v>
      </c>
    </row>
    <row r="1499" spans="1:8" x14ac:dyDescent="0.25">
      <c r="A1499" s="19" t="s">
        <v>1746</v>
      </c>
      <c r="B1499" s="42" t="s">
        <v>120</v>
      </c>
      <c r="C1499" s="3">
        <v>18</v>
      </c>
      <c r="D1499" s="3">
        <v>2</v>
      </c>
      <c r="E1499" s="42" t="s">
        <v>160</v>
      </c>
      <c r="F1499" s="42" t="s">
        <v>160</v>
      </c>
      <c r="G1499" s="43">
        <v>44012</v>
      </c>
    </row>
    <row r="1500" spans="1:8" x14ac:dyDescent="0.25">
      <c r="A1500" s="19" t="s">
        <v>1747</v>
      </c>
      <c r="B1500" s="42" t="s">
        <v>3</v>
      </c>
      <c r="C1500" s="3">
        <v>18</v>
      </c>
      <c r="D1500" s="3">
        <v>2</v>
      </c>
      <c r="E1500" s="42" t="s">
        <v>160</v>
      </c>
      <c r="G1500" s="43">
        <v>44012</v>
      </c>
    </row>
    <row r="1501" spans="1:8" x14ac:dyDescent="0.25">
      <c r="A1501" s="19" t="s">
        <v>1748</v>
      </c>
      <c r="B1501" s="42" t="s">
        <v>3</v>
      </c>
      <c r="C1501" s="3">
        <v>18</v>
      </c>
      <c r="D1501" s="3">
        <v>2</v>
      </c>
      <c r="E1501" s="42" t="s">
        <v>160</v>
      </c>
      <c r="G1501" s="43">
        <v>44012</v>
      </c>
    </row>
    <row r="1502" spans="1:8" x14ac:dyDescent="0.25">
      <c r="A1502" s="19" t="s">
        <v>1749</v>
      </c>
      <c r="B1502" s="42" t="s">
        <v>3</v>
      </c>
      <c r="C1502" s="3">
        <v>18</v>
      </c>
      <c r="D1502" s="3">
        <v>2</v>
      </c>
      <c r="E1502" s="42" t="s">
        <v>160</v>
      </c>
      <c r="G1502" s="43">
        <v>44012</v>
      </c>
    </row>
    <row r="1503" spans="1:8" x14ac:dyDescent="0.25">
      <c r="A1503" s="19" t="s">
        <v>1750</v>
      </c>
      <c r="B1503" s="42" t="s">
        <v>3</v>
      </c>
      <c r="C1503" s="3">
        <v>18</v>
      </c>
      <c r="D1503" s="3">
        <v>2</v>
      </c>
      <c r="E1503" s="42" t="s">
        <v>160</v>
      </c>
      <c r="G1503" s="43">
        <v>44012</v>
      </c>
    </row>
    <row r="1504" spans="1:8" x14ac:dyDescent="0.25">
      <c r="A1504" s="19" t="s">
        <v>1751</v>
      </c>
      <c r="B1504" s="42" t="s">
        <v>3</v>
      </c>
      <c r="C1504" s="3">
        <v>18</v>
      </c>
      <c r="D1504" s="3">
        <v>2</v>
      </c>
      <c r="G1504" s="43">
        <v>44012</v>
      </c>
    </row>
    <row r="1505" spans="1:8" x14ac:dyDescent="0.25">
      <c r="A1505" s="19" t="s">
        <v>1752</v>
      </c>
      <c r="B1505" s="42" t="s">
        <v>3</v>
      </c>
      <c r="C1505" s="3">
        <v>20</v>
      </c>
      <c r="D1505" s="3">
        <v>2</v>
      </c>
      <c r="E1505" s="42" t="s">
        <v>160</v>
      </c>
      <c r="G1505" s="43">
        <v>44012</v>
      </c>
    </row>
    <row r="1506" spans="1:8" x14ac:dyDescent="0.25">
      <c r="A1506" s="19" t="s">
        <v>1753</v>
      </c>
      <c r="B1506" s="42" t="s">
        <v>3</v>
      </c>
      <c r="C1506" s="3">
        <v>18</v>
      </c>
      <c r="D1506" s="3">
        <v>2</v>
      </c>
      <c r="G1506" s="43">
        <v>44012</v>
      </c>
    </row>
    <row r="1507" spans="1:8" x14ac:dyDescent="0.25">
      <c r="A1507" s="19" t="s">
        <v>1754</v>
      </c>
      <c r="B1507" s="42" t="s">
        <v>120</v>
      </c>
      <c r="C1507" s="3">
        <v>18</v>
      </c>
      <c r="D1507" s="3">
        <v>2</v>
      </c>
      <c r="E1507" s="42" t="s">
        <v>160</v>
      </c>
      <c r="F1507" s="42" t="s">
        <v>160</v>
      </c>
      <c r="G1507" s="43">
        <v>44012</v>
      </c>
      <c r="H1507" s="42" t="s">
        <v>238</v>
      </c>
    </row>
    <row r="1508" spans="1:8" x14ac:dyDescent="0.25">
      <c r="A1508" s="19" t="s">
        <v>1755</v>
      </c>
      <c r="B1508" s="42" t="s">
        <v>3</v>
      </c>
      <c r="C1508" s="3">
        <v>18</v>
      </c>
      <c r="D1508" s="3">
        <v>2</v>
      </c>
      <c r="E1508" s="42" t="s">
        <v>160</v>
      </c>
      <c r="G1508" s="43">
        <v>44012</v>
      </c>
    </row>
    <row r="1509" spans="1:8" x14ac:dyDescent="0.25">
      <c r="A1509" s="19" t="s">
        <v>1756</v>
      </c>
      <c r="B1509" s="42" t="s">
        <v>3</v>
      </c>
      <c r="C1509" s="3">
        <v>18</v>
      </c>
      <c r="D1509" s="3">
        <v>2</v>
      </c>
      <c r="E1509" s="42" t="s">
        <v>160</v>
      </c>
      <c r="G1509" s="43">
        <v>44012</v>
      </c>
    </row>
    <row r="1510" spans="1:8" x14ac:dyDescent="0.25">
      <c r="A1510" s="19" t="s">
        <v>1757</v>
      </c>
      <c r="B1510" s="42" t="s">
        <v>3</v>
      </c>
      <c r="C1510" s="3">
        <v>18</v>
      </c>
      <c r="D1510" s="3">
        <v>2</v>
      </c>
      <c r="E1510" s="42" t="s">
        <v>160</v>
      </c>
      <c r="G1510" s="43">
        <v>44012</v>
      </c>
    </row>
    <row r="1511" spans="1:8" x14ac:dyDescent="0.25">
      <c r="A1511" s="19" t="s">
        <v>1758</v>
      </c>
      <c r="B1511" s="42" t="s">
        <v>3</v>
      </c>
      <c r="C1511" s="3">
        <v>19</v>
      </c>
      <c r="D1511" s="3">
        <v>2</v>
      </c>
      <c r="G1511" s="43">
        <v>44012</v>
      </c>
    </row>
    <row r="1512" spans="1:8" x14ac:dyDescent="0.25">
      <c r="A1512" s="19" t="s">
        <v>1759</v>
      </c>
      <c r="B1512" s="42" t="s">
        <v>3</v>
      </c>
      <c r="C1512" s="3">
        <v>19</v>
      </c>
      <c r="D1512" s="3">
        <v>2</v>
      </c>
      <c r="E1512" s="42" t="s">
        <v>160</v>
      </c>
      <c r="G1512" s="43">
        <v>44012</v>
      </c>
    </row>
    <row r="1513" spans="1:8" x14ac:dyDescent="0.25">
      <c r="A1513" s="19" t="s">
        <v>1760</v>
      </c>
      <c r="B1513" s="42" t="s">
        <v>3</v>
      </c>
      <c r="C1513" s="3">
        <v>18</v>
      </c>
      <c r="D1513" s="3">
        <v>2</v>
      </c>
      <c r="E1513" s="42" t="s">
        <v>160</v>
      </c>
      <c r="G1513" s="43">
        <v>44012</v>
      </c>
    </row>
    <row r="1514" spans="1:8" x14ac:dyDescent="0.25">
      <c r="A1514" s="19" t="s">
        <v>1761</v>
      </c>
      <c r="B1514" s="42" t="s">
        <v>3</v>
      </c>
      <c r="C1514" s="3">
        <v>18</v>
      </c>
      <c r="D1514" s="3">
        <v>2</v>
      </c>
      <c r="G1514" s="43">
        <v>44012</v>
      </c>
    </row>
    <row r="1515" spans="1:8" x14ac:dyDescent="0.25">
      <c r="A1515" s="19" t="s">
        <v>1762</v>
      </c>
      <c r="B1515" s="42" t="s">
        <v>3</v>
      </c>
      <c r="C1515" s="3">
        <v>18</v>
      </c>
      <c r="D1515" s="3">
        <v>2</v>
      </c>
      <c r="E1515" s="42" t="s">
        <v>160</v>
      </c>
      <c r="G1515" s="43">
        <v>44012</v>
      </c>
    </row>
    <row r="1516" spans="1:8" x14ac:dyDescent="0.25">
      <c r="A1516" s="19" t="s">
        <v>1763</v>
      </c>
      <c r="B1516" s="42" t="s">
        <v>120</v>
      </c>
      <c r="C1516" s="4">
        <v>18</v>
      </c>
      <c r="D1516" s="4">
        <v>1</v>
      </c>
      <c r="E1516" s="42" t="s">
        <v>160</v>
      </c>
      <c r="F1516" s="42" t="s">
        <v>160</v>
      </c>
      <c r="G1516" s="43">
        <v>44012</v>
      </c>
      <c r="H1516" s="42" t="s">
        <v>238</v>
      </c>
    </row>
    <row r="1517" spans="1:8" x14ac:dyDescent="0.25">
      <c r="A1517" s="19" t="s">
        <v>1764</v>
      </c>
      <c r="B1517" s="42" t="s">
        <v>3</v>
      </c>
      <c r="C1517" s="4">
        <v>21</v>
      </c>
      <c r="D1517" s="4">
        <v>1</v>
      </c>
      <c r="G1517" s="43">
        <v>44012</v>
      </c>
    </row>
    <row r="1518" spans="1:8" x14ac:dyDescent="0.25">
      <c r="A1518" s="19" t="s">
        <v>1765</v>
      </c>
      <c r="B1518" s="42" t="s">
        <v>3</v>
      </c>
      <c r="C1518" s="4">
        <v>18</v>
      </c>
      <c r="D1518" s="4">
        <v>1</v>
      </c>
      <c r="G1518" s="43">
        <v>44012</v>
      </c>
    </row>
    <row r="1519" spans="1:8" x14ac:dyDescent="0.25">
      <c r="A1519" s="19" t="s">
        <v>1766</v>
      </c>
      <c r="B1519" s="42" t="s">
        <v>3</v>
      </c>
      <c r="C1519" s="4">
        <v>18</v>
      </c>
      <c r="D1519" s="4">
        <v>1</v>
      </c>
      <c r="G1519" s="43">
        <v>44012</v>
      </c>
    </row>
    <row r="1520" spans="1:8" x14ac:dyDescent="0.25">
      <c r="A1520" s="19" t="s">
        <v>1767</v>
      </c>
      <c r="B1520" s="42" t="s">
        <v>120</v>
      </c>
      <c r="C1520" s="3">
        <v>18</v>
      </c>
      <c r="D1520" s="4">
        <v>1</v>
      </c>
      <c r="E1520" s="42" t="s">
        <v>160</v>
      </c>
      <c r="F1520" s="42" t="s">
        <v>160</v>
      </c>
      <c r="G1520" s="43">
        <v>44012</v>
      </c>
      <c r="H1520" s="42" t="s">
        <v>238</v>
      </c>
    </row>
    <row r="1521" spans="1:8" x14ac:dyDescent="0.25">
      <c r="A1521" s="19" t="s">
        <v>1768</v>
      </c>
      <c r="B1521" s="42" t="s">
        <v>120</v>
      </c>
      <c r="C1521" s="4">
        <v>18</v>
      </c>
      <c r="D1521" s="4">
        <v>1</v>
      </c>
      <c r="E1521" s="42" t="s">
        <v>160</v>
      </c>
      <c r="F1521" s="42" t="s">
        <v>160</v>
      </c>
      <c r="G1521" s="43">
        <v>44012</v>
      </c>
      <c r="H1521" s="42" t="s">
        <v>238</v>
      </c>
    </row>
    <row r="1522" spans="1:8" x14ac:dyDescent="0.25">
      <c r="A1522" s="19" t="s">
        <v>1769</v>
      </c>
      <c r="B1522" s="42" t="s">
        <v>3</v>
      </c>
      <c r="C1522" s="3">
        <v>18</v>
      </c>
      <c r="D1522" s="4">
        <v>1</v>
      </c>
      <c r="G1522" s="43">
        <v>44012</v>
      </c>
    </row>
    <row r="1523" spans="1:8" x14ac:dyDescent="0.25">
      <c r="A1523" s="19" t="s">
        <v>1770</v>
      </c>
      <c r="B1523" s="42" t="s">
        <v>3</v>
      </c>
      <c r="C1523" s="3">
        <v>25</v>
      </c>
      <c r="D1523" s="4">
        <v>1</v>
      </c>
      <c r="G1523" s="43">
        <v>44012</v>
      </c>
    </row>
    <row r="1524" spans="1:8" x14ac:dyDescent="0.25">
      <c r="A1524" s="19" t="s">
        <v>1771</v>
      </c>
      <c r="B1524" s="42" t="s">
        <v>120</v>
      </c>
      <c r="C1524" s="3">
        <v>22</v>
      </c>
      <c r="D1524" s="4">
        <v>1</v>
      </c>
      <c r="E1524" s="42" t="s">
        <v>160</v>
      </c>
      <c r="G1524" s="43">
        <v>44012</v>
      </c>
      <c r="H1524" s="42" t="s">
        <v>238</v>
      </c>
    </row>
    <row r="1525" spans="1:8" x14ac:dyDescent="0.25">
      <c r="A1525" s="19" t="s">
        <v>1772</v>
      </c>
      <c r="B1525" s="42" t="s">
        <v>3</v>
      </c>
      <c r="C1525" s="3">
        <v>19</v>
      </c>
      <c r="D1525" s="4">
        <v>1</v>
      </c>
      <c r="G1525" s="43">
        <v>44012</v>
      </c>
    </row>
    <row r="1526" spans="1:8" x14ac:dyDescent="0.25">
      <c r="A1526" s="19" t="s">
        <v>1773</v>
      </c>
      <c r="B1526" s="42" t="s">
        <v>3</v>
      </c>
      <c r="C1526" s="3">
        <v>18</v>
      </c>
      <c r="D1526" s="4">
        <v>1</v>
      </c>
      <c r="G1526" s="43">
        <v>44012</v>
      </c>
    </row>
    <row r="1527" spans="1:8" x14ac:dyDescent="0.25">
      <c r="A1527" s="19" t="s">
        <v>1774</v>
      </c>
      <c r="B1527" s="42" t="s">
        <v>3</v>
      </c>
      <c r="C1527" s="3">
        <v>19</v>
      </c>
      <c r="D1527" s="4">
        <v>1</v>
      </c>
      <c r="G1527" s="43">
        <v>44012</v>
      </c>
    </row>
    <row r="1528" spans="1:8" x14ac:dyDescent="0.25">
      <c r="A1528" s="19" t="s">
        <v>1775</v>
      </c>
      <c r="B1528" s="42" t="s">
        <v>3</v>
      </c>
      <c r="C1528" s="4">
        <v>19</v>
      </c>
      <c r="D1528" s="4">
        <v>1</v>
      </c>
      <c r="E1528" s="42" t="s">
        <v>160</v>
      </c>
      <c r="G1528" s="43">
        <v>44012</v>
      </c>
    </row>
    <row r="1529" spans="1:8" x14ac:dyDescent="0.25">
      <c r="A1529" s="19" t="s">
        <v>1776</v>
      </c>
      <c r="B1529" s="42" t="s">
        <v>3</v>
      </c>
      <c r="C1529" s="4">
        <v>18</v>
      </c>
      <c r="D1529" s="4">
        <v>1</v>
      </c>
      <c r="G1529" s="43">
        <v>44012</v>
      </c>
    </row>
    <row r="1530" spans="1:8" x14ac:dyDescent="0.25">
      <c r="A1530" s="19" t="s">
        <v>1777</v>
      </c>
      <c r="B1530" s="42" t="s">
        <v>120</v>
      </c>
      <c r="C1530" s="3">
        <v>18</v>
      </c>
      <c r="D1530" s="4">
        <v>1</v>
      </c>
      <c r="E1530" s="42" t="s">
        <v>160</v>
      </c>
      <c r="F1530" s="42" t="s">
        <v>160</v>
      </c>
      <c r="G1530" s="43">
        <v>44012</v>
      </c>
      <c r="H1530" s="42" t="s">
        <v>238</v>
      </c>
    </row>
    <row r="1531" spans="1:8" x14ac:dyDescent="0.25">
      <c r="A1531" s="19" t="s">
        <v>1778</v>
      </c>
      <c r="B1531" s="42" t="s">
        <v>120</v>
      </c>
      <c r="C1531" s="3">
        <v>18</v>
      </c>
      <c r="D1531" s="4">
        <v>1</v>
      </c>
      <c r="E1531" s="42" t="s">
        <v>160</v>
      </c>
      <c r="F1531" s="42" t="s">
        <v>160</v>
      </c>
      <c r="G1531" s="43">
        <v>44012</v>
      </c>
      <c r="H1531" s="42" t="s">
        <v>238</v>
      </c>
    </row>
    <row r="1532" spans="1:8" x14ac:dyDescent="0.25">
      <c r="A1532" s="19" t="s">
        <v>1779</v>
      </c>
      <c r="B1532" s="42" t="s">
        <v>3</v>
      </c>
      <c r="C1532" s="3">
        <v>18</v>
      </c>
      <c r="D1532" s="4">
        <v>1</v>
      </c>
      <c r="G1532" s="43">
        <v>44012</v>
      </c>
    </row>
    <row r="1533" spans="1:8" x14ac:dyDescent="0.25">
      <c r="A1533" s="19" t="s">
        <v>1780</v>
      </c>
      <c r="B1533" s="42" t="s">
        <v>120</v>
      </c>
      <c r="C1533" s="3">
        <v>20</v>
      </c>
      <c r="D1533" s="4">
        <v>1</v>
      </c>
      <c r="E1533" s="42" t="s">
        <v>160</v>
      </c>
      <c r="F1533" s="42" t="s">
        <v>160</v>
      </c>
      <c r="G1533" s="43">
        <v>44012</v>
      </c>
      <c r="H1533" s="42" t="s">
        <v>238</v>
      </c>
    </row>
    <row r="1534" spans="1:8" x14ac:dyDescent="0.25">
      <c r="A1534" s="19" t="s">
        <v>1781</v>
      </c>
      <c r="B1534" s="42" t="s">
        <v>3</v>
      </c>
      <c r="C1534" s="3">
        <v>19</v>
      </c>
      <c r="D1534" s="4">
        <v>1</v>
      </c>
      <c r="G1534" s="43">
        <v>44012</v>
      </c>
    </row>
    <row r="1535" spans="1:8" x14ac:dyDescent="0.25">
      <c r="A1535" s="19" t="s">
        <v>1782</v>
      </c>
      <c r="B1535" s="42" t="s">
        <v>3</v>
      </c>
      <c r="C1535" s="3">
        <v>18</v>
      </c>
      <c r="D1535" s="4">
        <v>1</v>
      </c>
      <c r="G1535" s="43">
        <v>44012</v>
      </c>
    </row>
    <row r="1536" spans="1:8" x14ac:dyDescent="0.25">
      <c r="A1536" s="19" t="s">
        <v>1783</v>
      </c>
      <c r="B1536" s="42" t="s">
        <v>3</v>
      </c>
      <c r="C1536" s="3">
        <v>18</v>
      </c>
      <c r="D1536" s="4">
        <v>1</v>
      </c>
      <c r="G1536" s="43">
        <v>44012</v>
      </c>
    </row>
    <row r="1537" spans="1:8" x14ac:dyDescent="0.25">
      <c r="A1537" s="19" t="s">
        <v>1784</v>
      </c>
      <c r="B1537" s="42" t="s">
        <v>3</v>
      </c>
      <c r="C1537" s="3">
        <v>18</v>
      </c>
      <c r="D1537" s="4">
        <v>1</v>
      </c>
      <c r="G1537" s="43">
        <v>44012</v>
      </c>
    </row>
    <row r="1538" spans="1:8" x14ac:dyDescent="0.25">
      <c r="A1538" s="19" t="s">
        <v>1785</v>
      </c>
      <c r="B1538" s="42" t="s">
        <v>3</v>
      </c>
      <c r="C1538" s="3">
        <v>18</v>
      </c>
      <c r="D1538" s="4">
        <v>1</v>
      </c>
      <c r="G1538" s="43">
        <v>44012</v>
      </c>
    </row>
    <row r="1539" spans="1:8" x14ac:dyDescent="0.25">
      <c r="A1539" s="19" t="s">
        <v>1786</v>
      </c>
      <c r="B1539" s="42" t="s">
        <v>120</v>
      </c>
      <c r="C1539" s="3">
        <v>18</v>
      </c>
      <c r="D1539" s="4">
        <v>1</v>
      </c>
      <c r="E1539" s="42" t="s">
        <v>160</v>
      </c>
      <c r="F1539" s="42" t="s">
        <v>160</v>
      </c>
      <c r="G1539" s="43">
        <v>44012</v>
      </c>
      <c r="H1539" s="42" t="s">
        <v>238</v>
      </c>
    </row>
    <row r="1540" spans="1:8" x14ac:dyDescent="0.25">
      <c r="A1540" s="19" t="s">
        <v>1787</v>
      </c>
      <c r="B1540" s="42" t="s">
        <v>3</v>
      </c>
      <c r="C1540" s="3">
        <v>18</v>
      </c>
      <c r="D1540" s="4">
        <v>1</v>
      </c>
      <c r="E1540" s="42" t="s">
        <v>160</v>
      </c>
      <c r="G1540" s="43">
        <v>44012</v>
      </c>
    </row>
    <row r="1541" spans="1:8" x14ac:dyDescent="0.25">
      <c r="A1541" s="19" t="s">
        <v>1788</v>
      </c>
      <c r="B1541" s="42" t="s">
        <v>120</v>
      </c>
      <c r="C1541" s="3">
        <v>18</v>
      </c>
      <c r="D1541" s="4">
        <v>1</v>
      </c>
      <c r="E1541" s="42" t="s">
        <v>160</v>
      </c>
      <c r="F1541" s="42" t="s">
        <v>160</v>
      </c>
      <c r="G1541" s="43">
        <v>44012</v>
      </c>
      <c r="H1541" s="42" t="s">
        <v>238</v>
      </c>
    </row>
    <row r="1542" spans="1:8" x14ac:dyDescent="0.25">
      <c r="A1542" s="19" t="s">
        <v>1789</v>
      </c>
      <c r="B1542" s="42" t="s">
        <v>3</v>
      </c>
      <c r="C1542" s="3">
        <v>18</v>
      </c>
      <c r="D1542" s="4">
        <v>1</v>
      </c>
      <c r="G1542" s="43">
        <v>44012</v>
      </c>
    </row>
    <row r="1543" spans="1:8" x14ac:dyDescent="0.25">
      <c r="A1543" s="19" t="s">
        <v>1790</v>
      </c>
      <c r="B1543" s="42" t="s">
        <v>3</v>
      </c>
      <c r="C1543" s="3">
        <v>18</v>
      </c>
      <c r="D1543" s="4">
        <v>1</v>
      </c>
      <c r="G1543" s="43">
        <v>44012</v>
      </c>
    </row>
    <row r="1544" spans="1:8" x14ac:dyDescent="0.25">
      <c r="A1544" s="19" t="s">
        <v>1791</v>
      </c>
      <c r="B1544" s="42" t="s">
        <v>120</v>
      </c>
      <c r="C1544" s="3">
        <v>18</v>
      </c>
      <c r="D1544" s="4">
        <v>1</v>
      </c>
      <c r="E1544" s="42" t="s">
        <v>160</v>
      </c>
      <c r="F1544" s="42" t="s">
        <v>160</v>
      </c>
      <c r="G1544" s="43">
        <v>44012</v>
      </c>
      <c r="H1544" s="42" t="s">
        <v>238</v>
      </c>
    </row>
    <row r="1545" spans="1:8" x14ac:dyDescent="0.25">
      <c r="A1545" s="19" t="s">
        <v>1792</v>
      </c>
      <c r="B1545" s="42" t="s">
        <v>120</v>
      </c>
      <c r="C1545" s="3">
        <v>18</v>
      </c>
      <c r="D1545" s="4">
        <v>1</v>
      </c>
      <c r="E1545" s="42" t="s">
        <v>160</v>
      </c>
      <c r="F1545" s="42" t="s">
        <v>160</v>
      </c>
      <c r="G1545" s="43">
        <v>44012</v>
      </c>
      <c r="H1545" s="42" t="s">
        <v>238</v>
      </c>
    </row>
    <row r="1546" spans="1:8" x14ac:dyDescent="0.25">
      <c r="A1546" s="19" t="s">
        <v>1793</v>
      </c>
      <c r="B1546" s="42" t="s">
        <v>3</v>
      </c>
      <c r="C1546" s="3">
        <v>18</v>
      </c>
      <c r="D1546" s="4">
        <v>1</v>
      </c>
      <c r="G1546" s="43">
        <v>44012</v>
      </c>
    </row>
    <row r="1547" spans="1:8" x14ac:dyDescent="0.25">
      <c r="A1547" s="19" t="s">
        <v>1794</v>
      </c>
      <c r="B1547" s="42" t="s">
        <v>3</v>
      </c>
      <c r="C1547" s="3">
        <v>19</v>
      </c>
      <c r="D1547" s="4">
        <v>1</v>
      </c>
      <c r="G1547" s="43">
        <v>44012</v>
      </c>
    </row>
    <row r="1548" spans="1:8" x14ac:dyDescent="0.25">
      <c r="A1548" s="19" t="s">
        <v>1795</v>
      </c>
      <c r="B1548" s="42" t="s">
        <v>3</v>
      </c>
      <c r="C1548" s="3">
        <v>18</v>
      </c>
      <c r="D1548" s="4">
        <v>1</v>
      </c>
      <c r="G1548" s="43">
        <v>44012</v>
      </c>
    </row>
    <row r="1549" spans="1:8" x14ac:dyDescent="0.25">
      <c r="A1549" s="19" t="s">
        <v>1796</v>
      </c>
      <c r="B1549" s="42" t="s">
        <v>3</v>
      </c>
      <c r="C1549" s="3">
        <v>18</v>
      </c>
      <c r="D1549" s="4">
        <v>1</v>
      </c>
      <c r="G1549" s="43">
        <v>44012</v>
      </c>
    </row>
    <row r="1550" spans="1:8" x14ac:dyDescent="0.25">
      <c r="A1550" s="19" t="s">
        <v>1797</v>
      </c>
      <c r="B1550" s="42" t="s">
        <v>120</v>
      </c>
      <c r="C1550" s="3">
        <v>18</v>
      </c>
      <c r="D1550" s="4">
        <v>1</v>
      </c>
      <c r="G1550" s="43">
        <v>44012</v>
      </c>
      <c r="H1550" s="42" t="s">
        <v>238</v>
      </c>
    </row>
    <row r="1551" spans="1:8" x14ac:dyDescent="0.25">
      <c r="A1551" s="19" t="s">
        <v>1798</v>
      </c>
      <c r="B1551" s="42" t="s">
        <v>3</v>
      </c>
      <c r="C1551" s="3">
        <v>18</v>
      </c>
      <c r="D1551" s="4">
        <v>1</v>
      </c>
      <c r="G1551" s="43">
        <v>44012</v>
      </c>
    </row>
    <row r="1552" spans="1:8" x14ac:dyDescent="0.25">
      <c r="A1552" s="19" t="s">
        <v>1799</v>
      </c>
      <c r="B1552" s="42" t="s">
        <v>3</v>
      </c>
      <c r="C1552" s="3">
        <v>19</v>
      </c>
      <c r="D1552" s="4">
        <v>1</v>
      </c>
      <c r="G1552" s="43">
        <v>44012</v>
      </c>
    </row>
    <row r="1553" spans="1:8" x14ac:dyDescent="0.25">
      <c r="A1553" s="19" t="s">
        <v>1800</v>
      </c>
      <c r="B1553" s="42" t="s">
        <v>3</v>
      </c>
      <c r="C1553" s="3">
        <v>18</v>
      </c>
      <c r="D1553" s="4">
        <v>1</v>
      </c>
      <c r="G1553" s="43">
        <v>44012</v>
      </c>
    </row>
    <row r="1554" spans="1:8" x14ac:dyDescent="0.25">
      <c r="A1554" s="19" t="s">
        <v>1801</v>
      </c>
      <c r="B1554" s="42" t="s">
        <v>120</v>
      </c>
      <c r="C1554" s="3">
        <v>18</v>
      </c>
      <c r="D1554" s="4">
        <v>1</v>
      </c>
      <c r="E1554" s="42" t="s">
        <v>160</v>
      </c>
      <c r="G1554" s="43">
        <v>44012</v>
      </c>
      <c r="H1554" s="42" t="s">
        <v>238</v>
      </c>
    </row>
    <row r="1555" spans="1:8" x14ac:dyDescent="0.25">
      <c r="A1555" s="19" t="s">
        <v>1802</v>
      </c>
      <c r="B1555" s="42" t="s">
        <v>3</v>
      </c>
      <c r="C1555" s="3">
        <v>18</v>
      </c>
      <c r="D1555" s="4">
        <v>1</v>
      </c>
      <c r="G1555" s="43">
        <v>44012</v>
      </c>
    </row>
    <row r="1556" spans="1:8" x14ac:dyDescent="0.25">
      <c r="A1556" s="19" t="s">
        <v>1803</v>
      </c>
      <c r="B1556" s="42" t="s">
        <v>3</v>
      </c>
      <c r="C1556" s="3">
        <v>18</v>
      </c>
      <c r="D1556" s="3">
        <v>1</v>
      </c>
      <c r="G1556" s="43">
        <v>44012</v>
      </c>
    </row>
    <row r="1557" spans="1:8" x14ac:dyDescent="0.25">
      <c r="A1557" s="19" t="s">
        <v>1804</v>
      </c>
      <c r="B1557" s="42" t="s">
        <v>3</v>
      </c>
      <c r="C1557" s="4">
        <v>18</v>
      </c>
      <c r="D1557" s="4">
        <v>1</v>
      </c>
      <c r="G1557" s="43">
        <v>44012</v>
      </c>
    </row>
    <row r="1558" spans="1:8" x14ac:dyDescent="0.25">
      <c r="A1558" s="19" t="s">
        <v>1805</v>
      </c>
      <c r="B1558" s="42" t="s">
        <v>3</v>
      </c>
      <c r="C1558" s="4">
        <v>18</v>
      </c>
      <c r="D1558" s="4">
        <v>1</v>
      </c>
      <c r="G1558" s="43">
        <v>44012</v>
      </c>
    </row>
    <row r="1559" spans="1:8" x14ac:dyDescent="0.25">
      <c r="A1559" s="19" t="s">
        <v>1806</v>
      </c>
      <c r="B1559" s="42" t="s">
        <v>3</v>
      </c>
      <c r="C1559" s="4">
        <v>18</v>
      </c>
      <c r="D1559" s="4">
        <v>1</v>
      </c>
      <c r="E1559" s="42" t="s">
        <v>160</v>
      </c>
      <c r="G1559" s="43">
        <v>44012</v>
      </c>
    </row>
    <row r="1560" spans="1:8" x14ac:dyDescent="0.25">
      <c r="A1560" s="19" t="s">
        <v>1807</v>
      </c>
      <c r="B1560" s="42" t="s">
        <v>3</v>
      </c>
      <c r="C1560" s="4">
        <v>18</v>
      </c>
      <c r="D1560" s="4">
        <v>1</v>
      </c>
      <c r="G1560" s="43">
        <v>44012</v>
      </c>
    </row>
    <row r="1561" spans="1:8" x14ac:dyDescent="0.25">
      <c r="A1561" s="19" t="s">
        <v>1808</v>
      </c>
      <c r="B1561" s="42" t="s">
        <v>3</v>
      </c>
      <c r="C1561" s="4">
        <v>18</v>
      </c>
      <c r="D1561" s="4">
        <v>1</v>
      </c>
      <c r="G1561" s="43">
        <v>44012</v>
      </c>
    </row>
    <row r="1562" spans="1:8" x14ac:dyDescent="0.25">
      <c r="A1562" s="19" t="s">
        <v>1809</v>
      </c>
      <c r="B1562" s="42" t="s">
        <v>120</v>
      </c>
      <c r="C1562" s="4">
        <v>18</v>
      </c>
      <c r="D1562" s="4">
        <v>1</v>
      </c>
      <c r="E1562" s="42" t="s">
        <v>160</v>
      </c>
      <c r="F1562" s="42" t="s">
        <v>160</v>
      </c>
      <c r="G1562" s="43">
        <v>44012</v>
      </c>
    </row>
    <row r="1563" spans="1:8" x14ac:dyDescent="0.25">
      <c r="A1563" s="19" t="s">
        <v>1810</v>
      </c>
      <c r="B1563" s="42" t="s">
        <v>3</v>
      </c>
      <c r="C1563" s="3">
        <v>18</v>
      </c>
      <c r="D1563" s="3">
        <v>1</v>
      </c>
      <c r="G1563" s="43">
        <v>44012</v>
      </c>
    </row>
    <row r="1564" spans="1:8" x14ac:dyDescent="0.25">
      <c r="A1564" s="19" t="s">
        <v>1811</v>
      </c>
      <c r="B1564" s="42" t="s">
        <v>3</v>
      </c>
      <c r="C1564" s="3">
        <v>18</v>
      </c>
      <c r="D1564" s="3">
        <v>1</v>
      </c>
      <c r="G1564" s="43">
        <v>44012</v>
      </c>
    </row>
    <row r="1565" spans="1:8" x14ac:dyDescent="0.25">
      <c r="A1565" s="19" t="s">
        <v>1812</v>
      </c>
      <c r="B1565" s="42" t="s">
        <v>3</v>
      </c>
      <c r="C1565" s="3">
        <v>18</v>
      </c>
      <c r="D1565" s="3">
        <v>1</v>
      </c>
      <c r="G1565" s="43">
        <v>44012</v>
      </c>
    </row>
    <row r="1566" spans="1:8" x14ac:dyDescent="0.25">
      <c r="A1566" s="19" t="s">
        <v>1813</v>
      </c>
      <c r="B1566" s="42" t="s">
        <v>3</v>
      </c>
      <c r="C1566" s="3">
        <v>18</v>
      </c>
      <c r="D1566" s="3">
        <v>1</v>
      </c>
      <c r="G1566" s="43">
        <v>44012</v>
      </c>
    </row>
    <row r="1567" spans="1:8" x14ac:dyDescent="0.25">
      <c r="A1567" s="19" t="s">
        <v>1814</v>
      </c>
      <c r="B1567" s="42" t="s">
        <v>3</v>
      </c>
      <c r="C1567" s="3">
        <v>19</v>
      </c>
      <c r="D1567" s="3">
        <v>1</v>
      </c>
      <c r="G1567" s="43">
        <v>44012</v>
      </c>
    </row>
    <row r="1568" spans="1:8" x14ac:dyDescent="0.25">
      <c r="A1568" s="19" t="s">
        <v>1815</v>
      </c>
      <c r="B1568" s="42" t="s">
        <v>3</v>
      </c>
      <c r="C1568" s="3">
        <v>19</v>
      </c>
      <c r="D1568" s="3">
        <v>1</v>
      </c>
      <c r="G1568" s="43">
        <v>44012</v>
      </c>
    </row>
    <row r="1569" spans="1:8" x14ac:dyDescent="0.25">
      <c r="A1569" s="19" t="s">
        <v>1816</v>
      </c>
      <c r="B1569" s="42" t="s">
        <v>120</v>
      </c>
      <c r="C1569" s="3">
        <v>23</v>
      </c>
      <c r="D1569" s="3">
        <v>1</v>
      </c>
      <c r="E1569" s="42" t="s">
        <v>160</v>
      </c>
      <c r="F1569" s="42" t="s">
        <v>160</v>
      </c>
      <c r="G1569" s="43">
        <v>44012</v>
      </c>
    </row>
    <row r="1570" spans="1:8" x14ac:dyDescent="0.25">
      <c r="A1570" s="19" t="s">
        <v>1817</v>
      </c>
      <c r="B1570" s="42" t="s">
        <v>3</v>
      </c>
      <c r="C1570" s="3">
        <v>18</v>
      </c>
      <c r="D1570" s="3">
        <v>1</v>
      </c>
      <c r="G1570" s="43">
        <v>44012</v>
      </c>
    </row>
    <row r="1571" spans="1:8" x14ac:dyDescent="0.25">
      <c r="A1571" s="19" t="s">
        <v>1818</v>
      </c>
      <c r="B1571" s="42" t="s">
        <v>120</v>
      </c>
      <c r="C1571" s="3">
        <v>18</v>
      </c>
      <c r="D1571" s="3">
        <v>1</v>
      </c>
      <c r="E1571" s="42" t="s">
        <v>160</v>
      </c>
      <c r="F1571" s="42" t="s">
        <v>160</v>
      </c>
      <c r="G1571" s="43">
        <v>44012</v>
      </c>
    </row>
    <row r="1572" spans="1:8" x14ac:dyDescent="0.25">
      <c r="A1572" s="19" t="s">
        <v>1819</v>
      </c>
      <c r="B1572" s="42" t="s">
        <v>3</v>
      </c>
      <c r="C1572" s="3">
        <v>19</v>
      </c>
      <c r="D1572" s="3">
        <v>1</v>
      </c>
      <c r="E1572" s="42" t="s">
        <v>160</v>
      </c>
      <c r="G1572" s="43">
        <v>44012</v>
      </c>
    </row>
    <row r="1573" spans="1:8" x14ac:dyDescent="0.25">
      <c r="A1573" s="19" t="s">
        <v>1820</v>
      </c>
      <c r="B1573" s="42" t="s">
        <v>3</v>
      </c>
      <c r="C1573" s="3">
        <v>18</v>
      </c>
      <c r="D1573" s="3">
        <v>1</v>
      </c>
      <c r="G1573" s="43">
        <v>44012</v>
      </c>
    </row>
    <row r="1574" spans="1:8" x14ac:dyDescent="0.25">
      <c r="A1574" s="19" t="s">
        <v>1821</v>
      </c>
      <c r="B1574" s="42" t="s">
        <v>3</v>
      </c>
      <c r="C1574" s="3">
        <v>18</v>
      </c>
      <c r="D1574" s="3">
        <v>1</v>
      </c>
      <c r="G1574" s="43">
        <v>44012</v>
      </c>
    </row>
    <row r="1575" spans="1:8" x14ac:dyDescent="0.25">
      <c r="A1575" s="19" t="s">
        <v>1822</v>
      </c>
      <c r="B1575" s="42" t="s">
        <v>3</v>
      </c>
      <c r="C1575" s="3">
        <v>18</v>
      </c>
      <c r="D1575" s="3">
        <v>1</v>
      </c>
      <c r="G1575" s="43">
        <v>44012</v>
      </c>
    </row>
    <row r="1576" spans="1:8" x14ac:dyDescent="0.25">
      <c r="A1576" s="19" t="s">
        <v>1823</v>
      </c>
      <c r="B1576" s="42" t="s">
        <v>3</v>
      </c>
      <c r="C1576" s="3">
        <v>19</v>
      </c>
      <c r="D1576" s="3">
        <v>1</v>
      </c>
      <c r="G1576" s="43">
        <v>44012</v>
      </c>
    </row>
    <row r="1577" spans="1:8" x14ac:dyDescent="0.25">
      <c r="A1577" s="19" t="s">
        <v>1824</v>
      </c>
      <c r="B1577" s="42" t="s">
        <v>3</v>
      </c>
      <c r="C1577" s="3">
        <v>18</v>
      </c>
      <c r="D1577" s="3">
        <v>1</v>
      </c>
      <c r="G1577" s="43">
        <v>44012</v>
      </c>
    </row>
    <row r="1578" spans="1:8" x14ac:dyDescent="0.25">
      <c r="A1578" s="19" t="s">
        <v>1825</v>
      </c>
      <c r="B1578" s="42" t="s">
        <v>120</v>
      </c>
      <c r="C1578" s="3">
        <v>18</v>
      </c>
      <c r="D1578" s="3">
        <v>1</v>
      </c>
      <c r="E1578" s="42" t="s">
        <v>160</v>
      </c>
      <c r="G1578" s="43">
        <v>44012</v>
      </c>
      <c r="H1578" s="42" t="s">
        <v>238</v>
      </c>
    </row>
    <row r="1579" spans="1:8" x14ac:dyDescent="0.25">
      <c r="A1579" s="19" t="s">
        <v>1826</v>
      </c>
      <c r="B1579" s="42" t="s">
        <v>3</v>
      </c>
      <c r="C1579" s="3">
        <v>18</v>
      </c>
      <c r="D1579" s="3">
        <v>1</v>
      </c>
      <c r="G1579" s="43">
        <v>44012</v>
      </c>
    </row>
    <row r="1580" spans="1:8" x14ac:dyDescent="0.25">
      <c r="A1580" s="19" t="s">
        <v>1827</v>
      </c>
      <c r="B1580" s="42" t="s">
        <v>3</v>
      </c>
      <c r="C1580" s="3">
        <v>18</v>
      </c>
      <c r="D1580" s="3">
        <v>1</v>
      </c>
      <c r="G1580" s="43">
        <v>44012</v>
      </c>
    </row>
    <row r="1581" spans="1:8" x14ac:dyDescent="0.25">
      <c r="A1581" s="19" t="s">
        <v>1828</v>
      </c>
      <c r="B1581" s="42" t="s">
        <v>3</v>
      </c>
      <c r="C1581" s="4">
        <v>18</v>
      </c>
      <c r="D1581" s="4">
        <v>1</v>
      </c>
      <c r="G1581" s="43">
        <v>44012</v>
      </c>
    </row>
    <row r="1582" spans="1:8" x14ac:dyDescent="0.25">
      <c r="A1582" s="19" t="s">
        <v>1829</v>
      </c>
      <c r="B1582" s="42" t="s">
        <v>120</v>
      </c>
      <c r="C1582" s="4">
        <v>19</v>
      </c>
      <c r="D1582" s="4">
        <v>1</v>
      </c>
      <c r="E1582" s="42" t="s">
        <v>160</v>
      </c>
      <c r="F1582" s="42" t="s">
        <v>160</v>
      </c>
      <c r="G1582" s="43">
        <v>44012</v>
      </c>
    </row>
    <row r="1583" spans="1:8" x14ac:dyDescent="0.25">
      <c r="A1583" s="19" t="s">
        <v>1830</v>
      </c>
      <c r="B1583" s="42" t="s">
        <v>3</v>
      </c>
      <c r="C1583" s="4">
        <v>18</v>
      </c>
      <c r="D1583" s="4">
        <v>1</v>
      </c>
      <c r="G1583" s="43">
        <v>44012</v>
      </c>
    </row>
    <row r="1584" spans="1:8" x14ac:dyDescent="0.25">
      <c r="A1584" s="19" t="s">
        <v>1831</v>
      </c>
      <c r="B1584" s="42" t="s">
        <v>3</v>
      </c>
      <c r="C1584" s="4">
        <v>18</v>
      </c>
      <c r="D1584" s="4">
        <v>1</v>
      </c>
      <c r="G1584" s="43">
        <v>44012</v>
      </c>
    </row>
    <row r="1585" spans="1:8" x14ac:dyDescent="0.25">
      <c r="A1585" s="19" t="s">
        <v>1832</v>
      </c>
      <c r="B1585" s="42" t="s">
        <v>3</v>
      </c>
      <c r="C1585" s="4">
        <v>18</v>
      </c>
      <c r="D1585" s="4">
        <v>1</v>
      </c>
      <c r="G1585" s="43">
        <v>44012</v>
      </c>
    </row>
    <row r="1586" spans="1:8" x14ac:dyDescent="0.25">
      <c r="A1586" s="19" t="s">
        <v>1833</v>
      </c>
      <c r="B1586" s="42" t="s">
        <v>120</v>
      </c>
      <c r="C1586" s="4">
        <v>18</v>
      </c>
      <c r="D1586" s="4">
        <v>1</v>
      </c>
      <c r="E1586" s="42" t="s">
        <v>160</v>
      </c>
      <c r="F1586" s="42" t="s">
        <v>160</v>
      </c>
      <c r="G1586" s="43">
        <v>44012</v>
      </c>
      <c r="H1586" s="42" t="s">
        <v>238</v>
      </c>
    </row>
    <row r="1587" spans="1:8" x14ac:dyDescent="0.25">
      <c r="A1587" s="19" t="s">
        <v>1834</v>
      </c>
      <c r="B1587" s="42" t="s">
        <v>3</v>
      </c>
      <c r="C1587" s="4">
        <v>18</v>
      </c>
      <c r="D1587" s="4">
        <v>1</v>
      </c>
      <c r="G1587" s="43">
        <v>44012</v>
      </c>
    </row>
    <row r="1588" spans="1:8" x14ac:dyDescent="0.25">
      <c r="A1588" s="19" t="s">
        <v>1835</v>
      </c>
      <c r="B1588" s="42" t="s">
        <v>3</v>
      </c>
      <c r="C1588" s="4">
        <v>18</v>
      </c>
      <c r="D1588" s="4">
        <v>1</v>
      </c>
      <c r="G1588" s="43">
        <v>44012</v>
      </c>
    </row>
    <row r="1589" spans="1:8" x14ac:dyDescent="0.25">
      <c r="A1589" s="19" t="s">
        <v>1836</v>
      </c>
      <c r="B1589" s="42" t="s">
        <v>3</v>
      </c>
      <c r="C1589" s="4">
        <v>19</v>
      </c>
      <c r="D1589" s="4">
        <v>1</v>
      </c>
      <c r="G1589" s="43">
        <v>44012</v>
      </c>
    </row>
    <row r="1590" spans="1:8" x14ac:dyDescent="0.25">
      <c r="A1590" s="19" t="s">
        <v>1837</v>
      </c>
      <c r="B1590" s="42" t="s">
        <v>3</v>
      </c>
      <c r="C1590" s="4">
        <v>19</v>
      </c>
      <c r="D1590" s="4">
        <v>1</v>
      </c>
      <c r="E1590" s="42" t="s">
        <v>160</v>
      </c>
      <c r="G1590" s="43">
        <v>44012</v>
      </c>
    </row>
    <row r="1591" spans="1:8" x14ac:dyDescent="0.25">
      <c r="A1591" s="19" t="s">
        <v>1838</v>
      </c>
      <c r="B1591" s="42" t="s">
        <v>120</v>
      </c>
      <c r="C1591" s="4">
        <v>18</v>
      </c>
      <c r="D1591" s="4">
        <v>1</v>
      </c>
      <c r="E1591" s="42" t="s">
        <v>160</v>
      </c>
      <c r="F1591" s="42" t="s">
        <v>160</v>
      </c>
      <c r="G1591" s="43">
        <v>44012</v>
      </c>
    </row>
    <row r="1592" spans="1:8" x14ac:dyDescent="0.25">
      <c r="A1592" s="19" t="s">
        <v>1839</v>
      </c>
      <c r="B1592" s="42" t="s">
        <v>3</v>
      </c>
      <c r="C1592" s="4">
        <v>18</v>
      </c>
      <c r="D1592" s="4">
        <v>1</v>
      </c>
      <c r="G1592" s="43">
        <v>44012</v>
      </c>
    </row>
    <row r="1593" spans="1:8" x14ac:dyDescent="0.25">
      <c r="A1593" s="19" t="s">
        <v>1840</v>
      </c>
      <c r="B1593" s="42" t="s">
        <v>3</v>
      </c>
      <c r="C1593" s="4">
        <v>18</v>
      </c>
      <c r="D1593" s="4">
        <v>1</v>
      </c>
      <c r="G1593" s="43">
        <v>44012</v>
      </c>
    </row>
    <row r="1594" spans="1:8" x14ac:dyDescent="0.25">
      <c r="A1594" s="19" t="s">
        <v>1841</v>
      </c>
      <c r="B1594" s="42" t="s">
        <v>120</v>
      </c>
      <c r="C1594" s="4">
        <v>24</v>
      </c>
      <c r="D1594" s="4">
        <v>1</v>
      </c>
      <c r="E1594" s="42" t="s">
        <v>160</v>
      </c>
      <c r="F1594" s="42" t="s">
        <v>160</v>
      </c>
      <c r="G1594" s="43">
        <v>44012</v>
      </c>
      <c r="H1594" s="42" t="s">
        <v>238</v>
      </c>
    </row>
    <row r="1595" spans="1:8" x14ac:dyDescent="0.25">
      <c r="A1595" s="19" t="s">
        <v>1842</v>
      </c>
      <c r="B1595" s="42" t="s">
        <v>120</v>
      </c>
      <c r="C1595" s="4">
        <v>18</v>
      </c>
      <c r="D1595" s="4">
        <v>1</v>
      </c>
      <c r="E1595" s="42" t="s">
        <v>160</v>
      </c>
      <c r="F1595" s="42" t="s">
        <v>160</v>
      </c>
      <c r="G1595" s="43">
        <v>44012</v>
      </c>
    </row>
    <row r="1596" spans="1:8" x14ac:dyDescent="0.25">
      <c r="A1596" s="19" t="s">
        <v>1843</v>
      </c>
      <c r="B1596" s="42" t="s">
        <v>3</v>
      </c>
      <c r="C1596" s="4">
        <v>19</v>
      </c>
      <c r="D1596" s="4">
        <v>1</v>
      </c>
      <c r="G1596" s="43">
        <v>44012</v>
      </c>
    </row>
    <row r="1597" spans="1:8" x14ac:dyDescent="0.25">
      <c r="A1597" s="19" t="s">
        <v>1844</v>
      </c>
      <c r="B1597" s="42" t="s">
        <v>3</v>
      </c>
      <c r="C1597" s="4">
        <v>19</v>
      </c>
      <c r="D1597" s="4">
        <v>1</v>
      </c>
      <c r="E1597" s="42" t="s">
        <v>160</v>
      </c>
      <c r="G1597" s="43">
        <v>44012</v>
      </c>
    </row>
    <row r="1598" spans="1:8" x14ac:dyDescent="0.25">
      <c r="A1598" s="19" t="s">
        <v>1845</v>
      </c>
      <c r="B1598" s="42" t="s">
        <v>3</v>
      </c>
      <c r="C1598" s="4">
        <v>18</v>
      </c>
      <c r="D1598" s="4">
        <v>1</v>
      </c>
      <c r="G1598" s="43">
        <v>44012</v>
      </c>
    </row>
    <row r="1599" spans="1:8" x14ac:dyDescent="0.25">
      <c r="A1599" s="19" t="s">
        <v>1846</v>
      </c>
      <c r="B1599" s="42" t="s">
        <v>3</v>
      </c>
      <c r="C1599" s="4">
        <v>18</v>
      </c>
      <c r="D1599" s="4">
        <v>1</v>
      </c>
      <c r="G1599" s="43">
        <v>44012</v>
      </c>
    </row>
    <row r="1600" spans="1:8" x14ac:dyDescent="0.25">
      <c r="A1600" s="19" t="s">
        <v>1847</v>
      </c>
      <c r="B1600" s="42" t="s">
        <v>3</v>
      </c>
      <c r="C1600" s="4">
        <v>18</v>
      </c>
      <c r="D1600" s="4">
        <v>1</v>
      </c>
      <c r="G1600" s="43">
        <v>44012</v>
      </c>
    </row>
    <row r="1601" spans="1:8" x14ac:dyDescent="0.25">
      <c r="A1601" s="19" t="s">
        <v>1848</v>
      </c>
      <c r="B1601" s="42" t="s">
        <v>3</v>
      </c>
      <c r="C1601" s="4">
        <v>20</v>
      </c>
      <c r="D1601" s="4">
        <v>1</v>
      </c>
      <c r="G1601" s="43">
        <v>44012</v>
      </c>
    </row>
    <row r="1602" spans="1:8" x14ac:dyDescent="0.25">
      <c r="A1602" s="19" t="s">
        <v>1849</v>
      </c>
      <c r="B1602" s="42" t="s">
        <v>120</v>
      </c>
      <c r="C1602" s="4">
        <v>19</v>
      </c>
      <c r="D1602" s="4">
        <v>1</v>
      </c>
      <c r="E1602" s="42" t="s">
        <v>160</v>
      </c>
      <c r="F1602" s="42" t="s">
        <v>160</v>
      </c>
      <c r="G1602" s="43">
        <v>44012</v>
      </c>
      <c r="H1602" s="42" t="s">
        <v>238</v>
      </c>
    </row>
    <row r="1603" spans="1:8" x14ac:dyDescent="0.25">
      <c r="A1603" s="19" t="s">
        <v>1850</v>
      </c>
      <c r="B1603" s="42" t="s">
        <v>120</v>
      </c>
      <c r="C1603" s="4">
        <v>19</v>
      </c>
      <c r="D1603" s="4">
        <v>1</v>
      </c>
      <c r="E1603" s="42" t="s">
        <v>160</v>
      </c>
      <c r="F1603" s="42" t="s">
        <v>160</v>
      </c>
      <c r="G1603" s="43">
        <v>44012</v>
      </c>
    </row>
    <row r="1604" spans="1:8" x14ac:dyDescent="0.25">
      <c r="A1604" s="19" t="s">
        <v>1851</v>
      </c>
      <c r="B1604" s="42" t="s">
        <v>3</v>
      </c>
      <c r="C1604" s="4">
        <v>20</v>
      </c>
      <c r="D1604" s="4">
        <v>1</v>
      </c>
      <c r="G1604" s="43">
        <v>44012</v>
      </c>
    </row>
    <row r="1605" spans="1:8" x14ac:dyDescent="0.25">
      <c r="A1605" s="19" t="s">
        <v>1852</v>
      </c>
      <c r="B1605" s="42" t="s">
        <v>120</v>
      </c>
      <c r="C1605" s="4">
        <v>18</v>
      </c>
      <c r="D1605" s="4">
        <v>1</v>
      </c>
      <c r="E1605" s="42" t="s">
        <v>160</v>
      </c>
      <c r="F1605" s="42" t="s">
        <v>160</v>
      </c>
      <c r="G1605" s="43">
        <v>44012</v>
      </c>
      <c r="H1605" s="42" t="s">
        <v>238</v>
      </c>
    </row>
    <row r="1606" spans="1:8" x14ac:dyDescent="0.25">
      <c r="A1606" s="19" t="s">
        <v>1853</v>
      </c>
      <c r="B1606" s="42" t="s">
        <v>3</v>
      </c>
      <c r="C1606" s="4">
        <v>18</v>
      </c>
      <c r="D1606" s="4">
        <v>1</v>
      </c>
      <c r="G1606" s="43">
        <v>44012</v>
      </c>
    </row>
    <row r="1607" spans="1:8" x14ac:dyDescent="0.25">
      <c r="A1607" s="19" t="s">
        <v>1854</v>
      </c>
      <c r="B1607" s="42" t="s">
        <v>3</v>
      </c>
      <c r="C1607" s="4">
        <v>18</v>
      </c>
      <c r="D1607" s="4">
        <v>1</v>
      </c>
      <c r="E1607" s="42" t="s">
        <v>160</v>
      </c>
      <c r="G1607" s="43">
        <v>44012</v>
      </c>
    </row>
    <row r="1608" spans="1:8" x14ac:dyDescent="0.25">
      <c r="A1608" s="19" t="s">
        <v>1855</v>
      </c>
      <c r="B1608" s="42" t="s">
        <v>120</v>
      </c>
      <c r="C1608" s="4">
        <v>18</v>
      </c>
      <c r="D1608" s="4">
        <v>1</v>
      </c>
      <c r="E1608" s="42" t="s">
        <v>160</v>
      </c>
      <c r="G1608" s="43">
        <v>44012</v>
      </c>
      <c r="H1608" s="42" t="s">
        <v>238</v>
      </c>
    </row>
    <row r="1609" spans="1:8" x14ac:dyDescent="0.25">
      <c r="A1609" s="19" t="s">
        <v>1856</v>
      </c>
      <c r="B1609" s="42" t="s">
        <v>3</v>
      </c>
      <c r="C1609" s="3">
        <v>23</v>
      </c>
      <c r="D1609" s="3">
        <v>1</v>
      </c>
      <c r="E1609" s="42" t="s">
        <v>160</v>
      </c>
      <c r="G1609" s="43">
        <v>44012</v>
      </c>
    </row>
    <row r="1610" spans="1:8" x14ac:dyDescent="0.25">
      <c r="A1610" s="19" t="s">
        <v>1857</v>
      </c>
      <c r="B1610" s="42" t="s">
        <v>120</v>
      </c>
      <c r="C1610" s="3">
        <v>19</v>
      </c>
      <c r="D1610" s="3">
        <v>1</v>
      </c>
      <c r="E1610" s="42" t="s">
        <v>160</v>
      </c>
      <c r="G1610" s="43">
        <v>44012</v>
      </c>
      <c r="H1610" s="42" t="s">
        <v>238</v>
      </c>
    </row>
    <row r="1611" spans="1:8" x14ac:dyDescent="0.25">
      <c r="A1611" s="19" t="s">
        <v>1858</v>
      </c>
      <c r="B1611" s="42" t="s">
        <v>3</v>
      </c>
      <c r="C1611" s="3">
        <v>18</v>
      </c>
      <c r="D1611" s="3">
        <v>1</v>
      </c>
      <c r="G1611" s="43">
        <v>44012</v>
      </c>
    </row>
    <row r="1612" spans="1:8" x14ac:dyDescent="0.25">
      <c r="A1612" s="19" t="s">
        <v>1859</v>
      </c>
      <c r="B1612" s="42" t="s">
        <v>3</v>
      </c>
      <c r="C1612" s="3">
        <v>18</v>
      </c>
      <c r="D1612" s="3">
        <v>1</v>
      </c>
      <c r="G1612" s="43">
        <v>44012</v>
      </c>
    </row>
    <row r="1613" spans="1:8" x14ac:dyDescent="0.25">
      <c r="A1613" s="19" t="s">
        <v>1860</v>
      </c>
      <c r="B1613" s="42" t="s">
        <v>120</v>
      </c>
      <c r="C1613" s="3">
        <v>23</v>
      </c>
      <c r="D1613" s="3">
        <v>1</v>
      </c>
      <c r="E1613" s="42" t="s">
        <v>160</v>
      </c>
      <c r="F1613" s="42" t="s">
        <v>160</v>
      </c>
      <c r="G1613" s="43">
        <v>44012</v>
      </c>
      <c r="H1613" s="42" t="s">
        <v>238</v>
      </c>
    </row>
    <row r="1614" spans="1:8" x14ac:dyDescent="0.25">
      <c r="A1614" s="19" t="s">
        <v>1861</v>
      </c>
      <c r="B1614" s="42" t="s">
        <v>3</v>
      </c>
      <c r="C1614" s="3">
        <v>21</v>
      </c>
      <c r="D1614" s="3">
        <v>1</v>
      </c>
      <c r="G1614" s="43">
        <v>44012</v>
      </c>
    </row>
    <row r="1615" spans="1:8" x14ac:dyDescent="0.25">
      <c r="A1615" s="19" t="s">
        <v>1862</v>
      </c>
      <c r="B1615" s="42" t="s">
        <v>3</v>
      </c>
      <c r="C1615" s="3">
        <v>18</v>
      </c>
      <c r="D1615" s="3">
        <v>1</v>
      </c>
      <c r="G1615" s="43">
        <v>44012</v>
      </c>
    </row>
    <row r="1616" spans="1:8" x14ac:dyDescent="0.25">
      <c r="A1616" s="19" t="s">
        <v>1863</v>
      </c>
      <c r="B1616" s="42" t="s">
        <v>120</v>
      </c>
      <c r="C1616" s="3">
        <v>18</v>
      </c>
      <c r="D1616" s="3">
        <v>1</v>
      </c>
      <c r="E1616" s="42" t="s">
        <v>160</v>
      </c>
      <c r="F1616" s="42" t="s">
        <v>160</v>
      </c>
      <c r="G1616" s="43">
        <v>44012</v>
      </c>
      <c r="H1616" s="42" t="s">
        <v>238</v>
      </c>
    </row>
    <row r="1617" spans="1:8" x14ac:dyDescent="0.25">
      <c r="A1617" s="19" t="s">
        <v>1864</v>
      </c>
      <c r="B1617" s="42" t="s">
        <v>3</v>
      </c>
      <c r="C1617" s="3">
        <v>19</v>
      </c>
      <c r="D1617" s="3">
        <v>1</v>
      </c>
      <c r="E1617" s="42" t="s">
        <v>160</v>
      </c>
      <c r="G1617" s="43">
        <v>44012</v>
      </c>
    </row>
    <row r="1618" spans="1:8" x14ac:dyDescent="0.25">
      <c r="A1618" s="19" t="s">
        <v>1865</v>
      </c>
      <c r="B1618" s="42" t="s">
        <v>120</v>
      </c>
      <c r="C1618" s="3">
        <v>20</v>
      </c>
      <c r="D1618" s="3">
        <v>1</v>
      </c>
      <c r="E1618" s="42" t="s">
        <v>160</v>
      </c>
      <c r="G1618" s="43">
        <v>44012</v>
      </c>
      <c r="H1618" s="42" t="s">
        <v>238</v>
      </c>
    </row>
    <row r="1619" spans="1:8" x14ac:dyDescent="0.25">
      <c r="A1619" s="19" t="s">
        <v>1866</v>
      </c>
      <c r="B1619" s="42" t="s">
        <v>3</v>
      </c>
      <c r="C1619" s="3">
        <v>18</v>
      </c>
      <c r="D1619" s="3">
        <v>1</v>
      </c>
      <c r="G1619" s="43">
        <v>44012</v>
      </c>
    </row>
    <row r="1620" spans="1:8" x14ac:dyDescent="0.25">
      <c r="A1620" s="19" t="s">
        <v>1867</v>
      </c>
      <c r="B1620" s="42" t="s">
        <v>3</v>
      </c>
      <c r="C1620" s="3">
        <v>18</v>
      </c>
      <c r="D1620" s="3">
        <v>1</v>
      </c>
      <c r="E1620" s="42" t="s">
        <v>160</v>
      </c>
      <c r="G1620" s="43">
        <v>44012</v>
      </c>
    </row>
    <row r="1621" spans="1:8" x14ac:dyDescent="0.25">
      <c r="A1621" s="28" t="s">
        <v>1868</v>
      </c>
      <c r="B1621" s="42" t="s">
        <v>3</v>
      </c>
      <c r="C1621" s="3">
        <v>20</v>
      </c>
      <c r="D1621" s="3">
        <v>1</v>
      </c>
      <c r="G1621" s="43">
        <v>44012</v>
      </c>
    </row>
    <row r="1622" spans="1:8" x14ac:dyDescent="0.25">
      <c r="A1622" s="28" t="s">
        <v>1869</v>
      </c>
      <c r="B1622" s="42" t="s">
        <v>120</v>
      </c>
      <c r="C1622" s="3">
        <v>18</v>
      </c>
      <c r="D1622" s="3">
        <v>1</v>
      </c>
      <c r="E1622" s="42" t="s">
        <v>160</v>
      </c>
      <c r="G1622" s="43">
        <v>44012</v>
      </c>
      <c r="H1622" s="42" t="s">
        <v>238</v>
      </c>
    </row>
    <row r="1623" spans="1:8" x14ac:dyDescent="0.25">
      <c r="A1623" s="28" t="s">
        <v>1870</v>
      </c>
      <c r="B1623" s="42" t="s">
        <v>120</v>
      </c>
      <c r="C1623" s="3">
        <v>19</v>
      </c>
      <c r="D1623" s="3">
        <v>1</v>
      </c>
      <c r="E1623" s="42" t="s">
        <v>160</v>
      </c>
      <c r="F1623" s="42" t="s">
        <v>160</v>
      </c>
      <c r="G1623" s="43">
        <v>44012</v>
      </c>
      <c r="H1623" s="42" t="s">
        <v>238</v>
      </c>
    </row>
    <row r="1624" spans="1:8" x14ac:dyDescent="0.25">
      <c r="A1624" s="28" t="s">
        <v>1871</v>
      </c>
      <c r="B1624" s="42" t="s">
        <v>3</v>
      </c>
      <c r="C1624" s="3">
        <v>18</v>
      </c>
      <c r="D1624" s="3">
        <v>1</v>
      </c>
      <c r="E1624" s="42" t="s">
        <v>160</v>
      </c>
      <c r="G1624" s="43">
        <v>44012</v>
      </c>
    </row>
    <row r="1625" spans="1:8" x14ac:dyDescent="0.25">
      <c r="A1625" s="28" t="s">
        <v>1872</v>
      </c>
      <c r="B1625" s="42" t="s">
        <v>120</v>
      </c>
      <c r="C1625" s="3">
        <v>18</v>
      </c>
      <c r="D1625" s="3">
        <v>1</v>
      </c>
      <c r="E1625" s="42" t="s">
        <v>160</v>
      </c>
      <c r="G1625" s="43">
        <v>44012</v>
      </c>
      <c r="H1625" s="42" t="s">
        <v>238</v>
      </c>
    </row>
    <row r="1626" spans="1:8" x14ac:dyDescent="0.25">
      <c r="A1626" s="28" t="s">
        <v>1873</v>
      </c>
      <c r="B1626" s="42" t="s">
        <v>3</v>
      </c>
      <c r="C1626" s="3">
        <v>22</v>
      </c>
      <c r="D1626" s="3">
        <v>1</v>
      </c>
      <c r="E1626" s="42" t="s">
        <v>160</v>
      </c>
      <c r="G1626" s="43">
        <v>44012</v>
      </c>
    </row>
    <row r="1627" spans="1:8" x14ac:dyDescent="0.25">
      <c r="A1627" s="28" t="s">
        <v>1874</v>
      </c>
      <c r="B1627" s="42" t="s">
        <v>120</v>
      </c>
      <c r="C1627" s="3">
        <v>20</v>
      </c>
      <c r="D1627" s="3">
        <v>1</v>
      </c>
      <c r="E1627" s="42" t="s">
        <v>160</v>
      </c>
      <c r="F1627" s="42" t="s">
        <v>160</v>
      </c>
      <c r="G1627" s="43">
        <v>44012</v>
      </c>
    </row>
    <row r="1628" spans="1:8" x14ac:dyDescent="0.25">
      <c r="A1628" s="28" t="s">
        <v>1875</v>
      </c>
      <c r="B1628" s="42" t="s">
        <v>3</v>
      </c>
      <c r="C1628" s="3">
        <v>18</v>
      </c>
      <c r="D1628" s="3">
        <v>1</v>
      </c>
      <c r="G1628" s="43">
        <v>44012</v>
      </c>
    </row>
    <row r="1629" spans="1:8" x14ac:dyDescent="0.25">
      <c r="A1629" s="28" t="s">
        <v>1876</v>
      </c>
      <c r="B1629" s="42" t="s">
        <v>3</v>
      </c>
      <c r="C1629" s="3">
        <v>19</v>
      </c>
      <c r="D1629" s="3">
        <v>1</v>
      </c>
      <c r="G1629" s="43">
        <v>44012</v>
      </c>
    </row>
    <row r="1630" spans="1:8" x14ac:dyDescent="0.25">
      <c r="A1630" s="28" t="s">
        <v>1877</v>
      </c>
      <c r="B1630" s="42" t="s">
        <v>120</v>
      </c>
      <c r="C1630" s="3">
        <v>19</v>
      </c>
      <c r="D1630" s="3">
        <v>1</v>
      </c>
      <c r="E1630" s="42" t="s">
        <v>160</v>
      </c>
      <c r="F1630" s="42" t="s">
        <v>160</v>
      </c>
      <c r="G1630" s="43">
        <v>44012</v>
      </c>
      <c r="H1630" s="42" t="s">
        <v>238</v>
      </c>
    </row>
    <row r="1631" spans="1:8" x14ac:dyDescent="0.25">
      <c r="A1631" s="28" t="s">
        <v>1878</v>
      </c>
      <c r="B1631" s="42" t="s">
        <v>3</v>
      </c>
      <c r="C1631" s="3">
        <v>20</v>
      </c>
      <c r="D1631" s="3">
        <v>1</v>
      </c>
      <c r="G1631" s="43">
        <v>44012</v>
      </c>
    </row>
    <row r="1632" spans="1:8" x14ac:dyDescent="0.25">
      <c r="A1632" s="28" t="s">
        <v>1879</v>
      </c>
      <c r="B1632" s="42" t="s">
        <v>3</v>
      </c>
      <c r="C1632" s="3">
        <v>18</v>
      </c>
      <c r="D1632" s="3">
        <v>1</v>
      </c>
      <c r="G1632" s="43">
        <v>44012</v>
      </c>
    </row>
    <row r="1633" spans="1:8" x14ac:dyDescent="0.25">
      <c r="A1633" s="28" t="s">
        <v>1880</v>
      </c>
      <c r="B1633" s="42" t="s">
        <v>3</v>
      </c>
      <c r="C1633" s="3">
        <v>19</v>
      </c>
      <c r="D1633" s="3">
        <v>1</v>
      </c>
      <c r="G1633" s="43">
        <v>44012</v>
      </c>
    </row>
    <row r="1634" spans="1:8" x14ac:dyDescent="0.25">
      <c r="A1634" s="28" t="s">
        <v>1881</v>
      </c>
      <c r="B1634" s="42" t="s">
        <v>120</v>
      </c>
      <c r="C1634" s="3">
        <v>18</v>
      </c>
      <c r="D1634" s="3">
        <v>1</v>
      </c>
      <c r="E1634" s="42" t="s">
        <v>160</v>
      </c>
      <c r="G1634" s="43">
        <v>44012</v>
      </c>
      <c r="H1634" s="42" t="s">
        <v>238</v>
      </c>
    </row>
    <row r="1635" spans="1:8" x14ac:dyDescent="0.25">
      <c r="A1635" s="28" t="s">
        <v>1882</v>
      </c>
      <c r="B1635" s="42" t="s">
        <v>3</v>
      </c>
      <c r="C1635" s="3">
        <v>18</v>
      </c>
      <c r="D1635" s="3">
        <v>1</v>
      </c>
      <c r="E1635" s="42" t="s">
        <v>160</v>
      </c>
      <c r="G1635" s="43">
        <v>44012</v>
      </c>
    </row>
    <row r="1636" spans="1:8" x14ac:dyDescent="0.25">
      <c r="A1636" s="28" t="s">
        <v>1883</v>
      </c>
      <c r="B1636" s="42" t="s">
        <v>3</v>
      </c>
      <c r="C1636" s="3">
        <v>18</v>
      </c>
      <c r="D1636" s="3">
        <v>1</v>
      </c>
      <c r="G1636" s="43">
        <v>44012</v>
      </c>
    </row>
    <row r="1637" spans="1:8" x14ac:dyDescent="0.25">
      <c r="A1637" s="28" t="s">
        <v>1884</v>
      </c>
      <c r="B1637" s="42" t="s">
        <v>3</v>
      </c>
      <c r="C1637" s="3">
        <v>21</v>
      </c>
      <c r="D1637" s="3">
        <v>1</v>
      </c>
      <c r="G1637" s="43">
        <v>44012</v>
      </c>
    </row>
    <row r="1638" spans="1:8" x14ac:dyDescent="0.25">
      <c r="A1638" s="28" t="s">
        <v>1885</v>
      </c>
      <c r="B1638" s="42" t="s">
        <v>3</v>
      </c>
      <c r="C1638" s="3">
        <v>21</v>
      </c>
      <c r="D1638" s="3">
        <v>1</v>
      </c>
      <c r="G1638" s="43">
        <v>44012</v>
      </c>
    </row>
    <row r="1639" spans="1:8" x14ac:dyDescent="0.25">
      <c r="A1639" s="28" t="s">
        <v>1886</v>
      </c>
      <c r="B1639" s="42" t="s">
        <v>120</v>
      </c>
      <c r="C1639" s="3">
        <v>18</v>
      </c>
      <c r="D1639" s="3">
        <v>1</v>
      </c>
      <c r="E1639" s="42" t="s">
        <v>160</v>
      </c>
      <c r="F1639" s="42" t="s">
        <v>160</v>
      </c>
      <c r="G1639" s="43">
        <v>44012</v>
      </c>
      <c r="H1639" s="42" t="s">
        <v>238</v>
      </c>
    </row>
    <row r="1640" spans="1:8" x14ac:dyDescent="0.25">
      <c r="A1640" s="28" t="s">
        <v>1887</v>
      </c>
      <c r="B1640" s="42" t="s">
        <v>120</v>
      </c>
      <c r="C1640" s="3">
        <v>19</v>
      </c>
      <c r="D1640" s="3">
        <v>1</v>
      </c>
      <c r="E1640" s="42" t="s">
        <v>160</v>
      </c>
      <c r="F1640" s="42" t="s">
        <v>160</v>
      </c>
      <c r="G1640" s="43">
        <v>44012</v>
      </c>
      <c r="H1640" s="42" t="s">
        <v>238</v>
      </c>
    </row>
    <row r="1641" spans="1:8" x14ac:dyDescent="0.25">
      <c r="A1641" s="28" t="s">
        <v>1888</v>
      </c>
      <c r="B1641" s="42" t="s">
        <v>3</v>
      </c>
      <c r="C1641" s="3">
        <v>20</v>
      </c>
      <c r="D1641" s="3">
        <v>1</v>
      </c>
      <c r="G1641" s="43">
        <v>44012</v>
      </c>
    </row>
    <row r="1642" spans="1:8" x14ac:dyDescent="0.25">
      <c r="A1642" s="28" t="s">
        <v>1889</v>
      </c>
      <c r="B1642" s="42" t="s">
        <v>120</v>
      </c>
      <c r="C1642" s="3">
        <v>18</v>
      </c>
      <c r="D1642" s="3">
        <v>1</v>
      </c>
      <c r="E1642" s="42" t="s">
        <v>160</v>
      </c>
      <c r="F1642" s="42" t="s">
        <v>160</v>
      </c>
      <c r="G1642" s="43">
        <v>44012</v>
      </c>
      <c r="H1642" s="42" t="s">
        <v>238</v>
      </c>
    </row>
    <row r="1643" spans="1:8" x14ac:dyDescent="0.25">
      <c r="A1643" s="28" t="s">
        <v>1890</v>
      </c>
      <c r="B1643" s="42" t="s">
        <v>3</v>
      </c>
      <c r="C1643" s="3">
        <v>18</v>
      </c>
      <c r="D1643" s="3">
        <v>1</v>
      </c>
      <c r="E1643" s="42" t="s">
        <v>160</v>
      </c>
      <c r="G1643" s="43">
        <v>44012</v>
      </c>
    </row>
    <row r="1644" spans="1:8" x14ac:dyDescent="0.25">
      <c r="A1644" s="28" t="s">
        <v>1891</v>
      </c>
      <c r="B1644" s="42" t="s">
        <v>3</v>
      </c>
      <c r="C1644" s="3">
        <v>18</v>
      </c>
      <c r="D1644" s="3">
        <v>1</v>
      </c>
      <c r="G1644" s="43">
        <v>44012</v>
      </c>
    </row>
    <row r="1645" spans="1:8" x14ac:dyDescent="0.25">
      <c r="A1645" s="28" t="s">
        <v>1892</v>
      </c>
      <c r="B1645" s="42" t="s">
        <v>3</v>
      </c>
      <c r="C1645" s="3">
        <v>25</v>
      </c>
      <c r="D1645" s="3">
        <v>1</v>
      </c>
      <c r="G1645" s="43">
        <v>44012</v>
      </c>
    </row>
    <row r="1646" spans="1:8" x14ac:dyDescent="0.25">
      <c r="A1646" s="28" t="s">
        <v>1893</v>
      </c>
      <c r="B1646" s="42" t="s">
        <v>3</v>
      </c>
      <c r="C1646" s="3">
        <v>18</v>
      </c>
      <c r="D1646" s="3">
        <v>1</v>
      </c>
      <c r="G1646" s="43">
        <v>44012</v>
      </c>
    </row>
    <row r="1647" spans="1:8" x14ac:dyDescent="0.25">
      <c r="A1647" s="28" t="s">
        <v>1894</v>
      </c>
      <c r="B1647" s="42" t="s">
        <v>3</v>
      </c>
      <c r="C1647" s="3">
        <v>18</v>
      </c>
      <c r="D1647" s="3">
        <v>1</v>
      </c>
      <c r="G1647" s="43">
        <v>44012</v>
      </c>
    </row>
    <row r="1648" spans="1:8" x14ac:dyDescent="0.25">
      <c r="A1648" s="28" t="s">
        <v>1895</v>
      </c>
      <c r="B1648" s="42" t="s">
        <v>3</v>
      </c>
      <c r="C1648" s="3">
        <v>18</v>
      </c>
      <c r="D1648" s="3">
        <v>1</v>
      </c>
      <c r="G1648" s="43">
        <v>44012</v>
      </c>
    </row>
    <row r="1649" spans="1:8" x14ac:dyDescent="0.25">
      <c r="A1649" s="28" t="s">
        <v>1896</v>
      </c>
      <c r="B1649" s="42" t="s">
        <v>3</v>
      </c>
      <c r="C1649" s="3">
        <v>19</v>
      </c>
      <c r="D1649" s="3">
        <v>1</v>
      </c>
      <c r="G1649" s="43">
        <v>44012</v>
      </c>
    </row>
    <row r="1650" spans="1:8" x14ac:dyDescent="0.25">
      <c r="A1650" s="28" t="s">
        <v>1897</v>
      </c>
      <c r="B1650" s="42" t="s">
        <v>3</v>
      </c>
      <c r="C1650" s="3">
        <v>18</v>
      </c>
      <c r="D1650" s="3">
        <v>1</v>
      </c>
      <c r="G1650" s="43">
        <v>44012</v>
      </c>
    </row>
    <row r="1651" spans="1:8" x14ac:dyDescent="0.25">
      <c r="A1651" s="28" t="s">
        <v>1898</v>
      </c>
      <c r="B1651" s="42" t="s">
        <v>3</v>
      </c>
      <c r="C1651" s="3">
        <v>18</v>
      </c>
      <c r="D1651" s="3">
        <v>1</v>
      </c>
      <c r="G1651" s="43">
        <v>44012</v>
      </c>
    </row>
    <row r="1652" spans="1:8" x14ac:dyDescent="0.25">
      <c r="A1652" s="28" t="s">
        <v>1899</v>
      </c>
      <c r="B1652" s="42" t="s">
        <v>3</v>
      </c>
      <c r="C1652" s="3">
        <v>18</v>
      </c>
      <c r="D1652" s="3">
        <v>1</v>
      </c>
      <c r="G1652" s="43">
        <v>44012</v>
      </c>
    </row>
    <row r="1653" spans="1:8" x14ac:dyDescent="0.25">
      <c r="A1653" s="28" t="s">
        <v>1900</v>
      </c>
      <c r="B1653" s="42" t="s">
        <v>3</v>
      </c>
      <c r="C1653" s="3">
        <v>19</v>
      </c>
      <c r="D1653" s="3">
        <v>1</v>
      </c>
      <c r="E1653" s="42" t="s">
        <v>160</v>
      </c>
      <c r="G1653" s="43">
        <v>44012</v>
      </c>
    </row>
    <row r="1654" spans="1:8" x14ac:dyDescent="0.25">
      <c r="A1654" s="28" t="s">
        <v>1901</v>
      </c>
      <c r="B1654" s="42" t="s">
        <v>3</v>
      </c>
      <c r="C1654" s="3">
        <v>18</v>
      </c>
      <c r="D1654" s="3">
        <v>1</v>
      </c>
      <c r="G1654" s="43">
        <v>44012</v>
      </c>
    </row>
    <row r="1655" spans="1:8" x14ac:dyDescent="0.25">
      <c r="A1655" s="28" t="s">
        <v>1902</v>
      </c>
      <c r="B1655" s="42" t="s">
        <v>120</v>
      </c>
      <c r="C1655" s="3">
        <v>20</v>
      </c>
      <c r="D1655" s="3">
        <v>1</v>
      </c>
      <c r="E1655" s="42" t="s">
        <v>160</v>
      </c>
      <c r="G1655" s="43">
        <v>44012</v>
      </c>
      <c r="H1655" s="42" t="s">
        <v>238</v>
      </c>
    </row>
    <row r="1656" spans="1:8" x14ac:dyDescent="0.25">
      <c r="A1656" s="28" t="s">
        <v>1903</v>
      </c>
      <c r="B1656" s="42" t="s">
        <v>3</v>
      </c>
      <c r="C1656" s="3">
        <v>20</v>
      </c>
      <c r="D1656" s="3">
        <v>1</v>
      </c>
      <c r="G1656" s="43">
        <v>44012</v>
      </c>
    </row>
    <row r="1657" spans="1:8" x14ac:dyDescent="0.25">
      <c r="A1657" s="28" t="s">
        <v>1904</v>
      </c>
      <c r="B1657" s="42" t="s">
        <v>3</v>
      </c>
      <c r="C1657" s="3">
        <v>18</v>
      </c>
      <c r="D1657" s="3">
        <v>1</v>
      </c>
      <c r="G1657" s="43">
        <v>44012</v>
      </c>
    </row>
    <row r="1658" spans="1:8" x14ac:dyDescent="0.25">
      <c r="A1658" s="28" t="s">
        <v>1905</v>
      </c>
      <c r="B1658" s="42" t="s">
        <v>3</v>
      </c>
      <c r="C1658" s="3">
        <v>18</v>
      </c>
      <c r="D1658" s="3">
        <v>1</v>
      </c>
      <c r="G1658" s="43">
        <v>44012</v>
      </c>
    </row>
    <row r="1659" spans="1:8" x14ac:dyDescent="0.25">
      <c r="A1659" s="28" t="s">
        <v>1906</v>
      </c>
      <c r="B1659" s="42" t="s">
        <v>3</v>
      </c>
      <c r="C1659" s="3">
        <v>19</v>
      </c>
      <c r="D1659" s="3">
        <v>1</v>
      </c>
      <c r="G1659" s="43">
        <v>44012</v>
      </c>
    </row>
    <row r="1660" spans="1:8" x14ac:dyDescent="0.25">
      <c r="A1660" s="28" t="s">
        <v>1907</v>
      </c>
      <c r="B1660" s="42" t="s">
        <v>3</v>
      </c>
      <c r="C1660" s="3">
        <v>19</v>
      </c>
      <c r="D1660" s="3">
        <v>1</v>
      </c>
      <c r="G1660" s="43">
        <v>44012</v>
      </c>
    </row>
    <row r="1661" spans="1:8" x14ac:dyDescent="0.25">
      <c r="A1661" s="28" t="s">
        <v>1908</v>
      </c>
      <c r="B1661" s="42" t="s">
        <v>3</v>
      </c>
      <c r="C1661" s="3">
        <v>18</v>
      </c>
      <c r="D1661" s="3">
        <v>1</v>
      </c>
      <c r="G1661" s="43">
        <v>44012</v>
      </c>
    </row>
    <row r="1662" spans="1:8" x14ac:dyDescent="0.25">
      <c r="A1662" s="28" t="s">
        <v>1909</v>
      </c>
      <c r="B1662" s="42" t="s">
        <v>3</v>
      </c>
      <c r="C1662" s="3">
        <v>18</v>
      </c>
      <c r="D1662" s="3">
        <v>1</v>
      </c>
      <c r="G1662" s="43">
        <v>44012</v>
      </c>
    </row>
    <row r="1663" spans="1:8" x14ac:dyDescent="0.25">
      <c r="A1663" s="28" t="s">
        <v>1910</v>
      </c>
      <c r="B1663" s="42" t="s">
        <v>3</v>
      </c>
      <c r="C1663" s="3">
        <v>18</v>
      </c>
      <c r="D1663" s="3">
        <v>1</v>
      </c>
      <c r="G1663" s="43">
        <v>44012</v>
      </c>
    </row>
    <row r="1664" spans="1:8" x14ac:dyDescent="0.25">
      <c r="A1664" s="28" t="s">
        <v>1911</v>
      </c>
      <c r="B1664" s="42" t="s">
        <v>120</v>
      </c>
      <c r="C1664" s="3">
        <v>18</v>
      </c>
      <c r="D1664" s="3">
        <v>1</v>
      </c>
      <c r="E1664" s="42" t="s">
        <v>160</v>
      </c>
      <c r="G1664" s="43">
        <v>44012</v>
      </c>
      <c r="H1664" s="42" t="s">
        <v>238</v>
      </c>
    </row>
    <row r="1665" spans="1:8" x14ac:dyDescent="0.25">
      <c r="A1665" s="28" t="s">
        <v>1912</v>
      </c>
      <c r="B1665" s="42" t="s">
        <v>3</v>
      </c>
      <c r="C1665" s="3">
        <v>19</v>
      </c>
      <c r="D1665" s="3">
        <v>1</v>
      </c>
      <c r="E1665" s="42" t="s">
        <v>160</v>
      </c>
      <c r="G1665" s="43">
        <v>44012</v>
      </c>
    </row>
    <row r="1666" spans="1:8" x14ac:dyDescent="0.25">
      <c r="A1666" s="28" t="s">
        <v>1913</v>
      </c>
      <c r="B1666" s="42" t="s">
        <v>3</v>
      </c>
      <c r="C1666" s="3">
        <v>18</v>
      </c>
      <c r="D1666" s="3">
        <v>1</v>
      </c>
      <c r="G1666" s="43">
        <v>44012</v>
      </c>
    </row>
    <row r="1667" spans="1:8" x14ac:dyDescent="0.25">
      <c r="A1667" s="28" t="s">
        <v>1914</v>
      </c>
      <c r="B1667" s="42" t="s">
        <v>3</v>
      </c>
      <c r="C1667" s="3">
        <v>18</v>
      </c>
      <c r="D1667" s="3">
        <v>1</v>
      </c>
      <c r="G1667" s="43">
        <v>44012</v>
      </c>
    </row>
    <row r="1668" spans="1:8" x14ac:dyDescent="0.25">
      <c r="A1668" s="28" t="s">
        <v>1915</v>
      </c>
      <c r="B1668" s="42" t="s">
        <v>3</v>
      </c>
      <c r="C1668" s="3">
        <v>20</v>
      </c>
      <c r="D1668" s="3">
        <v>1</v>
      </c>
      <c r="G1668" s="43">
        <v>44012</v>
      </c>
    </row>
    <row r="1669" spans="1:8" x14ac:dyDescent="0.25">
      <c r="A1669" s="28" t="s">
        <v>1916</v>
      </c>
      <c r="B1669" s="42" t="s">
        <v>3</v>
      </c>
      <c r="C1669" s="3">
        <v>18</v>
      </c>
      <c r="D1669" s="3">
        <v>1</v>
      </c>
      <c r="G1669" s="43">
        <v>44012</v>
      </c>
    </row>
    <row r="1670" spans="1:8" x14ac:dyDescent="0.25">
      <c r="A1670" s="28" t="s">
        <v>1917</v>
      </c>
      <c r="B1670" s="42" t="s">
        <v>3</v>
      </c>
      <c r="C1670" s="3">
        <v>18</v>
      </c>
      <c r="D1670" s="3">
        <v>1</v>
      </c>
      <c r="E1670" s="42" t="s">
        <v>160</v>
      </c>
      <c r="G1670" s="43">
        <v>44012</v>
      </c>
    </row>
    <row r="1671" spans="1:8" x14ac:dyDescent="0.25">
      <c r="A1671" s="28" t="s">
        <v>1918</v>
      </c>
      <c r="B1671" s="42" t="s">
        <v>3</v>
      </c>
      <c r="C1671" s="3">
        <v>18</v>
      </c>
      <c r="D1671" s="3">
        <v>1</v>
      </c>
      <c r="G1671" s="43">
        <v>44012</v>
      </c>
    </row>
    <row r="1672" spans="1:8" x14ac:dyDescent="0.25">
      <c r="A1672" s="28" t="s">
        <v>1919</v>
      </c>
      <c r="B1672" s="42" t="s">
        <v>3</v>
      </c>
      <c r="C1672" s="3">
        <v>24</v>
      </c>
      <c r="D1672" s="3">
        <v>1</v>
      </c>
      <c r="G1672" s="43">
        <v>44012</v>
      </c>
    </row>
    <row r="1673" spans="1:8" x14ac:dyDescent="0.25">
      <c r="A1673" s="28" t="s">
        <v>1920</v>
      </c>
      <c r="B1673" s="42" t="s">
        <v>3</v>
      </c>
      <c r="C1673" s="3">
        <v>18</v>
      </c>
      <c r="D1673" s="3">
        <v>1</v>
      </c>
      <c r="G1673" s="43">
        <v>44012</v>
      </c>
    </row>
    <row r="1674" spans="1:8" x14ac:dyDescent="0.25">
      <c r="A1674" s="28" t="s">
        <v>1921</v>
      </c>
      <c r="B1674" s="42" t="s">
        <v>3</v>
      </c>
      <c r="C1674" s="3">
        <v>18</v>
      </c>
      <c r="D1674" s="3">
        <v>1</v>
      </c>
      <c r="G1674" s="43">
        <v>44012</v>
      </c>
    </row>
    <row r="1675" spans="1:8" x14ac:dyDescent="0.25">
      <c r="A1675" s="19" t="s">
        <v>1922</v>
      </c>
      <c r="B1675" s="42" t="s">
        <v>120</v>
      </c>
      <c r="C1675" s="3">
        <v>20</v>
      </c>
      <c r="D1675" s="46">
        <v>1</v>
      </c>
      <c r="E1675" s="42" t="s">
        <v>160</v>
      </c>
      <c r="G1675" s="43">
        <v>44013</v>
      </c>
      <c r="H1675" s="42" t="s">
        <v>238</v>
      </c>
    </row>
    <row r="1676" spans="1:8" x14ac:dyDescent="0.25">
      <c r="A1676" s="19" t="s">
        <v>1923</v>
      </c>
      <c r="B1676" s="42" t="s">
        <v>120</v>
      </c>
      <c r="C1676" s="3">
        <v>19</v>
      </c>
      <c r="D1676" s="46">
        <v>1</v>
      </c>
      <c r="E1676" s="42" t="s">
        <v>160</v>
      </c>
      <c r="G1676" s="43">
        <v>44013</v>
      </c>
      <c r="H1676" s="42" t="s">
        <v>238</v>
      </c>
    </row>
    <row r="1677" spans="1:8" x14ac:dyDescent="0.25">
      <c r="A1677" s="19" t="s">
        <v>1924</v>
      </c>
      <c r="B1677" s="42" t="s">
        <v>120</v>
      </c>
      <c r="C1677" s="3">
        <v>18</v>
      </c>
      <c r="D1677" s="46">
        <v>1</v>
      </c>
      <c r="E1677" s="42" t="s">
        <v>160</v>
      </c>
      <c r="G1677" s="43">
        <v>44013</v>
      </c>
      <c r="H1677" s="42" t="s">
        <v>238</v>
      </c>
    </row>
    <row r="1678" spans="1:8" x14ac:dyDescent="0.25">
      <c r="A1678" s="19" t="s">
        <v>1925</v>
      </c>
      <c r="B1678" s="42" t="s">
        <v>3</v>
      </c>
      <c r="C1678" s="3">
        <v>18</v>
      </c>
      <c r="D1678" s="46">
        <v>1</v>
      </c>
      <c r="G1678" s="43">
        <v>44013</v>
      </c>
    </row>
    <row r="1679" spans="1:8" x14ac:dyDescent="0.25">
      <c r="A1679" s="19" t="s">
        <v>1926</v>
      </c>
      <c r="B1679" s="42" t="s">
        <v>3</v>
      </c>
      <c r="C1679" s="3">
        <v>18</v>
      </c>
      <c r="D1679" s="46">
        <v>1</v>
      </c>
      <c r="G1679" s="43">
        <v>44013</v>
      </c>
    </row>
    <row r="1680" spans="1:8" x14ac:dyDescent="0.25">
      <c r="A1680" s="19" t="s">
        <v>1927</v>
      </c>
      <c r="B1680" s="42" t="s">
        <v>3</v>
      </c>
      <c r="C1680" s="3">
        <v>19</v>
      </c>
      <c r="D1680" s="46">
        <v>1</v>
      </c>
      <c r="G1680" s="43">
        <v>44013</v>
      </c>
    </row>
    <row r="1681" spans="1:8" x14ac:dyDescent="0.25">
      <c r="A1681" s="19" t="s">
        <v>1928</v>
      </c>
      <c r="B1681" s="42" t="s">
        <v>3</v>
      </c>
      <c r="C1681" s="3">
        <v>18</v>
      </c>
      <c r="D1681" s="46">
        <v>1</v>
      </c>
      <c r="G1681" s="43">
        <v>44013</v>
      </c>
    </row>
    <row r="1682" spans="1:8" x14ac:dyDescent="0.25">
      <c r="A1682" s="19" t="s">
        <v>1929</v>
      </c>
      <c r="B1682" s="42" t="s">
        <v>3</v>
      </c>
      <c r="C1682" s="3">
        <v>18</v>
      </c>
      <c r="D1682" s="46">
        <v>1</v>
      </c>
      <c r="G1682" s="43">
        <v>44013</v>
      </c>
    </row>
    <row r="1683" spans="1:8" x14ac:dyDescent="0.25">
      <c r="A1683" s="19" t="s">
        <v>1930</v>
      </c>
      <c r="B1683" s="42" t="s">
        <v>3</v>
      </c>
      <c r="C1683" s="3">
        <v>18</v>
      </c>
      <c r="D1683" s="46">
        <v>1</v>
      </c>
      <c r="G1683" s="43">
        <v>44013</v>
      </c>
    </row>
    <row r="1684" spans="1:8" x14ac:dyDescent="0.25">
      <c r="A1684" s="19" t="s">
        <v>1931</v>
      </c>
      <c r="B1684" s="42" t="s">
        <v>120</v>
      </c>
      <c r="C1684" s="3">
        <v>19</v>
      </c>
      <c r="D1684" s="46">
        <v>1</v>
      </c>
      <c r="E1684" s="42" t="s">
        <v>160</v>
      </c>
      <c r="G1684" s="43">
        <v>44013</v>
      </c>
      <c r="H1684" s="42" t="s">
        <v>238</v>
      </c>
    </row>
    <row r="1685" spans="1:8" x14ac:dyDescent="0.25">
      <c r="A1685" s="19" t="s">
        <v>1932</v>
      </c>
      <c r="B1685" s="42" t="s">
        <v>120</v>
      </c>
      <c r="C1685" s="3">
        <v>18</v>
      </c>
      <c r="D1685" s="46">
        <v>1</v>
      </c>
      <c r="E1685" s="42" t="s">
        <v>160</v>
      </c>
      <c r="F1685" s="42" t="s">
        <v>160</v>
      </c>
      <c r="G1685" s="43">
        <v>44013</v>
      </c>
      <c r="H1685" s="42" t="s">
        <v>238</v>
      </c>
    </row>
    <row r="1686" spans="1:8" x14ac:dyDescent="0.25">
      <c r="A1686" s="19" t="s">
        <v>1933</v>
      </c>
      <c r="B1686" s="42" t="s">
        <v>120</v>
      </c>
      <c r="C1686" s="3">
        <v>22</v>
      </c>
      <c r="D1686" s="46">
        <v>1</v>
      </c>
      <c r="E1686" s="42" t="s">
        <v>160</v>
      </c>
      <c r="F1686" s="42" t="s">
        <v>160</v>
      </c>
      <c r="G1686" s="43">
        <v>44013</v>
      </c>
      <c r="H1686" s="42" t="s">
        <v>238</v>
      </c>
    </row>
    <row r="1687" spans="1:8" x14ac:dyDescent="0.25">
      <c r="A1687" s="19" t="s">
        <v>1934</v>
      </c>
      <c r="B1687" s="42" t="s">
        <v>3</v>
      </c>
      <c r="C1687" s="3">
        <v>18</v>
      </c>
      <c r="D1687" s="46">
        <v>1</v>
      </c>
      <c r="G1687" s="43">
        <v>44013</v>
      </c>
    </row>
    <row r="1688" spans="1:8" x14ac:dyDescent="0.25">
      <c r="A1688" s="19" t="s">
        <v>1935</v>
      </c>
      <c r="B1688" s="42" t="s">
        <v>3</v>
      </c>
      <c r="C1688" s="3">
        <v>19</v>
      </c>
      <c r="D1688" s="46">
        <v>1</v>
      </c>
      <c r="G1688" s="43">
        <v>44013</v>
      </c>
    </row>
    <row r="1689" spans="1:8" x14ac:dyDescent="0.25">
      <c r="A1689" s="19" t="s">
        <v>1936</v>
      </c>
      <c r="B1689" s="42" t="s">
        <v>3</v>
      </c>
      <c r="C1689" s="3">
        <v>18</v>
      </c>
      <c r="D1689" s="46">
        <v>1</v>
      </c>
      <c r="G1689" s="43">
        <v>44013</v>
      </c>
    </row>
    <row r="1690" spans="1:8" x14ac:dyDescent="0.25">
      <c r="A1690" s="19" t="s">
        <v>1937</v>
      </c>
      <c r="B1690" s="42" t="s">
        <v>3</v>
      </c>
      <c r="C1690" s="3">
        <v>18</v>
      </c>
      <c r="D1690" s="46">
        <v>1</v>
      </c>
      <c r="G1690" s="43">
        <v>44013</v>
      </c>
    </row>
    <row r="1691" spans="1:8" x14ac:dyDescent="0.25">
      <c r="A1691" s="19" t="s">
        <v>1938</v>
      </c>
      <c r="B1691" s="42" t="s">
        <v>3</v>
      </c>
      <c r="C1691" s="3">
        <v>19</v>
      </c>
      <c r="D1691" s="46">
        <v>1</v>
      </c>
      <c r="E1691" s="42" t="s">
        <v>160</v>
      </c>
      <c r="G1691" s="43">
        <v>44013</v>
      </c>
    </row>
    <row r="1692" spans="1:8" x14ac:dyDescent="0.25">
      <c r="A1692" s="19" t="s">
        <v>1939</v>
      </c>
      <c r="B1692" s="42" t="s">
        <v>120</v>
      </c>
      <c r="C1692" s="3">
        <v>18</v>
      </c>
      <c r="D1692" s="46">
        <v>1</v>
      </c>
      <c r="E1692" s="42" t="s">
        <v>160</v>
      </c>
      <c r="F1692" s="42" t="s">
        <v>160</v>
      </c>
      <c r="G1692" s="43">
        <v>44013</v>
      </c>
      <c r="H1692" s="42" t="s">
        <v>238</v>
      </c>
    </row>
    <row r="1693" spans="1:8" x14ac:dyDescent="0.25">
      <c r="A1693" s="19" t="s">
        <v>1940</v>
      </c>
      <c r="B1693" s="42" t="s">
        <v>3</v>
      </c>
      <c r="C1693" s="3">
        <v>18</v>
      </c>
      <c r="D1693" s="46">
        <v>1</v>
      </c>
      <c r="G1693" s="43">
        <v>44013</v>
      </c>
    </row>
    <row r="1694" spans="1:8" x14ac:dyDescent="0.25">
      <c r="A1694" s="19" t="s">
        <v>1941</v>
      </c>
      <c r="B1694" s="42" t="s">
        <v>120</v>
      </c>
      <c r="C1694" s="3">
        <v>18</v>
      </c>
      <c r="D1694" s="46">
        <v>1</v>
      </c>
      <c r="E1694" s="42" t="s">
        <v>160</v>
      </c>
      <c r="F1694" s="42" t="s">
        <v>160</v>
      </c>
      <c r="G1694" s="43">
        <v>44013</v>
      </c>
      <c r="H1694" s="42" t="s">
        <v>238</v>
      </c>
    </row>
    <row r="1695" spans="1:8" x14ac:dyDescent="0.25">
      <c r="A1695" s="19" t="s">
        <v>1942</v>
      </c>
      <c r="B1695" s="42" t="s">
        <v>3</v>
      </c>
      <c r="C1695" s="3">
        <v>19</v>
      </c>
      <c r="D1695" s="46">
        <v>1</v>
      </c>
      <c r="G1695" s="43">
        <v>44013</v>
      </c>
    </row>
    <row r="1696" spans="1:8" x14ac:dyDescent="0.25">
      <c r="A1696" s="19" t="s">
        <v>1943</v>
      </c>
      <c r="B1696" s="42" t="s">
        <v>3</v>
      </c>
      <c r="C1696" s="3">
        <v>23</v>
      </c>
      <c r="D1696" s="46">
        <v>1</v>
      </c>
      <c r="G1696" s="43">
        <v>44013</v>
      </c>
    </row>
    <row r="1697" spans="1:8" x14ac:dyDescent="0.25">
      <c r="A1697" s="19" t="s">
        <v>1944</v>
      </c>
      <c r="B1697" s="42" t="s">
        <v>3</v>
      </c>
      <c r="C1697" s="3">
        <v>18</v>
      </c>
      <c r="D1697" s="46">
        <v>1</v>
      </c>
      <c r="G1697" s="43">
        <v>44013</v>
      </c>
    </row>
    <row r="1698" spans="1:8" x14ac:dyDescent="0.25">
      <c r="A1698" s="19" t="s">
        <v>1945</v>
      </c>
      <c r="B1698" s="42" t="s">
        <v>3</v>
      </c>
      <c r="C1698" s="3">
        <v>19</v>
      </c>
      <c r="D1698" s="46">
        <v>1</v>
      </c>
      <c r="G1698" s="43">
        <v>44013</v>
      </c>
    </row>
    <row r="1699" spans="1:8" x14ac:dyDescent="0.25">
      <c r="A1699" s="19" t="s">
        <v>1946</v>
      </c>
      <c r="B1699" s="42" t="s">
        <v>3</v>
      </c>
      <c r="C1699" s="3">
        <v>18</v>
      </c>
      <c r="D1699" s="46">
        <v>1</v>
      </c>
      <c r="G1699" s="43">
        <v>44013</v>
      </c>
    </row>
    <row r="1700" spans="1:8" x14ac:dyDescent="0.25">
      <c r="A1700" s="19" t="s">
        <v>1947</v>
      </c>
      <c r="B1700" s="42" t="s">
        <v>3</v>
      </c>
      <c r="C1700" s="3">
        <v>22</v>
      </c>
      <c r="D1700" s="46">
        <v>1</v>
      </c>
      <c r="G1700" s="43">
        <v>44013</v>
      </c>
    </row>
    <row r="1701" spans="1:8" x14ac:dyDescent="0.25">
      <c r="A1701" s="19" t="s">
        <v>1948</v>
      </c>
      <c r="B1701" s="42" t="s">
        <v>120</v>
      </c>
      <c r="C1701" s="3">
        <v>18</v>
      </c>
      <c r="D1701" s="46">
        <v>1</v>
      </c>
      <c r="E1701" s="42" t="s">
        <v>160</v>
      </c>
      <c r="F1701" s="42" t="s">
        <v>160</v>
      </c>
      <c r="G1701" s="43">
        <v>44013</v>
      </c>
      <c r="H1701" s="42" t="s">
        <v>238</v>
      </c>
    </row>
    <row r="1702" spans="1:8" x14ac:dyDescent="0.25">
      <c r="A1702" s="19" t="s">
        <v>1949</v>
      </c>
      <c r="B1702" s="42" t="s">
        <v>3</v>
      </c>
      <c r="C1702" s="3">
        <v>18</v>
      </c>
      <c r="D1702" s="46">
        <v>1</v>
      </c>
      <c r="G1702" s="43">
        <v>44013</v>
      </c>
    </row>
    <row r="1703" spans="1:8" x14ac:dyDescent="0.25">
      <c r="A1703" s="19" t="s">
        <v>1950</v>
      </c>
      <c r="B1703" s="42" t="s">
        <v>120</v>
      </c>
      <c r="C1703" s="3">
        <v>19</v>
      </c>
      <c r="D1703" s="46">
        <v>1</v>
      </c>
      <c r="E1703" s="42" t="s">
        <v>160</v>
      </c>
      <c r="G1703" s="43">
        <v>44013</v>
      </c>
      <c r="H1703" s="42" t="s">
        <v>238</v>
      </c>
    </row>
    <row r="1704" spans="1:8" x14ac:dyDescent="0.25">
      <c r="A1704" s="19" t="s">
        <v>1951</v>
      </c>
      <c r="B1704" s="42" t="s">
        <v>120</v>
      </c>
      <c r="C1704" s="3">
        <v>18</v>
      </c>
      <c r="D1704" s="46">
        <v>1</v>
      </c>
      <c r="E1704" s="42" t="s">
        <v>160</v>
      </c>
      <c r="F1704" s="42" t="s">
        <v>160</v>
      </c>
      <c r="G1704" s="43">
        <v>44013</v>
      </c>
      <c r="H1704" s="42" t="s">
        <v>238</v>
      </c>
    </row>
    <row r="1705" spans="1:8" x14ac:dyDescent="0.25">
      <c r="A1705" s="19" t="s">
        <v>1952</v>
      </c>
      <c r="B1705" s="42" t="s">
        <v>3</v>
      </c>
      <c r="C1705" s="3">
        <v>19</v>
      </c>
      <c r="D1705" s="46">
        <v>1</v>
      </c>
      <c r="G1705" s="43">
        <v>44013</v>
      </c>
    </row>
    <row r="1706" spans="1:8" x14ac:dyDescent="0.25">
      <c r="A1706" s="19" t="s">
        <v>1953</v>
      </c>
      <c r="B1706" s="42" t="s">
        <v>3</v>
      </c>
      <c r="C1706" s="3">
        <v>18</v>
      </c>
      <c r="D1706" s="46">
        <v>1</v>
      </c>
      <c r="G1706" s="43">
        <v>44013</v>
      </c>
    </row>
    <row r="1707" spans="1:8" x14ac:dyDescent="0.25">
      <c r="A1707" s="19" t="s">
        <v>1954</v>
      </c>
      <c r="B1707" s="42" t="s">
        <v>3</v>
      </c>
      <c r="C1707" s="3">
        <v>18</v>
      </c>
      <c r="D1707" s="46">
        <v>1</v>
      </c>
      <c r="G1707" s="43">
        <v>44013</v>
      </c>
    </row>
    <row r="1708" spans="1:8" x14ac:dyDescent="0.25">
      <c r="A1708" s="19" t="s">
        <v>1955</v>
      </c>
      <c r="B1708" s="42" t="s">
        <v>3</v>
      </c>
      <c r="C1708" s="3">
        <v>18</v>
      </c>
      <c r="D1708" s="46">
        <v>1</v>
      </c>
      <c r="G1708" s="43">
        <v>44013</v>
      </c>
    </row>
    <row r="1709" spans="1:8" x14ac:dyDescent="0.25">
      <c r="A1709" s="19" t="s">
        <v>1956</v>
      </c>
      <c r="B1709" s="42" t="s">
        <v>3</v>
      </c>
      <c r="C1709" s="3">
        <v>18</v>
      </c>
      <c r="D1709" s="46">
        <v>1</v>
      </c>
      <c r="G1709" s="43">
        <v>44013</v>
      </c>
    </row>
    <row r="1710" spans="1:8" x14ac:dyDescent="0.25">
      <c r="A1710" s="19" t="s">
        <v>1957</v>
      </c>
      <c r="B1710" s="42" t="s">
        <v>3</v>
      </c>
      <c r="C1710" s="3">
        <v>18</v>
      </c>
      <c r="D1710" s="46">
        <v>1</v>
      </c>
      <c r="G1710" s="43">
        <v>44013</v>
      </c>
    </row>
    <row r="1711" spans="1:8" x14ac:dyDescent="0.25">
      <c r="A1711" s="19" t="s">
        <v>1958</v>
      </c>
      <c r="B1711" s="42" t="s">
        <v>120</v>
      </c>
      <c r="C1711" s="3">
        <v>18</v>
      </c>
      <c r="D1711" s="46">
        <v>1</v>
      </c>
      <c r="E1711" s="42" t="s">
        <v>160</v>
      </c>
      <c r="G1711" s="43">
        <v>44013</v>
      </c>
      <c r="H1711" s="42" t="s">
        <v>238</v>
      </c>
    </row>
    <row r="1712" spans="1:8" x14ac:dyDescent="0.25">
      <c r="A1712" s="19" t="s">
        <v>1959</v>
      </c>
      <c r="B1712" s="42" t="s">
        <v>120</v>
      </c>
      <c r="C1712" s="3">
        <v>18</v>
      </c>
      <c r="D1712" s="46">
        <v>1</v>
      </c>
      <c r="E1712" s="42" t="s">
        <v>160</v>
      </c>
      <c r="F1712" s="42" t="s">
        <v>160</v>
      </c>
      <c r="G1712" s="43">
        <v>44013</v>
      </c>
      <c r="H1712" s="42" t="s">
        <v>238</v>
      </c>
    </row>
    <row r="1713" spans="1:8" x14ac:dyDescent="0.25">
      <c r="A1713" s="19" t="s">
        <v>1960</v>
      </c>
      <c r="B1713" s="42" t="s">
        <v>3</v>
      </c>
      <c r="C1713" s="3">
        <v>18</v>
      </c>
      <c r="D1713" s="46">
        <v>1</v>
      </c>
      <c r="G1713" s="43">
        <v>44013</v>
      </c>
    </row>
    <row r="1714" spans="1:8" x14ac:dyDescent="0.25">
      <c r="A1714" s="19" t="s">
        <v>1961</v>
      </c>
      <c r="B1714" s="42" t="s">
        <v>3</v>
      </c>
      <c r="C1714" s="3">
        <v>21</v>
      </c>
      <c r="D1714" s="46">
        <v>1</v>
      </c>
      <c r="G1714" s="43">
        <v>44013</v>
      </c>
    </row>
    <row r="1715" spans="1:8" x14ac:dyDescent="0.25">
      <c r="A1715" s="19" t="s">
        <v>1962</v>
      </c>
      <c r="B1715" s="42" t="s">
        <v>3</v>
      </c>
      <c r="C1715" s="3">
        <v>18</v>
      </c>
      <c r="D1715" s="46">
        <v>1</v>
      </c>
      <c r="E1715" s="42" t="s">
        <v>160</v>
      </c>
      <c r="G1715" s="43">
        <v>44013</v>
      </c>
    </row>
    <row r="1716" spans="1:8" x14ac:dyDescent="0.25">
      <c r="A1716" s="19" t="s">
        <v>1963</v>
      </c>
      <c r="B1716" s="42" t="s">
        <v>3</v>
      </c>
      <c r="C1716" s="3">
        <v>19</v>
      </c>
      <c r="D1716" s="46">
        <v>1</v>
      </c>
      <c r="G1716" s="43">
        <v>44013</v>
      </c>
    </row>
    <row r="1717" spans="1:8" x14ac:dyDescent="0.25">
      <c r="A1717" s="19" t="s">
        <v>1964</v>
      </c>
      <c r="B1717" s="42" t="s">
        <v>3</v>
      </c>
      <c r="C1717" s="3">
        <v>18</v>
      </c>
      <c r="D1717" s="46">
        <v>1</v>
      </c>
      <c r="G1717" s="43">
        <v>44013</v>
      </c>
    </row>
    <row r="1718" spans="1:8" x14ac:dyDescent="0.25">
      <c r="A1718" s="19" t="s">
        <v>1965</v>
      </c>
      <c r="B1718" s="42" t="s">
        <v>3</v>
      </c>
      <c r="C1718" s="3">
        <v>18</v>
      </c>
      <c r="D1718" s="46">
        <v>1</v>
      </c>
      <c r="G1718" s="43">
        <v>44013</v>
      </c>
    </row>
    <row r="1719" spans="1:8" x14ac:dyDescent="0.25">
      <c r="A1719" s="19" t="s">
        <v>1966</v>
      </c>
      <c r="B1719" s="42" t="s">
        <v>3</v>
      </c>
      <c r="C1719" s="3">
        <v>18</v>
      </c>
      <c r="D1719" s="46">
        <v>1</v>
      </c>
      <c r="G1719" s="43">
        <v>44013</v>
      </c>
    </row>
    <row r="1720" spans="1:8" x14ac:dyDescent="0.25">
      <c r="A1720" s="19" t="s">
        <v>1967</v>
      </c>
      <c r="B1720" s="42" t="s">
        <v>120</v>
      </c>
      <c r="C1720" s="3">
        <v>19</v>
      </c>
      <c r="D1720" s="3">
        <v>1</v>
      </c>
      <c r="E1720" s="42" t="s">
        <v>160</v>
      </c>
      <c r="G1720" s="43">
        <v>44013</v>
      </c>
      <c r="H1720" s="42" t="s">
        <v>238</v>
      </c>
    </row>
    <row r="1721" spans="1:8" x14ac:dyDescent="0.25">
      <c r="A1721" s="19" t="s">
        <v>1968</v>
      </c>
      <c r="B1721" s="42" t="s">
        <v>3</v>
      </c>
      <c r="C1721" s="3">
        <v>18</v>
      </c>
      <c r="D1721" s="3">
        <v>1</v>
      </c>
      <c r="G1721" s="43">
        <v>44013</v>
      </c>
    </row>
    <row r="1722" spans="1:8" x14ac:dyDescent="0.25">
      <c r="A1722" s="19" t="s">
        <v>1969</v>
      </c>
      <c r="B1722" s="42" t="s">
        <v>120</v>
      </c>
      <c r="C1722" s="4">
        <v>18</v>
      </c>
      <c r="D1722" s="4">
        <v>1</v>
      </c>
      <c r="E1722" s="42" t="s">
        <v>160</v>
      </c>
      <c r="F1722" s="42" t="s">
        <v>160</v>
      </c>
      <c r="G1722" s="43">
        <v>44013</v>
      </c>
      <c r="H1722" s="42" t="s">
        <v>238</v>
      </c>
    </row>
    <row r="1723" spans="1:8" x14ac:dyDescent="0.25">
      <c r="A1723" s="19" t="s">
        <v>1970</v>
      </c>
      <c r="B1723" s="42" t="s">
        <v>3</v>
      </c>
      <c r="C1723" s="4">
        <v>18</v>
      </c>
      <c r="D1723" s="4">
        <v>1</v>
      </c>
      <c r="G1723" s="43">
        <v>44013</v>
      </c>
    </row>
    <row r="1724" spans="1:8" x14ac:dyDescent="0.25">
      <c r="A1724" s="19" t="s">
        <v>1971</v>
      </c>
      <c r="B1724" s="42" t="s">
        <v>120</v>
      </c>
      <c r="C1724" s="4">
        <v>19</v>
      </c>
      <c r="D1724" s="4">
        <v>1</v>
      </c>
      <c r="E1724" s="42" t="s">
        <v>160</v>
      </c>
      <c r="G1724" s="43">
        <v>44013</v>
      </c>
      <c r="H1724" s="42" t="s">
        <v>238</v>
      </c>
    </row>
    <row r="1725" spans="1:8" x14ac:dyDescent="0.25">
      <c r="A1725" s="19" t="s">
        <v>1972</v>
      </c>
      <c r="B1725" s="42" t="s">
        <v>120</v>
      </c>
      <c r="C1725" s="4">
        <v>18</v>
      </c>
      <c r="D1725" s="4">
        <v>1</v>
      </c>
      <c r="E1725" s="42" t="s">
        <v>160</v>
      </c>
      <c r="G1725" s="43">
        <v>44013</v>
      </c>
      <c r="H1725" s="42" t="s">
        <v>238</v>
      </c>
    </row>
    <row r="1726" spans="1:8" x14ac:dyDescent="0.25">
      <c r="A1726" s="19" t="s">
        <v>1973</v>
      </c>
      <c r="B1726" s="42" t="s">
        <v>3</v>
      </c>
      <c r="C1726" s="4">
        <v>18</v>
      </c>
      <c r="D1726" s="4">
        <v>1</v>
      </c>
      <c r="E1726" s="42" t="s">
        <v>160</v>
      </c>
      <c r="G1726" s="43">
        <v>44013</v>
      </c>
    </row>
    <row r="1727" spans="1:8" x14ac:dyDescent="0.25">
      <c r="A1727" s="19" t="s">
        <v>1974</v>
      </c>
      <c r="B1727" s="42" t="s">
        <v>120</v>
      </c>
      <c r="C1727" s="4">
        <v>26</v>
      </c>
      <c r="D1727" s="4">
        <v>1</v>
      </c>
      <c r="E1727" s="42" t="s">
        <v>160</v>
      </c>
      <c r="F1727" s="42" t="s">
        <v>160</v>
      </c>
      <c r="G1727" s="43">
        <v>44013</v>
      </c>
      <c r="H1727" s="42" t="s">
        <v>238</v>
      </c>
    </row>
    <row r="1728" spans="1:8" x14ac:dyDescent="0.25">
      <c r="A1728" s="19" t="s">
        <v>1975</v>
      </c>
      <c r="B1728" s="42" t="s">
        <v>3</v>
      </c>
      <c r="C1728" s="4">
        <v>18</v>
      </c>
      <c r="D1728" s="4">
        <v>1</v>
      </c>
      <c r="G1728" s="43">
        <v>44013</v>
      </c>
    </row>
    <row r="1729" spans="1:8" x14ac:dyDescent="0.25">
      <c r="A1729" s="19" t="s">
        <v>1976</v>
      </c>
      <c r="B1729" s="42" t="s">
        <v>120</v>
      </c>
      <c r="C1729" s="4">
        <v>19</v>
      </c>
      <c r="D1729" s="4">
        <v>1</v>
      </c>
      <c r="E1729" s="42" t="s">
        <v>160</v>
      </c>
      <c r="G1729" s="43">
        <v>44013</v>
      </c>
      <c r="H1729" s="42" t="s">
        <v>238</v>
      </c>
    </row>
    <row r="1730" spans="1:8" x14ac:dyDescent="0.25">
      <c r="A1730" s="19" t="s">
        <v>1977</v>
      </c>
      <c r="B1730" s="42" t="s">
        <v>3</v>
      </c>
      <c r="C1730" s="3">
        <v>18</v>
      </c>
      <c r="D1730" s="3">
        <v>1</v>
      </c>
      <c r="G1730" s="43">
        <v>44013</v>
      </c>
    </row>
    <row r="1731" spans="1:8" x14ac:dyDescent="0.25">
      <c r="A1731" s="19" t="s">
        <v>1978</v>
      </c>
      <c r="B1731" s="42" t="s">
        <v>3</v>
      </c>
      <c r="C1731" s="3">
        <v>21</v>
      </c>
      <c r="D1731" s="3">
        <v>1</v>
      </c>
      <c r="G1731" s="43">
        <v>44013</v>
      </c>
    </row>
    <row r="1732" spans="1:8" x14ac:dyDescent="0.25">
      <c r="A1732" s="19" t="s">
        <v>1979</v>
      </c>
      <c r="B1732" s="42" t="s">
        <v>120</v>
      </c>
      <c r="C1732" s="3">
        <v>18</v>
      </c>
      <c r="D1732" s="3">
        <v>1</v>
      </c>
      <c r="E1732" s="42" t="s">
        <v>160</v>
      </c>
      <c r="F1732" s="42" t="s">
        <v>160</v>
      </c>
      <c r="G1732" s="43">
        <v>44013</v>
      </c>
      <c r="H1732" s="42" t="s">
        <v>238</v>
      </c>
    </row>
    <row r="1733" spans="1:8" x14ac:dyDescent="0.25">
      <c r="A1733" s="19" t="s">
        <v>1980</v>
      </c>
      <c r="B1733" s="42" t="s">
        <v>3</v>
      </c>
      <c r="C1733" s="3">
        <v>18</v>
      </c>
      <c r="D1733" s="3">
        <v>1</v>
      </c>
      <c r="E1733" s="42" t="s">
        <v>160</v>
      </c>
      <c r="F1733" s="42" t="s">
        <v>160</v>
      </c>
      <c r="G1733" s="43">
        <v>44013</v>
      </c>
    </row>
    <row r="1734" spans="1:8" x14ac:dyDescent="0.25">
      <c r="A1734" s="19" t="s">
        <v>1981</v>
      </c>
      <c r="B1734" s="42" t="s">
        <v>3</v>
      </c>
      <c r="C1734" s="3">
        <v>18</v>
      </c>
      <c r="D1734" s="3">
        <v>1</v>
      </c>
      <c r="G1734" s="43">
        <v>44013</v>
      </c>
    </row>
    <row r="1735" spans="1:8" x14ac:dyDescent="0.25">
      <c r="A1735" s="19" t="s">
        <v>1982</v>
      </c>
      <c r="B1735" s="42" t="s">
        <v>120</v>
      </c>
      <c r="C1735" s="3">
        <v>18</v>
      </c>
      <c r="D1735" s="3">
        <v>1</v>
      </c>
      <c r="E1735" s="42" t="s">
        <v>160</v>
      </c>
      <c r="G1735" s="43">
        <v>44013</v>
      </c>
      <c r="H1735" s="42" t="s">
        <v>238</v>
      </c>
    </row>
    <row r="1736" spans="1:8" x14ac:dyDescent="0.25">
      <c r="A1736" s="19" t="s">
        <v>1983</v>
      </c>
      <c r="B1736" s="42" t="s">
        <v>3</v>
      </c>
      <c r="C1736" s="3">
        <v>18</v>
      </c>
      <c r="D1736" s="3">
        <v>1</v>
      </c>
      <c r="G1736" s="43">
        <v>44013</v>
      </c>
    </row>
    <row r="1737" spans="1:8" x14ac:dyDescent="0.25">
      <c r="A1737" s="19" t="s">
        <v>1984</v>
      </c>
      <c r="B1737" s="42" t="s">
        <v>3</v>
      </c>
      <c r="C1737" s="3">
        <v>18</v>
      </c>
      <c r="D1737" s="3">
        <v>1</v>
      </c>
      <c r="E1737" s="42" t="s">
        <v>160</v>
      </c>
      <c r="G1737" s="43">
        <v>44013</v>
      </c>
    </row>
    <row r="1738" spans="1:8" x14ac:dyDescent="0.25">
      <c r="A1738" s="19" t="s">
        <v>1985</v>
      </c>
      <c r="B1738" s="42" t="s">
        <v>3</v>
      </c>
      <c r="C1738" s="3">
        <v>21</v>
      </c>
      <c r="D1738" s="3">
        <v>1</v>
      </c>
      <c r="E1738" s="42" t="s">
        <v>160</v>
      </c>
      <c r="G1738" s="43">
        <v>44013</v>
      </c>
    </row>
    <row r="1739" spans="1:8" x14ac:dyDescent="0.25">
      <c r="A1739" s="19" t="s">
        <v>1986</v>
      </c>
      <c r="B1739" s="42" t="s">
        <v>3</v>
      </c>
      <c r="C1739" s="4">
        <v>19</v>
      </c>
      <c r="D1739" s="4">
        <v>1</v>
      </c>
      <c r="G1739" s="43">
        <v>44013</v>
      </c>
    </row>
    <row r="1740" spans="1:8" x14ac:dyDescent="0.25">
      <c r="A1740" s="19" t="s">
        <v>1987</v>
      </c>
      <c r="B1740" s="42" t="s">
        <v>120</v>
      </c>
      <c r="C1740" s="4">
        <v>18</v>
      </c>
      <c r="D1740" s="4">
        <v>1</v>
      </c>
      <c r="E1740" s="42" t="s">
        <v>160</v>
      </c>
      <c r="F1740" s="42" t="s">
        <v>160</v>
      </c>
      <c r="G1740" s="43">
        <v>44013</v>
      </c>
      <c r="H1740" s="42" t="s">
        <v>238</v>
      </c>
    </row>
    <row r="1741" spans="1:8" x14ac:dyDescent="0.25">
      <c r="A1741" s="19" t="s">
        <v>1988</v>
      </c>
      <c r="B1741" s="42" t="s">
        <v>3</v>
      </c>
      <c r="C1741" s="4">
        <v>20</v>
      </c>
      <c r="D1741" s="4">
        <v>1</v>
      </c>
      <c r="G1741" s="43">
        <v>44013</v>
      </c>
    </row>
    <row r="1742" spans="1:8" x14ac:dyDescent="0.25">
      <c r="A1742" s="19" t="s">
        <v>1989</v>
      </c>
      <c r="B1742" s="42" t="s">
        <v>120</v>
      </c>
      <c r="C1742" s="4">
        <v>19</v>
      </c>
      <c r="D1742" s="4">
        <v>1</v>
      </c>
      <c r="E1742" s="42" t="s">
        <v>160</v>
      </c>
      <c r="F1742" s="42" t="s">
        <v>160</v>
      </c>
      <c r="G1742" s="43">
        <v>44013</v>
      </c>
      <c r="H1742" s="42" t="s">
        <v>238</v>
      </c>
    </row>
    <row r="1743" spans="1:8" x14ac:dyDescent="0.25">
      <c r="A1743" s="19" t="s">
        <v>1990</v>
      </c>
      <c r="B1743" s="42" t="s">
        <v>3</v>
      </c>
      <c r="C1743" s="4">
        <v>18</v>
      </c>
      <c r="D1743" s="4">
        <v>1</v>
      </c>
      <c r="G1743" s="43">
        <v>44013</v>
      </c>
    </row>
    <row r="1744" spans="1:8" x14ac:dyDescent="0.25">
      <c r="A1744" s="19" t="s">
        <v>1991</v>
      </c>
      <c r="B1744" s="42" t="s">
        <v>3</v>
      </c>
      <c r="C1744" s="4">
        <v>18</v>
      </c>
      <c r="D1744" s="4">
        <v>1</v>
      </c>
      <c r="G1744" s="43">
        <v>44013</v>
      </c>
    </row>
    <row r="1745" spans="1:8" x14ac:dyDescent="0.25">
      <c r="A1745" s="19" t="s">
        <v>1992</v>
      </c>
      <c r="B1745" s="42" t="s">
        <v>120</v>
      </c>
      <c r="C1745" s="4">
        <v>19</v>
      </c>
      <c r="D1745" s="4">
        <v>1</v>
      </c>
      <c r="E1745" s="42" t="s">
        <v>160</v>
      </c>
      <c r="G1745" s="43">
        <v>44013</v>
      </c>
      <c r="H1745" s="42" t="s">
        <v>238</v>
      </c>
    </row>
    <row r="1746" spans="1:8" x14ac:dyDescent="0.25">
      <c r="A1746" s="19" t="s">
        <v>1993</v>
      </c>
      <c r="B1746" s="42" t="s">
        <v>3</v>
      </c>
      <c r="C1746" s="3">
        <v>18</v>
      </c>
      <c r="D1746" s="3">
        <v>1</v>
      </c>
      <c r="G1746" s="43">
        <v>44013</v>
      </c>
    </row>
    <row r="1747" spans="1:8" x14ac:dyDescent="0.25">
      <c r="A1747" s="19" t="s">
        <v>1994</v>
      </c>
      <c r="B1747" s="42" t="s">
        <v>3</v>
      </c>
      <c r="C1747" s="3">
        <v>18</v>
      </c>
      <c r="D1747" s="3">
        <v>1</v>
      </c>
      <c r="G1747" s="43">
        <v>44013</v>
      </c>
    </row>
    <row r="1748" spans="1:8" x14ac:dyDescent="0.25">
      <c r="A1748" s="19" t="s">
        <v>1995</v>
      </c>
      <c r="B1748" s="42" t="s">
        <v>3</v>
      </c>
      <c r="C1748" s="3">
        <v>18</v>
      </c>
      <c r="D1748" s="3">
        <v>1</v>
      </c>
      <c r="G1748" s="43">
        <v>44013</v>
      </c>
    </row>
    <row r="1749" spans="1:8" x14ac:dyDescent="0.25">
      <c r="A1749" s="19" t="s">
        <v>1996</v>
      </c>
      <c r="B1749" s="42" t="s">
        <v>3</v>
      </c>
      <c r="C1749" s="3">
        <v>19</v>
      </c>
      <c r="D1749" s="3">
        <v>1</v>
      </c>
      <c r="G1749" s="43">
        <v>44013</v>
      </c>
    </row>
    <row r="1750" spans="1:8" x14ac:dyDescent="0.25">
      <c r="A1750" s="19" t="s">
        <v>1997</v>
      </c>
      <c r="B1750" s="42" t="s">
        <v>3</v>
      </c>
      <c r="C1750" s="3">
        <v>18</v>
      </c>
      <c r="D1750" s="3">
        <v>1</v>
      </c>
      <c r="G1750" s="43">
        <v>44013</v>
      </c>
    </row>
    <row r="1751" spans="1:8" x14ac:dyDescent="0.25">
      <c r="A1751" s="19" t="s">
        <v>1998</v>
      </c>
      <c r="B1751" s="42" t="s">
        <v>120</v>
      </c>
      <c r="C1751" s="4">
        <v>18</v>
      </c>
      <c r="D1751" s="4">
        <v>1</v>
      </c>
      <c r="E1751" s="42" t="s">
        <v>160</v>
      </c>
      <c r="G1751" s="43">
        <v>44013</v>
      </c>
      <c r="H1751" s="42" t="s">
        <v>238</v>
      </c>
    </row>
    <row r="1752" spans="1:8" x14ac:dyDescent="0.25">
      <c r="A1752" s="19" t="s">
        <v>1999</v>
      </c>
      <c r="B1752" s="42" t="s">
        <v>3</v>
      </c>
      <c r="C1752" s="4">
        <v>18</v>
      </c>
      <c r="D1752" s="4">
        <v>2</v>
      </c>
      <c r="E1752" s="42" t="s">
        <v>160</v>
      </c>
      <c r="G1752" s="43">
        <v>44013</v>
      </c>
    </row>
    <row r="1753" spans="1:8" x14ac:dyDescent="0.25">
      <c r="A1753" s="19" t="s">
        <v>2000</v>
      </c>
      <c r="B1753" s="42" t="s">
        <v>3</v>
      </c>
      <c r="C1753" s="4">
        <v>28</v>
      </c>
      <c r="D1753" s="4">
        <v>2</v>
      </c>
      <c r="G1753" s="43">
        <v>44013</v>
      </c>
    </row>
    <row r="1754" spans="1:8" x14ac:dyDescent="0.25">
      <c r="A1754" s="19" t="s">
        <v>2001</v>
      </c>
      <c r="B1754" s="42" t="s">
        <v>3</v>
      </c>
      <c r="C1754" s="4">
        <v>18</v>
      </c>
      <c r="D1754" s="4">
        <v>2</v>
      </c>
      <c r="G1754" s="43">
        <v>44013</v>
      </c>
    </row>
    <row r="1755" spans="1:8" x14ac:dyDescent="0.25">
      <c r="A1755" s="19" t="s">
        <v>2002</v>
      </c>
      <c r="B1755" s="42" t="s">
        <v>3</v>
      </c>
      <c r="C1755" s="4">
        <v>18</v>
      </c>
      <c r="D1755" s="4">
        <v>2</v>
      </c>
      <c r="E1755" s="42" t="s">
        <v>160</v>
      </c>
      <c r="G1755" s="43">
        <v>44013</v>
      </c>
    </row>
    <row r="1756" spans="1:8" x14ac:dyDescent="0.25">
      <c r="A1756" s="19" t="s">
        <v>2003</v>
      </c>
      <c r="B1756" s="42" t="s">
        <v>3</v>
      </c>
      <c r="C1756" s="4">
        <v>18</v>
      </c>
      <c r="D1756" s="4">
        <v>2</v>
      </c>
      <c r="G1756" s="43">
        <v>44013</v>
      </c>
    </row>
    <row r="1757" spans="1:8" x14ac:dyDescent="0.25">
      <c r="A1757" s="19" t="s">
        <v>2004</v>
      </c>
      <c r="B1757" s="42" t="s">
        <v>3</v>
      </c>
      <c r="C1757" s="3">
        <v>18</v>
      </c>
      <c r="D1757" s="3">
        <v>2</v>
      </c>
      <c r="E1757" s="42" t="s">
        <v>160</v>
      </c>
      <c r="G1757" s="43">
        <v>44013</v>
      </c>
    </row>
    <row r="1758" spans="1:8" x14ac:dyDescent="0.25">
      <c r="A1758" s="19" t="s">
        <v>2005</v>
      </c>
      <c r="B1758" s="42" t="s">
        <v>3</v>
      </c>
      <c r="C1758" s="3">
        <v>18</v>
      </c>
      <c r="D1758" s="3">
        <v>2</v>
      </c>
      <c r="G1758" s="43">
        <v>44013</v>
      </c>
    </row>
    <row r="1759" spans="1:8" x14ac:dyDescent="0.25">
      <c r="A1759" s="19" t="s">
        <v>2006</v>
      </c>
      <c r="B1759" s="42" t="s">
        <v>3</v>
      </c>
      <c r="C1759" s="3">
        <v>21</v>
      </c>
      <c r="D1759" s="3">
        <v>2</v>
      </c>
      <c r="E1759" s="42" t="s">
        <v>160</v>
      </c>
      <c r="G1759" s="43">
        <v>44013</v>
      </c>
    </row>
    <row r="1760" spans="1:8" x14ac:dyDescent="0.25">
      <c r="A1760" s="19" t="s">
        <v>2007</v>
      </c>
      <c r="B1760" s="42" t="s">
        <v>3</v>
      </c>
      <c r="C1760" s="3">
        <v>18</v>
      </c>
      <c r="D1760" s="3">
        <v>2</v>
      </c>
      <c r="E1760" s="42" t="s">
        <v>160</v>
      </c>
      <c r="G1760" s="43">
        <v>44013</v>
      </c>
    </row>
    <row r="1761" spans="1:8" x14ac:dyDescent="0.25">
      <c r="A1761" s="19" t="s">
        <v>2008</v>
      </c>
      <c r="B1761" s="42" t="s">
        <v>120</v>
      </c>
      <c r="C1761" s="3">
        <v>18</v>
      </c>
      <c r="D1761" s="3">
        <v>2</v>
      </c>
      <c r="E1761" s="42" t="s">
        <v>160</v>
      </c>
      <c r="F1761" s="42" t="s">
        <v>160</v>
      </c>
      <c r="G1761" s="43">
        <v>44013</v>
      </c>
    </row>
    <row r="1762" spans="1:8" x14ac:dyDescent="0.25">
      <c r="A1762" s="19" t="s">
        <v>2009</v>
      </c>
      <c r="B1762" s="42" t="s">
        <v>120</v>
      </c>
      <c r="C1762" s="3">
        <v>18</v>
      </c>
      <c r="D1762" s="3">
        <v>2</v>
      </c>
      <c r="G1762" s="43">
        <v>44013</v>
      </c>
      <c r="H1762" s="42" t="s">
        <v>238</v>
      </c>
    </row>
    <row r="1763" spans="1:8" x14ac:dyDescent="0.25">
      <c r="A1763" s="19" t="s">
        <v>2010</v>
      </c>
      <c r="B1763" s="42" t="s">
        <v>120</v>
      </c>
      <c r="C1763" s="3">
        <v>18</v>
      </c>
      <c r="D1763" s="3">
        <v>2</v>
      </c>
      <c r="E1763" s="42" t="s">
        <v>160</v>
      </c>
      <c r="F1763" s="42" t="s">
        <v>160</v>
      </c>
      <c r="G1763" s="43">
        <v>44013</v>
      </c>
      <c r="H1763" s="42" t="s">
        <v>238</v>
      </c>
    </row>
    <row r="1764" spans="1:8" x14ac:dyDescent="0.25">
      <c r="A1764" s="19" t="s">
        <v>2011</v>
      </c>
      <c r="B1764" s="42" t="s">
        <v>3</v>
      </c>
      <c r="C1764" s="3">
        <v>18</v>
      </c>
      <c r="D1764" s="3">
        <v>2</v>
      </c>
      <c r="G1764" s="43">
        <v>44013</v>
      </c>
    </row>
    <row r="1765" spans="1:8" x14ac:dyDescent="0.25">
      <c r="A1765" s="47" t="s">
        <v>2012</v>
      </c>
      <c r="B1765" s="42" t="s">
        <v>120</v>
      </c>
      <c r="C1765" s="21">
        <v>18</v>
      </c>
      <c r="D1765" s="21">
        <v>2</v>
      </c>
      <c r="E1765" s="42" t="s">
        <v>160</v>
      </c>
      <c r="F1765" s="42" t="s">
        <v>160</v>
      </c>
      <c r="G1765" s="43">
        <v>44013</v>
      </c>
      <c r="H1765" s="42" t="s">
        <v>238</v>
      </c>
    </row>
    <row r="1766" spans="1:8" x14ac:dyDescent="0.25">
      <c r="A1766" s="28" t="s">
        <v>2013</v>
      </c>
      <c r="B1766" s="42" t="s">
        <v>3</v>
      </c>
      <c r="C1766" s="3">
        <v>18</v>
      </c>
      <c r="D1766" s="3">
        <v>1</v>
      </c>
      <c r="G1766" s="43">
        <v>44018</v>
      </c>
    </row>
    <row r="1767" spans="1:8" x14ac:dyDescent="0.25">
      <c r="A1767" s="28" t="s">
        <v>2014</v>
      </c>
      <c r="B1767" s="42" t="s">
        <v>120</v>
      </c>
      <c r="C1767" s="3">
        <v>19</v>
      </c>
      <c r="D1767" s="3">
        <v>1</v>
      </c>
      <c r="E1767" s="42" t="s">
        <v>160</v>
      </c>
      <c r="G1767" s="43">
        <v>44026</v>
      </c>
      <c r="H1767" s="42" t="s">
        <v>238</v>
      </c>
    </row>
    <row r="1768" spans="1:8" x14ac:dyDescent="0.25">
      <c r="A1768" s="28" t="s">
        <v>2015</v>
      </c>
      <c r="B1768" s="42" t="s">
        <v>120</v>
      </c>
      <c r="C1768" s="3">
        <v>18</v>
      </c>
      <c r="D1768" s="3">
        <v>1</v>
      </c>
      <c r="E1768" s="42" t="s">
        <v>160</v>
      </c>
      <c r="F1768" s="42" t="s">
        <v>160</v>
      </c>
      <c r="G1768" s="43">
        <v>44026</v>
      </c>
      <c r="H1768" s="42" t="s">
        <v>238</v>
      </c>
    </row>
    <row r="1769" spans="1:8" x14ac:dyDescent="0.25">
      <c r="A1769" s="28" t="s">
        <v>2016</v>
      </c>
      <c r="B1769" s="42" t="s">
        <v>3</v>
      </c>
      <c r="C1769" s="3">
        <v>18</v>
      </c>
      <c r="D1769" s="3">
        <v>1</v>
      </c>
      <c r="G1769" s="43">
        <v>44026</v>
      </c>
    </row>
    <row r="1770" spans="1:8" x14ac:dyDescent="0.25">
      <c r="A1770" s="28" t="s">
        <v>2017</v>
      </c>
      <c r="B1770" s="42" t="s">
        <v>3</v>
      </c>
      <c r="C1770" s="3">
        <v>18</v>
      </c>
      <c r="D1770" s="3">
        <v>1</v>
      </c>
      <c r="G1770" s="43">
        <v>44026</v>
      </c>
    </row>
    <row r="1771" spans="1:8" x14ac:dyDescent="0.25">
      <c r="A1771" s="28" t="s">
        <v>2018</v>
      </c>
      <c r="B1771" s="42" t="s">
        <v>3</v>
      </c>
      <c r="C1771" s="3">
        <v>18</v>
      </c>
      <c r="D1771" s="3">
        <v>1</v>
      </c>
      <c r="G1771" s="43">
        <v>44026</v>
      </c>
    </row>
    <row r="1772" spans="1:8" x14ac:dyDescent="0.25">
      <c r="A1772" s="28" t="s">
        <v>2019</v>
      </c>
      <c r="B1772" s="42" t="s">
        <v>120</v>
      </c>
      <c r="C1772" s="3">
        <v>18</v>
      </c>
      <c r="D1772" s="3">
        <v>1</v>
      </c>
      <c r="E1772" s="42" t="s">
        <v>160</v>
      </c>
      <c r="F1772" s="42" t="s">
        <v>160</v>
      </c>
      <c r="G1772" s="43">
        <v>44026</v>
      </c>
      <c r="H1772" s="42" t="s">
        <v>238</v>
      </c>
    </row>
    <row r="1773" spans="1:8" x14ac:dyDescent="0.25">
      <c r="A1773" s="28" t="s">
        <v>2020</v>
      </c>
      <c r="B1773" s="42" t="s">
        <v>3</v>
      </c>
      <c r="C1773" s="3">
        <v>18</v>
      </c>
      <c r="D1773" s="3">
        <v>1</v>
      </c>
      <c r="G1773" s="43">
        <v>44026</v>
      </c>
    </row>
    <row r="1774" spans="1:8" x14ac:dyDescent="0.25">
      <c r="A1774" s="28" t="s">
        <v>2021</v>
      </c>
      <c r="B1774" s="42" t="s">
        <v>3</v>
      </c>
      <c r="C1774" s="3">
        <v>19</v>
      </c>
      <c r="D1774" s="3">
        <v>1</v>
      </c>
      <c r="G1774" s="43">
        <v>44026</v>
      </c>
    </row>
    <row r="1775" spans="1:8" x14ac:dyDescent="0.25">
      <c r="A1775" s="28" t="s">
        <v>2022</v>
      </c>
      <c r="B1775" s="42" t="s">
        <v>120</v>
      </c>
      <c r="C1775" s="3">
        <v>20</v>
      </c>
      <c r="D1775" s="3">
        <v>1</v>
      </c>
      <c r="E1775" s="42" t="s">
        <v>160</v>
      </c>
      <c r="F1775" s="42" t="s">
        <v>160</v>
      </c>
      <c r="G1775" s="43">
        <v>44026</v>
      </c>
      <c r="H1775" s="42" t="s">
        <v>238</v>
      </c>
    </row>
    <row r="1776" spans="1:8" x14ac:dyDescent="0.25">
      <c r="A1776" s="28" t="s">
        <v>2023</v>
      </c>
      <c r="B1776" s="42" t="s">
        <v>3</v>
      </c>
      <c r="C1776" s="3">
        <v>22</v>
      </c>
      <c r="D1776" s="3">
        <v>1</v>
      </c>
      <c r="G1776" s="43">
        <v>44026</v>
      </c>
    </row>
    <row r="1777" spans="1:8" x14ac:dyDescent="0.25">
      <c r="A1777" s="28" t="s">
        <v>2024</v>
      </c>
      <c r="B1777" s="42" t="s">
        <v>120</v>
      </c>
      <c r="C1777" s="3">
        <v>18</v>
      </c>
      <c r="D1777" s="3">
        <v>1</v>
      </c>
      <c r="E1777" s="42" t="s">
        <v>160</v>
      </c>
      <c r="F1777" s="42" t="s">
        <v>160</v>
      </c>
      <c r="G1777" s="43">
        <v>44026</v>
      </c>
      <c r="H1777" s="42" t="s">
        <v>238</v>
      </c>
    </row>
    <row r="1778" spans="1:8" x14ac:dyDescent="0.25">
      <c r="A1778" s="28" t="s">
        <v>2025</v>
      </c>
      <c r="B1778" s="42" t="s">
        <v>120</v>
      </c>
      <c r="C1778" s="3">
        <v>18</v>
      </c>
      <c r="D1778" s="3">
        <v>1</v>
      </c>
      <c r="E1778" s="42" t="s">
        <v>160</v>
      </c>
      <c r="F1778" s="42" t="s">
        <v>160</v>
      </c>
      <c r="G1778" s="43">
        <v>44026</v>
      </c>
      <c r="H1778" s="42" t="s">
        <v>238</v>
      </c>
    </row>
    <row r="1779" spans="1:8" x14ac:dyDescent="0.25">
      <c r="A1779" s="28" t="s">
        <v>2026</v>
      </c>
      <c r="B1779" s="42" t="s">
        <v>3</v>
      </c>
      <c r="C1779" s="3">
        <v>18</v>
      </c>
      <c r="D1779" s="3">
        <v>1</v>
      </c>
      <c r="G1779" s="43">
        <v>44026</v>
      </c>
    </row>
    <row r="1780" spans="1:8" x14ac:dyDescent="0.25">
      <c r="A1780" s="28" t="s">
        <v>2027</v>
      </c>
      <c r="B1780" s="42" t="s">
        <v>3</v>
      </c>
      <c r="C1780" s="3">
        <v>26</v>
      </c>
      <c r="D1780" s="3">
        <v>1</v>
      </c>
      <c r="G1780" s="43">
        <v>44026</v>
      </c>
    </row>
    <row r="1781" spans="1:8" x14ac:dyDescent="0.25">
      <c r="A1781" s="28" t="s">
        <v>2028</v>
      </c>
      <c r="B1781" s="42" t="s">
        <v>3</v>
      </c>
      <c r="C1781" s="3">
        <v>18</v>
      </c>
      <c r="D1781" s="3">
        <v>1</v>
      </c>
      <c r="G1781" s="43">
        <v>44026</v>
      </c>
    </row>
    <row r="1782" spans="1:8" x14ac:dyDescent="0.25">
      <c r="A1782" s="28" t="s">
        <v>2029</v>
      </c>
      <c r="B1782" s="42" t="s">
        <v>120</v>
      </c>
      <c r="C1782" s="3">
        <v>18</v>
      </c>
      <c r="D1782" s="3">
        <v>1</v>
      </c>
      <c r="E1782" s="42" t="s">
        <v>160</v>
      </c>
      <c r="F1782" s="42" t="s">
        <v>160</v>
      </c>
      <c r="G1782" s="43">
        <v>44026</v>
      </c>
      <c r="H1782" s="42" t="s">
        <v>238</v>
      </c>
    </row>
    <row r="1783" spans="1:8" x14ac:dyDescent="0.25">
      <c r="A1783" s="28" t="s">
        <v>2030</v>
      </c>
      <c r="B1783" s="42" t="s">
        <v>3</v>
      </c>
      <c r="C1783" s="3">
        <v>18</v>
      </c>
      <c r="D1783" s="3">
        <v>1</v>
      </c>
      <c r="G1783" s="43">
        <v>44026</v>
      </c>
    </row>
    <row r="1784" spans="1:8" x14ac:dyDescent="0.25">
      <c r="A1784" s="28" t="s">
        <v>2031</v>
      </c>
      <c r="B1784" s="42" t="s">
        <v>120</v>
      </c>
      <c r="C1784" s="3">
        <v>18</v>
      </c>
      <c r="D1784" s="3">
        <v>1</v>
      </c>
      <c r="E1784" s="42" t="s">
        <v>160</v>
      </c>
      <c r="F1784" s="42" t="s">
        <v>160</v>
      </c>
      <c r="G1784" s="43">
        <v>44026</v>
      </c>
      <c r="H1784" s="42" t="s">
        <v>238</v>
      </c>
    </row>
    <row r="1785" spans="1:8" x14ac:dyDescent="0.25">
      <c r="A1785" s="28" t="s">
        <v>2032</v>
      </c>
      <c r="B1785" s="42" t="s">
        <v>3</v>
      </c>
      <c r="C1785" s="3">
        <v>18</v>
      </c>
      <c r="D1785" s="3">
        <v>1</v>
      </c>
      <c r="G1785" s="43">
        <v>44026</v>
      </c>
    </row>
    <row r="1786" spans="1:8" x14ac:dyDescent="0.25">
      <c r="A1786" s="28" t="s">
        <v>2033</v>
      </c>
      <c r="B1786" s="42" t="s">
        <v>3</v>
      </c>
      <c r="C1786" s="3">
        <v>18</v>
      </c>
      <c r="D1786" s="3">
        <v>1</v>
      </c>
      <c r="G1786" s="43">
        <v>44026</v>
      </c>
    </row>
    <row r="1787" spans="1:8" x14ac:dyDescent="0.25">
      <c r="A1787" s="28" t="s">
        <v>2034</v>
      </c>
      <c r="B1787" s="42" t="s">
        <v>120</v>
      </c>
      <c r="C1787" s="3">
        <v>18</v>
      </c>
      <c r="D1787" s="3">
        <v>1</v>
      </c>
      <c r="E1787" s="42" t="s">
        <v>160</v>
      </c>
      <c r="F1787" s="42" t="s">
        <v>160</v>
      </c>
      <c r="G1787" s="43">
        <v>44026</v>
      </c>
      <c r="H1787" s="42" t="s">
        <v>238</v>
      </c>
    </row>
    <row r="1788" spans="1:8" x14ac:dyDescent="0.25">
      <c r="A1788" s="28" t="s">
        <v>2035</v>
      </c>
      <c r="B1788" s="42" t="s">
        <v>120</v>
      </c>
      <c r="C1788" s="3">
        <v>18</v>
      </c>
      <c r="D1788" s="3">
        <v>1</v>
      </c>
      <c r="E1788" s="42" t="s">
        <v>160</v>
      </c>
      <c r="G1788" s="43">
        <v>44026</v>
      </c>
      <c r="H1788" s="42" t="s">
        <v>238</v>
      </c>
    </row>
    <row r="1789" spans="1:8" x14ac:dyDescent="0.25">
      <c r="A1789" s="28" t="s">
        <v>2036</v>
      </c>
      <c r="B1789" s="42" t="s">
        <v>3</v>
      </c>
      <c r="C1789" s="3">
        <v>19</v>
      </c>
      <c r="D1789" s="3">
        <v>1</v>
      </c>
      <c r="G1789" s="43">
        <v>44026</v>
      </c>
    </row>
    <row r="1790" spans="1:8" x14ac:dyDescent="0.25">
      <c r="A1790" s="28" t="s">
        <v>2037</v>
      </c>
      <c r="B1790" s="42" t="s">
        <v>120</v>
      </c>
      <c r="C1790" s="3">
        <v>19</v>
      </c>
      <c r="D1790" s="3">
        <v>1</v>
      </c>
      <c r="E1790" s="42" t="s">
        <v>160</v>
      </c>
      <c r="G1790" s="43">
        <v>44026</v>
      </c>
      <c r="H1790" s="42" t="s">
        <v>238</v>
      </c>
    </row>
    <row r="1791" spans="1:8" x14ac:dyDescent="0.25">
      <c r="A1791" s="28" t="s">
        <v>2038</v>
      </c>
      <c r="B1791" s="42" t="s">
        <v>3</v>
      </c>
      <c r="C1791" s="3">
        <v>18</v>
      </c>
      <c r="D1791" s="3">
        <v>1</v>
      </c>
      <c r="G1791" s="43">
        <v>44026</v>
      </c>
    </row>
    <row r="1792" spans="1:8" x14ac:dyDescent="0.25">
      <c r="A1792" s="28" t="s">
        <v>2039</v>
      </c>
      <c r="B1792" s="42" t="s">
        <v>120</v>
      </c>
      <c r="C1792" s="3">
        <v>18</v>
      </c>
      <c r="D1792" s="3">
        <v>1</v>
      </c>
      <c r="E1792" s="42" t="s">
        <v>160</v>
      </c>
      <c r="F1792" s="42" t="s">
        <v>160</v>
      </c>
      <c r="G1792" s="43">
        <v>44026</v>
      </c>
      <c r="H1792" s="42" t="s">
        <v>238</v>
      </c>
    </row>
    <row r="1793" spans="1:8" x14ac:dyDescent="0.25">
      <c r="A1793" s="28" t="s">
        <v>2040</v>
      </c>
      <c r="B1793" s="42" t="s">
        <v>3</v>
      </c>
      <c r="C1793" s="3">
        <v>18</v>
      </c>
      <c r="D1793" s="3">
        <v>1</v>
      </c>
      <c r="G1793" s="43">
        <v>44026</v>
      </c>
    </row>
    <row r="1794" spans="1:8" x14ac:dyDescent="0.25">
      <c r="A1794" s="28" t="s">
        <v>2041</v>
      </c>
      <c r="B1794" s="42" t="s">
        <v>3</v>
      </c>
      <c r="C1794" s="3">
        <v>18</v>
      </c>
      <c r="D1794" s="3">
        <v>1</v>
      </c>
      <c r="G1794" s="43">
        <v>44026</v>
      </c>
    </row>
    <row r="1795" spans="1:8" x14ac:dyDescent="0.25">
      <c r="A1795" s="28" t="s">
        <v>2042</v>
      </c>
      <c r="B1795" s="42" t="s">
        <v>120</v>
      </c>
      <c r="C1795" s="3">
        <v>18</v>
      </c>
      <c r="D1795" s="3">
        <v>1</v>
      </c>
      <c r="E1795" s="42" t="s">
        <v>160</v>
      </c>
      <c r="F1795" s="42" t="s">
        <v>160</v>
      </c>
      <c r="G1795" s="43">
        <v>44026</v>
      </c>
      <c r="H1795" s="42" t="s">
        <v>238</v>
      </c>
    </row>
    <row r="1796" spans="1:8" x14ac:dyDescent="0.25">
      <c r="A1796" s="28" t="s">
        <v>2043</v>
      </c>
      <c r="B1796" s="42" t="s">
        <v>120</v>
      </c>
      <c r="C1796" s="3">
        <v>19</v>
      </c>
      <c r="D1796" s="3">
        <v>1</v>
      </c>
      <c r="E1796" s="42" t="s">
        <v>160</v>
      </c>
      <c r="F1796" s="42" t="s">
        <v>160</v>
      </c>
      <c r="G1796" s="43">
        <v>44026</v>
      </c>
      <c r="H1796" s="42" t="s">
        <v>238</v>
      </c>
    </row>
    <row r="1797" spans="1:8" x14ac:dyDescent="0.25">
      <c r="A1797" s="28" t="s">
        <v>2044</v>
      </c>
      <c r="B1797" s="42" t="s">
        <v>120</v>
      </c>
      <c r="C1797" s="3">
        <v>18</v>
      </c>
      <c r="D1797" s="3">
        <v>1</v>
      </c>
      <c r="E1797" s="42" t="s">
        <v>160</v>
      </c>
      <c r="F1797" s="42" t="s">
        <v>160</v>
      </c>
      <c r="G1797" s="43">
        <v>44026</v>
      </c>
    </row>
    <row r="1798" spans="1:8" x14ac:dyDescent="0.25">
      <c r="A1798" s="28" t="s">
        <v>2045</v>
      </c>
      <c r="B1798" s="42" t="s">
        <v>120</v>
      </c>
      <c r="C1798" s="3">
        <v>18</v>
      </c>
      <c r="D1798" s="3">
        <v>1</v>
      </c>
      <c r="E1798" s="42" t="s">
        <v>160</v>
      </c>
      <c r="F1798" s="42" t="s">
        <v>160</v>
      </c>
      <c r="G1798" s="43">
        <v>44026</v>
      </c>
      <c r="H1798" s="42" t="s">
        <v>238</v>
      </c>
    </row>
    <row r="1799" spans="1:8" x14ac:dyDescent="0.25">
      <c r="A1799" s="28" t="s">
        <v>2046</v>
      </c>
      <c r="B1799" s="42" t="s">
        <v>3</v>
      </c>
      <c r="C1799" s="3">
        <v>18</v>
      </c>
      <c r="D1799" s="3">
        <v>1</v>
      </c>
      <c r="E1799" s="42" t="s">
        <v>160</v>
      </c>
      <c r="G1799" s="43">
        <v>44026</v>
      </c>
    </row>
    <row r="1800" spans="1:8" x14ac:dyDescent="0.25">
      <c r="A1800" s="28" t="s">
        <v>2047</v>
      </c>
      <c r="B1800" s="42" t="s">
        <v>3</v>
      </c>
      <c r="C1800" s="3">
        <v>18</v>
      </c>
      <c r="D1800" s="3">
        <v>1</v>
      </c>
      <c r="E1800" s="42" t="s">
        <v>160</v>
      </c>
      <c r="G1800" s="43">
        <v>44026</v>
      </c>
    </row>
    <row r="1801" spans="1:8" x14ac:dyDescent="0.25">
      <c r="A1801" s="28" t="s">
        <v>2048</v>
      </c>
      <c r="B1801" s="42" t="s">
        <v>3</v>
      </c>
      <c r="C1801" s="3">
        <v>18</v>
      </c>
      <c r="D1801" s="3">
        <v>1</v>
      </c>
      <c r="G1801" s="43">
        <v>44026</v>
      </c>
    </row>
    <row r="1802" spans="1:8" x14ac:dyDescent="0.25">
      <c r="A1802" s="28" t="s">
        <v>2049</v>
      </c>
      <c r="B1802" s="42" t="s">
        <v>3</v>
      </c>
      <c r="C1802" s="3">
        <v>18</v>
      </c>
      <c r="D1802" s="3">
        <v>1</v>
      </c>
      <c r="G1802" s="43">
        <v>44026</v>
      </c>
    </row>
    <row r="1803" spans="1:8" x14ac:dyDescent="0.25">
      <c r="A1803" s="28" t="s">
        <v>2050</v>
      </c>
      <c r="B1803" s="42" t="s">
        <v>120</v>
      </c>
      <c r="C1803" s="3">
        <v>18</v>
      </c>
      <c r="D1803" s="3">
        <v>1</v>
      </c>
      <c r="E1803" s="42" t="s">
        <v>160</v>
      </c>
      <c r="F1803" s="42" t="s">
        <v>160</v>
      </c>
      <c r="G1803" s="43">
        <v>44026</v>
      </c>
      <c r="H1803" s="42" t="s">
        <v>238</v>
      </c>
    </row>
    <row r="1804" spans="1:8" x14ac:dyDescent="0.25">
      <c r="A1804" s="28" t="s">
        <v>2051</v>
      </c>
      <c r="B1804" s="42" t="s">
        <v>3</v>
      </c>
      <c r="C1804" s="3">
        <v>21</v>
      </c>
      <c r="D1804" s="3">
        <v>1</v>
      </c>
      <c r="G1804" s="43">
        <v>44026</v>
      </c>
    </row>
    <row r="1805" spans="1:8" x14ac:dyDescent="0.25">
      <c r="A1805" s="28" t="s">
        <v>2052</v>
      </c>
      <c r="B1805" s="42" t="s">
        <v>120</v>
      </c>
      <c r="C1805" s="3">
        <v>18</v>
      </c>
      <c r="D1805" s="3">
        <v>1</v>
      </c>
      <c r="E1805" s="42" t="s">
        <v>160</v>
      </c>
      <c r="F1805" s="42" t="s">
        <v>160</v>
      </c>
      <c r="G1805" s="43">
        <v>44026</v>
      </c>
      <c r="H1805" s="42" t="s">
        <v>238</v>
      </c>
    </row>
    <row r="1806" spans="1:8" x14ac:dyDescent="0.25">
      <c r="A1806" s="28" t="s">
        <v>2053</v>
      </c>
      <c r="B1806" s="42" t="s">
        <v>3</v>
      </c>
      <c r="C1806" s="3">
        <v>18</v>
      </c>
      <c r="D1806" s="3">
        <v>1</v>
      </c>
      <c r="G1806" s="43">
        <v>44026</v>
      </c>
    </row>
    <row r="1807" spans="1:8" x14ac:dyDescent="0.25">
      <c r="A1807" s="28" t="s">
        <v>2054</v>
      </c>
      <c r="B1807" s="42" t="s">
        <v>120</v>
      </c>
      <c r="C1807" s="3">
        <v>19</v>
      </c>
      <c r="D1807" s="3">
        <v>1</v>
      </c>
      <c r="E1807" s="42" t="s">
        <v>160</v>
      </c>
      <c r="G1807" s="43">
        <v>44026</v>
      </c>
      <c r="H1807" s="42" t="s">
        <v>238</v>
      </c>
    </row>
    <row r="1808" spans="1:8" x14ac:dyDescent="0.25">
      <c r="A1808" s="28" t="s">
        <v>2055</v>
      </c>
      <c r="B1808" s="42" t="s">
        <v>3</v>
      </c>
      <c r="C1808" s="3">
        <v>20</v>
      </c>
      <c r="D1808" s="3">
        <v>1</v>
      </c>
      <c r="G1808" s="43">
        <v>44026</v>
      </c>
    </row>
    <row r="1809" spans="1:8" x14ac:dyDescent="0.25">
      <c r="A1809" s="28" t="s">
        <v>2056</v>
      </c>
      <c r="B1809" s="42" t="s">
        <v>3</v>
      </c>
      <c r="C1809" s="3">
        <v>18</v>
      </c>
      <c r="D1809" s="3">
        <v>1</v>
      </c>
      <c r="G1809" s="43">
        <v>44026</v>
      </c>
    </row>
    <row r="1810" spans="1:8" x14ac:dyDescent="0.25">
      <c r="A1810" s="28" t="s">
        <v>2057</v>
      </c>
      <c r="B1810" s="42" t="s">
        <v>3</v>
      </c>
      <c r="C1810" s="3">
        <v>18</v>
      </c>
      <c r="D1810" s="3">
        <v>1</v>
      </c>
      <c r="G1810" s="43">
        <v>44026</v>
      </c>
    </row>
    <row r="1811" spans="1:8" x14ac:dyDescent="0.25">
      <c r="A1811" s="28" t="s">
        <v>2058</v>
      </c>
      <c r="B1811" s="42" t="s">
        <v>120</v>
      </c>
      <c r="C1811" s="3">
        <v>18</v>
      </c>
      <c r="D1811" s="3">
        <v>1</v>
      </c>
      <c r="E1811" s="42" t="s">
        <v>160</v>
      </c>
      <c r="F1811" s="42" t="s">
        <v>160</v>
      </c>
      <c r="G1811" s="43">
        <v>44026</v>
      </c>
      <c r="H1811" s="42" t="s">
        <v>238</v>
      </c>
    </row>
    <row r="1812" spans="1:8" x14ac:dyDescent="0.25">
      <c r="A1812" s="28" t="s">
        <v>2059</v>
      </c>
      <c r="B1812" s="42" t="s">
        <v>120</v>
      </c>
      <c r="C1812" s="3">
        <v>18</v>
      </c>
      <c r="D1812" s="3">
        <v>1</v>
      </c>
      <c r="E1812" s="42" t="s">
        <v>160</v>
      </c>
      <c r="F1812" s="42" t="s">
        <v>160</v>
      </c>
      <c r="G1812" s="43">
        <v>44026</v>
      </c>
      <c r="H1812" s="42" t="s">
        <v>238</v>
      </c>
    </row>
    <row r="1813" spans="1:8" x14ac:dyDescent="0.25">
      <c r="A1813" s="28" t="s">
        <v>2060</v>
      </c>
      <c r="B1813" s="42" t="s">
        <v>3</v>
      </c>
      <c r="C1813" s="3">
        <v>18</v>
      </c>
      <c r="D1813" s="3">
        <v>1</v>
      </c>
      <c r="G1813" s="43">
        <v>44026</v>
      </c>
    </row>
    <row r="1814" spans="1:8" x14ac:dyDescent="0.25">
      <c r="A1814" s="28" t="s">
        <v>2061</v>
      </c>
      <c r="B1814" s="42" t="s">
        <v>120</v>
      </c>
      <c r="C1814" s="3">
        <v>18</v>
      </c>
      <c r="D1814" s="3">
        <v>1</v>
      </c>
      <c r="E1814" s="42" t="s">
        <v>160</v>
      </c>
      <c r="F1814" s="42" t="s">
        <v>160</v>
      </c>
      <c r="G1814" s="43">
        <v>44026</v>
      </c>
    </row>
    <row r="1815" spans="1:8" x14ac:dyDescent="0.25">
      <c r="A1815" s="28" t="s">
        <v>2062</v>
      </c>
      <c r="B1815" s="42" t="s">
        <v>3</v>
      </c>
      <c r="C1815" s="3">
        <v>18</v>
      </c>
      <c r="D1815" s="3">
        <v>1</v>
      </c>
      <c r="G1815" s="43">
        <v>44026</v>
      </c>
    </row>
    <row r="1816" spans="1:8" x14ac:dyDescent="0.25">
      <c r="A1816" s="28" t="s">
        <v>2063</v>
      </c>
      <c r="B1816" s="42" t="s">
        <v>120</v>
      </c>
      <c r="C1816" s="3">
        <v>18</v>
      </c>
      <c r="D1816" s="3">
        <v>1</v>
      </c>
      <c r="E1816" s="42" t="s">
        <v>160</v>
      </c>
      <c r="F1816" s="42" t="s">
        <v>160</v>
      </c>
      <c r="G1816" s="43">
        <v>44026</v>
      </c>
      <c r="H1816" s="42" t="s">
        <v>238</v>
      </c>
    </row>
    <row r="1817" spans="1:8" x14ac:dyDescent="0.25">
      <c r="A1817" s="28" t="s">
        <v>2064</v>
      </c>
      <c r="B1817" s="42" t="s">
        <v>3</v>
      </c>
      <c r="C1817" s="3">
        <v>18</v>
      </c>
      <c r="D1817" s="3">
        <v>1</v>
      </c>
      <c r="G1817" s="43">
        <v>44026</v>
      </c>
    </row>
    <row r="1818" spans="1:8" x14ac:dyDescent="0.25">
      <c r="A1818" s="28" t="s">
        <v>2065</v>
      </c>
      <c r="B1818" s="42" t="s">
        <v>120</v>
      </c>
      <c r="C1818" s="3">
        <v>20</v>
      </c>
      <c r="D1818" s="3">
        <v>1</v>
      </c>
      <c r="E1818" s="42" t="s">
        <v>160</v>
      </c>
      <c r="F1818" s="42" t="s">
        <v>160</v>
      </c>
      <c r="G1818" s="43">
        <v>44026</v>
      </c>
      <c r="H1818" s="42" t="s">
        <v>238</v>
      </c>
    </row>
    <row r="1819" spans="1:8" x14ac:dyDescent="0.25">
      <c r="A1819" s="28" t="s">
        <v>2066</v>
      </c>
      <c r="B1819" s="42" t="s">
        <v>3</v>
      </c>
      <c r="C1819" s="3">
        <v>18</v>
      </c>
      <c r="D1819" s="3">
        <v>1</v>
      </c>
      <c r="G1819" s="43">
        <v>44026</v>
      </c>
    </row>
    <row r="1820" spans="1:8" x14ac:dyDescent="0.25">
      <c r="A1820" s="28" t="s">
        <v>2067</v>
      </c>
      <c r="B1820" s="42" t="s">
        <v>120</v>
      </c>
      <c r="C1820" s="3">
        <v>18</v>
      </c>
      <c r="D1820" s="3">
        <v>1</v>
      </c>
      <c r="E1820" s="42" t="s">
        <v>160</v>
      </c>
      <c r="F1820" s="42" t="s">
        <v>160</v>
      </c>
      <c r="G1820" s="43">
        <v>44026</v>
      </c>
      <c r="H1820" s="42" t="s">
        <v>238</v>
      </c>
    </row>
    <row r="1821" spans="1:8" x14ac:dyDescent="0.25">
      <c r="A1821" s="28" t="s">
        <v>2068</v>
      </c>
      <c r="B1821" s="42" t="s">
        <v>120</v>
      </c>
      <c r="C1821" s="3">
        <v>25</v>
      </c>
      <c r="D1821" s="3">
        <v>1</v>
      </c>
      <c r="E1821" s="42" t="s">
        <v>160</v>
      </c>
      <c r="F1821" s="42" t="s">
        <v>160</v>
      </c>
      <c r="G1821" s="43">
        <v>44026</v>
      </c>
      <c r="H1821" s="42" t="s">
        <v>238</v>
      </c>
    </row>
    <row r="1822" spans="1:8" x14ac:dyDescent="0.25">
      <c r="A1822" s="48" t="s">
        <v>2069</v>
      </c>
      <c r="B1822" s="42" t="s">
        <v>120</v>
      </c>
      <c r="C1822" s="21">
        <v>19</v>
      </c>
      <c r="D1822" s="21">
        <v>1</v>
      </c>
      <c r="E1822" s="42" t="s">
        <v>160</v>
      </c>
      <c r="F1822" s="42" t="s">
        <v>160</v>
      </c>
      <c r="G1822" s="43">
        <v>44026</v>
      </c>
      <c r="H1822" s="42" t="s">
        <v>238</v>
      </c>
    </row>
    <row r="1823" spans="1:8" x14ac:dyDescent="0.25">
      <c r="A1823" s="28" t="s">
        <v>2070</v>
      </c>
      <c r="B1823" s="42" t="s">
        <v>3</v>
      </c>
      <c r="C1823" s="3">
        <v>18</v>
      </c>
      <c r="D1823" s="3">
        <v>1</v>
      </c>
      <c r="E1823" s="49"/>
      <c r="G1823" s="43">
        <v>44026</v>
      </c>
    </row>
    <row r="1824" spans="1:8" x14ac:dyDescent="0.25">
      <c r="A1824" s="28" t="s">
        <v>2071</v>
      </c>
      <c r="B1824" s="42" t="s">
        <v>120</v>
      </c>
      <c r="C1824" s="3">
        <v>18</v>
      </c>
      <c r="D1824" s="3">
        <v>1</v>
      </c>
      <c r="E1824" s="42" t="s">
        <v>160</v>
      </c>
      <c r="F1824" s="42" t="s">
        <v>160</v>
      </c>
      <c r="G1824" s="43">
        <v>44026</v>
      </c>
      <c r="H1824" s="42" t="s">
        <v>238</v>
      </c>
    </row>
    <row r="1825" spans="1:8" x14ac:dyDescent="0.25">
      <c r="A1825" s="28" t="s">
        <v>2072</v>
      </c>
      <c r="B1825" s="42" t="s">
        <v>3</v>
      </c>
      <c r="C1825" s="3">
        <v>19</v>
      </c>
      <c r="D1825" s="3">
        <v>1</v>
      </c>
      <c r="E1825" s="49"/>
      <c r="G1825" s="43">
        <v>44026</v>
      </c>
    </row>
    <row r="1826" spans="1:8" x14ac:dyDescent="0.25">
      <c r="A1826" s="28" t="s">
        <v>2073</v>
      </c>
      <c r="B1826" s="42" t="s">
        <v>3</v>
      </c>
      <c r="C1826" s="3">
        <v>18</v>
      </c>
      <c r="D1826" s="3">
        <v>1</v>
      </c>
      <c r="E1826" s="49"/>
      <c r="G1826" s="43">
        <v>44026</v>
      </c>
    </row>
    <row r="1827" spans="1:8" x14ac:dyDescent="0.25">
      <c r="A1827" s="28" t="s">
        <v>2074</v>
      </c>
      <c r="B1827" s="42" t="s">
        <v>3</v>
      </c>
      <c r="C1827" s="3">
        <v>18</v>
      </c>
      <c r="D1827" s="3">
        <v>1</v>
      </c>
      <c r="E1827" s="49"/>
      <c r="G1827" s="43">
        <v>44026</v>
      </c>
    </row>
    <row r="1828" spans="1:8" x14ac:dyDescent="0.25">
      <c r="A1828" s="28" t="s">
        <v>2075</v>
      </c>
      <c r="B1828" s="42" t="s">
        <v>3</v>
      </c>
      <c r="C1828" s="3">
        <v>18</v>
      </c>
      <c r="D1828" s="3">
        <v>1</v>
      </c>
      <c r="E1828" s="49"/>
      <c r="G1828" s="43">
        <v>44026</v>
      </c>
    </row>
    <row r="1829" spans="1:8" x14ac:dyDescent="0.25">
      <c r="A1829" s="28" t="s">
        <v>2076</v>
      </c>
      <c r="B1829" s="42" t="s">
        <v>3</v>
      </c>
      <c r="C1829" s="3">
        <v>18</v>
      </c>
      <c r="D1829" s="3">
        <v>1</v>
      </c>
      <c r="E1829" s="42" t="s">
        <v>160</v>
      </c>
      <c r="G1829" s="43">
        <v>44026</v>
      </c>
    </row>
    <row r="1830" spans="1:8" x14ac:dyDescent="0.25">
      <c r="A1830" s="28" t="s">
        <v>2077</v>
      </c>
      <c r="B1830" s="42" t="s">
        <v>3</v>
      </c>
      <c r="C1830" s="3">
        <v>21</v>
      </c>
      <c r="D1830" s="3">
        <v>1</v>
      </c>
      <c r="E1830" s="49"/>
      <c r="G1830" s="43">
        <v>44026</v>
      </c>
    </row>
    <row r="1831" spans="1:8" x14ac:dyDescent="0.25">
      <c r="A1831" s="28" t="s">
        <v>2078</v>
      </c>
      <c r="B1831" s="42" t="s">
        <v>3</v>
      </c>
      <c r="C1831" s="3">
        <v>20</v>
      </c>
      <c r="D1831" s="3">
        <v>1</v>
      </c>
      <c r="E1831" s="49"/>
      <c r="G1831" s="43">
        <v>44026</v>
      </c>
    </row>
    <row r="1832" spans="1:8" x14ac:dyDescent="0.25">
      <c r="A1832" s="28" t="s">
        <v>2079</v>
      </c>
      <c r="B1832" s="42" t="s">
        <v>3</v>
      </c>
      <c r="C1832" s="3">
        <v>19</v>
      </c>
      <c r="D1832" s="3">
        <v>1</v>
      </c>
      <c r="E1832" s="49"/>
      <c r="G1832" s="43">
        <v>44026</v>
      </c>
    </row>
    <row r="1833" spans="1:8" x14ac:dyDescent="0.25">
      <c r="A1833" s="28" t="s">
        <v>2080</v>
      </c>
      <c r="B1833" s="42" t="s">
        <v>120</v>
      </c>
      <c r="C1833" s="3">
        <v>18</v>
      </c>
      <c r="D1833" s="3">
        <v>1</v>
      </c>
      <c r="E1833" s="42" t="s">
        <v>160</v>
      </c>
      <c r="F1833" s="42" t="s">
        <v>160</v>
      </c>
      <c r="G1833" s="43">
        <v>44026</v>
      </c>
      <c r="H1833" s="42" t="s">
        <v>238</v>
      </c>
    </row>
    <row r="1834" spans="1:8" x14ac:dyDescent="0.25">
      <c r="A1834" s="28" t="s">
        <v>2081</v>
      </c>
      <c r="B1834" s="42" t="s">
        <v>3</v>
      </c>
      <c r="C1834" s="3">
        <v>18</v>
      </c>
      <c r="D1834" s="3">
        <v>1</v>
      </c>
      <c r="E1834" s="49"/>
      <c r="G1834" s="43">
        <v>44026</v>
      </c>
    </row>
    <row r="1835" spans="1:8" x14ac:dyDescent="0.25">
      <c r="A1835" s="28" t="s">
        <v>2082</v>
      </c>
      <c r="B1835" s="42" t="s">
        <v>3</v>
      </c>
      <c r="C1835" s="3">
        <v>18</v>
      </c>
      <c r="D1835" s="3">
        <v>1</v>
      </c>
      <c r="E1835" s="49"/>
      <c r="G1835" s="43">
        <v>44026</v>
      </c>
    </row>
    <row r="1836" spans="1:8" x14ac:dyDescent="0.25">
      <c r="A1836" s="28" t="s">
        <v>2083</v>
      </c>
      <c r="B1836" s="42" t="s">
        <v>3</v>
      </c>
      <c r="C1836" s="3">
        <v>19</v>
      </c>
      <c r="D1836" s="3">
        <v>1</v>
      </c>
      <c r="E1836" s="49"/>
      <c r="G1836" s="43">
        <v>44026</v>
      </c>
    </row>
    <row r="1837" spans="1:8" x14ac:dyDescent="0.25">
      <c r="A1837" s="28" t="s">
        <v>2084</v>
      </c>
      <c r="B1837" s="42" t="s">
        <v>3</v>
      </c>
      <c r="C1837" s="3">
        <v>18</v>
      </c>
      <c r="D1837" s="3">
        <v>1</v>
      </c>
      <c r="E1837" s="49"/>
      <c r="G1837" s="43">
        <v>44026</v>
      </c>
    </row>
    <row r="1838" spans="1:8" x14ac:dyDescent="0.25">
      <c r="A1838" s="28" t="s">
        <v>2085</v>
      </c>
      <c r="B1838" s="42" t="s">
        <v>3</v>
      </c>
      <c r="C1838" s="3">
        <v>18</v>
      </c>
      <c r="D1838" s="3">
        <v>1</v>
      </c>
      <c r="E1838" s="49"/>
      <c r="G1838" s="43">
        <v>44026</v>
      </c>
    </row>
    <row r="1839" spans="1:8" x14ac:dyDescent="0.25">
      <c r="A1839" s="28" t="s">
        <v>2086</v>
      </c>
      <c r="B1839" s="42" t="s">
        <v>3</v>
      </c>
      <c r="C1839" s="3">
        <v>18</v>
      </c>
      <c r="D1839" s="3">
        <v>1</v>
      </c>
      <c r="E1839" s="49"/>
      <c r="G1839" s="43">
        <v>44026</v>
      </c>
    </row>
    <row r="1840" spans="1:8" x14ac:dyDescent="0.25">
      <c r="A1840" s="28" t="s">
        <v>2087</v>
      </c>
      <c r="B1840" s="42" t="s">
        <v>3</v>
      </c>
      <c r="C1840" s="3">
        <v>22</v>
      </c>
      <c r="D1840" s="3">
        <v>1</v>
      </c>
      <c r="G1840" s="43">
        <v>44026</v>
      </c>
    </row>
    <row r="1841" spans="1:8" x14ac:dyDescent="0.25">
      <c r="A1841" s="28" t="s">
        <v>2088</v>
      </c>
      <c r="B1841" s="42" t="s">
        <v>3</v>
      </c>
      <c r="C1841" s="3">
        <v>20</v>
      </c>
      <c r="D1841" s="3">
        <v>1</v>
      </c>
      <c r="E1841" s="49"/>
      <c r="G1841" s="43">
        <v>44026</v>
      </c>
    </row>
    <row r="1842" spans="1:8" x14ac:dyDescent="0.25">
      <c r="A1842" s="28" t="s">
        <v>2089</v>
      </c>
      <c r="B1842" s="42" t="s">
        <v>3</v>
      </c>
      <c r="C1842" s="3">
        <v>18</v>
      </c>
      <c r="D1842" s="3">
        <v>1</v>
      </c>
      <c r="E1842" s="42" t="s">
        <v>160</v>
      </c>
      <c r="G1842" s="43">
        <v>44026</v>
      </c>
    </row>
    <row r="1843" spans="1:8" x14ac:dyDescent="0.25">
      <c r="A1843" s="28" t="s">
        <v>2090</v>
      </c>
      <c r="B1843" s="42" t="s">
        <v>3</v>
      </c>
      <c r="C1843" s="3">
        <v>19</v>
      </c>
      <c r="D1843" s="3">
        <v>1</v>
      </c>
      <c r="E1843" s="49"/>
      <c r="G1843" s="43">
        <v>44026</v>
      </c>
    </row>
    <row r="1844" spans="1:8" x14ac:dyDescent="0.25">
      <c r="A1844" s="28" t="s">
        <v>2091</v>
      </c>
      <c r="B1844" s="42" t="s">
        <v>3</v>
      </c>
      <c r="C1844" s="3">
        <v>18</v>
      </c>
      <c r="D1844" s="3">
        <v>1</v>
      </c>
      <c r="E1844" s="49"/>
      <c r="G1844" s="43">
        <v>44026</v>
      </c>
    </row>
    <row r="1845" spans="1:8" x14ac:dyDescent="0.25">
      <c r="A1845" s="28" t="s">
        <v>2092</v>
      </c>
      <c r="B1845" s="42" t="s">
        <v>120</v>
      </c>
      <c r="C1845" s="3">
        <v>18</v>
      </c>
      <c r="D1845" s="3">
        <v>1</v>
      </c>
      <c r="E1845" s="42" t="s">
        <v>160</v>
      </c>
      <c r="F1845" s="42" t="s">
        <v>160</v>
      </c>
      <c r="G1845" s="43">
        <v>44026</v>
      </c>
      <c r="H1845" s="42" t="s">
        <v>238</v>
      </c>
    </row>
    <row r="1846" spans="1:8" x14ac:dyDescent="0.25">
      <c r="A1846" s="28" t="s">
        <v>2093</v>
      </c>
      <c r="B1846" s="42" t="s">
        <v>3</v>
      </c>
      <c r="C1846" s="3">
        <v>18</v>
      </c>
      <c r="D1846" s="3">
        <v>1</v>
      </c>
      <c r="E1846" s="42" t="s">
        <v>160</v>
      </c>
      <c r="G1846" s="43">
        <v>44026</v>
      </c>
    </row>
    <row r="1847" spans="1:8" x14ac:dyDescent="0.25">
      <c r="A1847" s="28" t="s">
        <v>2094</v>
      </c>
      <c r="B1847" s="42" t="s">
        <v>120</v>
      </c>
      <c r="C1847" s="3">
        <v>18</v>
      </c>
      <c r="D1847" s="3">
        <v>1</v>
      </c>
      <c r="E1847" s="42" t="s">
        <v>160</v>
      </c>
      <c r="F1847" s="42" t="s">
        <v>160</v>
      </c>
      <c r="G1847" s="43">
        <v>44026</v>
      </c>
      <c r="H1847" s="42" t="s">
        <v>238</v>
      </c>
    </row>
    <row r="1848" spans="1:8" x14ac:dyDescent="0.25">
      <c r="A1848" s="28" t="s">
        <v>2095</v>
      </c>
      <c r="B1848" s="42" t="s">
        <v>3</v>
      </c>
      <c r="C1848" s="3">
        <v>18</v>
      </c>
      <c r="D1848" s="3">
        <v>1</v>
      </c>
      <c r="E1848" s="49"/>
      <c r="G1848" s="43">
        <v>44026</v>
      </c>
    </row>
    <row r="1849" spans="1:8" x14ac:dyDescent="0.25">
      <c r="A1849" s="28" t="s">
        <v>2096</v>
      </c>
      <c r="B1849" s="42" t="s">
        <v>120</v>
      </c>
      <c r="C1849" s="3">
        <v>18</v>
      </c>
      <c r="D1849" s="3">
        <v>1</v>
      </c>
      <c r="E1849" s="42" t="s">
        <v>160</v>
      </c>
      <c r="F1849" s="42" t="s">
        <v>160</v>
      </c>
      <c r="G1849" s="43">
        <v>44026</v>
      </c>
      <c r="H1849" s="42" t="s">
        <v>238</v>
      </c>
    </row>
    <row r="1850" spans="1:8" x14ac:dyDescent="0.25">
      <c r="A1850" s="28" t="s">
        <v>2097</v>
      </c>
      <c r="B1850" s="42" t="s">
        <v>120</v>
      </c>
      <c r="C1850" s="3">
        <v>20</v>
      </c>
      <c r="D1850" s="3">
        <v>1</v>
      </c>
      <c r="E1850" s="42" t="s">
        <v>160</v>
      </c>
      <c r="F1850" s="42" t="s">
        <v>160</v>
      </c>
      <c r="G1850" s="43">
        <v>44026</v>
      </c>
      <c r="H1850" s="42" t="s">
        <v>238</v>
      </c>
    </row>
    <row r="1851" spans="1:8" x14ac:dyDescent="0.25">
      <c r="A1851" s="28" t="s">
        <v>2098</v>
      </c>
      <c r="B1851" s="42" t="s">
        <v>3</v>
      </c>
      <c r="C1851" s="3">
        <v>18</v>
      </c>
      <c r="D1851" s="3">
        <v>1</v>
      </c>
      <c r="E1851" s="49"/>
      <c r="G1851" s="43">
        <v>44026</v>
      </c>
    </row>
    <row r="1852" spans="1:8" x14ac:dyDescent="0.25">
      <c r="A1852" s="28" t="s">
        <v>2099</v>
      </c>
      <c r="B1852" s="42" t="s">
        <v>3</v>
      </c>
      <c r="C1852" s="3">
        <v>18</v>
      </c>
      <c r="D1852" s="3">
        <v>1</v>
      </c>
      <c r="E1852" s="49"/>
      <c r="G1852" s="43">
        <v>44026</v>
      </c>
    </row>
    <row r="1853" spans="1:8" x14ac:dyDescent="0.25">
      <c r="A1853" s="28" t="s">
        <v>2100</v>
      </c>
      <c r="B1853" s="42" t="s">
        <v>120</v>
      </c>
      <c r="C1853" s="3">
        <v>18</v>
      </c>
      <c r="D1853" s="3">
        <v>1</v>
      </c>
      <c r="E1853" s="42" t="s">
        <v>160</v>
      </c>
      <c r="F1853" s="42" t="s">
        <v>160</v>
      </c>
      <c r="G1853" s="43">
        <v>44026</v>
      </c>
      <c r="H1853" s="42" t="s">
        <v>238</v>
      </c>
    </row>
    <row r="1854" spans="1:8" x14ac:dyDescent="0.25">
      <c r="A1854" s="28" t="s">
        <v>2101</v>
      </c>
      <c r="B1854" s="42" t="s">
        <v>3</v>
      </c>
      <c r="C1854" s="3">
        <v>20</v>
      </c>
      <c r="D1854" s="3">
        <v>1</v>
      </c>
      <c r="E1854" s="42" t="s">
        <v>160</v>
      </c>
      <c r="G1854" s="43">
        <v>44026</v>
      </c>
    </row>
    <row r="1855" spans="1:8" x14ac:dyDescent="0.25">
      <c r="A1855" s="28" t="s">
        <v>2102</v>
      </c>
      <c r="B1855" s="42" t="s">
        <v>3</v>
      </c>
      <c r="C1855" s="3">
        <v>18</v>
      </c>
      <c r="D1855" s="3">
        <v>1</v>
      </c>
      <c r="E1855" s="49"/>
      <c r="G1855" s="43">
        <v>44026</v>
      </c>
    </row>
    <row r="1856" spans="1:8" x14ac:dyDescent="0.25">
      <c r="A1856" s="28" t="s">
        <v>2103</v>
      </c>
      <c r="B1856" s="42" t="s">
        <v>120</v>
      </c>
      <c r="C1856" s="3">
        <v>18</v>
      </c>
      <c r="D1856" s="3">
        <v>1</v>
      </c>
      <c r="E1856" s="42" t="s">
        <v>160</v>
      </c>
      <c r="F1856" s="42" t="s">
        <v>160</v>
      </c>
      <c r="G1856" s="43">
        <v>44026</v>
      </c>
      <c r="H1856" s="42" t="s">
        <v>238</v>
      </c>
    </row>
    <row r="1857" spans="1:8" x14ac:dyDescent="0.25">
      <c r="A1857" s="28" t="s">
        <v>2104</v>
      </c>
      <c r="B1857" s="42" t="s">
        <v>120</v>
      </c>
      <c r="C1857" s="3">
        <v>18</v>
      </c>
      <c r="D1857" s="3">
        <v>1</v>
      </c>
      <c r="E1857" s="42" t="s">
        <v>160</v>
      </c>
      <c r="F1857" s="42" t="s">
        <v>160</v>
      </c>
      <c r="G1857" s="43">
        <v>44026</v>
      </c>
      <c r="H1857" s="42" t="s">
        <v>238</v>
      </c>
    </row>
    <row r="1858" spans="1:8" x14ac:dyDescent="0.25">
      <c r="A1858" s="28" t="s">
        <v>2105</v>
      </c>
      <c r="B1858" s="42" t="s">
        <v>120</v>
      </c>
      <c r="C1858" s="3">
        <v>18</v>
      </c>
      <c r="D1858" s="3">
        <v>1</v>
      </c>
      <c r="E1858" s="42" t="s">
        <v>160</v>
      </c>
      <c r="F1858" s="42" t="s">
        <v>160</v>
      </c>
      <c r="G1858" s="43">
        <v>44026</v>
      </c>
      <c r="H1858" s="42" t="s">
        <v>238</v>
      </c>
    </row>
    <row r="1859" spans="1:8" x14ac:dyDescent="0.25">
      <c r="A1859" s="50" t="s">
        <v>2106</v>
      </c>
      <c r="B1859" s="42" t="s">
        <v>3</v>
      </c>
      <c r="C1859" s="51">
        <v>28</v>
      </c>
      <c r="D1859" s="51">
        <v>1</v>
      </c>
      <c r="G1859" s="43">
        <v>44026</v>
      </c>
    </row>
    <row r="1860" spans="1:8" x14ac:dyDescent="0.25">
      <c r="A1860" s="28" t="s">
        <v>2107</v>
      </c>
      <c r="B1860" s="42" t="s">
        <v>3</v>
      </c>
      <c r="C1860" s="3">
        <v>18</v>
      </c>
      <c r="D1860" s="3">
        <v>1</v>
      </c>
      <c r="G1860" s="43">
        <v>44026</v>
      </c>
    </row>
    <row r="1861" spans="1:8" x14ac:dyDescent="0.25">
      <c r="A1861" s="28" t="s">
        <v>2108</v>
      </c>
      <c r="B1861" s="42" t="s">
        <v>3</v>
      </c>
      <c r="C1861" s="3">
        <v>22</v>
      </c>
      <c r="D1861" s="3">
        <v>1</v>
      </c>
      <c r="G1861" s="43">
        <v>44026</v>
      </c>
    </row>
    <row r="1862" spans="1:8" x14ac:dyDescent="0.25">
      <c r="A1862" s="28" t="s">
        <v>2109</v>
      </c>
      <c r="B1862" s="42" t="s">
        <v>120</v>
      </c>
      <c r="C1862" s="3">
        <v>21</v>
      </c>
      <c r="D1862" s="3">
        <v>1</v>
      </c>
      <c r="E1862" s="42" t="s">
        <v>160</v>
      </c>
      <c r="F1862" s="42" t="s">
        <v>160</v>
      </c>
      <c r="G1862" s="43">
        <v>44026</v>
      </c>
    </row>
    <row r="1863" spans="1:8" x14ac:dyDescent="0.25">
      <c r="A1863" s="28" t="s">
        <v>2110</v>
      </c>
      <c r="B1863" s="42" t="s">
        <v>3</v>
      </c>
      <c r="C1863" s="3">
        <v>18</v>
      </c>
      <c r="D1863" s="3">
        <v>1</v>
      </c>
      <c r="G1863" s="43">
        <v>44026</v>
      </c>
    </row>
    <row r="1864" spans="1:8" x14ac:dyDescent="0.25">
      <c r="A1864" s="28" t="s">
        <v>2111</v>
      </c>
      <c r="B1864" s="42" t="s">
        <v>120</v>
      </c>
      <c r="C1864" s="3">
        <v>19</v>
      </c>
      <c r="D1864" s="3">
        <v>1</v>
      </c>
      <c r="E1864" s="42" t="s">
        <v>160</v>
      </c>
      <c r="F1864" s="42" t="s">
        <v>160</v>
      </c>
      <c r="G1864" s="43">
        <v>44026</v>
      </c>
      <c r="H1864" s="42" t="s">
        <v>238</v>
      </c>
    </row>
    <row r="1865" spans="1:8" x14ac:dyDescent="0.25">
      <c r="A1865" s="28" t="s">
        <v>2112</v>
      </c>
      <c r="B1865" s="42" t="s">
        <v>120</v>
      </c>
      <c r="C1865" s="3">
        <v>21</v>
      </c>
      <c r="D1865" s="3">
        <v>1</v>
      </c>
      <c r="E1865" s="42" t="s">
        <v>160</v>
      </c>
      <c r="F1865" s="42" t="s">
        <v>160</v>
      </c>
      <c r="G1865" s="43">
        <v>44026</v>
      </c>
      <c r="H1865" s="42" t="s">
        <v>238</v>
      </c>
    </row>
    <row r="1866" spans="1:8" x14ac:dyDescent="0.25">
      <c r="A1866" s="28" t="s">
        <v>2113</v>
      </c>
      <c r="B1866" s="42" t="s">
        <v>3</v>
      </c>
      <c r="C1866" s="3">
        <v>18</v>
      </c>
      <c r="D1866" s="3">
        <v>1</v>
      </c>
      <c r="G1866" s="43">
        <v>44026</v>
      </c>
    </row>
    <row r="1867" spans="1:8" x14ac:dyDescent="0.25">
      <c r="A1867" s="28" t="s">
        <v>2114</v>
      </c>
      <c r="B1867" s="42" t="s">
        <v>120</v>
      </c>
      <c r="C1867" s="3">
        <v>18</v>
      </c>
      <c r="D1867" s="3">
        <v>1</v>
      </c>
      <c r="E1867" s="42" t="s">
        <v>160</v>
      </c>
      <c r="F1867" s="42" t="s">
        <v>160</v>
      </c>
      <c r="G1867" s="43">
        <v>44026</v>
      </c>
      <c r="H1867" s="42" t="s">
        <v>238</v>
      </c>
    </row>
    <row r="1868" spans="1:8" x14ac:dyDescent="0.25">
      <c r="A1868" s="28" t="s">
        <v>2115</v>
      </c>
      <c r="B1868" s="42" t="s">
        <v>3</v>
      </c>
      <c r="C1868" s="3">
        <v>18</v>
      </c>
      <c r="D1868" s="3">
        <v>1</v>
      </c>
      <c r="G1868" s="43">
        <v>44026</v>
      </c>
    </row>
    <row r="1869" spans="1:8" x14ac:dyDescent="0.25">
      <c r="A1869" s="28" t="s">
        <v>2116</v>
      </c>
      <c r="B1869" s="42" t="s">
        <v>120</v>
      </c>
      <c r="C1869" s="3">
        <v>18</v>
      </c>
      <c r="D1869" s="3">
        <v>1</v>
      </c>
      <c r="E1869" s="42" t="s">
        <v>160</v>
      </c>
      <c r="F1869" s="42" t="s">
        <v>160</v>
      </c>
      <c r="G1869" s="43">
        <v>44026</v>
      </c>
      <c r="H1869" s="42" t="s">
        <v>238</v>
      </c>
    </row>
    <row r="1870" spans="1:8" x14ac:dyDescent="0.25">
      <c r="A1870" s="28" t="s">
        <v>2117</v>
      </c>
      <c r="B1870" s="42" t="s">
        <v>3</v>
      </c>
      <c r="C1870" s="3">
        <v>25</v>
      </c>
      <c r="D1870" s="3">
        <v>1</v>
      </c>
      <c r="G1870" s="43">
        <v>44026</v>
      </c>
    </row>
    <row r="1871" spans="1:8" x14ac:dyDescent="0.25">
      <c r="A1871" s="28" t="s">
        <v>2118</v>
      </c>
      <c r="B1871" s="42" t="s">
        <v>120</v>
      </c>
      <c r="C1871" s="3">
        <v>19</v>
      </c>
      <c r="D1871" s="3">
        <v>1</v>
      </c>
      <c r="E1871" s="42" t="s">
        <v>160</v>
      </c>
      <c r="G1871" s="43">
        <v>44026</v>
      </c>
      <c r="H1871" s="42" t="s">
        <v>238</v>
      </c>
    </row>
    <row r="1872" spans="1:8" x14ac:dyDescent="0.25">
      <c r="A1872" s="28" t="s">
        <v>2119</v>
      </c>
      <c r="B1872" s="42" t="s">
        <v>3</v>
      </c>
      <c r="C1872" s="3">
        <v>18</v>
      </c>
      <c r="D1872" s="3">
        <v>1</v>
      </c>
      <c r="E1872" s="42" t="s">
        <v>160</v>
      </c>
      <c r="G1872" s="43">
        <v>44026</v>
      </c>
    </row>
    <row r="1873" spans="1:8" x14ac:dyDescent="0.25">
      <c r="A1873" s="28" t="s">
        <v>2120</v>
      </c>
      <c r="B1873" s="42" t="s">
        <v>3</v>
      </c>
      <c r="C1873" s="3">
        <v>20</v>
      </c>
      <c r="D1873" s="3">
        <v>1</v>
      </c>
      <c r="G1873" s="43">
        <v>44026</v>
      </c>
    </row>
    <row r="1874" spans="1:8" x14ac:dyDescent="0.25">
      <c r="A1874" s="28" t="s">
        <v>2121</v>
      </c>
      <c r="B1874" s="42" t="s">
        <v>120</v>
      </c>
      <c r="C1874" s="3">
        <v>18</v>
      </c>
      <c r="D1874" s="3">
        <v>1</v>
      </c>
      <c r="G1874" s="43">
        <v>44026</v>
      </c>
      <c r="H1874" s="42" t="s">
        <v>238</v>
      </c>
    </row>
    <row r="1875" spans="1:8" x14ac:dyDescent="0.25">
      <c r="A1875" s="28" t="s">
        <v>2122</v>
      </c>
      <c r="B1875" s="42" t="s">
        <v>3</v>
      </c>
      <c r="C1875" s="3">
        <v>18</v>
      </c>
      <c r="D1875" s="3">
        <v>1</v>
      </c>
      <c r="G1875" s="43">
        <v>44026</v>
      </c>
    </row>
    <row r="1876" spans="1:8" x14ac:dyDescent="0.25">
      <c r="A1876" s="28" t="s">
        <v>2123</v>
      </c>
      <c r="B1876" s="42" t="s">
        <v>3</v>
      </c>
      <c r="C1876" s="3">
        <v>18</v>
      </c>
      <c r="D1876" s="3">
        <v>1</v>
      </c>
      <c r="G1876" s="43">
        <v>44026</v>
      </c>
    </row>
    <row r="1877" spans="1:8" x14ac:dyDescent="0.25">
      <c r="A1877" s="28" t="s">
        <v>2124</v>
      </c>
      <c r="B1877" s="42" t="s">
        <v>120</v>
      </c>
      <c r="C1877" s="3">
        <v>20</v>
      </c>
      <c r="D1877" s="3">
        <v>1</v>
      </c>
      <c r="E1877" s="42" t="s">
        <v>160</v>
      </c>
      <c r="F1877" s="42" t="s">
        <v>160</v>
      </c>
      <c r="G1877" s="43">
        <v>44026</v>
      </c>
      <c r="H1877" s="42" t="s">
        <v>238</v>
      </c>
    </row>
    <row r="1878" spans="1:8" x14ac:dyDescent="0.25">
      <c r="A1878" s="28" t="s">
        <v>2125</v>
      </c>
      <c r="B1878" s="42" t="s">
        <v>3</v>
      </c>
      <c r="C1878" s="3">
        <v>18</v>
      </c>
      <c r="D1878" s="3">
        <v>1</v>
      </c>
      <c r="G1878" s="43">
        <v>44026</v>
      </c>
    </row>
    <row r="1879" spans="1:8" x14ac:dyDescent="0.25">
      <c r="A1879" s="28" t="s">
        <v>2126</v>
      </c>
      <c r="B1879" s="42" t="s">
        <v>3</v>
      </c>
      <c r="C1879" s="3">
        <v>18</v>
      </c>
      <c r="D1879" s="3">
        <v>1</v>
      </c>
      <c r="G1879" s="43">
        <v>44026</v>
      </c>
    </row>
    <row r="1880" spans="1:8" x14ac:dyDescent="0.25">
      <c r="A1880" s="28" t="s">
        <v>2127</v>
      </c>
      <c r="B1880" s="42" t="s">
        <v>3</v>
      </c>
      <c r="C1880" s="3">
        <v>19</v>
      </c>
      <c r="D1880" s="3">
        <v>1</v>
      </c>
      <c r="G1880" s="43">
        <v>44026</v>
      </c>
    </row>
    <row r="1881" spans="1:8" x14ac:dyDescent="0.25">
      <c r="A1881" s="28" t="s">
        <v>2128</v>
      </c>
      <c r="B1881" s="42" t="s">
        <v>3</v>
      </c>
      <c r="C1881" s="3">
        <v>18</v>
      </c>
      <c r="D1881" s="3">
        <v>1</v>
      </c>
      <c r="G1881" s="43">
        <v>44026</v>
      </c>
    </row>
    <row r="1882" spans="1:8" x14ac:dyDescent="0.25">
      <c r="A1882" s="28" t="s">
        <v>2129</v>
      </c>
      <c r="B1882" s="42" t="s">
        <v>3</v>
      </c>
      <c r="C1882" s="3">
        <v>18</v>
      </c>
      <c r="D1882" s="3">
        <v>1</v>
      </c>
      <c r="G1882" s="43">
        <v>44026</v>
      </c>
    </row>
    <row r="1883" spans="1:8" x14ac:dyDescent="0.25">
      <c r="A1883" s="28" t="s">
        <v>2130</v>
      </c>
      <c r="B1883" s="42" t="s">
        <v>120</v>
      </c>
      <c r="C1883" s="3">
        <v>18</v>
      </c>
      <c r="D1883" s="3">
        <v>1</v>
      </c>
      <c r="E1883" s="42" t="s">
        <v>160</v>
      </c>
      <c r="F1883" s="42" t="s">
        <v>160</v>
      </c>
      <c r="G1883" s="43">
        <v>44026</v>
      </c>
      <c r="H1883" s="42" t="s">
        <v>238</v>
      </c>
    </row>
    <row r="1884" spans="1:8" x14ac:dyDescent="0.25">
      <c r="A1884" s="28" t="s">
        <v>2131</v>
      </c>
      <c r="B1884" s="42" t="s">
        <v>3</v>
      </c>
      <c r="C1884" s="3">
        <v>18</v>
      </c>
      <c r="D1884" s="3">
        <v>1</v>
      </c>
      <c r="G1884" s="43">
        <v>44026</v>
      </c>
    </row>
    <row r="1885" spans="1:8" x14ac:dyDescent="0.25">
      <c r="A1885" s="28" t="s">
        <v>2132</v>
      </c>
      <c r="B1885" s="42" t="s">
        <v>120</v>
      </c>
      <c r="C1885" s="3">
        <v>19</v>
      </c>
      <c r="D1885" s="3">
        <v>1</v>
      </c>
      <c r="E1885" s="42" t="s">
        <v>160</v>
      </c>
      <c r="F1885" s="42" t="s">
        <v>160</v>
      </c>
      <c r="G1885" s="43">
        <v>44026</v>
      </c>
      <c r="H1885" s="42" t="s">
        <v>238</v>
      </c>
    </row>
    <row r="1886" spans="1:8" x14ac:dyDescent="0.25">
      <c r="A1886" s="28" t="s">
        <v>2133</v>
      </c>
      <c r="B1886" s="42" t="s">
        <v>3</v>
      </c>
      <c r="C1886" s="3">
        <v>19</v>
      </c>
      <c r="D1886" s="3">
        <v>1</v>
      </c>
      <c r="G1886" s="43">
        <v>44026</v>
      </c>
    </row>
    <row r="1887" spans="1:8" x14ac:dyDescent="0.25">
      <c r="A1887" s="28" t="s">
        <v>2134</v>
      </c>
      <c r="B1887" s="42" t="s">
        <v>120</v>
      </c>
      <c r="C1887" s="3">
        <v>18</v>
      </c>
      <c r="D1887" s="3">
        <v>1</v>
      </c>
      <c r="E1887" s="42" t="s">
        <v>160</v>
      </c>
      <c r="F1887" s="42" t="s">
        <v>160</v>
      </c>
      <c r="G1887" s="43">
        <v>44026</v>
      </c>
      <c r="H1887" s="42" t="s">
        <v>238</v>
      </c>
    </row>
    <row r="1888" spans="1:8" x14ac:dyDescent="0.25">
      <c r="A1888" s="28" t="s">
        <v>2135</v>
      </c>
      <c r="B1888" s="42" t="s">
        <v>3</v>
      </c>
      <c r="C1888" s="3">
        <v>18</v>
      </c>
      <c r="D1888" s="3">
        <v>1</v>
      </c>
      <c r="G1888" s="43">
        <v>44026</v>
      </c>
    </row>
    <row r="1889" spans="1:8" x14ac:dyDescent="0.25">
      <c r="A1889" s="28" t="s">
        <v>2136</v>
      </c>
      <c r="B1889" s="42" t="s">
        <v>3</v>
      </c>
      <c r="C1889" s="3">
        <v>19</v>
      </c>
      <c r="D1889" s="3">
        <v>1</v>
      </c>
      <c r="G1889" s="43">
        <v>44026</v>
      </c>
    </row>
    <row r="1890" spans="1:8" x14ac:dyDescent="0.25">
      <c r="A1890" s="28" t="s">
        <v>2137</v>
      </c>
      <c r="B1890" s="42" t="s">
        <v>120</v>
      </c>
      <c r="C1890" s="3">
        <v>18</v>
      </c>
      <c r="D1890" s="3">
        <v>1</v>
      </c>
      <c r="E1890" s="42" t="s">
        <v>160</v>
      </c>
      <c r="F1890" s="42" t="s">
        <v>160</v>
      </c>
      <c r="G1890" s="43">
        <v>44026</v>
      </c>
      <c r="H1890" s="42" t="s">
        <v>238</v>
      </c>
    </row>
    <row r="1891" spans="1:8" x14ac:dyDescent="0.25">
      <c r="A1891" s="28" t="s">
        <v>2138</v>
      </c>
      <c r="B1891" s="42" t="s">
        <v>120</v>
      </c>
      <c r="C1891" s="3">
        <v>18</v>
      </c>
      <c r="D1891" s="3">
        <v>1</v>
      </c>
      <c r="E1891" s="42" t="s">
        <v>160</v>
      </c>
      <c r="F1891" s="42" t="s">
        <v>160</v>
      </c>
      <c r="G1891" s="43">
        <v>44026</v>
      </c>
      <c r="H1891" s="42" t="s">
        <v>238</v>
      </c>
    </row>
    <row r="1892" spans="1:8" x14ac:dyDescent="0.25">
      <c r="A1892" s="28" t="s">
        <v>2139</v>
      </c>
      <c r="B1892" s="42" t="s">
        <v>3</v>
      </c>
      <c r="C1892" s="3">
        <v>18</v>
      </c>
      <c r="D1892" s="3">
        <v>1</v>
      </c>
      <c r="G1892" s="43">
        <v>44026</v>
      </c>
    </row>
    <row r="1893" spans="1:8" x14ac:dyDescent="0.25">
      <c r="A1893" s="28" t="s">
        <v>2140</v>
      </c>
      <c r="B1893" s="42" t="s">
        <v>3</v>
      </c>
      <c r="C1893" s="3">
        <v>18</v>
      </c>
      <c r="D1893" s="3">
        <v>1</v>
      </c>
      <c r="G1893" s="43">
        <v>44026</v>
      </c>
    </row>
    <row r="1894" spans="1:8" x14ac:dyDescent="0.25">
      <c r="A1894" s="28" t="s">
        <v>2141</v>
      </c>
      <c r="B1894" s="42" t="s">
        <v>3</v>
      </c>
      <c r="C1894" s="3">
        <v>18</v>
      </c>
      <c r="D1894" s="3">
        <v>1</v>
      </c>
      <c r="G1894" s="43">
        <v>44027</v>
      </c>
    </row>
    <row r="1895" spans="1:8" x14ac:dyDescent="0.25">
      <c r="A1895" s="28" t="s">
        <v>2142</v>
      </c>
      <c r="B1895" s="42" t="s">
        <v>3</v>
      </c>
      <c r="C1895" s="3">
        <v>18</v>
      </c>
      <c r="D1895" s="3">
        <v>1</v>
      </c>
      <c r="G1895" s="43">
        <v>44027</v>
      </c>
    </row>
    <row r="1896" spans="1:8" x14ac:dyDescent="0.25">
      <c r="A1896" s="28" t="s">
        <v>2143</v>
      </c>
      <c r="B1896" s="42" t="s">
        <v>3</v>
      </c>
      <c r="C1896" s="3">
        <v>18</v>
      </c>
      <c r="D1896" s="3">
        <v>1</v>
      </c>
      <c r="G1896" s="43">
        <v>44027</v>
      </c>
    </row>
    <row r="1897" spans="1:8" x14ac:dyDescent="0.25">
      <c r="A1897" s="28" t="s">
        <v>2144</v>
      </c>
      <c r="B1897" s="42" t="s">
        <v>3</v>
      </c>
      <c r="C1897" s="3">
        <v>18</v>
      </c>
      <c r="D1897" s="3">
        <v>1</v>
      </c>
      <c r="G1897" s="43">
        <v>44027</v>
      </c>
    </row>
    <row r="1898" spans="1:8" x14ac:dyDescent="0.25">
      <c r="A1898" s="28" t="s">
        <v>2145</v>
      </c>
      <c r="B1898" s="42" t="s">
        <v>120</v>
      </c>
      <c r="C1898" s="3">
        <v>18</v>
      </c>
      <c r="D1898" s="3">
        <v>1</v>
      </c>
      <c r="E1898" s="42" t="s">
        <v>160</v>
      </c>
      <c r="F1898" s="42" t="s">
        <v>160</v>
      </c>
      <c r="G1898" s="43">
        <v>44027</v>
      </c>
      <c r="H1898" s="42" t="s">
        <v>238</v>
      </c>
    </row>
    <row r="1899" spans="1:8" x14ac:dyDescent="0.25">
      <c r="A1899" s="28" t="s">
        <v>2146</v>
      </c>
      <c r="B1899" s="42" t="s">
        <v>3</v>
      </c>
      <c r="C1899" s="3">
        <v>23</v>
      </c>
      <c r="D1899" s="3">
        <v>1</v>
      </c>
      <c r="G1899" s="43">
        <v>44027</v>
      </c>
    </row>
    <row r="1900" spans="1:8" x14ac:dyDescent="0.25">
      <c r="A1900" s="28" t="s">
        <v>2147</v>
      </c>
      <c r="B1900" s="42" t="s">
        <v>3</v>
      </c>
      <c r="C1900" s="3">
        <v>19</v>
      </c>
      <c r="D1900" s="3">
        <v>1</v>
      </c>
      <c r="G1900" s="43">
        <v>44027</v>
      </c>
    </row>
    <row r="1901" spans="1:8" x14ac:dyDescent="0.25">
      <c r="A1901" s="28" t="s">
        <v>2148</v>
      </c>
      <c r="B1901" s="42" t="s">
        <v>3</v>
      </c>
      <c r="C1901" s="3">
        <v>18</v>
      </c>
      <c r="D1901" s="3">
        <v>1</v>
      </c>
      <c r="G1901" s="43">
        <v>44027</v>
      </c>
    </row>
    <row r="1902" spans="1:8" x14ac:dyDescent="0.25">
      <c r="A1902" s="28" t="s">
        <v>2149</v>
      </c>
      <c r="B1902" s="42" t="s">
        <v>120</v>
      </c>
      <c r="C1902" s="3">
        <v>23</v>
      </c>
      <c r="D1902" s="3">
        <v>1</v>
      </c>
      <c r="E1902" s="42" t="s">
        <v>160</v>
      </c>
      <c r="G1902" s="43">
        <v>44027</v>
      </c>
      <c r="H1902" s="42" t="s">
        <v>238</v>
      </c>
    </row>
    <row r="1903" spans="1:8" x14ac:dyDescent="0.25">
      <c r="A1903" s="28" t="s">
        <v>2150</v>
      </c>
      <c r="B1903" s="42" t="s">
        <v>3</v>
      </c>
      <c r="C1903" s="3">
        <v>18</v>
      </c>
      <c r="D1903" s="3">
        <v>1</v>
      </c>
      <c r="G1903" s="43">
        <v>44027</v>
      </c>
    </row>
    <row r="1904" spans="1:8" x14ac:dyDescent="0.25">
      <c r="A1904" s="28" t="s">
        <v>2151</v>
      </c>
      <c r="B1904" s="42" t="s">
        <v>3</v>
      </c>
      <c r="C1904" s="3">
        <v>18</v>
      </c>
      <c r="D1904" s="3">
        <v>1</v>
      </c>
      <c r="G1904" s="43">
        <v>44027</v>
      </c>
    </row>
    <row r="1905" spans="1:8" x14ac:dyDescent="0.25">
      <c r="A1905" s="28" t="s">
        <v>2152</v>
      </c>
      <c r="B1905" s="42" t="s">
        <v>120</v>
      </c>
      <c r="C1905" s="3">
        <v>18</v>
      </c>
      <c r="D1905" s="3">
        <v>1</v>
      </c>
      <c r="E1905" s="42" t="s">
        <v>160</v>
      </c>
      <c r="F1905" s="42" t="s">
        <v>160</v>
      </c>
      <c r="G1905" s="43">
        <v>44027</v>
      </c>
      <c r="H1905" s="42" t="s">
        <v>238</v>
      </c>
    </row>
    <row r="1906" spans="1:8" x14ac:dyDescent="0.25">
      <c r="A1906" s="28" t="s">
        <v>2153</v>
      </c>
      <c r="B1906" s="42" t="s">
        <v>120</v>
      </c>
      <c r="C1906" s="3">
        <v>28</v>
      </c>
      <c r="D1906" s="3">
        <v>1</v>
      </c>
      <c r="E1906" s="42" t="s">
        <v>160</v>
      </c>
      <c r="F1906" s="42" t="s">
        <v>160</v>
      </c>
      <c r="G1906" s="43">
        <v>44027</v>
      </c>
      <c r="H1906" s="42" t="s">
        <v>238</v>
      </c>
    </row>
    <row r="1907" spans="1:8" x14ac:dyDescent="0.25">
      <c r="A1907" s="28" t="s">
        <v>2154</v>
      </c>
      <c r="B1907" s="42" t="s">
        <v>120</v>
      </c>
      <c r="C1907" s="3">
        <v>18</v>
      </c>
      <c r="D1907" s="3">
        <v>1</v>
      </c>
      <c r="E1907" s="42" t="s">
        <v>160</v>
      </c>
      <c r="G1907" s="43">
        <v>44027</v>
      </c>
      <c r="H1907" s="42" t="s">
        <v>238</v>
      </c>
    </row>
    <row r="1908" spans="1:8" x14ac:dyDescent="0.25">
      <c r="A1908" s="28" t="s">
        <v>2155</v>
      </c>
      <c r="B1908" s="42" t="s">
        <v>120</v>
      </c>
      <c r="C1908" s="3">
        <v>18</v>
      </c>
      <c r="D1908" s="3">
        <v>1</v>
      </c>
      <c r="E1908" s="42" t="s">
        <v>160</v>
      </c>
      <c r="G1908" s="43">
        <v>44027</v>
      </c>
      <c r="H1908" s="42" t="s">
        <v>238</v>
      </c>
    </row>
    <row r="1909" spans="1:8" x14ac:dyDescent="0.25">
      <c r="A1909" s="28" t="s">
        <v>2156</v>
      </c>
      <c r="B1909" s="42" t="s">
        <v>3</v>
      </c>
      <c r="C1909" s="3">
        <v>18</v>
      </c>
      <c r="D1909" s="3">
        <v>1</v>
      </c>
      <c r="G1909" s="43">
        <v>44027</v>
      </c>
    </row>
    <row r="1910" spans="1:8" x14ac:dyDescent="0.25">
      <c r="A1910" s="28" t="s">
        <v>2157</v>
      </c>
      <c r="B1910" s="42" t="s">
        <v>3</v>
      </c>
      <c r="C1910" s="3">
        <v>18</v>
      </c>
      <c r="D1910" s="3">
        <v>1</v>
      </c>
      <c r="G1910" s="43">
        <v>44027</v>
      </c>
    </row>
    <row r="1911" spans="1:8" x14ac:dyDescent="0.25">
      <c r="A1911" s="28" t="s">
        <v>2158</v>
      </c>
      <c r="B1911" s="42" t="s">
        <v>3</v>
      </c>
      <c r="C1911" s="3">
        <v>22</v>
      </c>
      <c r="D1911" s="3">
        <v>1</v>
      </c>
      <c r="G1911" s="43">
        <v>44027</v>
      </c>
    </row>
    <row r="1912" spans="1:8" x14ac:dyDescent="0.25">
      <c r="A1912" s="28" t="s">
        <v>2159</v>
      </c>
      <c r="B1912" s="42" t="s">
        <v>3</v>
      </c>
      <c r="C1912" s="3">
        <v>20</v>
      </c>
      <c r="D1912" s="3">
        <v>1</v>
      </c>
      <c r="G1912" s="43">
        <v>44027</v>
      </c>
    </row>
    <row r="1913" spans="1:8" x14ac:dyDescent="0.25">
      <c r="A1913" s="28" t="s">
        <v>2160</v>
      </c>
      <c r="B1913" s="42" t="s">
        <v>120</v>
      </c>
      <c r="C1913" s="3">
        <v>18</v>
      </c>
      <c r="D1913" s="3">
        <v>1</v>
      </c>
      <c r="E1913" s="42" t="s">
        <v>160</v>
      </c>
      <c r="F1913" s="42" t="s">
        <v>160</v>
      </c>
      <c r="G1913" s="43">
        <v>44027</v>
      </c>
      <c r="H1913" s="42" t="s">
        <v>238</v>
      </c>
    </row>
    <row r="1914" spans="1:8" x14ac:dyDescent="0.25">
      <c r="A1914" s="28" t="s">
        <v>2161</v>
      </c>
      <c r="B1914" s="42" t="s">
        <v>3</v>
      </c>
      <c r="C1914" s="3">
        <v>18</v>
      </c>
      <c r="D1914" s="3">
        <v>1</v>
      </c>
      <c r="G1914" s="43">
        <v>44027</v>
      </c>
    </row>
    <row r="1915" spans="1:8" x14ac:dyDescent="0.25">
      <c r="A1915" s="28" t="s">
        <v>2162</v>
      </c>
      <c r="B1915" s="42" t="s">
        <v>3</v>
      </c>
      <c r="C1915" s="3">
        <v>18</v>
      </c>
      <c r="D1915" s="3">
        <v>1</v>
      </c>
      <c r="G1915" s="43">
        <v>44027</v>
      </c>
    </row>
    <row r="1916" spans="1:8" x14ac:dyDescent="0.25">
      <c r="A1916" s="28" t="s">
        <v>2163</v>
      </c>
      <c r="B1916" s="42" t="s">
        <v>120</v>
      </c>
      <c r="C1916" s="3">
        <v>18</v>
      </c>
      <c r="D1916" s="3">
        <v>1</v>
      </c>
      <c r="G1916" s="43">
        <v>44027</v>
      </c>
      <c r="H1916" s="42" t="s">
        <v>238</v>
      </c>
    </row>
    <row r="1917" spans="1:8" x14ac:dyDescent="0.25">
      <c r="A1917" s="28" t="s">
        <v>2164</v>
      </c>
      <c r="B1917" s="42" t="s">
        <v>120</v>
      </c>
      <c r="C1917" s="3">
        <v>18</v>
      </c>
      <c r="D1917" s="3">
        <v>1</v>
      </c>
      <c r="G1917" s="43">
        <v>44027</v>
      </c>
      <c r="H1917" s="42" t="s">
        <v>238</v>
      </c>
    </row>
    <row r="1918" spans="1:8" x14ac:dyDescent="0.25">
      <c r="A1918" s="28" t="s">
        <v>2165</v>
      </c>
      <c r="B1918" s="42" t="s">
        <v>120</v>
      </c>
      <c r="C1918" s="3">
        <v>19</v>
      </c>
      <c r="D1918" s="3">
        <v>1</v>
      </c>
      <c r="E1918" s="42" t="s">
        <v>160</v>
      </c>
      <c r="F1918" s="42" t="s">
        <v>160</v>
      </c>
      <c r="G1918" s="43">
        <v>44027</v>
      </c>
      <c r="H1918" s="42" t="s">
        <v>238</v>
      </c>
    </row>
    <row r="1919" spans="1:8" x14ac:dyDescent="0.25">
      <c r="A1919" s="28" t="s">
        <v>2166</v>
      </c>
      <c r="B1919" s="42" t="s">
        <v>3</v>
      </c>
      <c r="C1919" s="3">
        <v>19</v>
      </c>
      <c r="D1919" s="3">
        <v>1</v>
      </c>
      <c r="G1919" s="43">
        <v>44027</v>
      </c>
    </row>
    <row r="1920" spans="1:8" x14ac:dyDescent="0.25">
      <c r="A1920" s="28" t="s">
        <v>2167</v>
      </c>
      <c r="B1920" s="42" t="s">
        <v>3</v>
      </c>
      <c r="C1920" s="3">
        <v>18</v>
      </c>
      <c r="D1920" s="3">
        <v>1</v>
      </c>
      <c r="E1920" s="42" t="s">
        <v>160</v>
      </c>
      <c r="F1920" s="42" t="s">
        <v>160</v>
      </c>
      <c r="G1920" s="43">
        <v>44027</v>
      </c>
    </row>
    <row r="1921" spans="1:8" x14ac:dyDescent="0.25">
      <c r="A1921" s="28" t="s">
        <v>2168</v>
      </c>
      <c r="B1921" s="42" t="s">
        <v>120</v>
      </c>
      <c r="C1921" s="3">
        <v>19</v>
      </c>
      <c r="D1921" s="3">
        <v>1</v>
      </c>
      <c r="E1921" s="42" t="s">
        <v>160</v>
      </c>
      <c r="F1921" s="42" t="s">
        <v>160</v>
      </c>
      <c r="G1921" s="43">
        <v>44027</v>
      </c>
      <c r="H1921" s="42" t="s">
        <v>238</v>
      </c>
    </row>
    <row r="1922" spans="1:8" x14ac:dyDescent="0.25">
      <c r="A1922" s="28" t="s">
        <v>2169</v>
      </c>
      <c r="B1922" s="42" t="s">
        <v>3</v>
      </c>
      <c r="C1922" s="3">
        <v>23</v>
      </c>
      <c r="D1922" s="3">
        <v>1</v>
      </c>
      <c r="G1922" s="43">
        <v>44027</v>
      </c>
    </row>
    <row r="1923" spans="1:8" x14ac:dyDescent="0.25">
      <c r="A1923" s="28" t="s">
        <v>2170</v>
      </c>
      <c r="B1923" s="42" t="s">
        <v>3</v>
      </c>
      <c r="C1923" s="3">
        <v>19</v>
      </c>
      <c r="D1923" s="3">
        <v>1</v>
      </c>
      <c r="G1923" s="43">
        <v>44027</v>
      </c>
    </row>
    <row r="1924" spans="1:8" x14ac:dyDescent="0.25">
      <c r="A1924" s="28" t="s">
        <v>2171</v>
      </c>
      <c r="B1924" s="42" t="s">
        <v>3</v>
      </c>
      <c r="C1924" s="3">
        <v>18</v>
      </c>
      <c r="D1924" s="3">
        <v>1</v>
      </c>
      <c r="G1924" s="43">
        <v>44027</v>
      </c>
    </row>
    <row r="1925" spans="1:8" x14ac:dyDescent="0.25">
      <c r="A1925" s="28" t="s">
        <v>2172</v>
      </c>
      <c r="B1925" s="42" t="s">
        <v>3</v>
      </c>
      <c r="C1925" s="3">
        <v>18</v>
      </c>
      <c r="D1925" s="3">
        <v>1</v>
      </c>
      <c r="G1925" s="43">
        <v>44027</v>
      </c>
    </row>
    <row r="1926" spans="1:8" x14ac:dyDescent="0.25">
      <c r="A1926" s="28" t="s">
        <v>2173</v>
      </c>
      <c r="B1926" s="42" t="s">
        <v>120</v>
      </c>
      <c r="C1926" s="3">
        <v>18</v>
      </c>
      <c r="D1926" s="3">
        <v>1</v>
      </c>
      <c r="E1926" s="42" t="s">
        <v>160</v>
      </c>
      <c r="F1926" s="42" t="s">
        <v>160</v>
      </c>
      <c r="G1926" s="43">
        <v>44027</v>
      </c>
      <c r="H1926" s="42" t="s">
        <v>238</v>
      </c>
    </row>
    <row r="1927" spans="1:8" x14ac:dyDescent="0.25">
      <c r="A1927" s="28" t="s">
        <v>2174</v>
      </c>
      <c r="B1927" s="42" t="s">
        <v>3</v>
      </c>
      <c r="C1927" s="3">
        <v>18</v>
      </c>
      <c r="D1927" s="3">
        <v>1</v>
      </c>
      <c r="E1927" s="42" t="s">
        <v>160</v>
      </c>
      <c r="G1927" s="43">
        <v>44027</v>
      </c>
    </row>
    <row r="1928" spans="1:8" x14ac:dyDescent="0.25">
      <c r="A1928" s="28" t="s">
        <v>2175</v>
      </c>
      <c r="B1928" s="42" t="s">
        <v>3</v>
      </c>
      <c r="C1928" s="3">
        <v>19</v>
      </c>
      <c r="D1928" s="3">
        <v>1</v>
      </c>
      <c r="G1928" s="43">
        <v>44027</v>
      </c>
    </row>
    <row r="1929" spans="1:8" x14ac:dyDescent="0.25">
      <c r="A1929" s="28" t="s">
        <v>2176</v>
      </c>
      <c r="B1929" s="42" t="s">
        <v>3</v>
      </c>
      <c r="C1929" s="3">
        <v>18</v>
      </c>
      <c r="D1929" s="3">
        <v>1</v>
      </c>
      <c r="G1929" s="43">
        <v>44027</v>
      </c>
    </row>
    <row r="1930" spans="1:8" x14ac:dyDescent="0.25">
      <c r="A1930" s="28" t="s">
        <v>2177</v>
      </c>
      <c r="B1930" s="42" t="s">
        <v>120</v>
      </c>
      <c r="C1930" s="3">
        <v>18</v>
      </c>
      <c r="D1930" s="3">
        <v>1</v>
      </c>
      <c r="E1930" s="42" t="s">
        <v>160</v>
      </c>
      <c r="F1930" s="42" t="s">
        <v>160</v>
      </c>
      <c r="G1930" s="43">
        <v>44027</v>
      </c>
    </row>
    <row r="1931" spans="1:8" x14ac:dyDescent="0.25">
      <c r="A1931" s="28" t="s">
        <v>2178</v>
      </c>
      <c r="B1931" s="42" t="s">
        <v>120</v>
      </c>
      <c r="C1931" s="3">
        <v>18</v>
      </c>
      <c r="D1931" s="3">
        <v>1</v>
      </c>
      <c r="E1931" s="42" t="s">
        <v>160</v>
      </c>
      <c r="G1931" s="43">
        <v>44027</v>
      </c>
      <c r="H1931" s="42" t="s">
        <v>238</v>
      </c>
    </row>
    <row r="1932" spans="1:8" x14ac:dyDescent="0.25">
      <c r="A1932" s="28" t="s">
        <v>2179</v>
      </c>
      <c r="B1932" s="42" t="s">
        <v>3</v>
      </c>
      <c r="C1932" s="3">
        <v>27</v>
      </c>
      <c r="D1932" s="3">
        <v>1</v>
      </c>
      <c r="G1932" s="43">
        <v>44027</v>
      </c>
    </row>
    <row r="1933" spans="1:8" x14ac:dyDescent="0.25">
      <c r="A1933" s="28" t="s">
        <v>2180</v>
      </c>
      <c r="B1933" s="42" t="s">
        <v>3</v>
      </c>
      <c r="C1933" s="3">
        <v>18</v>
      </c>
      <c r="D1933" s="3">
        <v>1</v>
      </c>
      <c r="G1933" s="43">
        <v>44027</v>
      </c>
    </row>
    <row r="1934" spans="1:8" x14ac:dyDescent="0.25">
      <c r="A1934" s="28" t="s">
        <v>2181</v>
      </c>
      <c r="B1934" s="42" t="s">
        <v>3</v>
      </c>
      <c r="C1934" s="3">
        <v>18</v>
      </c>
      <c r="D1934" s="3">
        <v>1</v>
      </c>
      <c r="G1934" s="43">
        <v>44027</v>
      </c>
    </row>
    <row r="1935" spans="1:8" x14ac:dyDescent="0.25">
      <c r="A1935" s="28" t="s">
        <v>2182</v>
      </c>
      <c r="B1935" s="42" t="s">
        <v>3</v>
      </c>
      <c r="C1935" s="3">
        <v>18</v>
      </c>
      <c r="D1935" s="3">
        <v>1</v>
      </c>
      <c r="G1935" s="43">
        <v>44027</v>
      </c>
    </row>
    <row r="1936" spans="1:8" x14ac:dyDescent="0.25">
      <c r="A1936" s="28" t="s">
        <v>2183</v>
      </c>
      <c r="B1936" s="42" t="s">
        <v>3</v>
      </c>
      <c r="C1936" s="3">
        <v>19</v>
      </c>
      <c r="D1936" s="3">
        <v>1</v>
      </c>
      <c r="G1936" s="43">
        <v>44027</v>
      </c>
    </row>
    <row r="1937" spans="1:8" x14ac:dyDescent="0.25">
      <c r="A1937" s="28" t="s">
        <v>2184</v>
      </c>
      <c r="B1937" s="42" t="s">
        <v>3</v>
      </c>
      <c r="C1937" s="3">
        <v>19</v>
      </c>
      <c r="D1937" s="3">
        <v>1</v>
      </c>
      <c r="G1937" s="43">
        <v>44027</v>
      </c>
    </row>
    <row r="1938" spans="1:8" x14ac:dyDescent="0.25">
      <c r="A1938" s="28" t="s">
        <v>2185</v>
      </c>
      <c r="B1938" s="42" t="s">
        <v>120</v>
      </c>
      <c r="C1938" s="3">
        <v>18</v>
      </c>
      <c r="D1938" s="3">
        <v>1</v>
      </c>
      <c r="E1938" s="42" t="s">
        <v>160</v>
      </c>
      <c r="F1938" s="42" t="s">
        <v>160</v>
      </c>
      <c r="G1938" s="43">
        <v>44027</v>
      </c>
      <c r="H1938" s="42" t="s">
        <v>238</v>
      </c>
    </row>
    <row r="1939" spans="1:8" x14ac:dyDescent="0.25">
      <c r="A1939" s="28" t="s">
        <v>2186</v>
      </c>
      <c r="B1939" s="42" t="s">
        <v>3</v>
      </c>
      <c r="C1939" s="3">
        <v>19</v>
      </c>
      <c r="D1939" s="3">
        <v>1</v>
      </c>
      <c r="G1939" s="43">
        <v>44027</v>
      </c>
    </row>
    <row r="1940" spans="1:8" x14ac:dyDescent="0.25">
      <c r="A1940" s="28" t="s">
        <v>2187</v>
      </c>
      <c r="B1940" s="42" t="s">
        <v>120</v>
      </c>
      <c r="C1940" s="3">
        <v>18</v>
      </c>
      <c r="D1940" s="3">
        <v>1</v>
      </c>
      <c r="E1940" s="42" t="s">
        <v>160</v>
      </c>
      <c r="G1940" s="43">
        <v>44027</v>
      </c>
      <c r="H1940" s="42" t="s">
        <v>238</v>
      </c>
    </row>
    <row r="1941" spans="1:8" x14ac:dyDescent="0.25">
      <c r="A1941" s="28" t="s">
        <v>2188</v>
      </c>
      <c r="B1941" s="42" t="s">
        <v>3</v>
      </c>
      <c r="C1941" s="3">
        <v>19</v>
      </c>
      <c r="D1941" s="3">
        <v>1</v>
      </c>
      <c r="G1941" s="43">
        <v>44027</v>
      </c>
    </row>
    <row r="1942" spans="1:8" x14ac:dyDescent="0.25">
      <c r="A1942" s="28" t="s">
        <v>2189</v>
      </c>
      <c r="B1942" s="42" t="s">
        <v>3</v>
      </c>
      <c r="C1942" s="3">
        <v>18</v>
      </c>
      <c r="D1942" s="3">
        <v>1</v>
      </c>
      <c r="G1942" s="43">
        <v>44027</v>
      </c>
    </row>
    <row r="1943" spans="1:8" x14ac:dyDescent="0.25">
      <c r="A1943" s="28" t="s">
        <v>2190</v>
      </c>
      <c r="B1943" s="42" t="s">
        <v>3</v>
      </c>
      <c r="C1943" s="3">
        <v>18</v>
      </c>
      <c r="D1943" s="3">
        <v>1</v>
      </c>
      <c r="G1943" s="43">
        <v>44027</v>
      </c>
    </row>
    <row r="1944" spans="1:8" x14ac:dyDescent="0.25">
      <c r="A1944" s="28" t="s">
        <v>2191</v>
      </c>
      <c r="B1944" s="42" t="s">
        <v>3</v>
      </c>
      <c r="C1944" s="3">
        <v>19</v>
      </c>
      <c r="D1944" s="3">
        <v>1</v>
      </c>
      <c r="G1944" s="43">
        <v>44027</v>
      </c>
    </row>
    <row r="1945" spans="1:8" x14ac:dyDescent="0.25">
      <c r="A1945" s="28" t="s">
        <v>2192</v>
      </c>
      <c r="B1945" s="42" t="s">
        <v>120</v>
      </c>
      <c r="C1945" s="3">
        <v>19</v>
      </c>
      <c r="D1945" s="3">
        <v>1</v>
      </c>
      <c r="E1945" s="42" t="s">
        <v>160</v>
      </c>
      <c r="G1945" s="43">
        <v>44027</v>
      </c>
      <c r="H1945" s="42" t="s">
        <v>238</v>
      </c>
    </row>
    <row r="1946" spans="1:8" x14ac:dyDescent="0.25">
      <c r="A1946" s="28" t="s">
        <v>2193</v>
      </c>
      <c r="B1946" s="42" t="s">
        <v>3</v>
      </c>
      <c r="C1946" s="3">
        <v>19</v>
      </c>
      <c r="D1946" s="3">
        <v>1</v>
      </c>
      <c r="G1946" s="43">
        <v>44027</v>
      </c>
    </row>
    <row r="1947" spans="1:8" x14ac:dyDescent="0.25">
      <c r="A1947" s="28" t="s">
        <v>2194</v>
      </c>
      <c r="B1947" s="42" t="s">
        <v>3</v>
      </c>
      <c r="C1947" s="3">
        <v>19</v>
      </c>
      <c r="D1947" s="3">
        <v>1</v>
      </c>
      <c r="G1947" s="43">
        <v>44027</v>
      </c>
    </row>
    <row r="1948" spans="1:8" x14ac:dyDescent="0.25">
      <c r="A1948" s="28" t="s">
        <v>2195</v>
      </c>
      <c r="B1948" s="42" t="s">
        <v>120</v>
      </c>
      <c r="C1948" s="3">
        <v>18</v>
      </c>
      <c r="D1948" s="3">
        <v>1</v>
      </c>
      <c r="E1948" s="42" t="s">
        <v>160</v>
      </c>
      <c r="F1948" s="42" t="s">
        <v>160</v>
      </c>
      <c r="G1948" s="43">
        <v>44027</v>
      </c>
      <c r="H1948" s="42" t="s">
        <v>238</v>
      </c>
    </row>
    <row r="1949" spans="1:8" x14ac:dyDescent="0.25">
      <c r="A1949" s="28" t="s">
        <v>2196</v>
      </c>
      <c r="B1949" s="42" t="s">
        <v>3</v>
      </c>
      <c r="C1949" s="3">
        <v>18</v>
      </c>
      <c r="D1949" s="3">
        <v>1</v>
      </c>
      <c r="G1949" s="43">
        <v>44027</v>
      </c>
    </row>
    <row r="1950" spans="1:8" x14ac:dyDescent="0.25">
      <c r="A1950" s="28" t="s">
        <v>2197</v>
      </c>
      <c r="B1950" s="42" t="s">
        <v>3</v>
      </c>
      <c r="C1950" s="3">
        <v>18</v>
      </c>
      <c r="D1950" s="3">
        <v>1</v>
      </c>
      <c r="G1950" s="43">
        <v>44027</v>
      </c>
    </row>
    <row r="1951" spans="1:8" x14ac:dyDescent="0.25">
      <c r="A1951" s="28" t="s">
        <v>2198</v>
      </c>
      <c r="B1951" s="42" t="s">
        <v>3</v>
      </c>
      <c r="C1951" s="3">
        <v>19</v>
      </c>
      <c r="D1951" s="3">
        <v>1</v>
      </c>
      <c r="G1951" s="43">
        <v>44027</v>
      </c>
    </row>
    <row r="1952" spans="1:8" x14ac:dyDescent="0.25">
      <c r="A1952" s="28" t="s">
        <v>2199</v>
      </c>
      <c r="B1952" s="42" t="s">
        <v>120</v>
      </c>
      <c r="C1952" s="3">
        <v>18</v>
      </c>
      <c r="D1952" s="3">
        <v>1</v>
      </c>
      <c r="E1952" s="42" t="s">
        <v>160</v>
      </c>
      <c r="G1952" s="43">
        <v>44027</v>
      </c>
    </row>
    <row r="1953" spans="1:8" x14ac:dyDescent="0.25">
      <c r="A1953" s="28" t="s">
        <v>2200</v>
      </c>
      <c r="B1953" s="42" t="s">
        <v>3</v>
      </c>
      <c r="C1953" s="3">
        <v>18</v>
      </c>
      <c r="D1953" s="3">
        <v>1</v>
      </c>
      <c r="G1953" s="43">
        <v>44027</v>
      </c>
    </row>
    <row r="1954" spans="1:8" x14ac:dyDescent="0.25">
      <c r="A1954" s="28" t="s">
        <v>2201</v>
      </c>
      <c r="B1954" s="42" t="s">
        <v>3</v>
      </c>
      <c r="C1954" s="3">
        <v>19</v>
      </c>
      <c r="D1954" s="3">
        <v>1</v>
      </c>
      <c r="G1954" s="43">
        <v>44027</v>
      </c>
    </row>
    <row r="1955" spans="1:8" x14ac:dyDescent="0.25">
      <c r="A1955" s="28" t="s">
        <v>2202</v>
      </c>
      <c r="B1955" s="42" t="s">
        <v>3</v>
      </c>
      <c r="C1955" s="3">
        <v>18</v>
      </c>
      <c r="D1955" s="3">
        <v>1</v>
      </c>
      <c r="G1955" s="43">
        <v>44027</v>
      </c>
    </row>
    <row r="1956" spans="1:8" x14ac:dyDescent="0.25">
      <c r="A1956" s="28" t="s">
        <v>2203</v>
      </c>
      <c r="B1956" s="42" t="s">
        <v>3</v>
      </c>
      <c r="C1956" s="3">
        <v>20</v>
      </c>
      <c r="D1956" s="3">
        <v>1</v>
      </c>
      <c r="G1956" s="43">
        <v>44027</v>
      </c>
    </row>
    <row r="1957" spans="1:8" x14ac:dyDescent="0.25">
      <c r="A1957" s="28" t="s">
        <v>2204</v>
      </c>
      <c r="B1957" s="42" t="s">
        <v>120</v>
      </c>
      <c r="C1957" s="3">
        <v>18</v>
      </c>
      <c r="D1957" s="3">
        <v>1</v>
      </c>
      <c r="E1957" s="42" t="s">
        <v>160</v>
      </c>
      <c r="F1957" s="42" t="s">
        <v>160</v>
      </c>
      <c r="G1957" s="43">
        <v>44027</v>
      </c>
    </row>
    <row r="1958" spans="1:8" x14ac:dyDescent="0.25">
      <c r="A1958" s="28" t="s">
        <v>2205</v>
      </c>
      <c r="B1958" s="42" t="s">
        <v>3</v>
      </c>
      <c r="C1958" s="3">
        <v>19</v>
      </c>
      <c r="D1958" s="3">
        <v>1</v>
      </c>
      <c r="G1958" s="43">
        <v>44027</v>
      </c>
    </row>
    <row r="1959" spans="1:8" x14ac:dyDescent="0.25">
      <c r="A1959" s="28" t="s">
        <v>2206</v>
      </c>
      <c r="B1959" s="42" t="s">
        <v>3</v>
      </c>
      <c r="C1959" s="3">
        <v>18</v>
      </c>
      <c r="D1959" s="3">
        <v>1</v>
      </c>
      <c r="G1959" s="43">
        <v>44027</v>
      </c>
    </row>
    <row r="1960" spans="1:8" x14ac:dyDescent="0.25">
      <c r="A1960" s="28" t="s">
        <v>2207</v>
      </c>
      <c r="B1960" s="42" t="s">
        <v>3</v>
      </c>
      <c r="C1960" s="3">
        <v>18</v>
      </c>
      <c r="D1960" s="3">
        <v>1</v>
      </c>
      <c r="G1960" s="43">
        <v>44027</v>
      </c>
    </row>
    <row r="1961" spans="1:8" x14ac:dyDescent="0.25">
      <c r="A1961" s="28" t="s">
        <v>2208</v>
      </c>
      <c r="B1961" s="42" t="s">
        <v>3</v>
      </c>
      <c r="C1961" s="3">
        <v>18</v>
      </c>
      <c r="D1961" s="3">
        <v>1</v>
      </c>
      <c r="G1961" s="43">
        <v>44027</v>
      </c>
    </row>
    <row r="1962" spans="1:8" x14ac:dyDescent="0.25">
      <c r="A1962" s="28" t="s">
        <v>2209</v>
      </c>
      <c r="B1962" s="42" t="s">
        <v>120</v>
      </c>
      <c r="C1962" s="3">
        <v>21</v>
      </c>
      <c r="D1962" s="3">
        <v>1</v>
      </c>
      <c r="E1962" s="42" t="s">
        <v>160</v>
      </c>
      <c r="F1962" s="42" t="s">
        <v>160</v>
      </c>
      <c r="G1962" s="43">
        <v>44027</v>
      </c>
      <c r="H1962" s="42" t="s">
        <v>238</v>
      </c>
    </row>
    <row r="1963" spans="1:8" x14ac:dyDescent="0.25">
      <c r="A1963" s="28" t="s">
        <v>2210</v>
      </c>
      <c r="B1963" s="42" t="s">
        <v>3</v>
      </c>
      <c r="C1963" s="3">
        <v>18</v>
      </c>
      <c r="D1963" s="3">
        <v>1</v>
      </c>
      <c r="G1963" s="43">
        <v>44027</v>
      </c>
    </row>
    <row r="1964" spans="1:8" x14ac:dyDescent="0.25">
      <c r="A1964" s="19" t="s">
        <v>2211</v>
      </c>
      <c r="B1964" s="42" t="s">
        <v>3</v>
      </c>
      <c r="C1964" s="3">
        <v>18</v>
      </c>
      <c r="D1964" s="3">
        <v>1</v>
      </c>
      <c r="G1964" s="43">
        <v>44027</v>
      </c>
    </row>
    <row r="1965" spans="1:8" x14ac:dyDescent="0.25">
      <c r="A1965" s="19" t="s">
        <v>2212</v>
      </c>
      <c r="B1965" s="42" t="s">
        <v>3</v>
      </c>
      <c r="C1965" s="3">
        <v>18</v>
      </c>
      <c r="D1965" s="3">
        <v>1</v>
      </c>
      <c r="G1965" s="43">
        <v>44027</v>
      </c>
    </row>
    <row r="1966" spans="1:8" x14ac:dyDescent="0.25">
      <c r="A1966" s="19" t="s">
        <v>2213</v>
      </c>
      <c r="B1966" s="42" t="s">
        <v>3</v>
      </c>
      <c r="C1966" s="3">
        <v>18</v>
      </c>
      <c r="D1966" s="3">
        <v>1</v>
      </c>
      <c r="G1966" s="43">
        <v>44027</v>
      </c>
    </row>
    <row r="1967" spans="1:8" x14ac:dyDescent="0.25">
      <c r="A1967" s="19" t="s">
        <v>2214</v>
      </c>
      <c r="B1967" s="42" t="s">
        <v>3</v>
      </c>
      <c r="C1967" s="3">
        <v>18</v>
      </c>
      <c r="D1967" s="3">
        <v>1</v>
      </c>
      <c r="G1967" s="43">
        <v>44027</v>
      </c>
    </row>
    <row r="1968" spans="1:8" x14ac:dyDescent="0.25">
      <c r="A1968" s="19" t="s">
        <v>2215</v>
      </c>
      <c r="B1968" s="42" t="s">
        <v>3</v>
      </c>
      <c r="C1968" s="3">
        <v>20</v>
      </c>
      <c r="D1968" s="3">
        <v>1</v>
      </c>
      <c r="G1968" s="43">
        <v>44027</v>
      </c>
    </row>
    <row r="1969" spans="1:7" x14ac:dyDescent="0.25">
      <c r="A1969" s="19" t="s">
        <v>2216</v>
      </c>
      <c r="B1969" s="42" t="s">
        <v>3</v>
      </c>
      <c r="C1969" s="3">
        <v>18</v>
      </c>
      <c r="D1969" s="3">
        <v>1</v>
      </c>
      <c r="G1969" s="43">
        <v>44027</v>
      </c>
    </row>
    <row r="1970" spans="1:7" x14ac:dyDescent="0.25">
      <c r="A1970" s="19" t="s">
        <v>2217</v>
      </c>
      <c r="B1970" s="42" t="s">
        <v>3</v>
      </c>
      <c r="C1970" s="3">
        <v>18</v>
      </c>
      <c r="D1970" s="3">
        <v>1</v>
      </c>
      <c r="G1970" s="43">
        <v>44027</v>
      </c>
    </row>
    <row r="1971" spans="1:7" x14ac:dyDescent="0.25">
      <c r="A1971" s="19" t="s">
        <v>2218</v>
      </c>
      <c r="B1971" s="42" t="s">
        <v>3</v>
      </c>
      <c r="C1971" s="3">
        <v>18</v>
      </c>
      <c r="D1971" s="3">
        <v>1</v>
      </c>
      <c r="G1971" s="43">
        <v>44027</v>
      </c>
    </row>
    <row r="1972" spans="1:7" x14ac:dyDescent="0.25">
      <c r="A1972" s="19" t="s">
        <v>2219</v>
      </c>
      <c r="B1972" s="42" t="s">
        <v>3</v>
      </c>
      <c r="C1972" s="3">
        <v>18</v>
      </c>
      <c r="D1972" s="3">
        <v>1</v>
      </c>
      <c r="G1972" s="43">
        <v>44027</v>
      </c>
    </row>
    <row r="1973" spans="1:7" x14ac:dyDescent="0.25">
      <c r="A1973" s="19" t="s">
        <v>2220</v>
      </c>
      <c r="B1973" s="42" t="s">
        <v>3</v>
      </c>
      <c r="C1973" s="3">
        <v>18</v>
      </c>
      <c r="D1973" s="3">
        <v>1</v>
      </c>
      <c r="G1973" s="43">
        <v>44027</v>
      </c>
    </row>
    <row r="1974" spans="1:7" x14ac:dyDescent="0.25">
      <c r="A1974" s="19" t="s">
        <v>2221</v>
      </c>
      <c r="B1974" s="42" t="s">
        <v>3</v>
      </c>
      <c r="C1974" s="3">
        <v>18</v>
      </c>
      <c r="D1974" s="3">
        <v>1</v>
      </c>
      <c r="G1974" s="43">
        <v>44027</v>
      </c>
    </row>
    <row r="1975" spans="1:7" x14ac:dyDescent="0.25">
      <c r="A1975" s="19" t="s">
        <v>2222</v>
      </c>
      <c r="B1975" s="42" t="s">
        <v>3</v>
      </c>
      <c r="C1975" s="3">
        <v>19</v>
      </c>
      <c r="D1975" s="3">
        <v>1</v>
      </c>
      <c r="G1975" s="43">
        <v>44027</v>
      </c>
    </row>
    <row r="1976" spans="1:7" x14ac:dyDescent="0.25">
      <c r="A1976" s="19" t="s">
        <v>2223</v>
      </c>
      <c r="B1976" s="42" t="s">
        <v>3</v>
      </c>
      <c r="C1976" s="3">
        <v>19</v>
      </c>
      <c r="D1976" s="3">
        <v>1</v>
      </c>
      <c r="G1976" s="43">
        <v>44027</v>
      </c>
    </row>
    <row r="1977" spans="1:7" x14ac:dyDescent="0.25">
      <c r="A1977" s="19" t="s">
        <v>2224</v>
      </c>
      <c r="B1977" s="42" t="s">
        <v>3</v>
      </c>
      <c r="C1977" s="3">
        <v>18</v>
      </c>
      <c r="D1977" s="3">
        <v>1</v>
      </c>
      <c r="G1977" s="43">
        <v>44027</v>
      </c>
    </row>
    <row r="1978" spans="1:7" x14ac:dyDescent="0.25">
      <c r="A1978" s="28" t="s">
        <v>2225</v>
      </c>
      <c r="B1978" s="42" t="s">
        <v>3</v>
      </c>
      <c r="C1978" s="3">
        <v>18</v>
      </c>
      <c r="D1978" s="3">
        <v>1</v>
      </c>
      <c r="E1978" s="49"/>
      <c r="G1978" s="43">
        <v>44027</v>
      </c>
    </row>
    <row r="1979" spans="1:7" x14ac:dyDescent="0.25">
      <c r="A1979" s="28" t="s">
        <v>2226</v>
      </c>
      <c r="B1979" s="42" t="s">
        <v>3</v>
      </c>
      <c r="C1979" s="3">
        <v>18</v>
      </c>
      <c r="D1979" s="3">
        <v>1</v>
      </c>
      <c r="E1979" s="49"/>
      <c r="G1979" s="43">
        <v>44027</v>
      </c>
    </row>
    <row r="1980" spans="1:7" x14ac:dyDescent="0.25">
      <c r="A1980" s="28" t="s">
        <v>2227</v>
      </c>
      <c r="B1980" s="42" t="s">
        <v>3</v>
      </c>
      <c r="C1980" s="3">
        <v>18</v>
      </c>
      <c r="D1980" s="3">
        <v>1</v>
      </c>
      <c r="E1980" s="49"/>
      <c r="G1980" s="43">
        <v>44027</v>
      </c>
    </row>
    <row r="1981" spans="1:7" x14ac:dyDescent="0.25">
      <c r="A1981" s="28" t="s">
        <v>2228</v>
      </c>
      <c r="B1981" s="42" t="s">
        <v>3</v>
      </c>
      <c r="C1981" s="3">
        <v>18</v>
      </c>
      <c r="D1981" s="3">
        <v>1</v>
      </c>
      <c r="E1981" s="49"/>
      <c r="G1981" s="43">
        <v>44027</v>
      </c>
    </row>
    <row r="1982" spans="1:7" x14ac:dyDescent="0.25">
      <c r="A1982" s="28" t="s">
        <v>2229</v>
      </c>
      <c r="B1982" s="42" t="s">
        <v>3</v>
      </c>
      <c r="C1982" s="3">
        <v>18</v>
      </c>
      <c r="D1982" s="3">
        <v>1</v>
      </c>
      <c r="E1982" s="49"/>
      <c r="G1982" s="43">
        <v>44027</v>
      </c>
    </row>
    <row r="1983" spans="1:7" x14ac:dyDescent="0.25">
      <c r="A1983" s="28" t="s">
        <v>2230</v>
      </c>
      <c r="B1983" s="42" t="s">
        <v>3</v>
      </c>
      <c r="C1983" s="3">
        <v>20</v>
      </c>
      <c r="D1983" s="3">
        <v>1</v>
      </c>
      <c r="E1983" s="49"/>
      <c r="G1983" s="43">
        <v>44027</v>
      </c>
    </row>
    <row r="1984" spans="1:7" x14ac:dyDescent="0.25">
      <c r="A1984" s="28" t="s">
        <v>2231</v>
      </c>
      <c r="B1984" s="42" t="s">
        <v>3</v>
      </c>
      <c r="C1984" s="3">
        <v>19</v>
      </c>
      <c r="D1984" s="3">
        <v>1</v>
      </c>
      <c r="E1984" s="49"/>
      <c r="G1984" s="43">
        <v>44027</v>
      </c>
    </row>
    <row r="1985" spans="1:7" x14ac:dyDescent="0.25">
      <c r="A1985" s="28" t="s">
        <v>2232</v>
      </c>
      <c r="B1985" s="42" t="s">
        <v>3</v>
      </c>
      <c r="C1985" s="3">
        <v>18</v>
      </c>
      <c r="D1985" s="3">
        <v>1</v>
      </c>
      <c r="E1985" s="49"/>
      <c r="G1985" s="43">
        <v>44027</v>
      </c>
    </row>
    <row r="1986" spans="1:7" x14ac:dyDescent="0.25">
      <c r="A1986" s="28" t="s">
        <v>2233</v>
      </c>
      <c r="B1986" s="42" t="s">
        <v>3</v>
      </c>
      <c r="C1986" s="3">
        <v>18</v>
      </c>
      <c r="D1986" s="3">
        <v>1</v>
      </c>
      <c r="E1986" s="49"/>
      <c r="G1986" s="43">
        <v>44027</v>
      </c>
    </row>
    <row r="1987" spans="1:7" x14ac:dyDescent="0.25">
      <c r="A1987" s="28" t="s">
        <v>2234</v>
      </c>
      <c r="B1987" s="42" t="s">
        <v>3</v>
      </c>
      <c r="C1987" s="3">
        <v>18</v>
      </c>
      <c r="D1987" s="3">
        <v>1</v>
      </c>
      <c r="E1987" s="49"/>
      <c r="G1987" s="43">
        <v>44027</v>
      </c>
    </row>
    <row r="1988" spans="1:7" x14ac:dyDescent="0.25">
      <c r="A1988" s="28" t="s">
        <v>2235</v>
      </c>
      <c r="B1988" s="42" t="s">
        <v>3</v>
      </c>
      <c r="C1988" s="3">
        <v>18</v>
      </c>
      <c r="D1988" s="3">
        <v>1</v>
      </c>
      <c r="E1988" s="49"/>
      <c r="G1988" s="43">
        <v>44027</v>
      </c>
    </row>
    <row r="1989" spans="1:7" x14ac:dyDescent="0.25">
      <c r="A1989" s="28" t="s">
        <v>2236</v>
      </c>
      <c r="B1989" s="42" t="s">
        <v>3</v>
      </c>
      <c r="C1989" s="3">
        <v>18</v>
      </c>
      <c r="D1989" s="3">
        <v>1</v>
      </c>
      <c r="E1989" s="49"/>
      <c r="G1989" s="43">
        <v>44027</v>
      </c>
    </row>
    <row r="1990" spans="1:7" x14ac:dyDescent="0.25">
      <c r="A1990" s="28" t="s">
        <v>2237</v>
      </c>
      <c r="B1990" s="42" t="s">
        <v>3</v>
      </c>
      <c r="C1990" s="3">
        <v>18</v>
      </c>
      <c r="D1990" s="3">
        <v>1</v>
      </c>
      <c r="E1990" s="49"/>
      <c r="G1990" s="43">
        <v>44027</v>
      </c>
    </row>
    <row r="1991" spans="1:7" x14ac:dyDescent="0.25">
      <c r="A1991" s="28" t="s">
        <v>2238</v>
      </c>
      <c r="B1991" s="42" t="s">
        <v>120</v>
      </c>
      <c r="C1991" s="3">
        <v>18</v>
      </c>
      <c r="D1991" s="3">
        <v>1</v>
      </c>
      <c r="E1991" s="42" t="s">
        <v>160</v>
      </c>
      <c r="G1991" s="43">
        <v>44027</v>
      </c>
    </row>
    <row r="1992" spans="1:7" x14ac:dyDescent="0.25">
      <c r="A1992" s="28" t="s">
        <v>2239</v>
      </c>
      <c r="B1992" s="42" t="s">
        <v>3</v>
      </c>
      <c r="C1992" s="3">
        <v>19</v>
      </c>
      <c r="D1992" s="3">
        <v>1</v>
      </c>
      <c r="E1992" s="49"/>
      <c r="G1992" s="43">
        <v>44027</v>
      </c>
    </row>
    <row r="1993" spans="1:7" x14ac:dyDescent="0.25">
      <c r="A1993" s="28" t="s">
        <v>2240</v>
      </c>
      <c r="B1993" s="42" t="s">
        <v>3</v>
      </c>
      <c r="C1993" s="3">
        <v>18</v>
      </c>
      <c r="D1993" s="3">
        <v>1</v>
      </c>
      <c r="E1993" s="49"/>
      <c r="G1993" s="43">
        <v>44027</v>
      </c>
    </row>
    <row r="1994" spans="1:7" x14ac:dyDescent="0.25">
      <c r="A1994" s="28" t="s">
        <v>2241</v>
      </c>
      <c r="B1994" s="42" t="s">
        <v>3</v>
      </c>
      <c r="C1994" s="3">
        <v>18</v>
      </c>
      <c r="D1994" s="3">
        <v>1</v>
      </c>
      <c r="E1994" s="49"/>
      <c r="G1994" s="43">
        <v>44027</v>
      </c>
    </row>
    <row r="1995" spans="1:7" x14ac:dyDescent="0.25">
      <c r="A1995" s="28" t="s">
        <v>2242</v>
      </c>
      <c r="B1995" s="42" t="s">
        <v>3</v>
      </c>
      <c r="C1995" s="3">
        <v>18</v>
      </c>
      <c r="D1995" s="3">
        <v>1</v>
      </c>
      <c r="E1995" s="49"/>
      <c r="G1995" s="43">
        <v>44027</v>
      </c>
    </row>
    <row r="1996" spans="1:7" x14ac:dyDescent="0.25">
      <c r="A1996" s="28" t="s">
        <v>2243</v>
      </c>
      <c r="B1996" s="42" t="s">
        <v>3</v>
      </c>
      <c r="C1996" s="3">
        <v>18</v>
      </c>
      <c r="D1996" s="3">
        <v>1</v>
      </c>
      <c r="E1996" s="49"/>
      <c r="G1996" s="43">
        <v>44027</v>
      </c>
    </row>
    <row r="1997" spans="1:7" x14ac:dyDescent="0.25">
      <c r="A1997" s="28" t="s">
        <v>2244</v>
      </c>
      <c r="B1997" s="42" t="s">
        <v>3</v>
      </c>
      <c r="C1997" s="3">
        <v>18</v>
      </c>
      <c r="D1997" s="3">
        <v>1</v>
      </c>
      <c r="E1997" s="49"/>
      <c r="G1997" s="43">
        <v>44027</v>
      </c>
    </row>
    <row r="1998" spans="1:7" x14ac:dyDescent="0.25">
      <c r="A1998" s="28" t="s">
        <v>2245</v>
      </c>
      <c r="B1998" s="42" t="s">
        <v>3</v>
      </c>
      <c r="C1998" s="3">
        <v>18</v>
      </c>
      <c r="D1998" s="3">
        <v>1</v>
      </c>
      <c r="E1998" s="49"/>
      <c r="G1998" s="43">
        <v>44027</v>
      </c>
    </row>
    <row r="1999" spans="1:7" x14ac:dyDescent="0.25">
      <c r="A1999" s="28" t="s">
        <v>2246</v>
      </c>
      <c r="B1999" s="42" t="s">
        <v>3</v>
      </c>
      <c r="C1999" s="3">
        <v>18</v>
      </c>
      <c r="D1999" s="3">
        <v>1</v>
      </c>
      <c r="E1999" s="49"/>
      <c r="G1999" s="43">
        <v>44027</v>
      </c>
    </row>
    <row r="2000" spans="1:7" x14ac:dyDescent="0.25">
      <c r="A2000" s="28" t="s">
        <v>2247</v>
      </c>
      <c r="B2000" s="42" t="s">
        <v>3</v>
      </c>
      <c r="C2000" s="3">
        <v>19</v>
      </c>
      <c r="D2000" s="3">
        <v>1</v>
      </c>
      <c r="E2000" s="49"/>
      <c r="G2000" s="43">
        <v>44027</v>
      </c>
    </row>
    <row r="2001" spans="1:8" x14ac:dyDescent="0.25">
      <c r="A2001" s="28" t="s">
        <v>2248</v>
      </c>
      <c r="B2001" s="42" t="s">
        <v>3</v>
      </c>
      <c r="C2001" s="3">
        <v>18</v>
      </c>
      <c r="D2001" s="3">
        <v>1</v>
      </c>
      <c r="E2001" s="49"/>
      <c r="G2001" s="43">
        <v>44027</v>
      </c>
    </row>
    <row r="2002" spans="1:8" x14ac:dyDescent="0.25">
      <c r="A2002" s="28" t="s">
        <v>2249</v>
      </c>
      <c r="B2002" s="42" t="s">
        <v>3</v>
      </c>
      <c r="C2002" s="3">
        <v>18</v>
      </c>
      <c r="D2002" s="3">
        <v>1</v>
      </c>
      <c r="E2002" s="49"/>
      <c r="G2002" s="43">
        <v>44027</v>
      </c>
    </row>
    <row r="2003" spans="1:8" x14ac:dyDescent="0.25">
      <c r="A2003" s="28" t="s">
        <v>2250</v>
      </c>
      <c r="B2003" s="42" t="s">
        <v>3</v>
      </c>
      <c r="C2003" s="3">
        <v>18</v>
      </c>
      <c r="D2003" s="3">
        <v>1</v>
      </c>
      <c r="E2003" s="49"/>
      <c r="G2003" s="43">
        <v>44027</v>
      </c>
    </row>
    <row r="2004" spans="1:8" x14ac:dyDescent="0.25">
      <c r="A2004" s="28" t="s">
        <v>2251</v>
      </c>
      <c r="B2004" s="42" t="s">
        <v>3</v>
      </c>
      <c r="C2004" s="3">
        <v>21</v>
      </c>
      <c r="D2004" s="3">
        <v>1</v>
      </c>
      <c r="E2004" s="49"/>
      <c r="G2004" s="43">
        <v>44027</v>
      </c>
    </row>
    <row r="2005" spans="1:8" x14ac:dyDescent="0.25">
      <c r="A2005" s="28" t="s">
        <v>2252</v>
      </c>
      <c r="B2005" s="42" t="s">
        <v>3</v>
      </c>
      <c r="C2005" s="3">
        <v>18</v>
      </c>
      <c r="D2005" s="3">
        <v>1</v>
      </c>
      <c r="E2005" s="49"/>
      <c r="G2005" s="43">
        <v>44027</v>
      </c>
    </row>
    <row r="2006" spans="1:8" x14ac:dyDescent="0.25">
      <c r="A2006" s="28" t="s">
        <v>2253</v>
      </c>
      <c r="B2006" s="42" t="s">
        <v>3</v>
      </c>
      <c r="C2006" s="3">
        <v>18</v>
      </c>
      <c r="D2006" s="3">
        <v>1</v>
      </c>
      <c r="E2006" s="49"/>
      <c r="G2006" s="43">
        <v>44027</v>
      </c>
    </row>
    <row r="2007" spans="1:8" x14ac:dyDescent="0.25">
      <c r="A2007" s="28" t="s">
        <v>2254</v>
      </c>
      <c r="B2007" s="42" t="s">
        <v>3</v>
      </c>
      <c r="C2007" s="3">
        <v>18</v>
      </c>
      <c r="D2007" s="3">
        <v>1</v>
      </c>
      <c r="E2007" s="49"/>
      <c r="G2007" s="43">
        <v>44027</v>
      </c>
    </row>
    <row r="2008" spans="1:8" x14ac:dyDescent="0.25">
      <c r="A2008" s="28" t="s">
        <v>2255</v>
      </c>
      <c r="B2008" s="42" t="s">
        <v>3</v>
      </c>
      <c r="C2008" s="3">
        <v>18</v>
      </c>
      <c r="D2008" s="3">
        <v>1</v>
      </c>
      <c r="E2008" s="49"/>
      <c r="G2008" s="43">
        <v>44027</v>
      </c>
    </row>
    <row r="2009" spans="1:8" x14ac:dyDescent="0.25">
      <c r="A2009" s="28" t="s">
        <v>2256</v>
      </c>
      <c r="B2009" s="42" t="s">
        <v>3</v>
      </c>
      <c r="C2009" s="3">
        <v>18</v>
      </c>
      <c r="D2009" s="3">
        <v>1</v>
      </c>
      <c r="E2009" s="49"/>
      <c r="G2009" s="43">
        <v>44027</v>
      </c>
    </row>
    <row r="2010" spans="1:8" x14ac:dyDescent="0.25">
      <c r="A2010" s="28" t="s">
        <v>2257</v>
      </c>
      <c r="B2010" s="42" t="s">
        <v>3</v>
      </c>
      <c r="C2010" s="3">
        <v>19</v>
      </c>
      <c r="D2010" s="3">
        <v>1</v>
      </c>
      <c r="E2010" s="49"/>
      <c r="G2010" s="43">
        <v>44027</v>
      </c>
    </row>
    <row r="2011" spans="1:8" x14ac:dyDescent="0.25">
      <c r="A2011" s="28" t="s">
        <v>2258</v>
      </c>
      <c r="B2011" s="42" t="s">
        <v>120</v>
      </c>
      <c r="C2011" s="3">
        <v>18</v>
      </c>
      <c r="D2011" s="3">
        <v>1</v>
      </c>
      <c r="E2011" s="42" t="s">
        <v>160</v>
      </c>
      <c r="F2011" s="42" t="s">
        <v>160</v>
      </c>
      <c r="G2011" s="43">
        <v>44027</v>
      </c>
      <c r="H2011" s="42" t="s">
        <v>238</v>
      </c>
    </row>
    <row r="2012" spans="1:8" x14ac:dyDescent="0.25">
      <c r="A2012" s="28" t="s">
        <v>2259</v>
      </c>
      <c r="B2012" s="42" t="s">
        <v>3</v>
      </c>
      <c r="C2012" s="3">
        <v>19</v>
      </c>
      <c r="D2012" s="3">
        <v>1</v>
      </c>
      <c r="E2012" s="49"/>
      <c r="G2012" s="43">
        <v>44027</v>
      </c>
    </row>
    <row r="2013" spans="1:8" x14ac:dyDescent="0.25">
      <c r="A2013" s="28" t="s">
        <v>2260</v>
      </c>
      <c r="B2013" s="42" t="s">
        <v>3</v>
      </c>
      <c r="C2013" s="3">
        <v>18</v>
      </c>
      <c r="D2013" s="3">
        <v>1</v>
      </c>
      <c r="E2013" s="49"/>
      <c r="G2013" s="43">
        <v>44027</v>
      </c>
    </row>
    <row r="2014" spans="1:8" x14ac:dyDescent="0.25">
      <c r="A2014" s="28" t="s">
        <v>2261</v>
      </c>
      <c r="B2014" s="42" t="s">
        <v>3</v>
      </c>
      <c r="C2014" s="3">
        <v>18</v>
      </c>
      <c r="D2014" s="3">
        <v>1</v>
      </c>
      <c r="E2014" s="49"/>
      <c r="G2014" s="43">
        <v>44027</v>
      </c>
    </row>
    <row r="2015" spans="1:8" x14ac:dyDescent="0.25">
      <c r="A2015" s="28" t="s">
        <v>2262</v>
      </c>
      <c r="B2015" s="42" t="s">
        <v>3</v>
      </c>
      <c r="C2015" s="3">
        <v>20</v>
      </c>
      <c r="D2015" s="3">
        <v>1</v>
      </c>
      <c r="E2015" s="49"/>
      <c r="G2015" s="43">
        <v>44027</v>
      </c>
    </row>
    <row r="2016" spans="1:8" x14ac:dyDescent="0.25">
      <c r="A2016" s="28" t="s">
        <v>2263</v>
      </c>
      <c r="B2016" s="42" t="s">
        <v>3</v>
      </c>
      <c r="C2016" s="3">
        <v>18</v>
      </c>
      <c r="D2016" s="3">
        <v>1</v>
      </c>
      <c r="E2016" s="49"/>
      <c r="G2016" s="43">
        <v>44027</v>
      </c>
    </row>
    <row r="2017" spans="1:7" x14ac:dyDescent="0.25">
      <c r="A2017" s="28" t="s">
        <v>2264</v>
      </c>
      <c r="B2017" s="42" t="s">
        <v>3</v>
      </c>
      <c r="C2017" s="3">
        <v>18</v>
      </c>
      <c r="D2017" s="3">
        <v>1</v>
      </c>
      <c r="E2017" s="49"/>
      <c r="G2017" s="43">
        <v>44027</v>
      </c>
    </row>
    <row r="2018" spans="1:7" x14ac:dyDescent="0.25">
      <c r="A2018" s="28" t="s">
        <v>2265</v>
      </c>
      <c r="B2018" s="42" t="s">
        <v>3</v>
      </c>
      <c r="C2018" s="3">
        <v>18</v>
      </c>
      <c r="D2018" s="3">
        <v>1</v>
      </c>
      <c r="E2018" s="49"/>
      <c r="G2018" s="43">
        <v>44027</v>
      </c>
    </row>
    <row r="2019" spans="1:7" x14ac:dyDescent="0.25">
      <c r="A2019" s="28" t="s">
        <v>2266</v>
      </c>
      <c r="B2019" s="42" t="s">
        <v>3</v>
      </c>
      <c r="C2019" s="3">
        <v>18</v>
      </c>
      <c r="D2019" s="3">
        <v>1</v>
      </c>
      <c r="E2019" s="49"/>
      <c r="G2019" s="43">
        <v>44027</v>
      </c>
    </row>
    <row r="2020" spans="1:7" x14ac:dyDescent="0.25">
      <c r="A2020" s="28" t="s">
        <v>2267</v>
      </c>
      <c r="B2020" s="42" t="s">
        <v>3</v>
      </c>
      <c r="C2020" s="3">
        <v>28</v>
      </c>
      <c r="D2020" s="3">
        <v>1</v>
      </c>
      <c r="E2020" s="49"/>
      <c r="G2020" s="43">
        <v>44027</v>
      </c>
    </row>
    <row r="2021" spans="1:7" x14ac:dyDescent="0.25">
      <c r="A2021" s="28" t="s">
        <v>2268</v>
      </c>
      <c r="B2021" s="42" t="s">
        <v>3</v>
      </c>
      <c r="C2021" s="3">
        <v>18</v>
      </c>
      <c r="D2021" s="3">
        <v>1</v>
      </c>
      <c r="E2021" s="49"/>
      <c r="G2021" s="43">
        <v>44027</v>
      </c>
    </row>
    <row r="2022" spans="1:7" x14ac:dyDescent="0.25">
      <c r="A2022" s="28" t="s">
        <v>2269</v>
      </c>
      <c r="B2022" s="42" t="s">
        <v>3</v>
      </c>
      <c r="C2022" s="3">
        <v>18</v>
      </c>
      <c r="D2022" s="3">
        <v>1</v>
      </c>
      <c r="E2022" s="49"/>
      <c r="G2022" s="43">
        <v>44027</v>
      </c>
    </row>
    <row r="2023" spans="1:7" x14ac:dyDescent="0.25">
      <c r="A2023" s="28" t="s">
        <v>2270</v>
      </c>
      <c r="B2023" s="42" t="s">
        <v>3</v>
      </c>
      <c r="C2023" s="3">
        <v>19</v>
      </c>
      <c r="D2023" s="3">
        <v>1</v>
      </c>
      <c r="E2023" s="49"/>
      <c r="G2023" s="43">
        <v>44027</v>
      </c>
    </row>
    <row r="2024" spans="1:7" x14ac:dyDescent="0.25">
      <c r="A2024" s="28" t="s">
        <v>2271</v>
      </c>
      <c r="B2024" s="42" t="s">
        <v>3</v>
      </c>
      <c r="C2024" s="3">
        <v>19</v>
      </c>
      <c r="D2024" s="3">
        <v>1</v>
      </c>
      <c r="E2024" s="49"/>
      <c r="G2024" s="43">
        <v>44027</v>
      </c>
    </row>
    <row r="2025" spans="1:7" x14ac:dyDescent="0.25">
      <c r="A2025" s="28" t="s">
        <v>2272</v>
      </c>
      <c r="B2025" s="42" t="s">
        <v>3</v>
      </c>
      <c r="C2025" s="3">
        <v>19</v>
      </c>
      <c r="D2025" s="3">
        <v>1</v>
      </c>
      <c r="E2025" s="49"/>
      <c r="G2025" s="43">
        <v>44027</v>
      </c>
    </row>
    <row r="2026" spans="1:7" x14ac:dyDescent="0.25">
      <c r="A2026" s="28" t="s">
        <v>2273</v>
      </c>
      <c r="B2026" s="42" t="s">
        <v>3</v>
      </c>
      <c r="C2026" s="3">
        <v>18</v>
      </c>
      <c r="D2026" s="3">
        <v>1</v>
      </c>
      <c r="E2026" s="49"/>
      <c r="G2026" s="43">
        <v>44027</v>
      </c>
    </row>
    <row r="2027" spans="1:7" x14ac:dyDescent="0.25">
      <c r="A2027" s="28" t="s">
        <v>2274</v>
      </c>
      <c r="B2027" s="42" t="s">
        <v>3</v>
      </c>
      <c r="C2027" s="3">
        <v>21</v>
      </c>
      <c r="D2027" s="3">
        <v>1</v>
      </c>
      <c r="G2027" s="43">
        <v>44027</v>
      </c>
    </row>
    <row r="2028" spans="1:7" x14ac:dyDescent="0.25">
      <c r="A2028" s="28" t="s">
        <v>2275</v>
      </c>
      <c r="B2028" s="42" t="s">
        <v>3</v>
      </c>
      <c r="C2028" s="3">
        <v>18</v>
      </c>
      <c r="D2028" s="3">
        <v>1</v>
      </c>
      <c r="G2028" s="43">
        <v>44027</v>
      </c>
    </row>
    <row r="2029" spans="1:7" x14ac:dyDescent="0.25">
      <c r="A2029" s="28" t="s">
        <v>2276</v>
      </c>
      <c r="B2029" s="42" t="s">
        <v>3</v>
      </c>
      <c r="C2029" s="3">
        <v>18</v>
      </c>
      <c r="D2029" s="3">
        <v>1</v>
      </c>
      <c r="G2029" s="43">
        <v>44027</v>
      </c>
    </row>
    <row r="2030" spans="1:7" x14ac:dyDescent="0.25">
      <c r="A2030" s="28" t="s">
        <v>2277</v>
      </c>
      <c r="B2030" s="42" t="s">
        <v>3</v>
      </c>
      <c r="C2030" s="3">
        <v>21</v>
      </c>
      <c r="D2030" s="3">
        <v>1</v>
      </c>
      <c r="G2030" s="43">
        <v>44027</v>
      </c>
    </row>
    <row r="2031" spans="1:7" x14ac:dyDescent="0.25">
      <c r="A2031" s="28" t="s">
        <v>2278</v>
      </c>
      <c r="B2031" s="42" t="s">
        <v>3</v>
      </c>
      <c r="C2031" s="3">
        <v>18</v>
      </c>
      <c r="D2031" s="3">
        <v>1</v>
      </c>
      <c r="G2031" s="43">
        <v>44027</v>
      </c>
    </row>
    <row r="2032" spans="1:7" x14ac:dyDescent="0.25">
      <c r="A2032" s="28" t="s">
        <v>2279</v>
      </c>
      <c r="B2032" s="42" t="s">
        <v>3</v>
      </c>
      <c r="C2032" s="3">
        <v>18</v>
      </c>
      <c r="D2032" s="3">
        <v>1</v>
      </c>
      <c r="G2032" s="43">
        <v>44027</v>
      </c>
    </row>
    <row r="2033" spans="1:8" x14ac:dyDescent="0.25">
      <c r="A2033" s="28" t="s">
        <v>2280</v>
      </c>
      <c r="B2033" s="42" t="s">
        <v>3</v>
      </c>
      <c r="C2033" s="3">
        <v>26</v>
      </c>
      <c r="D2033" s="3">
        <v>1</v>
      </c>
      <c r="G2033" s="43">
        <v>44027</v>
      </c>
    </row>
    <row r="2034" spans="1:8" x14ac:dyDescent="0.25">
      <c r="A2034" s="28" t="s">
        <v>2281</v>
      </c>
      <c r="B2034" s="42" t="s">
        <v>120</v>
      </c>
      <c r="C2034" s="3">
        <v>19</v>
      </c>
      <c r="D2034" s="3">
        <v>1</v>
      </c>
      <c r="E2034" s="42" t="s">
        <v>160</v>
      </c>
      <c r="F2034" s="42" t="s">
        <v>160</v>
      </c>
      <c r="G2034" s="43">
        <v>44027</v>
      </c>
      <c r="H2034" s="42" t="s">
        <v>238</v>
      </c>
    </row>
    <row r="2035" spans="1:8" x14ac:dyDescent="0.25">
      <c r="A2035" s="28" t="s">
        <v>2282</v>
      </c>
      <c r="B2035" s="42" t="s">
        <v>3</v>
      </c>
      <c r="C2035" s="3">
        <v>18</v>
      </c>
      <c r="D2035" s="3">
        <v>1</v>
      </c>
      <c r="G2035" s="43">
        <v>44027</v>
      </c>
    </row>
    <row r="2036" spans="1:8" x14ac:dyDescent="0.25">
      <c r="A2036" s="28" t="s">
        <v>2283</v>
      </c>
      <c r="B2036" s="42" t="s">
        <v>120</v>
      </c>
      <c r="C2036" s="3">
        <v>18</v>
      </c>
      <c r="D2036" s="3">
        <v>1</v>
      </c>
      <c r="E2036" s="42" t="s">
        <v>160</v>
      </c>
      <c r="F2036" s="42" t="s">
        <v>160</v>
      </c>
      <c r="G2036" s="43">
        <v>44027</v>
      </c>
      <c r="H2036" s="42" t="s">
        <v>238</v>
      </c>
    </row>
    <row r="2037" spans="1:8" x14ac:dyDescent="0.25">
      <c r="A2037" s="28" t="s">
        <v>2284</v>
      </c>
      <c r="B2037" s="42" t="s">
        <v>3</v>
      </c>
      <c r="C2037" s="3">
        <v>18</v>
      </c>
      <c r="D2037" s="3">
        <v>1</v>
      </c>
      <c r="G2037" s="43">
        <v>44027</v>
      </c>
    </row>
    <row r="2038" spans="1:8" x14ac:dyDescent="0.25">
      <c r="A2038" s="28" t="s">
        <v>2285</v>
      </c>
      <c r="B2038" s="42" t="s">
        <v>3</v>
      </c>
      <c r="C2038" s="3">
        <v>18</v>
      </c>
      <c r="D2038" s="3">
        <v>1</v>
      </c>
      <c r="G2038" s="43">
        <v>44027</v>
      </c>
    </row>
    <row r="2039" spans="1:8" x14ac:dyDescent="0.25">
      <c r="A2039" s="28" t="s">
        <v>2286</v>
      </c>
      <c r="B2039" s="42" t="s">
        <v>3</v>
      </c>
      <c r="C2039" s="3">
        <v>18</v>
      </c>
      <c r="D2039" s="3">
        <v>1</v>
      </c>
      <c r="G2039" s="43">
        <v>44027</v>
      </c>
    </row>
    <row r="2040" spans="1:8" x14ac:dyDescent="0.25">
      <c r="A2040" s="28" t="s">
        <v>2287</v>
      </c>
      <c r="B2040" s="42" t="s">
        <v>3</v>
      </c>
      <c r="C2040" s="3">
        <v>18</v>
      </c>
      <c r="D2040" s="3">
        <v>1</v>
      </c>
      <c r="G2040" s="43">
        <v>44027</v>
      </c>
    </row>
    <row r="2041" spans="1:8" x14ac:dyDescent="0.25">
      <c r="A2041" s="28" t="s">
        <v>2288</v>
      </c>
      <c r="B2041" s="42" t="s">
        <v>3</v>
      </c>
      <c r="C2041" s="3">
        <v>18</v>
      </c>
      <c r="D2041" s="3">
        <v>1</v>
      </c>
      <c r="G2041" s="43">
        <v>44027</v>
      </c>
    </row>
    <row r="2042" spans="1:8" x14ac:dyDescent="0.25">
      <c r="A2042" s="28" t="s">
        <v>2289</v>
      </c>
      <c r="B2042" s="42" t="s">
        <v>3</v>
      </c>
      <c r="C2042" s="3">
        <v>18</v>
      </c>
      <c r="D2042" s="3">
        <v>1</v>
      </c>
      <c r="G2042" s="43">
        <v>44027</v>
      </c>
    </row>
    <row r="2043" spans="1:8" x14ac:dyDescent="0.25">
      <c r="A2043" s="28" t="s">
        <v>2290</v>
      </c>
      <c r="B2043" s="42" t="s">
        <v>3</v>
      </c>
      <c r="C2043" s="3">
        <v>18</v>
      </c>
      <c r="D2043" s="3">
        <v>1</v>
      </c>
      <c r="G2043" s="43">
        <v>44027</v>
      </c>
    </row>
    <row r="2044" spans="1:8" x14ac:dyDescent="0.25">
      <c r="A2044" s="28" t="s">
        <v>2291</v>
      </c>
      <c r="B2044" s="42" t="s">
        <v>3</v>
      </c>
      <c r="C2044" s="3">
        <v>18</v>
      </c>
      <c r="D2044" s="3">
        <v>1</v>
      </c>
      <c r="G2044" s="43">
        <v>44027</v>
      </c>
    </row>
    <row r="2045" spans="1:8" x14ac:dyDescent="0.25">
      <c r="A2045" s="28" t="s">
        <v>2292</v>
      </c>
      <c r="B2045" s="42" t="s">
        <v>120</v>
      </c>
      <c r="C2045" s="3">
        <v>18</v>
      </c>
      <c r="D2045" s="3">
        <v>1</v>
      </c>
      <c r="E2045" s="42" t="s">
        <v>160</v>
      </c>
      <c r="G2045" s="43">
        <v>44027</v>
      </c>
    </row>
    <row r="2046" spans="1:8" x14ac:dyDescent="0.25">
      <c r="A2046" s="28" t="s">
        <v>2293</v>
      </c>
      <c r="B2046" s="42" t="s">
        <v>3</v>
      </c>
      <c r="C2046" s="3">
        <v>18</v>
      </c>
      <c r="D2046" s="3">
        <v>1</v>
      </c>
      <c r="G2046" s="43">
        <v>44027</v>
      </c>
    </row>
    <row r="2047" spans="1:8" x14ac:dyDescent="0.25">
      <c r="A2047" s="28" t="s">
        <v>2294</v>
      </c>
      <c r="B2047" s="42" t="s">
        <v>120</v>
      </c>
      <c r="C2047" s="3">
        <v>18</v>
      </c>
      <c r="D2047" s="3">
        <v>1</v>
      </c>
      <c r="E2047" s="42" t="s">
        <v>160</v>
      </c>
      <c r="F2047" s="42" t="s">
        <v>160</v>
      </c>
      <c r="G2047" s="43">
        <v>44027</v>
      </c>
      <c r="H2047" s="42" t="s">
        <v>238</v>
      </c>
    </row>
    <row r="2048" spans="1:8" x14ac:dyDescent="0.25">
      <c r="A2048" s="28" t="s">
        <v>2295</v>
      </c>
      <c r="B2048" s="42" t="s">
        <v>120</v>
      </c>
      <c r="C2048" s="3">
        <v>18</v>
      </c>
      <c r="D2048" s="3">
        <v>1</v>
      </c>
      <c r="E2048" s="42" t="s">
        <v>160</v>
      </c>
      <c r="G2048" s="43">
        <v>44027</v>
      </c>
    </row>
    <row r="2049" spans="1:8" x14ac:dyDescent="0.25">
      <c r="A2049" s="28" t="s">
        <v>2296</v>
      </c>
      <c r="B2049" s="42" t="s">
        <v>3</v>
      </c>
      <c r="C2049" s="3">
        <v>19</v>
      </c>
      <c r="D2049" s="3">
        <v>1</v>
      </c>
      <c r="G2049" s="43">
        <v>44027</v>
      </c>
    </row>
    <row r="2050" spans="1:8" x14ac:dyDescent="0.25">
      <c r="A2050" s="28" t="s">
        <v>2297</v>
      </c>
      <c r="B2050" s="42" t="s">
        <v>3</v>
      </c>
      <c r="C2050" s="3">
        <v>18</v>
      </c>
      <c r="D2050" s="3">
        <v>1</v>
      </c>
      <c r="G2050" s="43">
        <v>44027</v>
      </c>
    </row>
    <row r="2051" spans="1:8" x14ac:dyDescent="0.25">
      <c r="A2051" s="28" t="s">
        <v>2298</v>
      </c>
      <c r="B2051" s="42" t="s">
        <v>120</v>
      </c>
      <c r="C2051" s="3">
        <v>28</v>
      </c>
      <c r="D2051" s="3">
        <v>1</v>
      </c>
      <c r="E2051" s="42" t="s">
        <v>160</v>
      </c>
      <c r="F2051" s="42" t="s">
        <v>160</v>
      </c>
      <c r="G2051" s="43">
        <v>44027</v>
      </c>
      <c r="H2051" s="42" t="s">
        <v>238</v>
      </c>
    </row>
    <row r="2052" spans="1:8" x14ac:dyDescent="0.25">
      <c r="A2052" s="28" t="s">
        <v>2299</v>
      </c>
      <c r="B2052" s="42" t="s">
        <v>3</v>
      </c>
      <c r="C2052" s="3">
        <v>20</v>
      </c>
      <c r="D2052" s="3">
        <v>1</v>
      </c>
      <c r="G2052" s="43">
        <v>44027</v>
      </c>
    </row>
    <row r="2053" spans="1:8" x14ac:dyDescent="0.25">
      <c r="A2053" s="28" t="s">
        <v>2300</v>
      </c>
      <c r="B2053" s="42" t="s">
        <v>3</v>
      </c>
      <c r="C2053" s="3">
        <v>18</v>
      </c>
      <c r="D2053" s="3">
        <v>1</v>
      </c>
      <c r="G2053" s="43">
        <v>44027</v>
      </c>
    </row>
    <row r="2054" spans="1:8" x14ac:dyDescent="0.25">
      <c r="A2054" s="28" t="s">
        <v>2301</v>
      </c>
      <c r="B2054" s="42" t="s">
        <v>3</v>
      </c>
      <c r="C2054" s="3">
        <v>18</v>
      </c>
      <c r="D2054" s="3">
        <v>1</v>
      </c>
      <c r="G2054" s="43">
        <v>44027</v>
      </c>
    </row>
    <row r="2055" spans="1:8" x14ac:dyDescent="0.25">
      <c r="A2055" s="28" t="s">
        <v>2302</v>
      </c>
      <c r="B2055" s="42" t="s">
        <v>3</v>
      </c>
      <c r="C2055" s="3">
        <v>18</v>
      </c>
      <c r="D2055" s="3">
        <v>1</v>
      </c>
      <c r="G2055" s="43">
        <v>44027</v>
      </c>
    </row>
    <row r="2056" spans="1:8" x14ac:dyDescent="0.25">
      <c r="A2056" s="28" t="s">
        <v>2303</v>
      </c>
      <c r="B2056" s="42" t="s">
        <v>3</v>
      </c>
      <c r="C2056" s="3">
        <v>18</v>
      </c>
      <c r="D2056" s="3">
        <v>1</v>
      </c>
      <c r="G2056" s="43">
        <v>44027</v>
      </c>
    </row>
    <row r="2057" spans="1:8" x14ac:dyDescent="0.25">
      <c r="A2057" s="28" t="s">
        <v>2304</v>
      </c>
      <c r="B2057" s="42" t="s">
        <v>3</v>
      </c>
      <c r="C2057" s="3">
        <v>18</v>
      </c>
      <c r="D2057" s="3">
        <v>1</v>
      </c>
      <c r="G2057" s="43">
        <v>44027</v>
      </c>
    </row>
    <row r="2058" spans="1:8" x14ac:dyDescent="0.25">
      <c r="A2058" s="28" t="s">
        <v>2305</v>
      </c>
      <c r="B2058" s="42" t="s">
        <v>3</v>
      </c>
      <c r="C2058" s="3">
        <v>18</v>
      </c>
      <c r="D2058" s="3">
        <v>1</v>
      </c>
      <c r="G2058" s="43">
        <v>44027</v>
      </c>
    </row>
    <row r="2059" spans="1:8" x14ac:dyDescent="0.25">
      <c r="A2059" s="28" t="s">
        <v>2306</v>
      </c>
      <c r="B2059" s="42" t="s">
        <v>120</v>
      </c>
      <c r="C2059" s="3">
        <v>18</v>
      </c>
      <c r="D2059" s="3">
        <v>1</v>
      </c>
      <c r="E2059" s="42" t="s">
        <v>160</v>
      </c>
      <c r="F2059" s="42" t="s">
        <v>160</v>
      </c>
      <c r="G2059" s="43">
        <v>44027</v>
      </c>
      <c r="H2059" s="42" t="s">
        <v>238</v>
      </c>
    </row>
    <row r="2060" spans="1:8" x14ac:dyDescent="0.25">
      <c r="A2060" s="28" t="s">
        <v>2307</v>
      </c>
      <c r="B2060" s="42" t="s">
        <v>3</v>
      </c>
      <c r="C2060" s="3">
        <v>18</v>
      </c>
      <c r="D2060" s="3">
        <v>1</v>
      </c>
      <c r="G2060" s="43">
        <v>44027</v>
      </c>
    </row>
    <row r="2061" spans="1:8" x14ac:dyDescent="0.25">
      <c r="A2061" s="28" t="s">
        <v>2308</v>
      </c>
      <c r="B2061" s="42" t="s">
        <v>3</v>
      </c>
      <c r="C2061" s="3">
        <v>18</v>
      </c>
      <c r="D2061" s="3">
        <v>1</v>
      </c>
      <c r="G2061" s="43">
        <v>44027</v>
      </c>
    </row>
    <row r="2062" spans="1:8" x14ac:dyDescent="0.25">
      <c r="A2062" s="28" t="s">
        <v>2309</v>
      </c>
      <c r="B2062" s="42" t="s">
        <v>3</v>
      </c>
      <c r="C2062" s="3">
        <v>18</v>
      </c>
      <c r="D2062" s="3">
        <v>1</v>
      </c>
      <c r="G2062" s="43">
        <v>44027</v>
      </c>
    </row>
    <row r="2063" spans="1:8" x14ac:dyDescent="0.25">
      <c r="A2063" s="28" t="s">
        <v>2310</v>
      </c>
      <c r="B2063" s="42" t="s">
        <v>3</v>
      </c>
      <c r="C2063" s="3">
        <v>19</v>
      </c>
      <c r="D2063" s="3">
        <v>1</v>
      </c>
      <c r="G2063" s="43">
        <v>44027</v>
      </c>
    </row>
    <row r="2064" spans="1:8" x14ac:dyDescent="0.25">
      <c r="A2064" s="28" t="s">
        <v>2311</v>
      </c>
      <c r="B2064" s="42" t="s">
        <v>3</v>
      </c>
      <c r="C2064" s="3">
        <v>18</v>
      </c>
      <c r="D2064" s="3">
        <v>1</v>
      </c>
      <c r="G2064" s="43">
        <v>44027</v>
      </c>
    </row>
    <row r="2065" spans="1:8" x14ac:dyDescent="0.25">
      <c r="A2065" s="28" t="s">
        <v>2312</v>
      </c>
      <c r="B2065" s="42" t="s">
        <v>3</v>
      </c>
      <c r="C2065" s="3">
        <v>18</v>
      </c>
      <c r="D2065" s="3">
        <v>1</v>
      </c>
      <c r="G2065" s="43">
        <v>44027</v>
      </c>
    </row>
    <row r="2066" spans="1:8" x14ac:dyDescent="0.25">
      <c r="A2066" s="28" t="s">
        <v>2313</v>
      </c>
      <c r="B2066" s="42" t="s">
        <v>3</v>
      </c>
      <c r="C2066" s="3">
        <v>18</v>
      </c>
      <c r="D2066" s="3">
        <v>1</v>
      </c>
      <c r="G2066" s="43">
        <v>44027</v>
      </c>
    </row>
    <row r="2067" spans="1:8" x14ac:dyDescent="0.25">
      <c r="A2067" s="28" t="s">
        <v>2314</v>
      </c>
      <c r="B2067" s="42" t="s">
        <v>3</v>
      </c>
      <c r="C2067" s="3">
        <v>18</v>
      </c>
      <c r="D2067" s="3">
        <v>1</v>
      </c>
      <c r="G2067" s="43">
        <v>44027</v>
      </c>
    </row>
    <row r="2068" spans="1:8" x14ac:dyDescent="0.25">
      <c r="A2068" s="28" t="s">
        <v>2315</v>
      </c>
      <c r="B2068" s="42" t="s">
        <v>3</v>
      </c>
      <c r="C2068" s="3">
        <v>20</v>
      </c>
      <c r="D2068" s="3">
        <v>1</v>
      </c>
      <c r="G2068" s="43">
        <v>44027</v>
      </c>
    </row>
    <row r="2069" spans="1:8" x14ac:dyDescent="0.25">
      <c r="A2069" s="28" t="s">
        <v>2316</v>
      </c>
      <c r="B2069" s="42" t="s">
        <v>3</v>
      </c>
      <c r="C2069" s="3">
        <v>18</v>
      </c>
      <c r="D2069" s="3">
        <v>1</v>
      </c>
      <c r="G2069" s="43">
        <v>44027</v>
      </c>
    </row>
    <row r="2070" spans="1:8" x14ac:dyDescent="0.25">
      <c r="A2070" s="28" t="s">
        <v>2317</v>
      </c>
      <c r="B2070" s="42" t="s">
        <v>3</v>
      </c>
      <c r="C2070" s="3">
        <v>19</v>
      </c>
      <c r="D2070" s="3">
        <v>1</v>
      </c>
      <c r="G2070" s="43">
        <v>44027</v>
      </c>
    </row>
    <row r="2071" spans="1:8" x14ac:dyDescent="0.25">
      <c r="A2071" s="3" t="s">
        <v>2318</v>
      </c>
      <c r="B2071" s="42" t="s">
        <v>3</v>
      </c>
      <c r="C2071" s="3">
        <v>18</v>
      </c>
      <c r="D2071" s="3">
        <v>1</v>
      </c>
      <c r="E2071" s="42" t="s">
        <v>160</v>
      </c>
      <c r="G2071" s="43">
        <v>44038</v>
      </c>
    </row>
    <row r="2072" spans="1:8" x14ac:dyDescent="0.25">
      <c r="A2072" s="31" t="s">
        <v>2319</v>
      </c>
      <c r="B2072" s="42" t="s">
        <v>3</v>
      </c>
      <c r="C2072" s="3">
        <v>18</v>
      </c>
      <c r="D2072" s="3">
        <v>2</v>
      </c>
      <c r="G2072" s="43">
        <v>44054</v>
      </c>
      <c r="H2072" s="42" t="s">
        <v>238</v>
      </c>
    </row>
    <row r="2073" spans="1:8" x14ac:dyDescent="0.25">
      <c r="A2073" s="31" t="s">
        <v>2320</v>
      </c>
      <c r="B2073" s="42" t="s">
        <v>3</v>
      </c>
      <c r="C2073" s="3">
        <v>18</v>
      </c>
      <c r="D2073" s="3">
        <v>2</v>
      </c>
      <c r="G2073" s="43">
        <v>44054</v>
      </c>
      <c r="H2073" s="42" t="s">
        <v>238</v>
      </c>
    </row>
    <row r="2074" spans="1:8" x14ac:dyDescent="0.25">
      <c r="A2074" s="31" t="s">
        <v>2321</v>
      </c>
      <c r="B2074" s="42" t="s">
        <v>3</v>
      </c>
      <c r="C2074" s="3">
        <v>18</v>
      </c>
      <c r="D2074" s="3">
        <v>2</v>
      </c>
      <c r="G2074" s="43">
        <v>44054</v>
      </c>
      <c r="H2074" s="42" t="s">
        <v>238</v>
      </c>
    </row>
    <row r="2075" spans="1:8" x14ac:dyDescent="0.25">
      <c r="A2075" s="31" t="s">
        <v>2322</v>
      </c>
      <c r="B2075" s="42" t="s">
        <v>3</v>
      </c>
      <c r="C2075" s="3">
        <v>18</v>
      </c>
      <c r="D2075" s="3">
        <v>2</v>
      </c>
      <c r="G2075" s="43">
        <v>44054</v>
      </c>
      <c r="H2075" s="42" t="s">
        <v>238</v>
      </c>
    </row>
    <row r="2076" spans="1:8" x14ac:dyDescent="0.25">
      <c r="A2076" s="31" t="s">
        <v>2323</v>
      </c>
      <c r="B2076" s="42" t="s">
        <v>3</v>
      </c>
      <c r="C2076" s="3">
        <v>18</v>
      </c>
      <c r="D2076" s="3">
        <v>2</v>
      </c>
      <c r="G2076" s="43">
        <v>44054</v>
      </c>
      <c r="H2076" s="42" t="s">
        <v>238</v>
      </c>
    </row>
    <row r="2077" spans="1:8" x14ac:dyDescent="0.25">
      <c r="A2077" s="31" t="s">
        <v>2324</v>
      </c>
      <c r="B2077" s="42" t="s">
        <v>3</v>
      </c>
      <c r="C2077" s="3">
        <v>18</v>
      </c>
      <c r="D2077" s="3">
        <v>2</v>
      </c>
      <c r="G2077" s="43">
        <v>44054</v>
      </c>
      <c r="H2077" s="42" t="s">
        <v>238</v>
      </c>
    </row>
    <row r="2078" spans="1:8" x14ac:dyDescent="0.25">
      <c r="A2078" s="31" t="s">
        <v>2325</v>
      </c>
      <c r="B2078" s="42" t="s">
        <v>3</v>
      </c>
      <c r="C2078" s="3">
        <v>18</v>
      </c>
      <c r="D2078" s="3">
        <v>2</v>
      </c>
      <c r="G2078" s="43">
        <v>44054</v>
      </c>
      <c r="H2078" s="42" t="s">
        <v>238</v>
      </c>
    </row>
    <row r="2079" spans="1:8" x14ac:dyDescent="0.25">
      <c r="A2079" s="31" t="s">
        <v>2326</v>
      </c>
      <c r="B2079" s="42" t="s">
        <v>3</v>
      </c>
      <c r="C2079" s="3">
        <v>18</v>
      </c>
      <c r="D2079" s="3">
        <v>2</v>
      </c>
      <c r="G2079" s="43">
        <v>44054</v>
      </c>
      <c r="H2079" s="42" t="s">
        <v>238</v>
      </c>
    </row>
    <row r="2080" spans="1:8" x14ac:dyDescent="0.25">
      <c r="A2080" s="31" t="s">
        <v>2327</v>
      </c>
      <c r="B2080" s="42" t="s">
        <v>3</v>
      </c>
      <c r="C2080" s="3">
        <v>18</v>
      </c>
      <c r="D2080" s="3">
        <v>2</v>
      </c>
      <c r="G2080" s="43">
        <v>44054</v>
      </c>
      <c r="H2080" s="42" t="s">
        <v>238</v>
      </c>
    </row>
    <row r="2081" spans="1:8" x14ac:dyDescent="0.25">
      <c r="A2081" s="31" t="s">
        <v>2328</v>
      </c>
      <c r="B2081" s="42" t="s">
        <v>3</v>
      </c>
      <c r="C2081" s="3">
        <v>18</v>
      </c>
      <c r="D2081" s="3">
        <v>2</v>
      </c>
      <c r="G2081" s="43">
        <v>44054</v>
      </c>
      <c r="H2081" s="42" t="s">
        <v>238</v>
      </c>
    </row>
    <row r="2082" spans="1:8" x14ac:dyDescent="0.25">
      <c r="A2082" s="31" t="s">
        <v>2329</v>
      </c>
      <c r="B2082" s="42" t="s">
        <v>3</v>
      </c>
      <c r="C2082" s="3">
        <v>18</v>
      </c>
      <c r="D2082" s="3">
        <v>2</v>
      </c>
      <c r="G2082" s="43">
        <v>44054</v>
      </c>
      <c r="H2082" s="42" t="s">
        <v>238</v>
      </c>
    </row>
    <row r="2083" spans="1:8" x14ac:dyDescent="0.25">
      <c r="A2083" s="31" t="s">
        <v>2330</v>
      </c>
      <c r="B2083" s="42" t="s">
        <v>3</v>
      </c>
      <c r="C2083" s="3">
        <v>18</v>
      </c>
      <c r="D2083" s="3">
        <v>2</v>
      </c>
      <c r="G2083" s="43">
        <v>44054</v>
      </c>
      <c r="H2083" s="42" t="s">
        <v>238</v>
      </c>
    </row>
    <row r="2084" spans="1:8" x14ac:dyDescent="0.25">
      <c r="A2084" s="31" t="s">
        <v>2331</v>
      </c>
      <c r="B2084" s="42" t="s">
        <v>3</v>
      </c>
      <c r="C2084" s="3">
        <v>18</v>
      </c>
      <c r="D2084" s="3">
        <v>2</v>
      </c>
      <c r="G2084" s="43">
        <v>44054</v>
      </c>
      <c r="H2084" s="42" t="s">
        <v>238</v>
      </c>
    </row>
    <row r="2085" spans="1:8" x14ac:dyDescent="0.25">
      <c r="A2085" s="31" t="s">
        <v>2332</v>
      </c>
      <c r="B2085" s="42" t="s">
        <v>3</v>
      </c>
      <c r="C2085" s="3">
        <v>18</v>
      </c>
      <c r="D2085" s="3">
        <v>2</v>
      </c>
      <c r="G2085" s="43">
        <v>44054</v>
      </c>
      <c r="H2085" s="42" t="s">
        <v>238</v>
      </c>
    </row>
    <row r="2086" spans="1:8" x14ac:dyDescent="0.25">
      <c r="A2086" s="31" t="s">
        <v>2333</v>
      </c>
      <c r="B2086" s="42" t="s">
        <v>3</v>
      </c>
      <c r="C2086" s="3">
        <v>19</v>
      </c>
      <c r="D2086" s="3">
        <v>2</v>
      </c>
      <c r="G2086" s="43">
        <v>44054</v>
      </c>
      <c r="H2086" s="42" t="s">
        <v>238</v>
      </c>
    </row>
    <row r="2087" spans="1:8" x14ac:dyDescent="0.25">
      <c r="A2087" s="31" t="s">
        <v>2334</v>
      </c>
      <c r="B2087" s="42" t="s">
        <v>3</v>
      </c>
      <c r="C2087" s="3">
        <v>18</v>
      </c>
      <c r="D2087" s="3">
        <v>2</v>
      </c>
      <c r="G2087" s="43">
        <v>44054</v>
      </c>
      <c r="H2087" s="42" t="s">
        <v>238</v>
      </c>
    </row>
    <row r="2088" spans="1:8" x14ac:dyDescent="0.25">
      <c r="A2088" s="31" t="s">
        <v>2335</v>
      </c>
      <c r="B2088" s="42" t="s">
        <v>3</v>
      </c>
      <c r="C2088" s="3">
        <v>18</v>
      </c>
      <c r="D2088" s="3">
        <v>2</v>
      </c>
      <c r="G2088" s="43">
        <v>44054</v>
      </c>
      <c r="H2088" s="42" t="s">
        <v>238</v>
      </c>
    </row>
    <row r="2089" spans="1:8" x14ac:dyDescent="0.25">
      <c r="A2089" s="31" t="s">
        <v>2336</v>
      </c>
      <c r="B2089" s="42" t="s">
        <v>3</v>
      </c>
      <c r="C2089" s="3">
        <v>18</v>
      </c>
      <c r="D2089" s="3">
        <v>2</v>
      </c>
      <c r="G2089" s="43">
        <v>44054</v>
      </c>
      <c r="H2089" s="42" t="s">
        <v>238</v>
      </c>
    </row>
    <row r="2090" spans="1:8" x14ac:dyDescent="0.25">
      <c r="A2090" s="31" t="s">
        <v>2337</v>
      </c>
      <c r="B2090" s="42" t="s">
        <v>3</v>
      </c>
      <c r="C2090" s="3">
        <v>19</v>
      </c>
      <c r="D2090" s="3">
        <v>2</v>
      </c>
      <c r="G2090" s="43">
        <v>44054</v>
      </c>
      <c r="H2090" s="42" t="s">
        <v>238</v>
      </c>
    </row>
    <row r="2091" spans="1:8" x14ac:dyDescent="0.25">
      <c r="A2091" s="31" t="s">
        <v>2338</v>
      </c>
      <c r="B2091" s="42" t="s">
        <v>3</v>
      </c>
      <c r="C2091" s="3">
        <v>18</v>
      </c>
      <c r="D2091" s="3">
        <v>2</v>
      </c>
      <c r="G2091" s="43">
        <v>44054</v>
      </c>
      <c r="H2091" s="42" t="s">
        <v>238</v>
      </c>
    </row>
    <row r="2092" spans="1:8" x14ac:dyDescent="0.25">
      <c r="A2092" s="31" t="s">
        <v>2339</v>
      </c>
      <c r="B2092" s="42" t="s">
        <v>3</v>
      </c>
      <c r="C2092" s="3">
        <v>18</v>
      </c>
      <c r="D2092" s="3">
        <v>2</v>
      </c>
      <c r="G2092" s="43">
        <v>44054</v>
      </c>
      <c r="H2092" s="42" t="s">
        <v>238</v>
      </c>
    </row>
    <row r="2093" spans="1:8" x14ac:dyDescent="0.25">
      <c r="A2093" s="31" t="s">
        <v>2340</v>
      </c>
      <c r="B2093" s="42" t="s">
        <v>3</v>
      </c>
      <c r="C2093" s="3">
        <v>18</v>
      </c>
      <c r="D2093" s="3">
        <v>2</v>
      </c>
      <c r="G2093" s="43">
        <v>44054</v>
      </c>
      <c r="H2093" s="42" t="s">
        <v>238</v>
      </c>
    </row>
    <row r="2094" spans="1:8" x14ac:dyDescent="0.25">
      <c r="A2094" s="31" t="s">
        <v>2341</v>
      </c>
      <c r="B2094" s="42" t="s">
        <v>3</v>
      </c>
      <c r="C2094" s="3">
        <v>18</v>
      </c>
      <c r="D2094" s="3">
        <v>2</v>
      </c>
      <c r="G2094" s="43">
        <v>44054</v>
      </c>
      <c r="H2094" s="42" t="s">
        <v>238</v>
      </c>
    </row>
    <row r="2095" spans="1:8" x14ac:dyDescent="0.25">
      <c r="A2095" s="31" t="s">
        <v>2342</v>
      </c>
      <c r="B2095" s="42" t="s">
        <v>3</v>
      </c>
      <c r="C2095" s="3">
        <v>18</v>
      </c>
      <c r="D2095" s="3">
        <v>2</v>
      </c>
      <c r="G2095" s="43">
        <v>44054</v>
      </c>
      <c r="H2095" s="42" t="s">
        <v>238</v>
      </c>
    </row>
    <row r="2096" spans="1:8" x14ac:dyDescent="0.25">
      <c r="A2096" s="31" t="s">
        <v>2343</v>
      </c>
      <c r="B2096" s="42" t="s">
        <v>3</v>
      </c>
      <c r="C2096" s="3">
        <v>18</v>
      </c>
      <c r="D2096" s="3">
        <v>2</v>
      </c>
      <c r="G2096" s="43">
        <v>44054</v>
      </c>
      <c r="H2096" s="42" t="s">
        <v>238</v>
      </c>
    </row>
    <row r="2097" spans="1:8" x14ac:dyDescent="0.25">
      <c r="A2097" s="31" t="s">
        <v>2344</v>
      </c>
      <c r="B2097" s="42" t="s">
        <v>3</v>
      </c>
      <c r="C2097" s="3">
        <v>22</v>
      </c>
      <c r="D2097" s="3">
        <v>2</v>
      </c>
      <c r="G2097" s="43">
        <v>44054</v>
      </c>
      <c r="H2097" s="42" t="s">
        <v>238</v>
      </c>
    </row>
    <row r="2098" spans="1:8" x14ac:dyDescent="0.25">
      <c r="A2098" s="31" t="s">
        <v>2345</v>
      </c>
      <c r="B2098" s="42" t="s">
        <v>3</v>
      </c>
      <c r="C2098" s="3">
        <v>18</v>
      </c>
      <c r="D2098" s="3">
        <v>2</v>
      </c>
      <c r="G2098" s="43">
        <v>44054</v>
      </c>
      <c r="H2098" s="42" t="s">
        <v>238</v>
      </c>
    </row>
    <row r="2099" spans="1:8" x14ac:dyDescent="0.25">
      <c r="A2099" s="31" t="s">
        <v>2346</v>
      </c>
      <c r="B2099" s="42" t="s">
        <v>3</v>
      </c>
      <c r="C2099" s="3">
        <v>18</v>
      </c>
      <c r="D2099" s="3">
        <v>2</v>
      </c>
      <c r="G2099" s="43">
        <v>44054</v>
      </c>
      <c r="H2099" s="42" t="s">
        <v>238</v>
      </c>
    </row>
    <row r="2100" spans="1:8" x14ac:dyDescent="0.25">
      <c r="A2100" s="31" t="s">
        <v>2347</v>
      </c>
      <c r="B2100" s="42" t="s">
        <v>3</v>
      </c>
      <c r="C2100" s="3">
        <v>18</v>
      </c>
      <c r="D2100" s="3">
        <v>2</v>
      </c>
      <c r="G2100" s="43">
        <v>44054</v>
      </c>
      <c r="H2100" s="42" t="s">
        <v>238</v>
      </c>
    </row>
    <row r="2101" spans="1:8" x14ac:dyDescent="0.25">
      <c r="A2101" s="31" t="s">
        <v>2348</v>
      </c>
      <c r="B2101" s="42" t="s">
        <v>3</v>
      </c>
      <c r="C2101" s="3">
        <v>18</v>
      </c>
      <c r="D2101" s="3">
        <v>2</v>
      </c>
      <c r="G2101" s="43">
        <v>44054</v>
      </c>
      <c r="H2101" s="42" t="s">
        <v>238</v>
      </c>
    </row>
    <row r="2102" spans="1:8" x14ac:dyDescent="0.25">
      <c r="A2102" s="31" t="s">
        <v>2349</v>
      </c>
      <c r="B2102" s="42" t="s">
        <v>3</v>
      </c>
      <c r="C2102" s="3">
        <v>18</v>
      </c>
      <c r="D2102" s="3">
        <v>2</v>
      </c>
      <c r="G2102" s="43">
        <v>44054</v>
      </c>
      <c r="H2102" s="42" t="s">
        <v>238</v>
      </c>
    </row>
    <row r="2103" spans="1:8" x14ac:dyDescent="0.25">
      <c r="A2103" s="31" t="s">
        <v>2350</v>
      </c>
      <c r="B2103" s="42" t="s">
        <v>3</v>
      </c>
      <c r="C2103" s="3">
        <v>18</v>
      </c>
      <c r="D2103" s="3">
        <v>2</v>
      </c>
      <c r="G2103" s="43">
        <v>44054</v>
      </c>
      <c r="H2103" s="42" t="s">
        <v>238</v>
      </c>
    </row>
    <row r="2104" spans="1:8" x14ac:dyDescent="0.25">
      <c r="A2104" s="31" t="s">
        <v>2351</v>
      </c>
      <c r="B2104" s="42" t="s">
        <v>3</v>
      </c>
      <c r="C2104" s="3">
        <v>18</v>
      </c>
      <c r="D2104" s="3">
        <v>2</v>
      </c>
      <c r="G2104" s="43">
        <v>44054</v>
      </c>
      <c r="H2104" s="42" t="s">
        <v>238</v>
      </c>
    </row>
    <row r="2105" spans="1:8" x14ac:dyDescent="0.25">
      <c r="A2105" s="31" t="s">
        <v>2352</v>
      </c>
      <c r="B2105" s="42" t="s">
        <v>3</v>
      </c>
      <c r="C2105" s="3">
        <v>18</v>
      </c>
      <c r="D2105" s="3">
        <v>2</v>
      </c>
      <c r="G2105" s="43">
        <v>44054</v>
      </c>
      <c r="H2105" s="42" t="s">
        <v>238</v>
      </c>
    </row>
    <row r="2106" spans="1:8" x14ac:dyDescent="0.25">
      <c r="A2106" s="31" t="s">
        <v>2353</v>
      </c>
      <c r="B2106" s="42" t="s">
        <v>3</v>
      </c>
      <c r="C2106" s="3">
        <v>18</v>
      </c>
      <c r="D2106" s="3">
        <v>2</v>
      </c>
      <c r="G2106" s="43">
        <v>44054</v>
      </c>
      <c r="H2106" s="42" t="s">
        <v>238</v>
      </c>
    </row>
    <row r="2107" spans="1:8" x14ac:dyDescent="0.25">
      <c r="A2107" s="31" t="s">
        <v>2354</v>
      </c>
      <c r="B2107" s="42" t="s">
        <v>3</v>
      </c>
      <c r="C2107" s="3">
        <v>18</v>
      </c>
      <c r="D2107" s="3">
        <v>2</v>
      </c>
      <c r="G2107" s="43">
        <v>44054</v>
      </c>
      <c r="H2107" s="42" t="s">
        <v>238</v>
      </c>
    </row>
    <row r="2108" spans="1:8" x14ac:dyDescent="0.25">
      <c r="A2108" s="31" t="s">
        <v>2355</v>
      </c>
      <c r="B2108" s="42" t="s">
        <v>3</v>
      </c>
      <c r="C2108" s="3">
        <v>18</v>
      </c>
      <c r="D2108" s="3">
        <v>2</v>
      </c>
      <c r="G2108" s="43">
        <v>44054</v>
      </c>
      <c r="H2108" s="42" t="s">
        <v>238</v>
      </c>
    </row>
    <row r="2109" spans="1:8" x14ac:dyDescent="0.25">
      <c r="A2109" s="31" t="s">
        <v>2356</v>
      </c>
      <c r="B2109" s="42" t="s">
        <v>3</v>
      </c>
      <c r="C2109" s="3">
        <v>23</v>
      </c>
      <c r="D2109" s="3">
        <v>2</v>
      </c>
      <c r="G2109" s="43">
        <v>44054</v>
      </c>
      <c r="H2109" s="42" t="s">
        <v>238</v>
      </c>
    </row>
    <row r="2110" spans="1:8" x14ac:dyDescent="0.25">
      <c r="A2110" s="31" t="s">
        <v>2357</v>
      </c>
      <c r="B2110" s="42" t="s">
        <v>120</v>
      </c>
      <c r="C2110" s="3">
        <v>18</v>
      </c>
      <c r="D2110" s="3">
        <v>1</v>
      </c>
      <c r="E2110" s="42" t="s">
        <v>160</v>
      </c>
      <c r="F2110" s="42" t="s">
        <v>160</v>
      </c>
      <c r="G2110" s="43">
        <v>44054</v>
      </c>
      <c r="H2110" s="42" t="s">
        <v>238</v>
      </c>
    </row>
    <row r="2111" spans="1:8" x14ac:dyDescent="0.25">
      <c r="A2111" s="31" t="s">
        <v>2358</v>
      </c>
      <c r="B2111" s="42" t="s">
        <v>3</v>
      </c>
      <c r="C2111" s="3">
        <v>19</v>
      </c>
      <c r="D2111" s="3">
        <v>1</v>
      </c>
      <c r="G2111" s="43">
        <v>44054</v>
      </c>
      <c r="H2111" s="42" t="s">
        <v>238</v>
      </c>
    </row>
    <row r="2112" spans="1:8" x14ac:dyDescent="0.25">
      <c r="A2112" s="31" t="s">
        <v>2359</v>
      </c>
      <c r="B2112" s="42" t="s">
        <v>3</v>
      </c>
      <c r="C2112" s="3">
        <v>19</v>
      </c>
      <c r="D2112" s="3">
        <v>1</v>
      </c>
      <c r="G2112" s="43">
        <v>44054</v>
      </c>
      <c r="H2112" s="42" t="s">
        <v>238</v>
      </c>
    </row>
    <row r="2113" spans="1:8" x14ac:dyDescent="0.25">
      <c r="A2113" s="31" t="s">
        <v>2360</v>
      </c>
      <c r="B2113" s="42" t="s">
        <v>3</v>
      </c>
      <c r="C2113" s="3">
        <v>18</v>
      </c>
      <c r="D2113" s="3">
        <v>1</v>
      </c>
      <c r="G2113" s="43">
        <v>44054</v>
      </c>
      <c r="H2113" s="42" t="s">
        <v>238</v>
      </c>
    </row>
    <row r="2114" spans="1:8" x14ac:dyDescent="0.25">
      <c r="A2114" s="31" t="s">
        <v>2361</v>
      </c>
      <c r="B2114" s="42" t="s">
        <v>3</v>
      </c>
      <c r="C2114" s="3">
        <v>18</v>
      </c>
      <c r="D2114" s="3">
        <v>1</v>
      </c>
      <c r="G2114" s="43">
        <v>44054</v>
      </c>
      <c r="H2114" s="42" t="s">
        <v>238</v>
      </c>
    </row>
    <row r="2115" spans="1:8" x14ac:dyDescent="0.25">
      <c r="A2115" s="31" t="s">
        <v>2362</v>
      </c>
      <c r="B2115" s="42" t="s">
        <v>3</v>
      </c>
      <c r="C2115" s="3">
        <v>18</v>
      </c>
      <c r="D2115" s="3">
        <v>1</v>
      </c>
      <c r="G2115" s="43">
        <v>44054</v>
      </c>
      <c r="H2115" s="42" t="s">
        <v>238</v>
      </c>
    </row>
    <row r="2116" spans="1:8" x14ac:dyDescent="0.25">
      <c r="A2116" s="31" t="s">
        <v>2363</v>
      </c>
      <c r="B2116" s="42" t="s">
        <v>3</v>
      </c>
      <c r="C2116" s="3">
        <v>18</v>
      </c>
      <c r="D2116" s="3">
        <v>1</v>
      </c>
      <c r="G2116" s="43">
        <v>44054</v>
      </c>
      <c r="H2116" s="42" t="s">
        <v>238</v>
      </c>
    </row>
    <row r="2117" spans="1:8" x14ac:dyDescent="0.25">
      <c r="A2117" s="31" t="s">
        <v>2364</v>
      </c>
      <c r="B2117" s="42" t="s">
        <v>3</v>
      </c>
      <c r="C2117" s="3">
        <v>19</v>
      </c>
      <c r="D2117" s="3">
        <v>1</v>
      </c>
      <c r="G2117" s="43">
        <v>44054</v>
      </c>
      <c r="H2117" s="42" t="s">
        <v>238</v>
      </c>
    </row>
    <row r="2118" spans="1:8" x14ac:dyDescent="0.25">
      <c r="A2118" s="31" t="s">
        <v>2365</v>
      </c>
      <c r="B2118" s="42" t="s">
        <v>3</v>
      </c>
      <c r="C2118" s="3">
        <v>20</v>
      </c>
      <c r="D2118" s="3">
        <v>1</v>
      </c>
      <c r="G2118" s="43">
        <v>44054</v>
      </c>
      <c r="H2118" s="42" t="s">
        <v>238</v>
      </c>
    </row>
    <row r="2119" spans="1:8" x14ac:dyDescent="0.25">
      <c r="A2119" s="31" t="s">
        <v>2366</v>
      </c>
      <c r="B2119" s="42" t="s">
        <v>3</v>
      </c>
      <c r="C2119" s="3">
        <v>18</v>
      </c>
      <c r="D2119" s="3">
        <v>1</v>
      </c>
      <c r="G2119" s="43">
        <v>44054</v>
      </c>
      <c r="H2119" s="42" t="s">
        <v>238</v>
      </c>
    </row>
    <row r="2120" spans="1:8" x14ac:dyDescent="0.25">
      <c r="A2120" s="31" t="s">
        <v>2367</v>
      </c>
      <c r="B2120" s="42" t="s">
        <v>3</v>
      </c>
      <c r="C2120" s="3">
        <v>18</v>
      </c>
      <c r="D2120" s="3">
        <v>1</v>
      </c>
      <c r="G2120" s="43">
        <v>44054</v>
      </c>
      <c r="H2120" s="42" t="s">
        <v>238</v>
      </c>
    </row>
    <row r="2121" spans="1:8" x14ac:dyDescent="0.25">
      <c r="A2121" s="31" t="s">
        <v>2368</v>
      </c>
      <c r="B2121" s="42" t="s">
        <v>120</v>
      </c>
      <c r="C2121" s="3">
        <v>22</v>
      </c>
      <c r="D2121" s="3">
        <v>1</v>
      </c>
      <c r="E2121" s="42" t="s">
        <v>160</v>
      </c>
      <c r="F2121" s="42" t="s">
        <v>160</v>
      </c>
      <c r="G2121" s="43">
        <v>44054</v>
      </c>
      <c r="H2121" s="42" t="s">
        <v>238</v>
      </c>
    </row>
    <row r="2122" spans="1:8" x14ac:dyDescent="0.25">
      <c r="A2122" s="31" t="s">
        <v>2369</v>
      </c>
      <c r="B2122" s="42" t="s">
        <v>3</v>
      </c>
      <c r="C2122" s="3">
        <v>18</v>
      </c>
      <c r="D2122" s="3">
        <v>1</v>
      </c>
      <c r="G2122" s="43">
        <v>44054</v>
      </c>
      <c r="H2122" s="42" t="s">
        <v>238</v>
      </c>
    </row>
    <row r="2123" spans="1:8" x14ac:dyDescent="0.25">
      <c r="A2123" s="31" t="s">
        <v>2370</v>
      </c>
      <c r="B2123" s="42" t="s">
        <v>3</v>
      </c>
      <c r="C2123" s="3">
        <v>19</v>
      </c>
      <c r="D2123" s="3">
        <v>1</v>
      </c>
      <c r="G2123" s="43">
        <v>44054</v>
      </c>
      <c r="H2123" s="42" t="s">
        <v>238</v>
      </c>
    </row>
    <row r="2124" spans="1:8" x14ac:dyDescent="0.25">
      <c r="A2124" s="31" t="s">
        <v>2371</v>
      </c>
      <c r="B2124" s="42" t="s">
        <v>3</v>
      </c>
      <c r="C2124" s="3">
        <v>18</v>
      </c>
      <c r="D2124" s="3">
        <v>1</v>
      </c>
      <c r="G2124" s="43">
        <v>44054</v>
      </c>
      <c r="H2124" s="42" t="s">
        <v>238</v>
      </c>
    </row>
    <row r="2125" spans="1:8" x14ac:dyDescent="0.25">
      <c r="A2125" s="31" t="s">
        <v>2372</v>
      </c>
      <c r="B2125" s="42" t="s">
        <v>3</v>
      </c>
      <c r="C2125" s="3">
        <v>18</v>
      </c>
      <c r="D2125" s="3">
        <v>1</v>
      </c>
      <c r="G2125" s="43">
        <v>44054</v>
      </c>
      <c r="H2125" s="42" t="s">
        <v>238</v>
      </c>
    </row>
    <row r="2126" spans="1:8" x14ac:dyDescent="0.25">
      <c r="A2126" s="31" t="s">
        <v>2373</v>
      </c>
      <c r="B2126" s="42" t="s">
        <v>3</v>
      </c>
      <c r="C2126" s="3">
        <v>18</v>
      </c>
      <c r="D2126" s="3">
        <v>1</v>
      </c>
      <c r="G2126" s="43">
        <v>44054</v>
      </c>
      <c r="H2126" s="42" t="s">
        <v>238</v>
      </c>
    </row>
    <row r="2127" spans="1:8" x14ac:dyDescent="0.25">
      <c r="A2127" s="31" t="s">
        <v>2374</v>
      </c>
      <c r="B2127" s="42" t="s">
        <v>3</v>
      </c>
      <c r="C2127" s="3">
        <v>19</v>
      </c>
      <c r="D2127" s="3">
        <v>1</v>
      </c>
      <c r="G2127" s="43">
        <v>44054</v>
      </c>
      <c r="H2127" s="42" t="s">
        <v>238</v>
      </c>
    </row>
    <row r="2128" spans="1:8" x14ac:dyDescent="0.25">
      <c r="A2128" s="31" t="s">
        <v>2375</v>
      </c>
      <c r="B2128" s="42" t="s">
        <v>120</v>
      </c>
      <c r="C2128" s="3">
        <v>19</v>
      </c>
      <c r="D2128" s="3">
        <v>1</v>
      </c>
      <c r="E2128" s="42" t="s">
        <v>160</v>
      </c>
      <c r="G2128" s="43">
        <v>44054</v>
      </c>
      <c r="H2128" s="42" t="s">
        <v>238</v>
      </c>
    </row>
    <row r="2129" spans="1:8" x14ac:dyDescent="0.25">
      <c r="A2129" s="31" t="s">
        <v>2376</v>
      </c>
      <c r="B2129" s="42" t="s">
        <v>3</v>
      </c>
      <c r="C2129" s="3">
        <v>18</v>
      </c>
      <c r="D2129" s="3">
        <v>1</v>
      </c>
      <c r="G2129" s="43">
        <v>44054</v>
      </c>
      <c r="H2129" s="42" t="s">
        <v>238</v>
      </c>
    </row>
    <row r="2130" spans="1:8" x14ac:dyDescent="0.25">
      <c r="A2130" s="31" t="s">
        <v>2377</v>
      </c>
      <c r="B2130" s="42" t="s">
        <v>3</v>
      </c>
      <c r="C2130" s="3">
        <v>22</v>
      </c>
      <c r="D2130" s="3">
        <v>1</v>
      </c>
      <c r="G2130" s="43">
        <v>44054</v>
      </c>
      <c r="H2130" s="42" t="s">
        <v>238</v>
      </c>
    </row>
    <row r="2131" spans="1:8" x14ac:dyDescent="0.25">
      <c r="A2131" s="31" t="s">
        <v>2378</v>
      </c>
      <c r="B2131" s="42" t="s">
        <v>3</v>
      </c>
      <c r="C2131" s="3">
        <v>18</v>
      </c>
      <c r="D2131" s="3">
        <v>1</v>
      </c>
      <c r="G2131" s="43">
        <v>44054</v>
      </c>
      <c r="H2131" s="42" t="s">
        <v>238</v>
      </c>
    </row>
    <row r="2132" spans="1:8" x14ac:dyDescent="0.25">
      <c r="A2132" s="31" t="s">
        <v>2379</v>
      </c>
      <c r="B2132" s="42" t="s">
        <v>3</v>
      </c>
      <c r="C2132" s="3">
        <v>19</v>
      </c>
      <c r="D2132" s="3">
        <v>1</v>
      </c>
      <c r="G2132" s="43">
        <v>44054</v>
      </c>
      <c r="H2132" s="42" t="s">
        <v>238</v>
      </c>
    </row>
    <row r="2133" spans="1:8" x14ac:dyDescent="0.25">
      <c r="A2133" s="31" t="s">
        <v>2380</v>
      </c>
      <c r="B2133" s="42" t="s">
        <v>3</v>
      </c>
      <c r="C2133" s="3">
        <v>19</v>
      </c>
      <c r="D2133" s="3">
        <v>1</v>
      </c>
      <c r="G2133" s="43">
        <v>44054</v>
      </c>
      <c r="H2133" s="42" t="s">
        <v>238</v>
      </c>
    </row>
    <row r="2134" spans="1:8" x14ac:dyDescent="0.25">
      <c r="A2134" s="31" t="s">
        <v>2381</v>
      </c>
      <c r="B2134" s="42" t="s">
        <v>3</v>
      </c>
      <c r="C2134" s="3">
        <v>19</v>
      </c>
      <c r="D2134" s="3">
        <v>1</v>
      </c>
      <c r="G2134" s="43">
        <v>44054</v>
      </c>
      <c r="H2134" s="42" t="s">
        <v>238</v>
      </c>
    </row>
    <row r="2135" spans="1:8" x14ac:dyDescent="0.25">
      <c r="A2135" s="31" t="s">
        <v>2382</v>
      </c>
      <c r="B2135" s="42" t="s">
        <v>3</v>
      </c>
      <c r="C2135" s="3">
        <v>18</v>
      </c>
      <c r="D2135" s="3">
        <v>1</v>
      </c>
      <c r="G2135" s="43">
        <v>44054</v>
      </c>
      <c r="H2135" s="42" t="s">
        <v>238</v>
      </c>
    </row>
    <row r="2136" spans="1:8" x14ac:dyDescent="0.25">
      <c r="A2136" s="31" t="s">
        <v>2383</v>
      </c>
      <c r="B2136" s="42" t="s">
        <v>3</v>
      </c>
      <c r="C2136" s="3">
        <v>18</v>
      </c>
      <c r="D2136" s="3">
        <v>1</v>
      </c>
      <c r="G2136" s="43">
        <v>44054</v>
      </c>
      <c r="H2136" s="42" t="s">
        <v>238</v>
      </c>
    </row>
    <row r="2137" spans="1:8" x14ac:dyDescent="0.25">
      <c r="A2137" s="31" t="s">
        <v>2384</v>
      </c>
      <c r="B2137" s="42" t="s">
        <v>3</v>
      </c>
      <c r="C2137" s="3">
        <v>26</v>
      </c>
      <c r="D2137" s="3">
        <v>1</v>
      </c>
      <c r="G2137" s="43">
        <v>44054</v>
      </c>
      <c r="H2137" s="42" t="s">
        <v>238</v>
      </c>
    </row>
    <row r="2138" spans="1:8" x14ac:dyDescent="0.25">
      <c r="A2138" s="31" t="s">
        <v>2385</v>
      </c>
      <c r="B2138" s="42" t="s">
        <v>3</v>
      </c>
      <c r="C2138" s="3">
        <v>24</v>
      </c>
      <c r="D2138" s="3">
        <v>1</v>
      </c>
      <c r="G2138" s="43">
        <v>44054</v>
      </c>
      <c r="H2138" s="42" t="s">
        <v>238</v>
      </c>
    </row>
    <row r="2139" spans="1:8" x14ac:dyDescent="0.25">
      <c r="A2139" s="31" t="s">
        <v>2386</v>
      </c>
      <c r="B2139" s="42" t="s">
        <v>3</v>
      </c>
      <c r="C2139" s="3">
        <v>18</v>
      </c>
      <c r="D2139" s="3">
        <v>1</v>
      </c>
      <c r="G2139" s="43">
        <v>44054</v>
      </c>
      <c r="H2139" s="42" t="s">
        <v>238</v>
      </c>
    </row>
    <row r="2140" spans="1:8" x14ac:dyDescent="0.25">
      <c r="A2140" s="31" t="s">
        <v>2387</v>
      </c>
      <c r="B2140" s="42" t="s">
        <v>3</v>
      </c>
      <c r="C2140" s="3">
        <v>18</v>
      </c>
      <c r="D2140" s="3">
        <v>1</v>
      </c>
      <c r="G2140" s="43">
        <v>44054</v>
      </c>
      <c r="H2140" s="42" t="s">
        <v>238</v>
      </c>
    </row>
    <row r="2141" spans="1:8" x14ac:dyDescent="0.25">
      <c r="A2141" s="31" t="s">
        <v>2388</v>
      </c>
      <c r="B2141" s="42" t="s">
        <v>3</v>
      </c>
      <c r="C2141" s="3">
        <v>20</v>
      </c>
      <c r="D2141" s="3">
        <v>1</v>
      </c>
      <c r="G2141" s="43">
        <v>44054</v>
      </c>
      <c r="H2141" s="42" t="s">
        <v>238</v>
      </c>
    </row>
    <row r="2142" spans="1:8" x14ac:dyDescent="0.25">
      <c r="A2142" s="31" t="s">
        <v>2389</v>
      </c>
      <c r="B2142" s="42" t="s">
        <v>3</v>
      </c>
      <c r="C2142" s="3">
        <v>18</v>
      </c>
      <c r="D2142" s="3">
        <v>1</v>
      </c>
      <c r="G2142" s="43">
        <v>44054</v>
      </c>
      <c r="H2142" s="42" t="s">
        <v>238</v>
      </c>
    </row>
    <row r="2143" spans="1:8" x14ac:dyDescent="0.25">
      <c r="A2143" s="31" t="s">
        <v>2390</v>
      </c>
      <c r="B2143" s="42" t="s">
        <v>3</v>
      </c>
      <c r="C2143" s="3">
        <v>21</v>
      </c>
      <c r="D2143" s="3">
        <v>1</v>
      </c>
      <c r="G2143" s="43">
        <v>44054</v>
      </c>
      <c r="H2143" s="42" t="s">
        <v>238</v>
      </c>
    </row>
    <row r="2144" spans="1:8" x14ac:dyDescent="0.25">
      <c r="A2144" s="31" t="s">
        <v>2391</v>
      </c>
      <c r="B2144" s="42" t="s">
        <v>3</v>
      </c>
      <c r="C2144" s="3">
        <v>18</v>
      </c>
      <c r="D2144" s="3">
        <v>1</v>
      </c>
      <c r="G2144" s="43">
        <v>44054</v>
      </c>
      <c r="H2144" s="42" t="s">
        <v>238</v>
      </c>
    </row>
    <row r="2145" spans="1:8" x14ac:dyDescent="0.25">
      <c r="A2145" s="31" t="s">
        <v>2392</v>
      </c>
      <c r="B2145" s="42" t="s">
        <v>3</v>
      </c>
      <c r="C2145" s="3">
        <v>19</v>
      </c>
      <c r="D2145" s="3">
        <v>1</v>
      </c>
      <c r="G2145" s="43">
        <v>44054</v>
      </c>
      <c r="H2145" s="42" t="s">
        <v>238</v>
      </c>
    </row>
    <row r="2146" spans="1:8" x14ac:dyDescent="0.25">
      <c r="A2146" s="31" t="s">
        <v>2393</v>
      </c>
      <c r="B2146" s="42" t="s">
        <v>3</v>
      </c>
      <c r="C2146" s="3">
        <v>18</v>
      </c>
      <c r="D2146" s="3">
        <v>1</v>
      </c>
      <c r="G2146" s="43">
        <v>44054</v>
      </c>
      <c r="H2146" s="42" t="s">
        <v>238</v>
      </c>
    </row>
    <row r="2147" spans="1:8" x14ac:dyDescent="0.25">
      <c r="A2147" s="31" t="s">
        <v>2394</v>
      </c>
      <c r="B2147" s="42" t="s">
        <v>3</v>
      </c>
      <c r="C2147" s="3">
        <v>19</v>
      </c>
      <c r="D2147" s="3">
        <v>1</v>
      </c>
      <c r="G2147" s="43">
        <v>44054</v>
      </c>
      <c r="H2147" s="42" t="s">
        <v>238</v>
      </c>
    </row>
    <row r="2148" spans="1:8" x14ac:dyDescent="0.25">
      <c r="A2148" s="31" t="s">
        <v>2395</v>
      </c>
      <c r="B2148" s="42" t="s">
        <v>3</v>
      </c>
      <c r="C2148" s="3">
        <v>18</v>
      </c>
      <c r="D2148" s="3">
        <v>1</v>
      </c>
      <c r="G2148" s="43">
        <v>44054</v>
      </c>
      <c r="H2148" s="42" t="s">
        <v>238</v>
      </c>
    </row>
    <row r="2149" spans="1:8" x14ac:dyDescent="0.25">
      <c r="A2149" s="31" t="s">
        <v>2396</v>
      </c>
      <c r="B2149" s="42" t="s">
        <v>3</v>
      </c>
      <c r="C2149" s="3">
        <v>18</v>
      </c>
      <c r="D2149" s="3">
        <v>1</v>
      </c>
      <c r="G2149" s="43">
        <v>44054</v>
      </c>
      <c r="H2149" s="42" t="s">
        <v>238</v>
      </c>
    </row>
    <row r="2150" spans="1:8" x14ac:dyDescent="0.25">
      <c r="A2150" s="31" t="s">
        <v>2397</v>
      </c>
      <c r="B2150" s="42" t="s">
        <v>3</v>
      </c>
      <c r="C2150" s="3">
        <v>18</v>
      </c>
      <c r="D2150" s="3">
        <v>1</v>
      </c>
      <c r="G2150" s="43">
        <v>44054</v>
      </c>
      <c r="H2150" s="42" t="s">
        <v>238</v>
      </c>
    </row>
    <row r="2151" spans="1:8" x14ac:dyDescent="0.25">
      <c r="A2151" s="31" t="s">
        <v>2398</v>
      </c>
      <c r="B2151" s="42" t="s">
        <v>3</v>
      </c>
      <c r="C2151" s="3">
        <v>18</v>
      </c>
      <c r="D2151" s="3">
        <v>1</v>
      </c>
      <c r="G2151" s="43">
        <v>44054</v>
      </c>
      <c r="H2151" s="42" t="s">
        <v>238</v>
      </c>
    </row>
    <row r="2152" spans="1:8" x14ac:dyDescent="0.25">
      <c r="A2152" s="31" t="s">
        <v>2399</v>
      </c>
      <c r="B2152" s="42" t="s">
        <v>3</v>
      </c>
      <c r="C2152" s="3">
        <v>19</v>
      </c>
      <c r="D2152" s="3">
        <v>1</v>
      </c>
      <c r="G2152" s="43">
        <v>44054</v>
      </c>
      <c r="H2152" s="42" t="s">
        <v>238</v>
      </c>
    </row>
    <row r="2153" spans="1:8" x14ac:dyDescent="0.25">
      <c r="A2153" s="31" t="s">
        <v>2400</v>
      </c>
      <c r="B2153" s="42" t="s">
        <v>3</v>
      </c>
      <c r="C2153" s="3">
        <v>19</v>
      </c>
      <c r="D2153" s="3">
        <v>1</v>
      </c>
      <c r="G2153" s="43">
        <v>44054</v>
      </c>
      <c r="H2153" s="42" t="s">
        <v>238</v>
      </c>
    </row>
    <row r="2154" spans="1:8" x14ac:dyDescent="0.25">
      <c r="A2154" s="31" t="s">
        <v>2401</v>
      </c>
      <c r="B2154" s="42" t="s">
        <v>3</v>
      </c>
      <c r="C2154" s="3">
        <v>18</v>
      </c>
      <c r="D2154" s="3">
        <v>1</v>
      </c>
      <c r="G2154" s="43">
        <v>44054</v>
      </c>
      <c r="H2154" s="42" t="s">
        <v>238</v>
      </c>
    </row>
    <row r="2155" spans="1:8" x14ac:dyDescent="0.25">
      <c r="A2155" s="31" t="s">
        <v>2402</v>
      </c>
      <c r="B2155" s="42" t="s">
        <v>3</v>
      </c>
      <c r="C2155" s="3">
        <v>18</v>
      </c>
      <c r="D2155" s="3">
        <v>1</v>
      </c>
      <c r="G2155" s="43">
        <v>44054</v>
      </c>
      <c r="H2155" s="42" t="s">
        <v>238</v>
      </c>
    </row>
    <row r="2156" spans="1:8" x14ac:dyDescent="0.25">
      <c r="A2156" s="31" t="s">
        <v>2403</v>
      </c>
      <c r="B2156" s="42" t="s">
        <v>3</v>
      </c>
      <c r="C2156" s="3">
        <v>18</v>
      </c>
      <c r="D2156" s="3">
        <v>1</v>
      </c>
      <c r="G2156" s="43">
        <v>44054</v>
      </c>
      <c r="H2156" s="42" t="s">
        <v>238</v>
      </c>
    </row>
    <row r="2157" spans="1:8" x14ac:dyDescent="0.25">
      <c r="A2157" s="31" t="s">
        <v>2404</v>
      </c>
      <c r="B2157" s="42" t="s">
        <v>3</v>
      </c>
      <c r="C2157" s="3">
        <v>19</v>
      </c>
      <c r="D2157" s="3">
        <v>1</v>
      </c>
      <c r="G2157" s="43">
        <v>44054</v>
      </c>
      <c r="H2157" s="42" t="s">
        <v>238</v>
      </c>
    </row>
    <row r="2158" spans="1:8" x14ac:dyDescent="0.25">
      <c r="A2158" s="31" t="s">
        <v>2405</v>
      </c>
      <c r="B2158" s="42" t="s">
        <v>3</v>
      </c>
      <c r="C2158" s="3">
        <v>19</v>
      </c>
      <c r="D2158" s="3">
        <v>1</v>
      </c>
      <c r="G2158" s="43">
        <v>44054</v>
      </c>
      <c r="H2158" s="42" t="s">
        <v>238</v>
      </c>
    </row>
    <row r="2159" spans="1:8" x14ac:dyDescent="0.25">
      <c r="A2159" s="31" t="s">
        <v>2406</v>
      </c>
      <c r="B2159" s="42" t="s">
        <v>3</v>
      </c>
      <c r="C2159" s="3">
        <v>18</v>
      </c>
      <c r="D2159" s="3">
        <v>1</v>
      </c>
      <c r="G2159" s="43">
        <v>44054</v>
      </c>
      <c r="H2159" s="42" t="s">
        <v>238</v>
      </c>
    </row>
    <row r="2160" spans="1:8" x14ac:dyDescent="0.25">
      <c r="A2160" s="31" t="s">
        <v>2407</v>
      </c>
      <c r="B2160" s="42" t="s">
        <v>3</v>
      </c>
      <c r="C2160" s="3">
        <v>19</v>
      </c>
      <c r="D2160" s="3">
        <v>1</v>
      </c>
      <c r="G2160" s="43">
        <v>44054</v>
      </c>
      <c r="H2160" s="42" t="s">
        <v>238</v>
      </c>
    </row>
    <row r="2161" spans="1:8" x14ac:dyDescent="0.25">
      <c r="A2161" s="31" t="s">
        <v>2408</v>
      </c>
      <c r="B2161" s="42" t="s">
        <v>3</v>
      </c>
      <c r="C2161" s="3">
        <v>18</v>
      </c>
      <c r="D2161" s="3">
        <v>1</v>
      </c>
      <c r="G2161" s="43">
        <v>44054</v>
      </c>
      <c r="H2161" s="42" t="s">
        <v>238</v>
      </c>
    </row>
    <row r="2162" spans="1:8" x14ac:dyDescent="0.25">
      <c r="A2162" s="31" t="s">
        <v>2409</v>
      </c>
      <c r="B2162" s="42" t="s">
        <v>3</v>
      </c>
      <c r="C2162" s="3">
        <v>18</v>
      </c>
      <c r="D2162" s="3">
        <v>1</v>
      </c>
      <c r="G2162" s="43">
        <v>44054</v>
      </c>
      <c r="H2162" s="42" t="s">
        <v>238</v>
      </c>
    </row>
    <row r="2163" spans="1:8" x14ac:dyDescent="0.25">
      <c r="A2163" s="31" t="s">
        <v>2410</v>
      </c>
      <c r="B2163" s="42" t="s">
        <v>3</v>
      </c>
      <c r="C2163" s="3">
        <v>18</v>
      </c>
      <c r="D2163" s="3">
        <v>1</v>
      </c>
      <c r="G2163" s="43">
        <v>44054</v>
      </c>
      <c r="H2163" s="42" t="s">
        <v>238</v>
      </c>
    </row>
    <row r="2164" spans="1:8" x14ac:dyDescent="0.25">
      <c r="A2164" s="31" t="s">
        <v>2411</v>
      </c>
      <c r="B2164" s="42" t="s">
        <v>3</v>
      </c>
      <c r="C2164" s="3">
        <v>19</v>
      </c>
      <c r="D2164" s="3">
        <v>1</v>
      </c>
      <c r="G2164" s="43">
        <v>44054</v>
      </c>
      <c r="H2164" s="42" t="s">
        <v>238</v>
      </c>
    </row>
    <row r="2165" spans="1:8" x14ac:dyDescent="0.25">
      <c r="A2165" s="31" t="s">
        <v>2412</v>
      </c>
      <c r="B2165" s="42" t="s">
        <v>3</v>
      </c>
      <c r="C2165" s="3">
        <v>18</v>
      </c>
      <c r="D2165" s="3">
        <v>1</v>
      </c>
      <c r="G2165" s="43">
        <v>44054</v>
      </c>
      <c r="H2165" s="42" t="s">
        <v>238</v>
      </c>
    </row>
    <row r="2166" spans="1:8" x14ac:dyDescent="0.25">
      <c r="A2166" s="31" t="s">
        <v>2413</v>
      </c>
      <c r="B2166" s="42" t="s">
        <v>3</v>
      </c>
      <c r="C2166" s="3">
        <v>18</v>
      </c>
      <c r="D2166" s="3">
        <v>1</v>
      </c>
      <c r="G2166" s="43">
        <v>44054</v>
      </c>
      <c r="H2166" s="42" t="s">
        <v>238</v>
      </c>
    </row>
    <row r="2167" spans="1:8" x14ac:dyDescent="0.25">
      <c r="A2167" s="31" t="s">
        <v>2414</v>
      </c>
      <c r="B2167" s="42" t="s">
        <v>3</v>
      </c>
      <c r="C2167" s="3">
        <v>18</v>
      </c>
      <c r="D2167" s="3">
        <v>1</v>
      </c>
      <c r="G2167" s="43">
        <v>44054</v>
      </c>
      <c r="H2167" s="42" t="s">
        <v>238</v>
      </c>
    </row>
    <row r="2168" spans="1:8" x14ac:dyDescent="0.25">
      <c r="A2168" s="31" t="s">
        <v>2415</v>
      </c>
      <c r="B2168" s="42" t="s">
        <v>3</v>
      </c>
      <c r="C2168" s="3">
        <v>19</v>
      </c>
      <c r="D2168" s="3">
        <v>1</v>
      </c>
      <c r="G2168" s="43">
        <v>44054</v>
      </c>
      <c r="H2168" s="42" t="s">
        <v>238</v>
      </c>
    </row>
    <row r="2169" spans="1:8" x14ac:dyDescent="0.25">
      <c r="A2169" s="31" t="s">
        <v>2416</v>
      </c>
      <c r="B2169" s="42" t="s">
        <v>3</v>
      </c>
      <c r="C2169" s="3">
        <v>24</v>
      </c>
      <c r="D2169" s="3">
        <v>1</v>
      </c>
      <c r="G2169" s="43">
        <v>44054</v>
      </c>
      <c r="H2169" s="42" t="s">
        <v>238</v>
      </c>
    </row>
    <row r="2170" spans="1:8" x14ac:dyDescent="0.25">
      <c r="A2170" s="31" t="s">
        <v>2417</v>
      </c>
      <c r="B2170" s="42" t="s">
        <v>3</v>
      </c>
      <c r="C2170" s="3">
        <v>20</v>
      </c>
      <c r="D2170" s="3">
        <v>1</v>
      </c>
      <c r="G2170" s="43">
        <v>44054</v>
      </c>
      <c r="H2170" s="42" t="s">
        <v>238</v>
      </c>
    </row>
    <row r="2171" spans="1:8" x14ac:dyDescent="0.25">
      <c r="A2171" s="31" t="s">
        <v>2418</v>
      </c>
      <c r="B2171" s="42" t="s">
        <v>3</v>
      </c>
      <c r="C2171" s="3">
        <v>18</v>
      </c>
      <c r="D2171" s="3">
        <v>1</v>
      </c>
      <c r="G2171" s="43">
        <v>44054</v>
      </c>
      <c r="H2171" s="42" t="s">
        <v>238</v>
      </c>
    </row>
    <row r="2172" spans="1:8" x14ac:dyDescent="0.25">
      <c r="A2172" s="31" t="s">
        <v>2419</v>
      </c>
      <c r="B2172" s="42" t="s">
        <v>3</v>
      </c>
      <c r="C2172" s="3">
        <v>19</v>
      </c>
      <c r="D2172" s="3">
        <v>1</v>
      </c>
      <c r="G2172" s="43">
        <v>44054</v>
      </c>
      <c r="H2172" s="42" t="s">
        <v>238</v>
      </c>
    </row>
    <row r="2173" spans="1:8" x14ac:dyDescent="0.25">
      <c r="A2173" s="31" t="s">
        <v>2420</v>
      </c>
      <c r="B2173" s="42" t="s">
        <v>3</v>
      </c>
      <c r="C2173" s="3">
        <v>19</v>
      </c>
      <c r="D2173" s="3">
        <v>1</v>
      </c>
      <c r="G2173" s="43">
        <v>44054</v>
      </c>
      <c r="H2173" s="42" t="s">
        <v>238</v>
      </c>
    </row>
    <row r="2174" spans="1:8" x14ac:dyDescent="0.25">
      <c r="A2174" s="31" t="s">
        <v>2421</v>
      </c>
      <c r="B2174" s="42" t="s">
        <v>3</v>
      </c>
      <c r="C2174" s="3">
        <v>18</v>
      </c>
      <c r="D2174" s="3">
        <v>1</v>
      </c>
      <c r="G2174" s="43">
        <v>44054</v>
      </c>
      <c r="H2174" s="42" t="s">
        <v>238</v>
      </c>
    </row>
    <row r="2175" spans="1:8" x14ac:dyDescent="0.25">
      <c r="A2175" s="31" t="s">
        <v>2422</v>
      </c>
      <c r="B2175" s="42" t="s">
        <v>3</v>
      </c>
      <c r="C2175" s="3">
        <v>20</v>
      </c>
      <c r="D2175" s="3">
        <v>1</v>
      </c>
      <c r="G2175" s="43">
        <v>44054</v>
      </c>
      <c r="H2175" s="42" t="s">
        <v>238</v>
      </c>
    </row>
    <row r="2176" spans="1:8" x14ac:dyDescent="0.25">
      <c r="A2176" s="31" t="s">
        <v>2423</v>
      </c>
      <c r="B2176" s="42" t="s">
        <v>3</v>
      </c>
      <c r="C2176" s="3">
        <v>18</v>
      </c>
      <c r="D2176" s="3">
        <v>1</v>
      </c>
      <c r="G2176" s="43">
        <v>44054</v>
      </c>
      <c r="H2176" s="42" t="s">
        <v>238</v>
      </c>
    </row>
    <row r="2177" spans="1:8" x14ac:dyDescent="0.25">
      <c r="A2177" s="31" t="s">
        <v>2424</v>
      </c>
      <c r="B2177" s="42" t="s">
        <v>3</v>
      </c>
      <c r="C2177" s="3">
        <v>18</v>
      </c>
      <c r="D2177" s="3">
        <v>1</v>
      </c>
      <c r="G2177" s="43">
        <v>44054</v>
      </c>
      <c r="H2177" s="42" t="s">
        <v>238</v>
      </c>
    </row>
    <row r="2178" spans="1:8" x14ac:dyDescent="0.25">
      <c r="A2178" s="31" t="s">
        <v>2425</v>
      </c>
      <c r="B2178" s="42" t="s">
        <v>3</v>
      </c>
      <c r="C2178" s="3">
        <v>18</v>
      </c>
      <c r="D2178" s="3">
        <v>1</v>
      </c>
      <c r="G2178" s="43">
        <v>44054</v>
      </c>
      <c r="H2178" s="42" t="s">
        <v>238</v>
      </c>
    </row>
    <row r="2179" spans="1:8" x14ac:dyDescent="0.25">
      <c r="A2179" s="31" t="s">
        <v>2426</v>
      </c>
      <c r="B2179" s="42" t="s">
        <v>3</v>
      </c>
      <c r="C2179" s="3">
        <v>18</v>
      </c>
      <c r="D2179" s="3">
        <v>1</v>
      </c>
      <c r="G2179" s="43">
        <v>44054</v>
      </c>
      <c r="H2179" s="42" t="s">
        <v>238</v>
      </c>
    </row>
    <row r="2180" spans="1:8" x14ac:dyDescent="0.25">
      <c r="A2180" s="31" t="s">
        <v>2427</v>
      </c>
      <c r="B2180" s="42" t="s">
        <v>3</v>
      </c>
      <c r="C2180" s="3">
        <v>18</v>
      </c>
      <c r="D2180" s="3">
        <v>1</v>
      </c>
      <c r="G2180" s="43">
        <v>44054</v>
      </c>
      <c r="H2180" s="42" t="s">
        <v>238</v>
      </c>
    </row>
    <row r="2181" spans="1:8" x14ac:dyDescent="0.25">
      <c r="A2181" s="31" t="s">
        <v>2428</v>
      </c>
      <c r="B2181" s="42" t="s">
        <v>3</v>
      </c>
      <c r="C2181" s="3">
        <v>21</v>
      </c>
      <c r="D2181" s="3">
        <v>1</v>
      </c>
      <c r="G2181" s="43">
        <v>44054</v>
      </c>
      <c r="H2181" s="42" t="s">
        <v>238</v>
      </c>
    </row>
    <row r="2182" spans="1:8" x14ac:dyDescent="0.25">
      <c r="A2182" s="31" t="s">
        <v>2429</v>
      </c>
      <c r="B2182" s="42" t="s">
        <v>3</v>
      </c>
      <c r="C2182" s="3">
        <v>19</v>
      </c>
      <c r="D2182" s="3">
        <v>1</v>
      </c>
      <c r="G2182" s="43">
        <v>44054</v>
      </c>
      <c r="H2182" s="42" t="s">
        <v>238</v>
      </c>
    </row>
    <row r="2183" spans="1:8" x14ac:dyDescent="0.25">
      <c r="A2183" s="31" t="s">
        <v>2430</v>
      </c>
      <c r="B2183" s="42" t="s">
        <v>3</v>
      </c>
      <c r="C2183" s="3">
        <v>19</v>
      </c>
      <c r="D2183" s="3">
        <v>1</v>
      </c>
      <c r="G2183" s="43">
        <v>44054</v>
      </c>
      <c r="H2183" s="42" t="s">
        <v>238</v>
      </c>
    </row>
    <row r="2184" spans="1:8" x14ac:dyDescent="0.25">
      <c r="A2184" s="31" t="s">
        <v>2431</v>
      </c>
      <c r="B2184" s="42" t="s">
        <v>3</v>
      </c>
      <c r="C2184" s="3">
        <v>18</v>
      </c>
      <c r="D2184" s="3">
        <v>1</v>
      </c>
      <c r="G2184" s="43">
        <v>44054</v>
      </c>
      <c r="H2184" s="42" t="s">
        <v>238</v>
      </c>
    </row>
    <row r="2185" spans="1:8" x14ac:dyDescent="0.25">
      <c r="A2185" s="31" t="s">
        <v>2432</v>
      </c>
      <c r="B2185" s="42" t="s">
        <v>3</v>
      </c>
      <c r="C2185" s="3">
        <v>19</v>
      </c>
      <c r="D2185" s="3">
        <v>1</v>
      </c>
      <c r="G2185" s="43">
        <v>44054</v>
      </c>
      <c r="H2185" s="42" t="s">
        <v>238</v>
      </c>
    </row>
    <row r="2186" spans="1:8" x14ac:dyDescent="0.25">
      <c r="A2186" s="31" t="s">
        <v>2433</v>
      </c>
      <c r="B2186" s="42" t="s">
        <v>3</v>
      </c>
      <c r="C2186" s="3">
        <v>19</v>
      </c>
      <c r="D2186" s="3">
        <v>1</v>
      </c>
      <c r="G2186" s="43">
        <v>44054</v>
      </c>
      <c r="H2186" s="42" t="s">
        <v>238</v>
      </c>
    </row>
    <row r="2187" spans="1:8" x14ac:dyDescent="0.25">
      <c r="A2187" s="31" t="s">
        <v>2434</v>
      </c>
      <c r="B2187" s="42" t="s">
        <v>3</v>
      </c>
      <c r="C2187" s="3">
        <v>18</v>
      </c>
      <c r="D2187" s="3">
        <v>1</v>
      </c>
      <c r="G2187" s="43">
        <v>44054</v>
      </c>
      <c r="H2187" s="42" t="s">
        <v>238</v>
      </c>
    </row>
    <row r="2188" spans="1:8" x14ac:dyDescent="0.25">
      <c r="A2188" s="31" t="s">
        <v>2435</v>
      </c>
      <c r="B2188" s="42" t="s">
        <v>3</v>
      </c>
      <c r="C2188" s="3">
        <v>18</v>
      </c>
      <c r="D2188" s="3">
        <v>1</v>
      </c>
      <c r="G2188" s="43">
        <v>44054</v>
      </c>
      <c r="H2188" s="42" t="s">
        <v>238</v>
      </c>
    </row>
    <row r="2189" spans="1:8" x14ac:dyDescent="0.25">
      <c r="A2189" s="31" t="s">
        <v>2436</v>
      </c>
      <c r="B2189" s="42" t="s">
        <v>3</v>
      </c>
      <c r="C2189" s="3">
        <v>18</v>
      </c>
      <c r="D2189" s="3">
        <v>1</v>
      </c>
      <c r="G2189" s="43">
        <v>44054</v>
      </c>
      <c r="H2189" s="42" t="s">
        <v>238</v>
      </c>
    </row>
    <row r="2190" spans="1:8" x14ac:dyDescent="0.25">
      <c r="A2190" s="31" t="s">
        <v>2437</v>
      </c>
      <c r="B2190" s="42" t="s">
        <v>3</v>
      </c>
      <c r="C2190" s="3">
        <v>18</v>
      </c>
      <c r="D2190" s="3">
        <v>1</v>
      </c>
      <c r="G2190" s="43">
        <v>44054</v>
      </c>
      <c r="H2190" s="42" t="s">
        <v>238</v>
      </c>
    </row>
    <row r="2191" spans="1:8" x14ac:dyDescent="0.25">
      <c r="A2191" s="31" t="s">
        <v>2438</v>
      </c>
      <c r="B2191" s="42" t="s">
        <v>3</v>
      </c>
      <c r="C2191" s="3">
        <v>18</v>
      </c>
      <c r="D2191" s="3">
        <v>1</v>
      </c>
      <c r="G2191" s="43">
        <v>44054</v>
      </c>
      <c r="H2191" s="42" t="s">
        <v>238</v>
      </c>
    </row>
    <row r="2192" spans="1:8" x14ac:dyDescent="0.25">
      <c r="A2192" s="31" t="s">
        <v>2439</v>
      </c>
      <c r="B2192" s="42" t="s">
        <v>3</v>
      </c>
      <c r="C2192" s="3">
        <v>19</v>
      </c>
      <c r="D2192" s="3">
        <v>1</v>
      </c>
      <c r="G2192" s="43">
        <v>44054</v>
      </c>
      <c r="H2192" s="42" t="s">
        <v>238</v>
      </c>
    </row>
    <row r="2193" spans="1:8" x14ac:dyDescent="0.25">
      <c r="A2193" s="31" t="s">
        <v>2440</v>
      </c>
      <c r="B2193" s="42" t="s">
        <v>3</v>
      </c>
      <c r="C2193" s="3">
        <v>18</v>
      </c>
      <c r="D2193" s="3">
        <v>1</v>
      </c>
      <c r="G2193" s="43">
        <v>44054</v>
      </c>
      <c r="H2193" s="42" t="s">
        <v>238</v>
      </c>
    </row>
    <row r="2194" spans="1:8" x14ac:dyDescent="0.25">
      <c r="A2194" s="31" t="s">
        <v>2441</v>
      </c>
      <c r="B2194" s="42" t="s">
        <v>3</v>
      </c>
      <c r="C2194" s="3">
        <v>20</v>
      </c>
      <c r="D2194" s="3">
        <v>1</v>
      </c>
      <c r="G2194" s="43">
        <v>44054</v>
      </c>
      <c r="H2194" s="42" t="s">
        <v>238</v>
      </c>
    </row>
    <row r="2195" spans="1:8" x14ac:dyDescent="0.25">
      <c r="A2195" s="31" t="s">
        <v>2442</v>
      </c>
      <c r="B2195" s="42" t="s">
        <v>3</v>
      </c>
      <c r="C2195" s="3">
        <v>18</v>
      </c>
      <c r="D2195" s="3">
        <v>1</v>
      </c>
      <c r="G2195" s="43">
        <v>44054</v>
      </c>
      <c r="H2195" s="42" t="s">
        <v>238</v>
      </c>
    </row>
    <row r="2196" spans="1:8" x14ac:dyDescent="0.25">
      <c r="A2196" s="31" t="s">
        <v>2443</v>
      </c>
      <c r="B2196" s="42" t="s">
        <v>3</v>
      </c>
      <c r="C2196" s="3">
        <v>18</v>
      </c>
      <c r="D2196" s="3">
        <v>1</v>
      </c>
      <c r="G2196" s="43">
        <v>44054</v>
      </c>
      <c r="H2196" s="42" t="s">
        <v>238</v>
      </c>
    </row>
    <row r="2197" spans="1:8" x14ac:dyDescent="0.25">
      <c r="A2197" s="31" t="s">
        <v>2444</v>
      </c>
      <c r="B2197" s="42" t="s">
        <v>3</v>
      </c>
      <c r="C2197" s="3">
        <v>23</v>
      </c>
      <c r="D2197" s="3">
        <v>1</v>
      </c>
      <c r="G2197" s="43">
        <v>44054</v>
      </c>
      <c r="H2197" s="42" t="s">
        <v>238</v>
      </c>
    </row>
    <row r="2198" spans="1:8" x14ac:dyDescent="0.25">
      <c r="A2198" s="31" t="s">
        <v>2445</v>
      </c>
      <c r="B2198" s="42" t="s">
        <v>3</v>
      </c>
      <c r="C2198" s="3">
        <v>18</v>
      </c>
      <c r="D2198" s="3">
        <v>1</v>
      </c>
      <c r="G2198" s="43">
        <v>44054</v>
      </c>
      <c r="H2198" s="42" t="s">
        <v>238</v>
      </c>
    </row>
    <row r="2199" spans="1:8" x14ac:dyDescent="0.25">
      <c r="A2199" s="31" t="s">
        <v>2446</v>
      </c>
      <c r="B2199" s="42" t="s">
        <v>3</v>
      </c>
      <c r="C2199" s="3">
        <v>18</v>
      </c>
      <c r="D2199" s="3">
        <v>1</v>
      </c>
      <c r="G2199" s="43">
        <v>44054</v>
      </c>
      <c r="H2199" s="42" t="s">
        <v>238</v>
      </c>
    </row>
    <row r="2200" spans="1:8" x14ac:dyDescent="0.25">
      <c r="A2200" s="31" t="s">
        <v>2447</v>
      </c>
      <c r="B2200" s="42" t="s">
        <v>3</v>
      </c>
      <c r="C2200" s="3">
        <v>18</v>
      </c>
      <c r="D2200" s="3">
        <v>1</v>
      </c>
      <c r="G2200" s="43">
        <v>44054</v>
      </c>
      <c r="H2200" s="42" t="s">
        <v>238</v>
      </c>
    </row>
    <row r="2201" spans="1:8" x14ac:dyDescent="0.25">
      <c r="A2201" s="31" t="s">
        <v>2448</v>
      </c>
      <c r="B2201" s="42" t="s">
        <v>3</v>
      </c>
      <c r="C2201" s="3">
        <v>21</v>
      </c>
      <c r="D2201" s="3">
        <v>1</v>
      </c>
      <c r="G2201" s="43">
        <v>44054</v>
      </c>
      <c r="H2201" s="42" t="s">
        <v>238</v>
      </c>
    </row>
    <row r="2202" spans="1:8" x14ac:dyDescent="0.25">
      <c r="A2202" s="31" t="s">
        <v>2449</v>
      </c>
      <c r="B2202" s="42" t="s">
        <v>3</v>
      </c>
      <c r="C2202" s="3">
        <v>19</v>
      </c>
      <c r="D2202" s="3">
        <v>1</v>
      </c>
      <c r="G2202" s="43">
        <v>44054</v>
      </c>
      <c r="H2202" s="42" t="s">
        <v>238</v>
      </c>
    </row>
    <row r="2203" spans="1:8" x14ac:dyDescent="0.25">
      <c r="A2203" s="31" t="s">
        <v>2450</v>
      </c>
      <c r="B2203" s="42" t="s">
        <v>3</v>
      </c>
      <c r="C2203" s="3">
        <v>18</v>
      </c>
      <c r="D2203" s="3">
        <v>1</v>
      </c>
      <c r="G2203" s="43">
        <v>44054</v>
      </c>
      <c r="H2203" s="42" t="s">
        <v>238</v>
      </c>
    </row>
    <row r="2204" spans="1:8" x14ac:dyDescent="0.25">
      <c r="A2204" s="31" t="s">
        <v>2451</v>
      </c>
      <c r="B2204" s="42" t="s">
        <v>3</v>
      </c>
      <c r="C2204" s="3">
        <v>18</v>
      </c>
      <c r="D2204" s="3">
        <v>1</v>
      </c>
      <c r="G2204" s="43">
        <v>44054</v>
      </c>
      <c r="H2204" s="42" t="s">
        <v>238</v>
      </c>
    </row>
    <row r="2205" spans="1:8" x14ac:dyDescent="0.25">
      <c r="A2205" s="31" t="s">
        <v>2452</v>
      </c>
      <c r="B2205" s="42" t="s">
        <v>3</v>
      </c>
      <c r="C2205" s="3">
        <v>18</v>
      </c>
      <c r="D2205" s="3">
        <v>1</v>
      </c>
      <c r="G2205" s="43">
        <v>44054</v>
      </c>
      <c r="H2205" s="42" t="s">
        <v>238</v>
      </c>
    </row>
    <row r="2206" spans="1:8" x14ac:dyDescent="0.25">
      <c r="A2206" s="31" t="s">
        <v>2453</v>
      </c>
      <c r="B2206" s="42" t="s">
        <v>120</v>
      </c>
      <c r="C2206" s="3">
        <v>18</v>
      </c>
      <c r="D2206" s="3">
        <v>1</v>
      </c>
      <c r="E2206" s="42" t="s">
        <v>160</v>
      </c>
      <c r="G2206" s="43">
        <v>44054</v>
      </c>
      <c r="H2206" s="42" t="s">
        <v>238</v>
      </c>
    </row>
    <row r="2207" spans="1:8" x14ac:dyDescent="0.25">
      <c r="A2207" s="31" t="s">
        <v>2454</v>
      </c>
      <c r="B2207" s="42" t="s">
        <v>3</v>
      </c>
      <c r="C2207" s="3">
        <v>18</v>
      </c>
      <c r="D2207" s="3">
        <v>1</v>
      </c>
      <c r="G2207" s="43">
        <v>44054</v>
      </c>
      <c r="H2207" s="42" t="s">
        <v>238</v>
      </c>
    </row>
    <row r="2208" spans="1:8" x14ac:dyDescent="0.25">
      <c r="A2208" s="31" t="s">
        <v>2455</v>
      </c>
      <c r="B2208" s="42" t="s">
        <v>3</v>
      </c>
      <c r="C2208" s="3">
        <v>20</v>
      </c>
      <c r="D2208" s="3">
        <v>1</v>
      </c>
      <c r="G2208" s="43">
        <v>44054</v>
      </c>
      <c r="H2208" s="42" t="s">
        <v>238</v>
      </c>
    </row>
    <row r="2209" spans="1:8" x14ac:dyDescent="0.25">
      <c r="A2209" s="31" t="s">
        <v>2456</v>
      </c>
      <c r="B2209" s="42" t="s">
        <v>3</v>
      </c>
      <c r="C2209" s="3">
        <v>19</v>
      </c>
      <c r="D2209" s="3">
        <v>1</v>
      </c>
      <c r="G2209" s="43">
        <v>44054</v>
      </c>
      <c r="H2209" s="42" t="s">
        <v>238</v>
      </c>
    </row>
    <row r="2210" spans="1:8" x14ac:dyDescent="0.25">
      <c r="A2210" s="31" t="s">
        <v>2457</v>
      </c>
      <c r="B2210" s="42" t="s">
        <v>3</v>
      </c>
      <c r="C2210" s="3">
        <v>18</v>
      </c>
      <c r="D2210" s="3">
        <v>1</v>
      </c>
      <c r="G2210" s="43">
        <v>44054</v>
      </c>
      <c r="H2210" s="42" t="s">
        <v>238</v>
      </c>
    </row>
    <row r="2211" spans="1:8" x14ac:dyDescent="0.25">
      <c r="A2211" s="31" t="s">
        <v>2458</v>
      </c>
      <c r="B2211" s="42" t="s">
        <v>120</v>
      </c>
      <c r="C2211" s="3">
        <v>18</v>
      </c>
      <c r="D2211" s="3">
        <v>1</v>
      </c>
      <c r="G2211" s="43">
        <v>44054</v>
      </c>
      <c r="H2211" s="42" t="s">
        <v>238</v>
      </c>
    </row>
    <row r="2212" spans="1:8" x14ac:dyDescent="0.25">
      <c r="A2212" s="31" t="s">
        <v>2459</v>
      </c>
      <c r="B2212" s="42" t="s">
        <v>120</v>
      </c>
      <c r="C2212" s="3">
        <v>18</v>
      </c>
      <c r="D2212" s="3">
        <v>1</v>
      </c>
      <c r="E2212" s="42" t="s">
        <v>160</v>
      </c>
      <c r="F2212" s="42" t="s">
        <v>160</v>
      </c>
      <c r="G2212" s="43">
        <v>44054</v>
      </c>
      <c r="H2212" s="42" t="s">
        <v>238</v>
      </c>
    </row>
    <row r="2213" spans="1:8" x14ac:dyDescent="0.25">
      <c r="A2213" s="31" t="s">
        <v>2460</v>
      </c>
      <c r="B2213" s="42" t="s">
        <v>120</v>
      </c>
      <c r="C2213" s="3">
        <v>19</v>
      </c>
      <c r="D2213" s="3">
        <v>1</v>
      </c>
      <c r="E2213" s="42" t="s">
        <v>160</v>
      </c>
      <c r="F2213" s="42" t="s">
        <v>160</v>
      </c>
      <c r="G2213" s="43">
        <v>44054</v>
      </c>
      <c r="H2213" s="42" t="s">
        <v>238</v>
      </c>
    </row>
    <row r="2214" spans="1:8" x14ac:dyDescent="0.25">
      <c r="A2214" s="31" t="s">
        <v>2461</v>
      </c>
      <c r="B2214" s="42" t="s">
        <v>3</v>
      </c>
      <c r="C2214" s="3">
        <v>18</v>
      </c>
      <c r="D2214" s="3">
        <v>1</v>
      </c>
      <c r="G2214" s="43">
        <v>44054</v>
      </c>
      <c r="H2214" s="42" t="s">
        <v>238</v>
      </c>
    </row>
    <row r="2215" spans="1:8" x14ac:dyDescent="0.25">
      <c r="A2215" s="31" t="s">
        <v>2462</v>
      </c>
      <c r="B2215" s="42" t="s">
        <v>3</v>
      </c>
      <c r="C2215" s="3">
        <v>18</v>
      </c>
      <c r="D2215" s="3">
        <v>1</v>
      </c>
      <c r="G2215" s="43">
        <v>44054</v>
      </c>
      <c r="H2215" s="42" t="s">
        <v>238</v>
      </c>
    </row>
    <row r="2216" spans="1:8" x14ac:dyDescent="0.25">
      <c r="A2216" s="31" t="s">
        <v>2463</v>
      </c>
      <c r="B2216" s="42" t="s">
        <v>3</v>
      </c>
      <c r="C2216" s="3">
        <v>19</v>
      </c>
      <c r="D2216" s="3">
        <v>1</v>
      </c>
      <c r="G2216" s="43">
        <v>44054</v>
      </c>
      <c r="H2216" s="42" t="s">
        <v>238</v>
      </c>
    </row>
    <row r="2217" spans="1:8" x14ac:dyDescent="0.25">
      <c r="A2217" s="31" t="s">
        <v>2464</v>
      </c>
      <c r="B2217" s="42" t="s">
        <v>3</v>
      </c>
      <c r="C2217" s="3">
        <v>18</v>
      </c>
      <c r="D2217" s="3">
        <v>1</v>
      </c>
      <c r="G2217" s="43">
        <v>44054</v>
      </c>
      <c r="H2217" s="42" t="s">
        <v>238</v>
      </c>
    </row>
    <row r="2218" spans="1:8" x14ac:dyDescent="0.25">
      <c r="A2218" s="31" t="s">
        <v>2465</v>
      </c>
      <c r="B2218" s="42" t="s">
        <v>3</v>
      </c>
      <c r="C2218" s="3">
        <v>18</v>
      </c>
      <c r="D2218" s="3">
        <v>1</v>
      </c>
      <c r="G2218" s="43">
        <v>44054</v>
      </c>
      <c r="H2218" s="42" t="s">
        <v>238</v>
      </c>
    </row>
    <row r="2219" spans="1:8" x14ac:dyDescent="0.25">
      <c r="A2219" s="31" t="s">
        <v>2466</v>
      </c>
      <c r="B2219" s="42" t="s">
        <v>3</v>
      </c>
      <c r="C2219" s="3">
        <v>19</v>
      </c>
      <c r="D2219" s="3">
        <v>1</v>
      </c>
      <c r="G2219" s="43">
        <v>44054</v>
      </c>
      <c r="H2219" s="42" t="s">
        <v>238</v>
      </c>
    </row>
    <row r="2220" spans="1:8" x14ac:dyDescent="0.25">
      <c r="A2220" s="31" t="s">
        <v>2467</v>
      </c>
      <c r="B2220" s="42" t="s">
        <v>3</v>
      </c>
      <c r="C2220" s="3">
        <v>19</v>
      </c>
      <c r="D2220" s="3">
        <v>1</v>
      </c>
      <c r="G2220" s="43">
        <v>44054</v>
      </c>
      <c r="H2220" s="42" t="s">
        <v>238</v>
      </c>
    </row>
    <row r="2221" spans="1:8" x14ac:dyDescent="0.25">
      <c r="A2221" s="31" t="s">
        <v>2468</v>
      </c>
      <c r="B2221" s="42" t="s">
        <v>3</v>
      </c>
      <c r="C2221" s="3">
        <v>18</v>
      </c>
      <c r="D2221" s="3">
        <v>1</v>
      </c>
      <c r="G2221" s="43">
        <v>44054</v>
      </c>
      <c r="H2221" s="42" t="s">
        <v>238</v>
      </c>
    </row>
    <row r="2222" spans="1:8" x14ac:dyDescent="0.25">
      <c r="A2222" s="31" t="s">
        <v>2469</v>
      </c>
      <c r="B2222" s="42" t="s">
        <v>3</v>
      </c>
      <c r="C2222" s="3">
        <v>18</v>
      </c>
      <c r="D2222" s="3">
        <v>1</v>
      </c>
      <c r="G2222" s="43">
        <v>44054</v>
      </c>
      <c r="H2222" s="42" t="s">
        <v>238</v>
      </c>
    </row>
    <row r="2223" spans="1:8" x14ac:dyDescent="0.25">
      <c r="A2223" s="31" t="s">
        <v>2470</v>
      </c>
      <c r="B2223" s="42" t="s">
        <v>120</v>
      </c>
      <c r="C2223" s="3">
        <v>18</v>
      </c>
      <c r="D2223" s="3">
        <v>1</v>
      </c>
      <c r="E2223" s="42" t="s">
        <v>160</v>
      </c>
      <c r="F2223" s="42" t="s">
        <v>160</v>
      </c>
      <c r="G2223" s="43">
        <v>44054</v>
      </c>
      <c r="H2223" s="42" t="s">
        <v>238</v>
      </c>
    </row>
    <row r="2224" spans="1:8" x14ac:dyDescent="0.25">
      <c r="A2224" s="31" t="s">
        <v>2471</v>
      </c>
      <c r="B2224" s="42" t="s">
        <v>3</v>
      </c>
      <c r="C2224" s="3">
        <v>19</v>
      </c>
      <c r="D2224" s="3">
        <v>1</v>
      </c>
      <c r="G2224" s="43">
        <v>44054</v>
      </c>
      <c r="H2224" s="42" t="s">
        <v>238</v>
      </c>
    </row>
    <row r="2225" spans="1:8" x14ac:dyDescent="0.25">
      <c r="A2225" s="31" t="s">
        <v>2472</v>
      </c>
      <c r="B2225" s="42" t="s">
        <v>3</v>
      </c>
      <c r="C2225" s="3">
        <v>25</v>
      </c>
      <c r="D2225" s="3">
        <v>1</v>
      </c>
      <c r="G2225" s="43">
        <v>44054</v>
      </c>
      <c r="H2225" s="42" t="s">
        <v>238</v>
      </c>
    </row>
    <row r="2226" spans="1:8" x14ac:dyDescent="0.25">
      <c r="A2226" s="31" t="s">
        <v>2473</v>
      </c>
      <c r="B2226" s="42" t="s">
        <v>3</v>
      </c>
      <c r="C2226" s="3">
        <v>18</v>
      </c>
      <c r="D2226" s="3">
        <v>1</v>
      </c>
      <c r="G2226" s="43">
        <v>44054</v>
      </c>
      <c r="H2226" s="42" t="s">
        <v>238</v>
      </c>
    </row>
    <row r="2227" spans="1:8" x14ac:dyDescent="0.25">
      <c r="A2227" s="31" t="s">
        <v>2474</v>
      </c>
      <c r="B2227" s="42" t="s">
        <v>3</v>
      </c>
      <c r="C2227" s="3">
        <v>18</v>
      </c>
      <c r="D2227" s="3">
        <v>1</v>
      </c>
      <c r="G2227" s="43">
        <v>44054</v>
      </c>
      <c r="H2227" s="42" t="s">
        <v>238</v>
      </c>
    </row>
    <row r="2228" spans="1:8" x14ac:dyDescent="0.25">
      <c r="A2228" s="31" t="s">
        <v>2475</v>
      </c>
      <c r="B2228" s="42" t="s">
        <v>3</v>
      </c>
      <c r="C2228" s="3">
        <v>18</v>
      </c>
      <c r="D2228" s="3">
        <v>1</v>
      </c>
      <c r="G2228" s="43">
        <v>44054</v>
      </c>
      <c r="H2228" s="42" t="s">
        <v>238</v>
      </c>
    </row>
    <row r="2229" spans="1:8" x14ac:dyDescent="0.25">
      <c r="A2229" s="31" t="s">
        <v>2476</v>
      </c>
      <c r="B2229" s="42" t="s">
        <v>3</v>
      </c>
      <c r="C2229" s="3">
        <v>19</v>
      </c>
      <c r="D2229" s="3">
        <v>1</v>
      </c>
      <c r="G2229" s="43">
        <v>44054</v>
      </c>
      <c r="H2229" s="42" t="s">
        <v>238</v>
      </c>
    </row>
    <row r="2230" spans="1:8" x14ac:dyDescent="0.25">
      <c r="A2230" s="31" t="s">
        <v>2477</v>
      </c>
      <c r="B2230" s="42" t="s">
        <v>3</v>
      </c>
      <c r="C2230" s="3">
        <v>18</v>
      </c>
      <c r="D2230" s="3">
        <v>1</v>
      </c>
      <c r="G2230" s="43">
        <v>44054</v>
      </c>
      <c r="H2230" s="42" t="s">
        <v>238</v>
      </c>
    </row>
    <row r="2231" spans="1:8" x14ac:dyDescent="0.25">
      <c r="A2231" s="31" t="s">
        <v>2478</v>
      </c>
      <c r="B2231" s="42" t="s">
        <v>3</v>
      </c>
      <c r="C2231" s="3">
        <v>18</v>
      </c>
      <c r="D2231" s="3">
        <v>1</v>
      </c>
      <c r="G2231" s="43">
        <v>44054</v>
      </c>
      <c r="H2231" s="42" t="s">
        <v>238</v>
      </c>
    </row>
    <row r="2232" spans="1:8" x14ac:dyDescent="0.25">
      <c r="A2232" s="31" t="s">
        <v>2479</v>
      </c>
      <c r="B2232" s="42" t="s">
        <v>3</v>
      </c>
      <c r="C2232" s="3">
        <v>18</v>
      </c>
      <c r="D2232" s="3">
        <v>1</v>
      </c>
      <c r="G2232" s="43">
        <v>44054</v>
      </c>
      <c r="H2232" s="42" t="s">
        <v>238</v>
      </c>
    </row>
    <row r="2233" spans="1:8" x14ac:dyDescent="0.25">
      <c r="A2233" s="31" t="s">
        <v>2480</v>
      </c>
      <c r="B2233" s="42" t="s">
        <v>3</v>
      </c>
      <c r="C2233" s="3">
        <v>18</v>
      </c>
      <c r="D2233" s="3">
        <v>1</v>
      </c>
      <c r="G2233" s="43">
        <v>44054</v>
      </c>
      <c r="H2233" s="42" t="s">
        <v>238</v>
      </c>
    </row>
    <row r="2234" spans="1:8" x14ac:dyDescent="0.25">
      <c r="A2234" s="31" t="s">
        <v>2481</v>
      </c>
      <c r="B2234" s="42" t="s">
        <v>3</v>
      </c>
      <c r="C2234" s="3">
        <v>18</v>
      </c>
      <c r="D2234" s="3">
        <v>1</v>
      </c>
      <c r="G2234" s="43">
        <v>44054</v>
      </c>
      <c r="H2234" s="42" t="s">
        <v>238</v>
      </c>
    </row>
    <row r="2235" spans="1:8" x14ac:dyDescent="0.25">
      <c r="A2235" s="31" t="s">
        <v>2482</v>
      </c>
      <c r="B2235" s="42" t="s">
        <v>3</v>
      </c>
      <c r="C2235" s="3">
        <v>20</v>
      </c>
      <c r="D2235" s="3">
        <v>1</v>
      </c>
      <c r="G2235" s="43">
        <v>44054</v>
      </c>
      <c r="H2235" s="42" t="s">
        <v>238</v>
      </c>
    </row>
    <row r="2236" spans="1:8" x14ac:dyDescent="0.25">
      <c r="A2236" s="31" t="s">
        <v>2483</v>
      </c>
      <c r="B2236" s="42" t="s">
        <v>3</v>
      </c>
      <c r="C2236" s="3">
        <v>18</v>
      </c>
      <c r="D2236" s="3">
        <v>1</v>
      </c>
      <c r="G2236" s="43">
        <v>44054</v>
      </c>
      <c r="H2236" s="42" t="s">
        <v>238</v>
      </c>
    </row>
    <row r="2237" spans="1:8" x14ac:dyDescent="0.25">
      <c r="A2237" s="31" t="s">
        <v>2484</v>
      </c>
      <c r="B2237" s="42" t="s">
        <v>3</v>
      </c>
      <c r="C2237" s="3">
        <v>18</v>
      </c>
      <c r="D2237" s="3">
        <v>1</v>
      </c>
      <c r="G2237" s="43">
        <v>44054</v>
      </c>
      <c r="H2237" s="42" t="s">
        <v>238</v>
      </c>
    </row>
    <row r="2238" spans="1:8" x14ac:dyDescent="0.25">
      <c r="A2238" s="31" t="s">
        <v>2485</v>
      </c>
      <c r="B2238" s="42" t="s">
        <v>3</v>
      </c>
      <c r="C2238" s="3">
        <v>18</v>
      </c>
      <c r="D2238" s="3">
        <v>1</v>
      </c>
      <c r="G2238" s="43">
        <v>44054</v>
      </c>
      <c r="H2238" s="42" t="s">
        <v>238</v>
      </c>
    </row>
    <row r="2239" spans="1:8" x14ac:dyDescent="0.25">
      <c r="A2239" s="31" t="s">
        <v>2486</v>
      </c>
      <c r="B2239" s="42" t="s">
        <v>3</v>
      </c>
      <c r="C2239" s="3">
        <v>23</v>
      </c>
      <c r="D2239" s="3">
        <v>1</v>
      </c>
      <c r="G2239" s="43">
        <v>44054</v>
      </c>
      <c r="H2239" s="42" t="s">
        <v>238</v>
      </c>
    </row>
    <row r="2240" spans="1:8" x14ac:dyDescent="0.25">
      <c r="A2240" s="31" t="s">
        <v>2487</v>
      </c>
      <c r="B2240" s="42" t="s">
        <v>3</v>
      </c>
      <c r="C2240" s="3">
        <v>18</v>
      </c>
      <c r="D2240" s="3">
        <v>1</v>
      </c>
      <c r="G2240" s="43">
        <v>44054</v>
      </c>
      <c r="H2240" s="42" t="s">
        <v>238</v>
      </c>
    </row>
    <row r="2241" spans="1:8" x14ac:dyDescent="0.25">
      <c r="A2241" s="31" t="s">
        <v>2488</v>
      </c>
      <c r="B2241" s="42" t="s">
        <v>3</v>
      </c>
      <c r="C2241" s="3">
        <v>20</v>
      </c>
      <c r="D2241" s="3">
        <v>1</v>
      </c>
      <c r="G2241" s="43">
        <v>44054</v>
      </c>
      <c r="H2241" s="42" t="s">
        <v>238</v>
      </c>
    </row>
    <row r="2242" spans="1:8" x14ac:dyDescent="0.25">
      <c r="A2242" s="31" t="s">
        <v>2489</v>
      </c>
      <c r="B2242" s="42" t="s">
        <v>3</v>
      </c>
      <c r="C2242" s="3">
        <v>19</v>
      </c>
      <c r="D2242" s="3">
        <v>1</v>
      </c>
      <c r="G2242" s="43">
        <v>44054</v>
      </c>
      <c r="H2242" s="42" t="s">
        <v>238</v>
      </c>
    </row>
    <row r="2243" spans="1:8" x14ac:dyDescent="0.25">
      <c r="A2243" s="31" t="s">
        <v>2490</v>
      </c>
      <c r="B2243" s="42" t="s">
        <v>3</v>
      </c>
      <c r="C2243" s="3">
        <v>18</v>
      </c>
      <c r="D2243" s="3">
        <v>1</v>
      </c>
      <c r="G2243" s="43">
        <v>44054</v>
      </c>
      <c r="H2243" s="42" t="s">
        <v>238</v>
      </c>
    </row>
    <row r="2244" spans="1:8" x14ac:dyDescent="0.25">
      <c r="A2244" s="31" t="s">
        <v>2491</v>
      </c>
      <c r="B2244" s="42" t="s">
        <v>3</v>
      </c>
      <c r="C2244" s="3">
        <v>18</v>
      </c>
      <c r="D2244" s="3">
        <v>1</v>
      </c>
      <c r="G2244" s="43">
        <v>44054</v>
      </c>
      <c r="H2244" s="42" t="s">
        <v>238</v>
      </c>
    </row>
    <row r="2245" spans="1:8" x14ac:dyDescent="0.25">
      <c r="A2245" s="31" t="s">
        <v>2492</v>
      </c>
      <c r="B2245" s="42" t="s">
        <v>3</v>
      </c>
      <c r="C2245" s="3">
        <v>19</v>
      </c>
      <c r="D2245" s="3">
        <v>1</v>
      </c>
      <c r="G2245" s="43">
        <v>44054</v>
      </c>
      <c r="H2245" s="42" t="s">
        <v>238</v>
      </c>
    </row>
    <row r="2246" spans="1:8" x14ac:dyDescent="0.25">
      <c r="A2246" s="31" t="s">
        <v>2493</v>
      </c>
      <c r="B2246" s="42" t="s">
        <v>3</v>
      </c>
      <c r="C2246" s="3">
        <v>18</v>
      </c>
      <c r="D2246" s="3">
        <v>1</v>
      </c>
      <c r="G2246" s="43">
        <v>44054</v>
      </c>
      <c r="H2246" s="42" t="s">
        <v>238</v>
      </c>
    </row>
    <row r="2247" spans="1:8" x14ac:dyDescent="0.25">
      <c r="A2247" s="31" t="s">
        <v>2494</v>
      </c>
      <c r="B2247" s="42" t="s">
        <v>3</v>
      </c>
      <c r="C2247" s="3">
        <v>18</v>
      </c>
      <c r="D2247" s="3">
        <v>1</v>
      </c>
      <c r="G2247" s="43">
        <v>44054</v>
      </c>
      <c r="H2247" s="42" t="s">
        <v>238</v>
      </c>
    </row>
    <row r="2248" spans="1:8" x14ac:dyDescent="0.25">
      <c r="A2248" s="31" t="s">
        <v>2495</v>
      </c>
      <c r="B2248" s="42" t="s">
        <v>3</v>
      </c>
      <c r="C2248" s="3">
        <v>18</v>
      </c>
      <c r="D2248" s="3">
        <v>1</v>
      </c>
      <c r="G2248" s="43">
        <v>44054</v>
      </c>
      <c r="H2248" s="42" t="s">
        <v>238</v>
      </c>
    </row>
    <row r="2249" spans="1:8" x14ac:dyDescent="0.25">
      <c r="A2249" s="31" t="s">
        <v>2496</v>
      </c>
      <c r="B2249" s="42" t="s">
        <v>3</v>
      </c>
      <c r="C2249" s="3">
        <v>18</v>
      </c>
      <c r="D2249" s="3">
        <v>1</v>
      </c>
      <c r="G2249" s="43">
        <v>44054</v>
      </c>
      <c r="H2249" s="42" t="s">
        <v>238</v>
      </c>
    </row>
    <row r="2250" spans="1:8" x14ac:dyDescent="0.25">
      <c r="A2250" s="31" t="s">
        <v>2497</v>
      </c>
      <c r="B2250" s="42" t="s">
        <v>3</v>
      </c>
      <c r="C2250" s="3">
        <v>18</v>
      </c>
      <c r="D2250" s="3">
        <v>1</v>
      </c>
      <c r="G2250" s="43">
        <v>44054</v>
      </c>
      <c r="H2250" s="42" t="s">
        <v>238</v>
      </c>
    </row>
    <row r="2251" spans="1:8" x14ac:dyDescent="0.25">
      <c r="A2251" s="31" t="s">
        <v>2498</v>
      </c>
      <c r="B2251" s="42" t="s">
        <v>3</v>
      </c>
      <c r="C2251" s="3">
        <v>18</v>
      </c>
      <c r="D2251" s="3">
        <v>1</v>
      </c>
      <c r="G2251" s="43">
        <v>44054</v>
      </c>
      <c r="H2251" s="42" t="s">
        <v>238</v>
      </c>
    </row>
    <row r="2252" spans="1:8" x14ac:dyDescent="0.25">
      <c r="A2252" s="31" t="s">
        <v>2499</v>
      </c>
      <c r="B2252" s="42" t="s">
        <v>3</v>
      </c>
      <c r="C2252" s="3">
        <v>18</v>
      </c>
      <c r="D2252" s="3">
        <v>1</v>
      </c>
      <c r="G2252" s="43">
        <v>44054</v>
      </c>
      <c r="H2252" s="42" t="s">
        <v>238</v>
      </c>
    </row>
    <row r="2253" spans="1:8" x14ac:dyDescent="0.25">
      <c r="A2253" s="31" t="s">
        <v>2500</v>
      </c>
      <c r="B2253" s="42" t="s">
        <v>3</v>
      </c>
      <c r="C2253" s="3">
        <v>19</v>
      </c>
      <c r="D2253" s="3">
        <v>1</v>
      </c>
      <c r="G2253" s="43">
        <v>44054</v>
      </c>
      <c r="H2253" s="42" t="s">
        <v>238</v>
      </c>
    </row>
    <row r="2254" spans="1:8" x14ac:dyDescent="0.25">
      <c r="A2254" s="31" t="s">
        <v>2501</v>
      </c>
      <c r="B2254" s="42" t="s">
        <v>3</v>
      </c>
      <c r="C2254" s="3">
        <v>18</v>
      </c>
      <c r="D2254" s="3">
        <v>1</v>
      </c>
      <c r="G2254" s="43">
        <v>44054</v>
      </c>
      <c r="H2254" s="42" t="s">
        <v>238</v>
      </c>
    </row>
    <row r="2255" spans="1:8" x14ac:dyDescent="0.25">
      <c r="A2255" s="31" t="s">
        <v>2502</v>
      </c>
      <c r="B2255" s="42" t="s">
        <v>3</v>
      </c>
      <c r="C2255" s="3">
        <v>18</v>
      </c>
      <c r="D2255" s="3">
        <v>1</v>
      </c>
      <c r="G2255" s="43">
        <v>44054</v>
      </c>
      <c r="H2255" s="42" t="s">
        <v>238</v>
      </c>
    </row>
    <row r="2256" spans="1:8" x14ac:dyDescent="0.25">
      <c r="A2256" s="31" t="s">
        <v>2503</v>
      </c>
      <c r="B2256" s="42" t="s">
        <v>3</v>
      </c>
      <c r="C2256" s="3">
        <v>18</v>
      </c>
      <c r="D2256" s="3">
        <v>1</v>
      </c>
      <c r="G2256" s="43">
        <v>44054</v>
      </c>
      <c r="H2256" s="42" t="s">
        <v>238</v>
      </c>
    </row>
    <row r="2257" spans="1:8" x14ac:dyDescent="0.25">
      <c r="A2257" s="31" t="s">
        <v>2504</v>
      </c>
      <c r="B2257" s="42" t="s">
        <v>3</v>
      </c>
      <c r="C2257" s="3">
        <v>19</v>
      </c>
      <c r="D2257" s="3">
        <v>1</v>
      </c>
      <c r="G2257" s="43">
        <v>44054</v>
      </c>
      <c r="H2257" s="42" t="s">
        <v>238</v>
      </c>
    </row>
    <row r="2258" spans="1:8" x14ac:dyDescent="0.25">
      <c r="A2258" s="31" t="s">
        <v>2505</v>
      </c>
      <c r="B2258" s="42" t="s">
        <v>3</v>
      </c>
      <c r="C2258" s="3">
        <v>18</v>
      </c>
      <c r="D2258" s="3">
        <v>1</v>
      </c>
      <c r="G2258" s="43">
        <v>44054</v>
      </c>
      <c r="H2258" s="42" t="s">
        <v>238</v>
      </c>
    </row>
    <row r="2259" spans="1:8" x14ac:dyDescent="0.25">
      <c r="A2259" s="31" t="s">
        <v>2506</v>
      </c>
      <c r="B2259" s="42" t="s">
        <v>3</v>
      </c>
      <c r="C2259" s="3">
        <v>24</v>
      </c>
      <c r="D2259" s="3">
        <v>1</v>
      </c>
      <c r="G2259" s="43">
        <v>44054</v>
      </c>
      <c r="H2259" s="42" t="s">
        <v>238</v>
      </c>
    </row>
    <row r="2260" spans="1:8" x14ac:dyDescent="0.25">
      <c r="A2260" s="31" t="s">
        <v>2507</v>
      </c>
      <c r="B2260" s="42" t="s">
        <v>3</v>
      </c>
      <c r="C2260" s="3">
        <v>18</v>
      </c>
      <c r="D2260" s="3">
        <v>1</v>
      </c>
      <c r="G2260" s="43">
        <v>44054</v>
      </c>
      <c r="H2260" s="42" t="s">
        <v>238</v>
      </c>
    </row>
    <row r="2261" spans="1:8" x14ac:dyDescent="0.25">
      <c r="A2261" s="31" t="s">
        <v>2508</v>
      </c>
      <c r="B2261" s="42" t="s">
        <v>3</v>
      </c>
      <c r="C2261" s="3">
        <v>18</v>
      </c>
      <c r="D2261" s="3">
        <v>1</v>
      </c>
      <c r="G2261" s="43">
        <v>44054</v>
      </c>
      <c r="H2261" s="42" t="s">
        <v>238</v>
      </c>
    </row>
    <row r="2262" spans="1:8" x14ac:dyDescent="0.25">
      <c r="A2262" s="31" t="s">
        <v>2509</v>
      </c>
      <c r="B2262" s="42" t="s">
        <v>3</v>
      </c>
      <c r="C2262" s="3">
        <v>23</v>
      </c>
      <c r="D2262" s="3">
        <v>1</v>
      </c>
      <c r="G2262" s="43">
        <v>44054</v>
      </c>
      <c r="H2262" s="42" t="s">
        <v>238</v>
      </c>
    </row>
    <row r="2263" spans="1:8" x14ac:dyDescent="0.25">
      <c r="A2263" s="31" t="s">
        <v>2510</v>
      </c>
      <c r="B2263" s="42" t="s">
        <v>3</v>
      </c>
      <c r="C2263" s="3">
        <v>18</v>
      </c>
      <c r="D2263" s="3">
        <v>1</v>
      </c>
      <c r="G2263" s="43">
        <v>44054</v>
      </c>
      <c r="H2263" s="42" t="s">
        <v>238</v>
      </c>
    </row>
    <row r="2264" spans="1:8" x14ac:dyDescent="0.25">
      <c r="A2264" s="31" t="s">
        <v>2511</v>
      </c>
      <c r="B2264" s="42" t="s">
        <v>3</v>
      </c>
      <c r="C2264" s="3">
        <v>18</v>
      </c>
      <c r="D2264" s="3">
        <v>1</v>
      </c>
      <c r="G2264" s="43">
        <v>44054</v>
      </c>
      <c r="H2264" s="42" t="s">
        <v>238</v>
      </c>
    </row>
    <row r="2265" spans="1:8" x14ac:dyDescent="0.25">
      <c r="A2265" s="31" t="s">
        <v>2512</v>
      </c>
      <c r="B2265" s="42" t="s">
        <v>3</v>
      </c>
      <c r="C2265" s="3">
        <v>18</v>
      </c>
      <c r="D2265" s="3">
        <v>1</v>
      </c>
      <c r="G2265" s="43">
        <v>44054</v>
      </c>
      <c r="H2265" s="42" t="s">
        <v>238</v>
      </c>
    </row>
    <row r="2266" spans="1:8" x14ac:dyDescent="0.25">
      <c r="A2266" s="31" t="s">
        <v>2513</v>
      </c>
      <c r="B2266" s="42" t="s">
        <v>3</v>
      </c>
      <c r="C2266" s="3">
        <v>18</v>
      </c>
      <c r="D2266" s="3">
        <v>1</v>
      </c>
      <c r="G2266" s="43">
        <v>44054</v>
      </c>
      <c r="H2266" s="42" t="s">
        <v>238</v>
      </c>
    </row>
    <row r="2267" spans="1:8" x14ac:dyDescent="0.25">
      <c r="A2267" s="31" t="s">
        <v>2514</v>
      </c>
      <c r="B2267" s="42" t="s">
        <v>3</v>
      </c>
      <c r="C2267" s="3">
        <v>18</v>
      </c>
      <c r="D2267" s="3">
        <v>1</v>
      </c>
      <c r="G2267" s="43">
        <v>44054</v>
      </c>
      <c r="H2267" s="42" t="s">
        <v>238</v>
      </c>
    </row>
    <row r="2268" spans="1:8" x14ac:dyDescent="0.25">
      <c r="A2268" s="31" t="s">
        <v>2515</v>
      </c>
      <c r="B2268" s="42" t="s">
        <v>3</v>
      </c>
      <c r="C2268" s="3">
        <v>18</v>
      </c>
      <c r="D2268" s="3">
        <v>1</v>
      </c>
      <c r="G2268" s="43">
        <v>44054</v>
      </c>
      <c r="H2268" s="42" t="s">
        <v>238</v>
      </c>
    </row>
    <row r="2269" spans="1:8" x14ac:dyDescent="0.25">
      <c r="A2269" s="31" t="s">
        <v>2516</v>
      </c>
      <c r="B2269" s="42" t="s">
        <v>3</v>
      </c>
      <c r="C2269" s="3">
        <v>20</v>
      </c>
      <c r="D2269" s="3">
        <v>1</v>
      </c>
      <c r="G2269" s="43">
        <v>44054</v>
      </c>
      <c r="H2269" s="42" t="s">
        <v>238</v>
      </c>
    </row>
    <row r="2270" spans="1:8" x14ac:dyDescent="0.25">
      <c r="A2270" s="31" t="s">
        <v>2517</v>
      </c>
      <c r="B2270" s="42" t="s">
        <v>3</v>
      </c>
      <c r="C2270" s="3">
        <v>18</v>
      </c>
      <c r="D2270" s="3">
        <v>1</v>
      </c>
      <c r="G2270" s="43">
        <v>44054</v>
      </c>
      <c r="H2270" s="42" t="s">
        <v>238</v>
      </c>
    </row>
    <row r="2271" spans="1:8" x14ac:dyDescent="0.25">
      <c r="A2271" s="31" t="s">
        <v>2518</v>
      </c>
      <c r="B2271" s="42" t="s">
        <v>3</v>
      </c>
      <c r="C2271" s="3">
        <v>18</v>
      </c>
      <c r="D2271" s="3">
        <v>1</v>
      </c>
      <c r="G2271" s="43">
        <v>44054</v>
      </c>
      <c r="H2271" s="42" t="s">
        <v>238</v>
      </c>
    </row>
    <row r="2272" spans="1:8" x14ac:dyDescent="0.25">
      <c r="A2272" s="31" t="s">
        <v>2519</v>
      </c>
      <c r="B2272" s="42" t="s">
        <v>3</v>
      </c>
      <c r="C2272" s="3">
        <v>18</v>
      </c>
      <c r="D2272" s="3">
        <v>1</v>
      </c>
      <c r="G2272" s="43">
        <v>44054</v>
      </c>
      <c r="H2272" s="42" t="s">
        <v>238</v>
      </c>
    </row>
    <row r="2273" spans="1:8" x14ac:dyDescent="0.25">
      <c r="A2273" s="31" t="s">
        <v>2520</v>
      </c>
      <c r="B2273" s="42" t="s">
        <v>3</v>
      </c>
      <c r="C2273" s="3">
        <v>18</v>
      </c>
      <c r="D2273" s="3">
        <v>1</v>
      </c>
      <c r="G2273" s="43">
        <v>44054</v>
      </c>
      <c r="H2273" s="42" t="s">
        <v>238</v>
      </c>
    </row>
    <row r="2274" spans="1:8" x14ac:dyDescent="0.25">
      <c r="A2274" s="31" t="s">
        <v>2521</v>
      </c>
      <c r="B2274" s="42" t="s">
        <v>3</v>
      </c>
      <c r="C2274" s="3">
        <v>18</v>
      </c>
      <c r="D2274" s="3">
        <v>1</v>
      </c>
      <c r="G2274" s="43">
        <v>44054</v>
      </c>
      <c r="H2274" s="42" t="s">
        <v>238</v>
      </c>
    </row>
    <row r="2275" spans="1:8" x14ac:dyDescent="0.25">
      <c r="A2275" s="31" t="s">
        <v>2522</v>
      </c>
      <c r="B2275" s="42" t="s">
        <v>3</v>
      </c>
      <c r="C2275" s="3">
        <v>18</v>
      </c>
      <c r="D2275" s="3">
        <v>1</v>
      </c>
      <c r="G2275" s="43">
        <v>44054</v>
      </c>
      <c r="H2275" s="42" t="s">
        <v>238</v>
      </c>
    </row>
    <row r="2276" spans="1:8" x14ac:dyDescent="0.25">
      <c r="A2276" s="31" t="s">
        <v>2523</v>
      </c>
      <c r="B2276" s="42" t="s">
        <v>3</v>
      </c>
      <c r="C2276" s="3">
        <v>18</v>
      </c>
      <c r="D2276" s="3">
        <v>1</v>
      </c>
      <c r="G2276" s="43">
        <v>44054</v>
      </c>
      <c r="H2276" s="42" t="s">
        <v>238</v>
      </c>
    </row>
    <row r="2277" spans="1:8" x14ac:dyDescent="0.25">
      <c r="A2277" s="31" t="s">
        <v>2524</v>
      </c>
      <c r="B2277" s="42" t="s">
        <v>3</v>
      </c>
      <c r="C2277" s="3">
        <v>18</v>
      </c>
      <c r="D2277" s="3">
        <v>1</v>
      </c>
      <c r="G2277" s="43">
        <v>44054</v>
      </c>
      <c r="H2277" s="42" t="s">
        <v>238</v>
      </c>
    </row>
    <row r="2278" spans="1:8" x14ac:dyDescent="0.25">
      <c r="A2278" s="31" t="s">
        <v>2525</v>
      </c>
      <c r="B2278" s="42" t="s">
        <v>3</v>
      </c>
      <c r="C2278" s="3">
        <v>20</v>
      </c>
      <c r="D2278" s="3">
        <v>1</v>
      </c>
      <c r="G2278" s="43">
        <v>44054</v>
      </c>
      <c r="H2278" s="42" t="s">
        <v>238</v>
      </c>
    </row>
    <row r="2279" spans="1:8" x14ac:dyDescent="0.25">
      <c r="A2279" s="31" t="s">
        <v>2526</v>
      </c>
      <c r="B2279" s="42" t="s">
        <v>3</v>
      </c>
      <c r="C2279" s="3">
        <v>18</v>
      </c>
      <c r="D2279" s="3">
        <v>1</v>
      </c>
      <c r="G2279" s="43">
        <v>44054</v>
      </c>
      <c r="H2279" s="42" t="s">
        <v>238</v>
      </c>
    </row>
    <row r="2280" spans="1:8" x14ac:dyDescent="0.25">
      <c r="A2280" s="31" t="s">
        <v>2527</v>
      </c>
      <c r="B2280" s="42" t="s">
        <v>3</v>
      </c>
      <c r="C2280" s="3">
        <v>18</v>
      </c>
      <c r="D2280" s="3">
        <v>1</v>
      </c>
      <c r="G2280" s="43">
        <v>44054</v>
      </c>
      <c r="H2280" s="42" t="s">
        <v>238</v>
      </c>
    </row>
    <row r="2281" spans="1:8" x14ac:dyDescent="0.25">
      <c r="A2281" s="31" t="s">
        <v>2528</v>
      </c>
      <c r="B2281" s="42" t="s">
        <v>3</v>
      </c>
      <c r="C2281" s="3">
        <v>18</v>
      </c>
      <c r="D2281" s="3">
        <v>1</v>
      </c>
      <c r="G2281" s="43">
        <v>44054</v>
      </c>
      <c r="H2281" s="42" t="s">
        <v>238</v>
      </c>
    </row>
    <row r="2282" spans="1:8" x14ac:dyDescent="0.25">
      <c r="A2282" s="31" t="s">
        <v>2529</v>
      </c>
      <c r="B2282" s="42" t="s">
        <v>3</v>
      </c>
      <c r="C2282" s="3">
        <v>19</v>
      </c>
      <c r="D2282" s="3">
        <v>1</v>
      </c>
      <c r="G2282" s="43">
        <v>44054</v>
      </c>
      <c r="H2282" s="42" t="s">
        <v>238</v>
      </c>
    </row>
    <row r="2283" spans="1:8" x14ac:dyDescent="0.25">
      <c r="A2283" s="31" t="s">
        <v>2530</v>
      </c>
      <c r="B2283" s="42" t="s">
        <v>3</v>
      </c>
      <c r="C2283" s="3">
        <v>18</v>
      </c>
      <c r="D2283" s="3">
        <v>1</v>
      </c>
      <c r="G2283" s="43">
        <v>44054</v>
      </c>
      <c r="H2283" s="42" t="s">
        <v>238</v>
      </c>
    </row>
    <row r="2284" spans="1:8" x14ac:dyDescent="0.25">
      <c r="A2284" s="31" t="s">
        <v>2531</v>
      </c>
      <c r="B2284" s="42" t="s">
        <v>3</v>
      </c>
      <c r="C2284" s="3">
        <v>18</v>
      </c>
      <c r="D2284" s="3">
        <v>1</v>
      </c>
      <c r="G2284" s="43">
        <v>44054</v>
      </c>
      <c r="H2284" s="42" t="s">
        <v>238</v>
      </c>
    </row>
    <row r="2285" spans="1:8" x14ac:dyDescent="0.25">
      <c r="A2285" s="31" t="s">
        <v>2532</v>
      </c>
      <c r="B2285" s="42" t="s">
        <v>3</v>
      </c>
      <c r="C2285" s="3">
        <v>18</v>
      </c>
      <c r="D2285" s="3">
        <v>1</v>
      </c>
      <c r="G2285" s="43">
        <v>44054</v>
      </c>
      <c r="H2285" s="42" t="s">
        <v>238</v>
      </c>
    </row>
    <row r="2286" spans="1:8" x14ac:dyDescent="0.25">
      <c r="A2286" s="31" t="s">
        <v>2533</v>
      </c>
      <c r="B2286" s="42" t="s">
        <v>3</v>
      </c>
      <c r="C2286" s="3">
        <v>18</v>
      </c>
      <c r="D2286" s="3">
        <v>1</v>
      </c>
      <c r="G2286" s="43">
        <v>44054</v>
      </c>
      <c r="H2286" s="42" t="s">
        <v>238</v>
      </c>
    </row>
    <row r="2287" spans="1:8" x14ac:dyDescent="0.25">
      <c r="A2287" s="31" t="s">
        <v>2534</v>
      </c>
      <c r="B2287" s="42" t="s">
        <v>3</v>
      </c>
      <c r="C2287" s="3">
        <v>25</v>
      </c>
      <c r="D2287" s="3">
        <v>1</v>
      </c>
      <c r="G2287" s="43">
        <v>44054</v>
      </c>
      <c r="H2287" s="42" t="s">
        <v>238</v>
      </c>
    </row>
    <row r="2288" spans="1:8" x14ac:dyDescent="0.25">
      <c r="A2288" s="31" t="s">
        <v>2535</v>
      </c>
      <c r="B2288" s="42" t="s">
        <v>3</v>
      </c>
      <c r="C2288" s="3">
        <v>18</v>
      </c>
      <c r="D2288" s="3">
        <v>1</v>
      </c>
      <c r="G2288" s="43">
        <v>44054</v>
      </c>
      <c r="H2288" s="42" t="s">
        <v>238</v>
      </c>
    </row>
    <row r="2289" spans="1:8" x14ac:dyDescent="0.25">
      <c r="A2289" s="31" t="s">
        <v>2536</v>
      </c>
      <c r="B2289" s="42" t="s">
        <v>3</v>
      </c>
      <c r="C2289" s="3">
        <v>18</v>
      </c>
      <c r="D2289" s="3">
        <v>1</v>
      </c>
      <c r="G2289" s="43">
        <v>44054</v>
      </c>
      <c r="H2289" s="42" t="s">
        <v>238</v>
      </c>
    </row>
    <row r="2290" spans="1:8" x14ac:dyDescent="0.25">
      <c r="A2290" s="31" t="s">
        <v>2537</v>
      </c>
      <c r="B2290" s="42" t="s">
        <v>3</v>
      </c>
      <c r="C2290" s="3">
        <v>19</v>
      </c>
      <c r="D2290" s="3">
        <v>1</v>
      </c>
      <c r="G2290" s="43">
        <v>44054</v>
      </c>
      <c r="H2290" s="42" t="s">
        <v>238</v>
      </c>
    </row>
    <row r="2291" spans="1:8" x14ac:dyDescent="0.25">
      <c r="A2291" s="31" t="s">
        <v>2538</v>
      </c>
      <c r="B2291" s="42" t="s">
        <v>3</v>
      </c>
      <c r="C2291" s="3">
        <v>18</v>
      </c>
      <c r="D2291" s="3">
        <v>1</v>
      </c>
      <c r="G2291" s="43">
        <v>44054</v>
      </c>
      <c r="H2291" s="42" t="s">
        <v>238</v>
      </c>
    </row>
    <row r="2292" spans="1:8" x14ac:dyDescent="0.25">
      <c r="A2292" s="31" t="s">
        <v>2539</v>
      </c>
      <c r="B2292" s="42" t="s">
        <v>3</v>
      </c>
      <c r="C2292" s="3">
        <v>18</v>
      </c>
      <c r="D2292" s="3">
        <v>1</v>
      </c>
      <c r="G2292" s="43">
        <v>44054</v>
      </c>
      <c r="H2292" s="42" t="s">
        <v>238</v>
      </c>
    </row>
    <row r="2293" spans="1:8" x14ac:dyDescent="0.25">
      <c r="A2293" s="31" t="s">
        <v>2540</v>
      </c>
      <c r="B2293" s="42" t="s">
        <v>3</v>
      </c>
      <c r="C2293" s="3">
        <v>18</v>
      </c>
      <c r="D2293" s="3">
        <v>1</v>
      </c>
      <c r="G2293" s="43">
        <v>44054</v>
      </c>
      <c r="H2293" s="42" t="s">
        <v>238</v>
      </c>
    </row>
    <row r="2294" spans="1:8" x14ac:dyDescent="0.25">
      <c r="A2294" s="31" t="s">
        <v>2541</v>
      </c>
      <c r="B2294" s="42" t="s">
        <v>3</v>
      </c>
      <c r="C2294" s="3">
        <v>18</v>
      </c>
      <c r="D2294" s="3">
        <v>1</v>
      </c>
      <c r="G2294" s="43">
        <v>44054</v>
      </c>
      <c r="H2294" s="42" t="s">
        <v>238</v>
      </c>
    </row>
    <row r="2295" spans="1:8" x14ac:dyDescent="0.25">
      <c r="A2295" s="31" t="s">
        <v>2542</v>
      </c>
      <c r="B2295" s="42" t="s">
        <v>3</v>
      </c>
      <c r="C2295" s="3">
        <v>18</v>
      </c>
      <c r="D2295" s="3">
        <v>1</v>
      </c>
      <c r="G2295" s="43">
        <v>44054</v>
      </c>
      <c r="H2295" s="42" t="s">
        <v>238</v>
      </c>
    </row>
    <row r="2296" spans="1:8" x14ac:dyDescent="0.25">
      <c r="A2296" s="31" t="s">
        <v>2543</v>
      </c>
      <c r="B2296" s="42" t="s">
        <v>3</v>
      </c>
      <c r="C2296" s="3">
        <v>19</v>
      </c>
      <c r="D2296" s="3">
        <v>1</v>
      </c>
      <c r="G2296" s="43">
        <v>44054</v>
      </c>
      <c r="H2296" s="42" t="s">
        <v>238</v>
      </c>
    </row>
    <row r="2297" spans="1:8" x14ac:dyDescent="0.25">
      <c r="A2297" s="31" t="s">
        <v>2544</v>
      </c>
      <c r="B2297" s="42" t="s">
        <v>3</v>
      </c>
      <c r="C2297" s="3">
        <v>18</v>
      </c>
      <c r="D2297" s="3">
        <v>1</v>
      </c>
      <c r="G2297" s="43">
        <v>44054</v>
      </c>
      <c r="H2297" s="42" t="s">
        <v>238</v>
      </c>
    </row>
    <row r="2298" spans="1:8" x14ac:dyDescent="0.25">
      <c r="A2298" s="31" t="s">
        <v>2545</v>
      </c>
      <c r="B2298" s="42" t="s">
        <v>3</v>
      </c>
      <c r="C2298" s="3">
        <v>18</v>
      </c>
      <c r="D2298" s="3">
        <v>1</v>
      </c>
      <c r="G2298" s="43">
        <v>44054</v>
      </c>
      <c r="H2298" s="42" t="s">
        <v>238</v>
      </c>
    </row>
    <row r="2299" spans="1:8" x14ac:dyDescent="0.25">
      <c r="A2299" s="31" t="s">
        <v>2546</v>
      </c>
      <c r="B2299" s="42" t="s">
        <v>3</v>
      </c>
      <c r="C2299" s="3">
        <v>21</v>
      </c>
      <c r="D2299" s="3">
        <v>1</v>
      </c>
      <c r="G2299" s="43">
        <v>44054</v>
      </c>
      <c r="H2299" s="42" t="s">
        <v>238</v>
      </c>
    </row>
    <row r="2300" spans="1:8" x14ac:dyDescent="0.25">
      <c r="A2300" s="31" t="s">
        <v>2547</v>
      </c>
      <c r="B2300" s="42" t="s">
        <v>3</v>
      </c>
      <c r="C2300" s="3">
        <v>18</v>
      </c>
      <c r="D2300" s="3">
        <v>1</v>
      </c>
      <c r="G2300" s="43">
        <v>44054</v>
      </c>
      <c r="H2300" s="42" t="s">
        <v>238</v>
      </c>
    </row>
    <row r="2301" spans="1:8" x14ac:dyDescent="0.25">
      <c r="A2301" s="31" t="s">
        <v>2548</v>
      </c>
      <c r="B2301" s="42" t="s">
        <v>3</v>
      </c>
      <c r="C2301" s="3">
        <v>18</v>
      </c>
      <c r="D2301" s="3">
        <v>1</v>
      </c>
      <c r="G2301" s="43">
        <v>44054</v>
      </c>
      <c r="H2301" s="42" t="s">
        <v>238</v>
      </c>
    </row>
    <row r="2302" spans="1:8" x14ac:dyDescent="0.25">
      <c r="A2302" s="31" t="s">
        <v>2549</v>
      </c>
      <c r="B2302" s="42" t="s">
        <v>3</v>
      </c>
      <c r="C2302" s="3">
        <v>21</v>
      </c>
      <c r="D2302" s="3">
        <v>1</v>
      </c>
      <c r="G2302" s="43">
        <v>44054</v>
      </c>
      <c r="H2302" s="42" t="s">
        <v>238</v>
      </c>
    </row>
    <row r="2303" spans="1:8" x14ac:dyDescent="0.25">
      <c r="A2303" s="31" t="s">
        <v>2550</v>
      </c>
      <c r="B2303" s="42" t="s">
        <v>3</v>
      </c>
      <c r="C2303" s="3">
        <v>18</v>
      </c>
      <c r="D2303" s="3">
        <v>1</v>
      </c>
      <c r="G2303" s="43">
        <v>44054</v>
      </c>
      <c r="H2303" s="42" t="s">
        <v>238</v>
      </c>
    </row>
    <row r="2304" spans="1:8" x14ac:dyDescent="0.25">
      <c r="A2304" s="31" t="s">
        <v>2551</v>
      </c>
      <c r="B2304" s="42" t="s">
        <v>3</v>
      </c>
      <c r="C2304" s="3">
        <v>20</v>
      </c>
      <c r="D2304" s="3">
        <v>1</v>
      </c>
      <c r="G2304" s="43">
        <v>44054</v>
      </c>
      <c r="H2304" s="42" t="s">
        <v>238</v>
      </c>
    </row>
    <row r="2305" spans="1:8" x14ac:dyDescent="0.25">
      <c r="A2305" s="31" t="s">
        <v>2552</v>
      </c>
      <c r="B2305" s="42" t="s">
        <v>3</v>
      </c>
      <c r="C2305" s="3">
        <v>18</v>
      </c>
      <c r="D2305" s="3">
        <v>1</v>
      </c>
      <c r="G2305" s="43">
        <v>44054</v>
      </c>
      <c r="H2305" s="42" t="s">
        <v>238</v>
      </c>
    </row>
    <row r="2306" spans="1:8" x14ac:dyDescent="0.25">
      <c r="A2306" s="31" t="s">
        <v>2553</v>
      </c>
      <c r="B2306" s="42" t="s">
        <v>3</v>
      </c>
      <c r="C2306" s="3">
        <v>27</v>
      </c>
      <c r="D2306" s="3">
        <v>1</v>
      </c>
      <c r="G2306" s="43">
        <v>44054</v>
      </c>
      <c r="H2306" s="42" t="s">
        <v>238</v>
      </c>
    </row>
    <row r="2307" spans="1:8" x14ac:dyDescent="0.25">
      <c r="A2307" s="31" t="s">
        <v>2554</v>
      </c>
      <c r="B2307" s="42" t="s">
        <v>3</v>
      </c>
      <c r="C2307" s="3">
        <v>21</v>
      </c>
      <c r="D2307" s="3">
        <v>1</v>
      </c>
      <c r="G2307" s="43">
        <v>44054</v>
      </c>
      <c r="H2307" s="42" t="s">
        <v>238</v>
      </c>
    </row>
    <row r="2308" spans="1:8" x14ac:dyDescent="0.25">
      <c r="A2308" s="31" t="s">
        <v>2555</v>
      </c>
      <c r="B2308" s="42" t="s">
        <v>3</v>
      </c>
      <c r="C2308" s="3">
        <v>26</v>
      </c>
      <c r="D2308" s="3">
        <v>1</v>
      </c>
      <c r="G2308" s="43">
        <v>44054</v>
      </c>
      <c r="H2308" s="42" t="s">
        <v>238</v>
      </c>
    </row>
    <row r="2309" spans="1:8" x14ac:dyDescent="0.25">
      <c r="A2309" s="31" t="s">
        <v>2556</v>
      </c>
      <c r="B2309" s="42" t="s">
        <v>3</v>
      </c>
      <c r="C2309" s="3">
        <v>18</v>
      </c>
      <c r="D2309" s="3">
        <v>1</v>
      </c>
      <c r="G2309" s="43">
        <v>44054</v>
      </c>
      <c r="H2309" s="42" t="s">
        <v>238</v>
      </c>
    </row>
    <row r="2310" spans="1:8" x14ac:dyDescent="0.25">
      <c r="A2310" s="3" t="s">
        <v>2557</v>
      </c>
      <c r="B2310" s="52" t="s">
        <v>85</v>
      </c>
      <c r="C2310" s="3">
        <v>48</v>
      </c>
      <c r="D2310" s="3">
        <v>1</v>
      </c>
      <c r="G2310" s="43">
        <v>44055</v>
      </c>
      <c r="H2310" s="42" t="s">
        <v>238</v>
      </c>
    </row>
    <row r="2311" spans="1:8" x14ac:dyDescent="0.25">
      <c r="A2311" s="31" t="s">
        <v>2558</v>
      </c>
      <c r="B2311" s="42" t="s">
        <v>3</v>
      </c>
      <c r="C2311" s="3">
        <v>18</v>
      </c>
      <c r="D2311" s="3">
        <v>1</v>
      </c>
      <c r="G2311" s="43">
        <v>44055</v>
      </c>
      <c r="H2311" s="42" t="s">
        <v>238</v>
      </c>
    </row>
    <row r="2312" spans="1:8" x14ac:dyDescent="0.25">
      <c r="A2312" s="31" t="s">
        <v>2559</v>
      </c>
      <c r="B2312" s="42" t="s">
        <v>3</v>
      </c>
      <c r="C2312" s="3">
        <v>18</v>
      </c>
      <c r="D2312" s="3">
        <v>1</v>
      </c>
      <c r="G2312" s="43">
        <v>44055</v>
      </c>
      <c r="H2312" s="42" t="s">
        <v>238</v>
      </c>
    </row>
    <row r="2313" spans="1:8" x14ac:dyDescent="0.25">
      <c r="A2313" s="31" t="s">
        <v>2560</v>
      </c>
      <c r="B2313" s="42" t="s">
        <v>3</v>
      </c>
      <c r="C2313" s="3">
        <v>27</v>
      </c>
      <c r="D2313" s="3">
        <v>1</v>
      </c>
      <c r="G2313" s="43">
        <v>44055</v>
      </c>
      <c r="H2313" s="42" t="s">
        <v>238</v>
      </c>
    </row>
    <row r="2314" spans="1:8" x14ac:dyDescent="0.25">
      <c r="A2314" s="31" t="s">
        <v>2561</v>
      </c>
      <c r="B2314" s="42" t="s">
        <v>3</v>
      </c>
      <c r="C2314" s="3">
        <v>18</v>
      </c>
      <c r="D2314" s="3">
        <v>1</v>
      </c>
      <c r="G2314" s="43">
        <v>44055</v>
      </c>
      <c r="H2314" s="42" t="s">
        <v>238</v>
      </c>
    </row>
    <row r="2315" spans="1:8" x14ac:dyDescent="0.25">
      <c r="A2315" s="31" t="s">
        <v>2562</v>
      </c>
      <c r="B2315" s="42" t="s">
        <v>3</v>
      </c>
      <c r="C2315" s="3">
        <v>18</v>
      </c>
      <c r="D2315" s="3">
        <v>1</v>
      </c>
      <c r="G2315" s="43">
        <v>44055</v>
      </c>
      <c r="H2315" s="42" t="s">
        <v>238</v>
      </c>
    </row>
    <row r="2316" spans="1:8" x14ac:dyDescent="0.25">
      <c r="A2316" s="31" t="s">
        <v>2563</v>
      </c>
      <c r="B2316" s="42" t="s">
        <v>3</v>
      </c>
      <c r="C2316" s="3">
        <v>19</v>
      </c>
      <c r="D2316" s="3">
        <v>1</v>
      </c>
      <c r="G2316" s="43">
        <v>44055</v>
      </c>
      <c r="H2316" s="42" t="s">
        <v>238</v>
      </c>
    </row>
    <row r="2317" spans="1:8" x14ac:dyDescent="0.25">
      <c r="A2317" s="31" t="s">
        <v>2564</v>
      </c>
      <c r="B2317" s="42" t="s">
        <v>3</v>
      </c>
      <c r="C2317" s="3">
        <v>19</v>
      </c>
      <c r="D2317" s="3">
        <v>1</v>
      </c>
      <c r="G2317" s="43">
        <v>44055</v>
      </c>
      <c r="H2317" s="42" t="s">
        <v>238</v>
      </c>
    </row>
    <row r="2318" spans="1:8" x14ac:dyDescent="0.25">
      <c r="A2318" s="31" t="s">
        <v>2565</v>
      </c>
      <c r="B2318" s="42" t="s">
        <v>3</v>
      </c>
      <c r="C2318" s="3">
        <v>19</v>
      </c>
      <c r="D2318" s="3">
        <v>1</v>
      </c>
      <c r="G2318" s="43">
        <v>44055</v>
      </c>
      <c r="H2318" s="42" t="s">
        <v>238</v>
      </c>
    </row>
    <row r="2319" spans="1:8" x14ac:dyDescent="0.25">
      <c r="A2319" s="31" t="s">
        <v>2566</v>
      </c>
      <c r="B2319" s="42" t="s">
        <v>3</v>
      </c>
      <c r="C2319" s="3">
        <v>20</v>
      </c>
      <c r="D2319" s="3">
        <v>1</v>
      </c>
      <c r="G2319" s="43">
        <v>44055</v>
      </c>
      <c r="H2319" s="42" t="s">
        <v>238</v>
      </c>
    </row>
    <row r="2320" spans="1:8" x14ac:dyDescent="0.25">
      <c r="A2320" s="31" t="s">
        <v>2567</v>
      </c>
      <c r="B2320" s="42" t="s">
        <v>3</v>
      </c>
      <c r="C2320" s="3">
        <v>19</v>
      </c>
      <c r="D2320" s="3">
        <v>1</v>
      </c>
      <c r="G2320" s="43">
        <v>44055</v>
      </c>
      <c r="H2320" s="42" t="s">
        <v>238</v>
      </c>
    </row>
    <row r="2321" spans="1:8" x14ac:dyDescent="0.25">
      <c r="A2321" s="31" t="s">
        <v>2568</v>
      </c>
      <c r="B2321" s="42" t="s">
        <v>3</v>
      </c>
      <c r="C2321" s="3">
        <v>18</v>
      </c>
      <c r="D2321" s="3">
        <v>1</v>
      </c>
      <c r="G2321" s="43">
        <v>44055</v>
      </c>
      <c r="H2321" s="42" t="s">
        <v>238</v>
      </c>
    </row>
    <row r="2322" spans="1:8" x14ac:dyDescent="0.25">
      <c r="A2322" s="31" t="s">
        <v>2569</v>
      </c>
      <c r="B2322" s="42" t="s">
        <v>3</v>
      </c>
      <c r="C2322" s="3">
        <v>18</v>
      </c>
      <c r="D2322" s="3">
        <v>1</v>
      </c>
      <c r="G2322" s="43">
        <v>44055</v>
      </c>
      <c r="H2322" s="42" t="s">
        <v>238</v>
      </c>
    </row>
    <row r="2323" spans="1:8" x14ac:dyDescent="0.25">
      <c r="A2323" s="31" t="s">
        <v>2570</v>
      </c>
      <c r="B2323" s="42" t="s">
        <v>3</v>
      </c>
      <c r="C2323" s="3">
        <v>20</v>
      </c>
      <c r="D2323" s="3">
        <v>1</v>
      </c>
      <c r="G2323" s="43">
        <v>44055</v>
      </c>
      <c r="H2323" s="42" t="s">
        <v>238</v>
      </c>
    </row>
    <row r="2324" spans="1:8" x14ac:dyDescent="0.25">
      <c r="A2324" s="31" t="s">
        <v>2571</v>
      </c>
      <c r="B2324" s="42" t="s">
        <v>3</v>
      </c>
      <c r="C2324" s="3">
        <v>18</v>
      </c>
      <c r="D2324" s="3">
        <v>1</v>
      </c>
      <c r="G2324" s="43">
        <v>44055</v>
      </c>
      <c r="H2324" s="42" t="s">
        <v>238</v>
      </c>
    </row>
    <row r="2325" spans="1:8" x14ac:dyDescent="0.25">
      <c r="A2325" s="31" t="s">
        <v>2572</v>
      </c>
      <c r="B2325" s="42" t="s">
        <v>3</v>
      </c>
      <c r="C2325" s="3">
        <v>18</v>
      </c>
      <c r="D2325" s="3">
        <v>1</v>
      </c>
      <c r="G2325" s="43">
        <v>44055</v>
      </c>
      <c r="H2325" s="42" t="s">
        <v>238</v>
      </c>
    </row>
    <row r="2326" spans="1:8" x14ac:dyDescent="0.25">
      <c r="A2326" s="31" t="s">
        <v>2573</v>
      </c>
      <c r="B2326" s="42" t="s">
        <v>3</v>
      </c>
      <c r="C2326" s="3">
        <v>18</v>
      </c>
      <c r="D2326" s="3">
        <v>1</v>
      </c>
      <c r="G2326" s="43">
        <v>44055</v>
      </c>
      <c r="H2326" s="42" t="s">
        <v>238</v>
      </c>
    </row>
    <row r="2327" spans="1:8" x14ac:dyDescent="0.25">
      <c r="A2327" s="31" t="s">
        <v>2574</v>
      </c>
      <c r="B2327" s="42" t="s">
        <v>3</v>
      </c>
      <c r="C2327" s="3">
        <v>18</v>
      </c>
      <c r="D2327" s="3">
        <v>1</v>
      </c>
      <c r="G2327" s="43">
        <v>44055</v>
      </c>
      <c r="H2327" s="42" t="s">
        <v>238</v>
      </c>
    </row>
    <row r="2328" spans="1:8" x14ac:dyDescent="0.25">
      <c r="A2328" s="31" t="s">
        <v>2575</v>
      </c>
      <c r="B2328" s="42" t="s">
        <v>3</v>
      </c>
      <c r="C2328" s="3">
        <v>20</v>
      </c>
      <c r="D2328" s="3">
        <v>1</v>
      </c>
      <c r="G2328" s="43">
        <v>44055</v>
      </c>
      <c r="H2328" s="42" t="s">
        <v>238</v>
      </c>
    </row>
    <row r="2329" spans="1:8" x14ac:dyDescent="0.25">
      <c r="A2329" s="31" t="s">
        <v>2576</v>
      </c>
      <c r="B2329" s="42" t="s">
        <v>3</v>
      </c>
      <c r="C2329" s="3">
        <v>19</v>
      </c>
      <c r="D2329" s="3">
        <v>1</v>
      </c>
      <c r="G2329" s="43">
        <v>44055</v>
      </c>
      <c r="H2329" s="42" t="s">
        <v>238</v>
      </c>
    </row>
    <row r="2330" spans="1:8" x14ac:dyDescent="0.25">
      <c r="A2330" s="31" t="s">
        <v>2577</v>
      </c>
      <c r="B2330" s="42" t="s">
        <v>3</v>
      </c>
      <c r="C2330" s="3">
        <v>21</v>
      </c>
      <c r="D2330" s="3">
        <v>1</v>
      </c>
      <c r="G2330" s="43">
        <v>44055</v>
      </c>
      <c r="H2330" s="42" t="s">
        <v>238</v>
      </c>
    </row>
    <row r="2331" spans="1:8" x14ac:dyDescent="0.25">
      <c r="A2331" s="31" t="s">
        <v>2578</v>
      </c>
      <c r="B2331" s="42" t="s">
        <v>3</v>
      </c>
      <c r="C2331" s="3">
        <v>20</v>
      </c>
      <c r="D2331" s="3">
        <v>1</v>
      </c>
      <c r="G2331" s="43">
        <v>44055</v>
      </c>
      <c r="H2331" s="42" t="s">
        <v>238</v>
      </c>
    </row>
    <row r="2332" spans="1:8" x14ac:dyDescent="0.25">
      <c r="A2332" s="31" t="s">
        <v>2579</v>
      </c>
      <c r="B2332" s="42" t="s">
        <v>3</v>
      </c>
      <c r="C2332" s="3">
        <v>18</v>
      </c>
      <c r="D2332" s="3">
        <v>1</v>
      </c>
      <c r="G2332" s="43">
        <v>44055</v>
      </c>
      <c r="H2332" s="42" t="s">
        <v>238</v>
      </c>
    </row>
    <row r="2333" spans="1:8" x14ac:dyDescent="0.25">
      <c r="A2333" s="31" t="s">
        <v>2580</v>
      </c>
      <c r="B2333" s="42" t="s">
        <v>3</v>
      </c>
      <c r="C2333" s="3">
        <v>20</v>
      </c>
      <c r="D2333" s="3">
        <v>1</v>
      </c>
      <c r="G2333" s="43">
        <v>44055</v>
      </c>
      <c r="H2333" s="42" t="s">
        <v>238</v>
      </c>
    </row>
    <row r="2334" spans="1:8" x14ac:dyDescent="0.25">
      <c r="A2334" s="31" t="s">
        <v>2581</v>
      </c>
      <c r="B2334" s="42" t="s">
        <v>3</v>
      </c>
      <c r="C2334" s="3">
        <v>18</v>
      </c>
      <c r="D2334" s="3">
        <v>1</v>
      </c>
      <c r="G2334" s="43">
        <v>44055</v>
      </c>
      <c r="H2334" s="42" t="s">
        <v>238</v>
      </c>
    </row>
    <row r="2335" spans="1:8" x14ac:dyDescent="0.25">
      <c r="A2335" s="31" t="s">
        <v>2582</v>
      </c>
      <c r="B2335" s="42" t="s">
        <v>3</v>
      </c>
      <c r="C2335" s="3">
        <v>18</v>
      </c>
      <c r="D2335" s="3">
        <v>1</v>
      </c>
      <c r="G2335" s="43">
        <v>44055</v>
      </c>
      <c r="H2335" s="42" t="s">
        <v>238</v>
      </c>
    </row>
    <row r="2336" spans="1:8" x14ac:dyDescent="0.25">
      <c r="A2336" s="31" t="s">
        <v>2583</v>
      </c>
      <c r="B2336" s="42" t="s">
        <v>3</v>
      </c>
      <c r="C2336" s="3">
        <v>25</v>
      </c>
      <c r="D2336" s="3">
        <v>1</v>
      </c>
      <c r="G2336" s="43">
        <v>44055</v>
      </c>
      <c r="H2336" s="42" t="s">
        <v>238</v>
      </c>
    </row>
    <row r="2337" spans="1:8" x14ac:dyDescent="0.25">
      <c r="A2337" s="31" t="s">
        <v>2584</v>
      </c>
      <c r="B2337" s="42" t="s">
        <v>3</v>
      </c>
      <c r="C2337" s="3">
        <v>18</v>
      </c>
      <c r="D2337" s="3">
        <v>1</v>
      </c>
      <c r="G2337" s="43">
        <v>44055</v>
      </c>
      <c r="H2337" s="42" t="s">
        <v>238</v>
      </c>
    </row>
    <row r="2338" spans="1:8" x14ac:dyDescent="0.25">
      <c r="A2338" s="31" t="s">
        <v>2585</v>
      </c>
      <c r="B2338" s="42" t="s">
        <v>3</v>
      </c>
      <c r="C2338" s="3">
        <v>19</v>
      </c>
      <c r="D2338" s="3">
        <v>1</v>
      </c>
      <c r="G2338" s="43">
        <v>44055</v>
      </c>
      <c r="H2338" s="42" t="s">
        <v>238</v>
      </c>
    </row>
    <row r="2339" spans="1:8" x14ac:dyDescent="0.25">
      <c r="A2339" s="31" t="s">
        <v>2586</v>
      </c>
      <c r="B2339" s="42" t="s">
        <v>3</v>
      </c>
      <c r="C2339" s="3">
        <v>21</v>
      </c>
      <c r="D2339" s="3">
        <v>1</v>
      </c>
      <c r="G2339" s="43">
        <v>44055</v>
      </c>
      <c r="H2339" s="42" t="s">
        <v>238</v>
      </c>
    </row>
    <row r="2340" spans="1:8" x14ac:dyDescent="0.25">
      <c r="A2340" s="31" t="s">
        <v>2587</v>
      </c>
      <c r="B2340" s="42" t="s">
        <v>3</v>
      </c>
      <c r="C2340" s="3">
        <v>18</v>
      </c>
      <c r="D2340" s="3">
        <v>1</v>
      </c>
      <c r="G2340" s="43">
        <v>44055</v>
      </c>
      <c r="H2340" s="42" t="s">
        <v>238</v>
      </c>
    </row>
    <row r="2341" spans="1:8" x14ac:dyDescent="0.25">
      <c r="A2341" s="31" t="s">
        <v>2588</v>
      </c>
      <c r="B2341" s="42" t="s">
        <v>3</v>
      </c>
      <c r="C2341" s="3">
        <v>18</v>
      </c>
      <c r="D2341" s="3">
        <v>1</v>
      </c>
      <c r="G2341" s="43">
        <v>44055</v>
      </c>
      <c r="H2341" s="42" t="s">
        <v>238</v>
      </c>
    </row>
    <row r="2342" spans="1:8" x14ac:dyDescent="0.25">
      <c r="A2342" s="31" t="s">
        <v>2589</v>
      </c>
      <c r="B2342" s="42" t="s">
        <v>3</v>
      </c>
      <c r="C2342" s="3">
        <v>24</v>
      </c>
      <c r="D2342" s="3">
        <v>1</v>
      </c>
      <c r="G2342" s="43">
        <v>44055</v>
      </c>
      <c r="H2342" s="42" t="s">
        <v>238</v>
      </c>
    </row>
    <row r="2343" spans="1:8" x14ac:dyDescent="0.25">
      <c r="A2343" s="31" t="s">
        <v>2590</v>
      </c>
      <c r="B2343" s="42" t="s">
        <v>3</v>
      </c>
      <c r="C2343" s="3">
        <v>19</v>
      </c>
      <c r="D2343" s="3">
        <v>1</v>
      </c>
      <c r="G2343" s="43">
        <v>44055</v>
      </c>
      <c r="H2343" s="42" t="s">
        <v>238</v>
      </c>
    </row>
    <row r="2344" spans="1:8" x14ac:dyDescent="0.25">
      <c r="A2344" s="31" t="s">
        <v>2591</v>
      </c>
      <c r="B2344" s="42" t="s">
        <v>3</v>
      </c>
      <c r="C2344" s="3">
        <v>18</v>
      </c>
      <c r="D2344" s="3">
        <v>1</v>
      </c>
      <c r="G2344" s="43">
        <v>44055</v>
      </c>
      <c r="H2344" s="42" t="s">
        <v>238</v>
      </c>
    </row>
    <row r="2345" spans="1:8" x14ac:dyDescent="0.25">
      <c r="A2345" s="31" t="s">
        <v>2592</v>
      </c>
      <c r="B2345" s="42" t="s">
        <v>3</v>
      </c>
      <c r="C2345" s="3">
        <v>18</v>
      </c>
      <c r="D2345" s="3">
        <v>1</v>
      </c>
      <c r="G2345" s="43">
        <v>44055</v>
      </c>
      <c r="H2345" s="42" t="s">
        <v>238</v>
      </c>
    </row>
    <row r="2346" spans="1:8" x14ac:dyDescent="0.25">
      <c r="A2346" s="31" t="s">
        <v>2593</v>
      </c>
      <c r="B2346" s="42" t="s">
        <v>3</v>
      </c>
      <c r="C2346" s="3">
        <v>19</v>
      </c>
      <c r="D2346" s="3">
        <v>1</v>
      </c>
      <c r="G2346" s="43">
        <v>44055</v>
      </c>
      <c r="H2346" s="42" t="s">
        <v>238</v>
      </c>
    </row>
    <row r="2347" spans="1:8" x14ac:dyDescent="0.25">
      <c r="A2347" s="31" t="s">
        <v>2594</v>
      </c>
      <c r="B2347" s="42" t="s">
        <v>3</v>
      </c>
      <c r="C2347" s="3">
        <v>22</v>
      </c>
      <c r="D2347" s="3">
        <v>1</v>
      </c>
      <c r="G2347" s="43">
        <v>44055</v>
      </c>
      <c r="H2347" s="42" t="s">
        <v>238</v>
      </c>
    </row>
    <row r="2348" spans="1:8" x14ac:dyDescent="0.25">
      <c r="A2348" s="31" t="s">
        <v>2595</v>
      </c>
      <c r="B2348" s="42" t="s">
        <v>3</v>
      </c>
      <c r="C2348" s="3">
        <v>19</v>
      </c>
      <c r="D2348" s="3">
        <v>1</v>
      </c>
      <c r="G2348" s="43">
        <v>44055</v>
      </c>
      <c r="H2348" s="42" t="s">
        <v>238</v>
      </c>
    </row>
    <row r="2349" spans="1:8" x14ac:dyDescent="0.25">
      <c r="A2349" s="31" t="s">
        <v>2596</v>
      </c>
      <c r="B2349" s="42" t="s">
        <v>3</v>
      </c>
      <c r="C2349" s="3">
        <v>18</v>
      </c>
      <c r="D2349" s="3">
        <v>1</v>
      </c>
      <c r="G2349" s="43">
        <v>44055</v>
      </c>
      <c r="H2349" s="42" t="s">
        <v>238</v>
      </c>
    </row>
    <row r="2350" spans="1:8" x14ac:dyDescent="0.25">
      <c r="A2350" s="31" t="s">
        <v>2597</v>
      </c>
      <c r="B2350" s="42" t="s">
        <v>3</v>
      </c>
      <c r="C2350" s="3">
        <v>19</v>
      </c>
      <c r="D2350" s="3">
        <v>1</v>
      </c>
      <c r="G2350" s="43">
        <v>44055</v>
      </c>
      <c r="H2350" s="42" t="s">
        <v>238</v>
      </c>
    </row>
    <row r="2351" spans="1:8" x14ac:dyDescent="0.25">
      <c r="A2351" s="31" t="s">
        <v>2598</v>
      </c>
      <c r="B2351" s="42" t="s">
        <v>3</v>
      </c>
      <c r="C2351" s="3">
        <v>18</v>
      </c>
      <c r="D2351" s="3">
        <v>1</v>
      </c>
      <c r="G2351" s="43">
        <v>44055</v>
      </c>
      <c r="H2351" s="42" t="s">
        <v>238</v>
      </c>
    </row>
    <row r="2352" spans="1:8" x14ac:dyDescent="0.25">
      <c r="A2352" s="31" t="s">
        <v>2599</v>
      </c>
      <c r="B2352" s="42" t="s">
        <v>3</v>
      </c>
      <c r="C2352" s="3">
        <v>18</v>
      </c>
      <c r="D2352" s="3">
        <v>1</v>
      </c>
      <c r="G2352" s="43">
        <v>44055</v>
      </c>
      <c r="H2352" s="42" t="s">
        <v>238</v>
      </c>
    </row>
    <row r="2353" spans="1:8" x14ac:dyDescent="0.25">
      <c r="A2353" s="31" t="s">
        <v>2600</v>
      </c>
      <c r="B2353" s="42" t="s">
        <v>3</v>
      </c>
      <c r="C2353" s="3">
        <v>18</v>
      </c>
      <c r="D2353" s="3">
        <v>1</v>
      </c>
      <c r="G2353" s="43">
        <v>44055</v>
      </c>
      <c r="H2353" s="42" t="s">
        <v>238</v>
      </c>
    </row>
    <row r="2354" spans="1:8" x14ac:dyDescent="0.25">
      <c r="A2354" s="31" t="s">
        <v>2601</v>
      </c>
      <c r="B2354" s="42" t="s">
        <v>3</v>
      </c>
      <c r="C2354" s="3">
        <v>21</v>
      </c>
      <c r="D2354" s="3">
        <v>1</v>
      </c>
      <c r="G2354" s="43">
        <v>44055</v>
      </c>
      <c r="H2354" s="42" t="s">
        <v>238</v>
      </c>
    </row>
    <row r="2355" spans="1:8" x14ac:dyDescent="0.25">
      <c r="A2355" s="31" t="s">
        <v>2602</v>
      </c>
      <c r="B2355" s="42" t="s">
        <v>3</v>
      </c>
      <c r="C2355" s="3">
        <v>18</v>
      </c>
      <c r="D2355" s="3">
        <v>1</v>
      </c>
      <c r="G2355" s="43">
        <v>44055</v>
      </c>
      <c r="H2355" s="42" t="s">
        <v>238</v>
      </c>
    </row>
    <row r="2356" spans="1:8" x14ac:dyDescent="0.25">
      <c r="A2356" s="31" t="s">
        <v>2603</v>
      </c>
      <c r="B2356" s="42" t="s">
        <v>3</v>
      </c>
      <c r="C2356" s="3">
        <v>18</v>
      </c>
      <c r="D2356" s="3">
        <v>1</v>
      </c>
      <c r="G2356" s="43">
        <v>44055</v>
      </c>
      <c r="H2356" s="42" t="s">
        <v>238</v>
      </c>
    </row>
    <row r="2357" spans="1:8" x14ac:dyDescent="0.25">
      <c r="A2357" s="31" t="s">
        <v>2604</v>
      </c>
      <c r="B2357" s="42" t="s">
        <v>3</v>
      </c>
      <c r="C2357" s="3">
        <v>19</v>
      </c>
      <c r="D2357" s="3">
        <v>1</v>
      </c>
      <c r="G2357" s="43">
        <v>44055</v>
      </c>
      <c r="H2357" s="42" t="s">
        <v>238</v>
      </c>
    </row>
    <row r="2358" spans="1:8" x14ac:dyDescent="0.25">
      <c r="A2358" s="31" t="s">
        <v>2605</v>
      </c>
      <c r="B2358" s="42" t="s">
        <v>3</v>
      </c>
      <c r="C2358" s="3">
        <v>18</v>
      </c>
      <c r="D2358" s="3">
        <v>1</v>
      </c>
      <c r="G2358" s="43">
        <v>44055</v>
      </c>
      <c r="H2358" s="42" t="s">
        <v>238</v>
      </c>
    </row>
    <row r="2359" spans="1:8" x14ac:dyDescent="0.25">
      <c r="A2359" s="31" t="s">
        <v>2606</v>
      </c>
      <c r="B2359" s="42" t="s">
        <v>3</v>
      </c>
      <c r="C2359" s="3">
        <v>19</v>
      </c>
      <c r="D2359" s="3">
        <v>1</v>
      </c>
      <c r="G2359" s="43">
        <v>44055</v>
      </c>
      <c r="H2359" s="42" t="s">
        <v>238</v>
      </c>
    </row>
    <row r="2360" spans="1:8" x14ac:dyDescent="0.25">
      <c r="A2360" s="31" t="s">
        <v>2607</v>
      </c>
      <c r="B2360" s="42" t="s">
        <v>3</v>
      </c>
      <c r="C2360" s="3">
        <v>18</v>
      </c>
      <c r="D2360" s="3">
        <v>1</v>
      </c>
      <c r="G2360" s="43">
        <v>44055</v>
      </c>
      <c r="H2360" s="42" t="s">
        <v>238</v>
      </c>
    </row>
    <row r="2361" spans="1:8" x14ac:dyDescent="0.25">
      <c r="A2361" s="31" t="s">
        <v>2608</v>
      </c>
      <c r="B2361" s="42" t="s">
        <v>3</v>
      </c>
      <c r="C2361" s="3">
        <v>19</v>
      </c>
      <c r="D2361" s="3">
        <v>1</v>
      </c>
      <c r="G2361" s="43">
        <v>44055</v>
      </c>
      <c r="H2361" s="42" t="s">
        <v>238</v>
      </c>
    </row>
    <row r="2362" spans="1:8" x14ac:dyDescent="0.25">
      <c r="A2362" s="31" t="s">
        <v>2609</v>
      </c>
      <c r="B2362" s="42" t="s">
        <v>3</v>
      </c>
      <c r="C2362" s="3">
        <v>19</v>
      </c>
      <c r="D2362" s="3">
        <v>1</v>
      </c>
      <c r="G2362" s="43">
        <v>44055</v>
      </c>
      <c r="H2362" s="42" t="s">
        <v>238</v>
      </c>
    </row>
    <row r="2363" spans="1:8" x14ac:dyDescent="0.25">
      <c r="A2363" s="31" t="s">
        <v>2610</v>
      </c>
      <c r="B2363" s="42" t="s">
        <v>3</v>
      </c>
      <c r="C2363" s="3">
        <v>18</v>
      </c>
      <c r="D2363" s="3">
        <v>1</v>
      </c>
      <c r="G2363" s="43">
        <v>44055</v>
      </c>
      <c r="H2363" s="42" t="s">
        <v>238</v>
      </c>
    </row>
    <row r="2364" spans="1:8" x14ac:dyDescent="0.25">
      <c r="A2364" s="31" t="s">
        <v>2611</v>
      </c>
      <c r="B2364" s="42" t="s">
        <v>3</v>
      </c>
      <c r="C2364" s="3">
        <v>18</v>
      </c>
      <c r="D2364" s="3">
        <v>1</v>
      </c>
      <c r="G2364" s="43">
        <v>44055</v>
      </c>
      <c r="H2364" s="42" t="s">
        <v>238</v>
      </c>
    </row>
    <row r="2365" spans="1:8" x14ac:dyDescent="0.25">
      <c r="A2365" s="31" t="s">
        <v>2612</v>
      </c>
      <c r="B2365" s="42" t="s">
        <v>3</v>
      </c>
      <c r="C2365" s="3">
        <v>19</v>
      </c>
      <c r="D2365" s="3">
        <v>1</v>
      </c>
      <c r="G2365" s="43">
        <v>44055</v>
      </c>
      <c r="H2365" s="42" t="s">
        <v>238</v>
      </c>
    </row>
    <row r="2366" spans="1:8" x14ac:dyDescent="0.25">
      <c r="A2366" s="31" t="s">
        <v>2613</v>
      </c>
      <c r="B2366" s="42" t="s">
        <v>3</v>
      </c>
      <c r="C2366" s="3">
        <v>18</v>
      </c>
      <c r="D2366" s="3">
        <v>1</v>
      </c>
      <c r="G2366" s="43">
        <v>44055</v>
      </c>
      <c r="H2366" s="42" t="s">
        <v>238</v>
      </c>
    </row>
    <row r="2367" spans="1:8" x14ac:dyDescent="0.25">
      <c r="A2367" s="31" t="s">
        <v>2614</v>
      </c>
      <c r="B2367" s="42" t="s">
        <v>3</v>
      </c>
      <c r="C2367" s="3">
        <v>18</v>
      </c>
      <c r="D2367" s="3">
        <v>1</v>
      </c>
      <c r="G2367" s="43">
        <v>44055</v>
      </c>
      <c r="H2367" s="42" t="s">
        <v>238</v>
      </c>
    </row>
    <row r="2368" spans="1:8" x14ac:dyDescent="0.25">
      <c r="A2368" s="31" t="s">
        <v>2615</v>
      </c>
      <c r="B2368" s="42" t="s">
        <v>3</v>
      </c>
      <c r="C2368" s="3">
        <v>18</v>
      </c>
      <c r="D2368" s="3">
        <v>1</v>
      </c>
      <c r="G2368" s="43">
        <v>44055</v>
      </c>
      <c r="H2368" s="42" t="s">
        <v>238</v>
      </c>
    </row>
    <row r="2369" spans="1:8" x14ac:dyDescent="0.25">
      <c r="A2369" s="31" t="s">
        <v>2616</v>
      </c>
      <c r="B2369" s="42" t="s">
        <v>3</v>
      </c>
      <c r="C2369" s="3">
        <v>24</v>
      </c>
      <c r="D2369" s="3">
        <v>1</v>
      </c>
      <c r="G2369" s="43">
        <v>44055</v>
      </c>
      <c r="H2369" s="42" t="s">
        <v>238</v>
      </c>
    </row>
    <row r="2370" spans="1:8" x14ac:dyDescent="0.25">
      <c r="A2370" s="31" t="s">
        <v>2617</v>
      </c>
      <c r="B2370" s="42" t="s">
        <v>3</v>
      </c>
      <c r="C2370" s="3">
        <v>18</v>
      </c>
      <c r="D2370" s="3">
        <v>1</v>
      </c>
      <c r="G2370" s="43">
        <v>44055</v>
      </c>
      <c r="H2370" s="42" t="s">
        <v>238</v>
      </c>
    </row>
    <row r="2371" spans="1:8" x14ac:dyDescent="0.25">
      <c r="A2371" s="31" t="s">
        <v>2618</v>
      </c>
      <c r="B2371" s="42" t="s">
        <v>3</v>
      </c>
      <c r="C2371" s="3">
        <v>18</v>
      </c>
      <c r="D2371" s="3">
        <v>1</v>
      </c>
      <c r="G2371" s="43">
        <v>44055</v>
      </c>
      <c r="H2371" s="42" t="s">
        <v>238</v>
      </c>
    </row>
    <row r="2372" spans="1:8" x14ac:dyDescent="0.25">
      <c r="A2372" s="31" t="s">
        <v>2619</v>
      </c>
      <c r="B2372" s="42" t="s">
        <v>3</v>
      </c>
      <c r="C2372" s="3">
        <v>18</v>
      </c>
      <c r="D2372" s="3">
        <v>1</v>
      </c>
      <c r="G2372" s="43">
        <v>44055</v>
      </c>
      <c r="H2372" s="42" t="s">
        <v>238</v>
      </c>
    </row>
    <row r="2373" spans="1:8" x14ac:dyDescent="0.25">
      <c r="A2373" s="31" t="s">
        <v>2620</v>
      </c>
      <c r="B2373" s="42" t="s">
        <v>3</v>
      </c>
      <c r="C2373" s="3">
        <v>18</v>
      </c>
      <c r="D2373" s="3">
        <v>1</v>
      </c>
      <c r="G2373" s="43">
        <v>44055</v>
      </c>
      <c r="H2373" s="42" t="s">
        <v>238</v>
      </c>
    </row>
    <row r="2374" spans="1:8" x14ac:dyDescent="0.25">
      <c r="A2374" s="31" t="s">
        <v>2621</v>
      </c>
      <c r="B2374" s="42" t="s">
        <v>3</v>
      </c>
      <c r="C2374" s="3">
        <v>19</v>
      </c>
      <c r="D2374" s="3">
        <v>1</v>
      </c>
      <c r="G2374" s="43">
        <v>44055</v>
      </c>
      <c r="H2374" s="42" t="s">
        <v>238</v>
      </c>
    </row>
    <row r="2375" spans="1:8" x14ac:dyDescent="0.25">
      <c r="A2375" s="31" t="s">
        <v>2622</v>
      </c>
      <c r="B2375" s="42" t="s">
        <v>3</v>
      </c>
      <c r="C2375" s="3">
        <v>20</v>
      </c>
      <c r="D2375" s="3">
        <v>1</v>
      </c>
      <c r="G2375" s="43">
        <v>44055</v>
      </c>
      <c r="H2375" s="42" t="s">
        <v>238</v>
      </c>
    </row>
    <row r="2376" spans="1:8" x14ac:dyDescent="0.25">
      <c r="A2376" s="31" t="s">
        <v>2623</v>
      </c>
      <c r="B2376" s="42" t="s">
        <v>3</v>
      </c>
      <c r="C2376" s="3">
        <v>19</v>
      </c>
      <c r="D2376" s="3">
        <v>1</v>
      </c>
      <c r="G2376" s="43">
        <v>44055</v>
      </c>
      <c r="H2376" s="42" t="s">
        <v>238</v>
      </c>
    </row>
    <row r="2377" spans="1:8" x14ac:dyDescent="0.25">
      <c r="A2377" s="31" t="s">
        <v>2624</v>
      </c>
      <c r="B2377" s="42" t="s">
        <v>3</v>
      </c>
      <c r="C2377" s="3">
        <v>19</v>
      </c>
      <c r="D2377" s="3">
        <v>1</v>
      </c>
      <c r="G2377" s="43">
        <v>44055</v>
      </c>
      <c r="H2377" s="42" t="s">
        <v>238</v>
      </c>
    </row>
    <row r="2378" spans="1:8" x14ac:dyDescent="0.25">
      <c r="A2378" s="31" t="s">
        <v>2625</v>
      </c>
      <c r="B2378" s="42" t="s">
        <v>3</v>
      </c>
      <c r="C2378" s="3">
        <v>18</v>
      </c>
      <c r="D2378" s="3">
        <v>1</v>
      </c>
      <c r="G2378" s="43">
        <v>44055</v>
      </c>
      <c r="H2378" s="42" t="s">
        <v>238</v>
      </c>
    </row>
    <row r="2379" spans="1:8" x14ac:dyDescent="0.25">
      <c r="A2379" s="31" t="s">
        <v>2626</v>
      </c>
      <c r="B2379" s="42" t="s">
        <v>3</v>
      </c>
      <c r="C2379" s="3">
        <v>18</v>
      </c>
      <c r="D2379" s="3">
        <v>1</v>
      </c>
      <c r="G2379" s="43">
        <v>44055</v>
      </c>
      <c r="H2379" s="42" t="s">
        <v>238</v>
      </c>
    </row>
    <row r="2380" spans="1:8" x14ac:dyDescent="0.25">
      <c r="A2380" s="31" t="s">
        <v>2627</v>
      </c>
      <c r="B2380" s="42" t="s">
        <v>3</v>
      </c>
      <c r="C2380" s="3">
        <v>21</v>
      </c>
      <c r="D2380" s="3">
        <v>1</v>
      </c>
      <c r="G2380" s="43">
        <v>44055</v>
      </c>
      <c r="H2380" s="42" t="s">
        <v>238</v>
      </c>
    </row>
    <row r="2381" spans="1:8" x14ac:dyDescent="0.25">
      <c r="A2381" s="31" t="s">
        <v>2628</v>
      </c>
      <c r="B2381" s="42" t="s">
        <v>3</v>
      </c>
      <c r="C2381" s="3">
        <v>19</v>
      </c>
      <c r="D2381" s="3">
        <v>1</v>
      </c>
      <c r="G2381" s="43">
        <v>44060</v>
      </c>
      <c r="H2381" s="42" t="s">
        <v>238</v>
      </c>
    </row>
    <row r="2382" spans="1:8" x14ac:dyDescent="0.25">
      <c r="A2382" s="19" t="s">
        <v>2629</v>
      </c>
      <c r="B2382" s="42" t="s">
        <v>3</v>
      </c>
      <c r="C2382" s="3" t="s">
        <v>239</v>
      </c>
      <c r="D2382" s="3">
        <v>1</v>
      </c>
      <c r="G2382" s="43">
        <v>44061</v>
      </c>
      <c r="H2382" s="42" t="s">
        <v>238</v>
      </c>
    </row>
    <row r="2383" spans="1:8" x14ac:dyDescent="0.25">
      <c r="A2383" s="19" t="s">
        <v>2630</v>
      </c>
      <c r="B2383" s="42" t="s">
        <v>3</v>
      </c>
      <c r="C2383" s="3" t="s">
        <v>239</v>
      </c>
      <c r="D2383" s="3">
        <v>1</v>
      </c>
      <c r="G2383" s="43">
        <v>44061</v>
      </c>
      <c r="H2383" s="42" t="s">
        <v>238</v>
      </c>
    </row>
    <row r="2384" spans="1:8" x14ac:dyDescent="0.25">
      <c r="A2384" s="19" t="s">
        <v>2631</v>
      </c>
      <c r="B2384" s="42" t="s">
        <v>3</v>
      </c>
      <c r="C2384" s="3" t="s">
        <v>239</v>
      </c>
      <c r="D2384" s="3">
        <v>1</v>
      </c>
      <c r="G2384" s="43">
        <v>44061</v>
      </c>
      <c r="H2384" s="42" t="s">
        <v>238</v>
      </c>
    </row>
    <row r="2385" spans="1:8" x14ac:dyDescent="0.25">
      <c r="A2385" s="19" t="s">
        <v>2632</v>
      </c>
      <c r="B2385" s="42" t="s">
        <v>3</v>
      </c>
      <c r="C2385" s="3" t="s">
        <v>240</v>
      </c>
      <c r="D2385" s="3">
        <v>1</v>
      </c>
      <c r="G2385" s="43">
        <v>44061</v>
      </c>
      <c r="H2385" s="42" t="s">
        <v>238</v>
      </c>
    </row>
    <row r="2386" spans="1:8" x14ac:dyDescent="0.25">
      <c r="A2386" s="19" t="s">
        <v>2633</v>
      </c>
      <c r="B2386" s="42" t="s">
        <v>3</v>
      </c>
      <c r="C2386" s="3" t="s">
        <v>239</v>
      </c>
      <c r="D2386" s="3">
        <v>1</v>
      </c>
      <c r="G2386" s="43">
        <v>44061</v>
      </c>
      <c r="H2386" s="42" t="s">
        <v>238</v>
      </c>
    </row>
    <row r="2387" spans="1:8" x14ac:dyDescent="0.25">
      <c r="A2387" s="19" t="s">
        <v>2634</v>
      </c>
      <c r="B2387" s="42" t="s">
        <v>3</v>
      </c>
      <c r="C2387" s="3" t="s">
        <v>240</v>
      </c>
      <c r="D2387" s="3">
        <v>1</v>
      </c>
      <c r="G2387" s="43">
        <v>44061</v>
      </c>
      <c r="H2387" s="42" t="s">
        <v>238</v>
      </c>
    </row>
    <row r="2388" spans="1:8" x14ac:dyDescent="0.25">
      <c r="A2388" s="19" t="s">
        <v>2635</v>
      </c>
      <c r="B2388" s="42" t="s">
        <v>3</v>
      </c>
      <c r="C2388" s="3" t="s">
        <v>239</v>
      </c>
      <c r="D2388" s="3">
        <v>1</v>
      </c>
      <c r="G2388" s="43">
        <v>44061</v>
      </c>
      <c r="H2388" s="42" t="s">
        <v>238</v>
      </c>
    </row>
    <row r="2389" spans="1:8" x14ac:dyDescent="0.25">
      <c r="A2389" s="19" t="s">
        <v>2636</v>
      </c>
      <c r="B2389" s="42" t="s">
        <v>3</v>
      </c>
      <c r="C2389" s="3" t="s">
        <v>239</v>
      </c>
      <c r="D2389" s="3">
        <v>1</v>
      </c>
      <c r="G2389" s="43">
        <v>44061</v>
      </c>
      <c r="H2389" s="42" t="s">
        <v>238</v>
      </c>
    </row>
    <row r="2390" spans="1:8" x14ac:dyDescent="0.25">
      <c r="A2390" s="19" t="s">
        <v>2637</v>
      </c>
      <c r="B2390" s="42" t="s">
        <v>3</v>
      </c>
      <c r="C2390" s="3" t="s">
        <v>239</v>
      </c>
      <c r="D2390" s="3">
        <v>1</v>
      </c>
      <c r="G2390" s="43">
        <v>44061</v>
      </c>
      <c r="H2390" s="42" t="s">
        <v>238</v>
      </c>
    </row>
    <row r="2391" spans="1:8" x14ac:dyDescent="0.25">
      <c r="A2391" s="19" t="s">
        <v>2638</v>
      </c>
      <c r="B2391" s="42" t="s">
        <v>3</v>
      </c>
      <c r="C2391" s="3" t="s">
        <v>239</v>
      </c>
      <c r="D2391" s="3">
        <v>1</v>
      </c>
      <c r="G2391" s="43">
        <v>44061</v>
      </c>
      <c r="H2391" s="42" t="s">
        <v>238</v>
      </c>
    </row>
    <row r="2392" spans="1:8" x14ac:dyDescent="0.25">
      <c r="A2392" s="19" t="s">
        <v>2639</v>
      </c>
      <c r="B2392" s="42" t="s">
        <v>3</v>
      </c>
      <c r="C2392" s="3" t="s">
        <v>239</v>
      </c>
      <c r="D2392" s="3">
        <v>1</v>
      </c>
      <c r="G2392" s="43">
        <v>44061</v>
      </c>
      <c r="H2392" s="42" t="s">
        <v>238</v>
      </c>
    </row>
    <row r="2393" spans="1:8" x14ac:dyDescent="0.25">
      <c r="A2393" s="19" t="s">
        <v>2640</v>
      </c>
      <c r="B2393" s="42" t="s">
        <v>3</v>
      </c>
      <c r="C2393" s="3" t="s">
        <v>239</v>
      </c>
      <c r="D2393" s="3">
        <v>1</v>
      </c>
      <c r="G2393" s="43">
        <v>44061</v>
      </c>
      <c r="H2393" s="42" t="s">
        <v>238</v>
      </c>
    </row>
    <row r="2394" spans="1:8" x14ac:dyDescent="0.25">
      <c r="A2394" s="19" t="s">
        <v>2641</v>
      </c>
      <c r="B2394" s="42" t="s">
        <v>3</v>
      </c>
      <c r="C2394" s="3" t="s">
        <v>240</v>
      </c>
      <c r="D2394" s="3">
        <v>1</v>
      </c>
      <c r="G2394" s="43">
        <v>44061</v>
      </c>
      <c r="H2394" s="42" t="s">
        <v>238</v>
      </c>
    </row>
    <row r="2395" spans="1:8" x14ac:dyDescent="0.25">
      <c r="A2395" s="19" t="s">
        <v>2642</v>
      </c>
      <c r="B2395" s="42" t="s">
        <v>3</v>
      </c>
      <c r="C2395" s="3" t="s">
        <v>240</v>
      </c>
      <c r="D2395" s="3">
        <v>1</v>
      </c>
      <c r="G2395" s="43">
        <v>44061</v>
      </c>
      <c r="H2395" s="42" t="s">
        <v>238</v>
      </c>
    </row>
    <row r="2396" spans="1:8" x14ac:dyDescent="0.25">
      <c r="A2396" s="19" t="s">
        <v>2643</v>
      </c>
      <c r="B2396" s="42" t="s">
        <v>3</v>
      </c>
      <c r="C2396" s="3" t="s">
        <v>239</v>
      </c>
      <c r="D2396" s="3">
        <v>1</v>
      </c>
      <c r="G2396" s="43">
        <v>44061</v>
      </c>
      <c r="H2396" s="42" t="s">
        <v>238</v>
      </c>
    </row>
    <row r="2397" spans="1:8" x14ac:dyDescent="0.25">
      <c r="A2397" s="19" t="s">
        <v>2644</v>
      </c>
      <c r="B2397" s="42" t="s">
        <v>3</v>
      </c>
      <c r="C2397" s="3" t="s">
        <v>239</v>
      </c>
      <c r="D2397" s="3">
        <v>1</v>
      </c>
      <c r="G2397" s="43">
        <v>44061</v>
      </c>
      <c r="H2397" s="42" t="s">
        <v>238</v>
      </c>
    </row>
    <row r="2398" spans="1:8" x14ac:dyDescent="0.25">
      <c r="A2398" s="19" t="s">
        <v>2645</v>
      </c>
      <c r="B2398" s="42" t="s">
        <v>3</v>
      </c>
      <c r="C2398" s="3" t="s">
        <v>239</v>
      </c>
      <c r="D2398" s="3">
        <v>1</v>
      </c>
      <c r="G2398" s="43">
        <v>44061</v>
      </c>
      <c r="H2398" s="42" t="s">
        <v>238</v>
      </c>
    </row>
    <row r="2399" spans="1:8" x14ac:dyDescent="0.25">
      <c r="A2399" s="19" t="s">
        <v>2646</v>
      </c>
      <c r="B2399" s="42" t="s">
        <v>3</v>
      </c>
      <c r="C2399" s="3" t="s">
        <v>239</v>
      </c>
      <c r="D2399" s="3">
        <v>1</v>
      </c>
      <c r="G2399" s="43">
        <v>44061</v>
      </c>
      <c r="H2399" s="42" t="s">
        <v>238</v>
      </c>
    </row>
    <row r="2400" spans="1:8" x14ac:dyDescent="0.25">
      <c r="A2400" s="19" t="s">
        <v>2647</v>
      </c>
      <c r="B2400" s="42" t="s">
        <v>3</v>
      </c>
      <c r="C2400" s="3" t="s">
        <v>239</v>
      </c>
      <c r="D2400" s="3">
        <v>1</v>
      </c>
      <c r="G2400" s="43">
        <v>44061</v>
      </c>
      <c r="H2400" s="42" t="s">
        <v>238</v>
      </c>
    </row>
    <row r="2401" spans="1:8" x14ac:dyDescent="0.25">
      <c r="A2401" s="19" t="s">
        <v>2648</v>
      </c>
      <c r="B2401" s="42" t="s">
        <v>3</v>
      </c>
      <c r="C2401" s="3" t="s">
        <v>240</v>
      </c>
      <c r="D2401" s="3">
        <v>1</v>
      </c>
      <c r="G2401" s="43">
        <v>44061</v>
      </c>
      <c r="H2401" s="42" t="s">
        <v>238</v>
      </c>
    </row>
    <row r="2402" spans="1:8" x14ac:dyDescent="0.25">
      <c r="A2402" s="19" t="s">
        <v>2649</v>
      </c>
      <c r="B2402" s="42" t="s">
        <v>3</v>
      </c>
      <c r="C2402" s="3" t="s">
        <v>240</v>
      </c>
      <c r="D2402" s="3">
        <v>1</v>
      </c>
      <c r="G2402" s="43">
        <v>44061</v>
      </c>
      <c r="H2402" s="42" t="s">
        <v>238</v>
      </c>
    </row>
    <row r="2403" spans="1:8" x14ac:dyDescent="0.25">
      <c r="A2403" s="19" t="s">
        <v>2650</v>
      </c>
      <c r="B2403" s="42" t="s">
        <v>3</v>
      </c>
      <c r="C2403" s="3" t="s">
        <v>239</v>
      </c>
      <c r="D2403" s="3">
        <v>1</v>
      </c>
      <c r="G2403" s="43">
        <v>44061</v>
      </c>
      <c r="H2403" s="42" t="s">
        <v>238</v>
      </c>
    </row>
    <row r="2404" spans="1:8" x14ac:dyDescent="0.25">
      <c r="A2404" s="19" t="s">
        <v>2651</v>
      </c>
      <c r="B2404" s="42" t="s">
        <v>3</v>
      </c>
      <c r="C2404" s="3" t="s">
        <v>240</v>
      </c>
      <c r="D2404" s="3">
        <v>1</v>
      </c>
      <c r="G2404" s="43">
        <v>44061</v>
      </c>
      <c r="H2404" s="42" t="s">
        <v>238</v>
      </c>
    </row>
    <row r="2405" spans="1:8" x14ac:dyDescent="0.25">
      <c r="A2405" s="19" t="s">
        <v>2652</v>
      </c>
      <c r="B2405" s="42" t="s">
        <v>3</v>
      </c>
      <c r="C2405" s="3" t="s">
        <v>239</v>
      </c>
      <c r="D2405" s="3">
        <v>1</v>
      </c>
      <c r="G2405" s="43">
        <v>44061</v>
      </c>
      <c r="H2405" s="42" t="s">
        <v>238</v>
      </c>
    </row>
    <row r="2406" spans="1:8" x14ac:dyDescent="0.25">
      <c r="A2406" s="19" t="s">
        <v>2653</v>
      </c>
      <c r="B2406" s="42" t="s">
        <v>3</v>
      </c>
      <c r="C2406" s="3" t="s">
        <v>240</v>
      </c>
      <c r="D2406" s="3">
        <v>1</v>
      </c>
      <c r="G2406" s="43">
        <v>44061</v>
      </c>
      <c r="H2406" s="42" t="s">
        <v>238</v>
      </c>
    </row>
    <row r="2407" spans="1:8" x14ac:dyDescent="0.25">
      <c r="A2407" s="19" t="s">
        <v>2654</v>
      </c>
      <c r="B2407" s="42" t="s">
        <v>3</v>
      </c>
      <c r="C2407" s="3" t="s">
        <v>239</v>
      </c>
      <c r="D2407" s="3">
        <v>1</v>
      </c>
      <c r="G2407" s="43">
        <v>44061</v>
      </c>
      <c r="H2407" s="42" t="s">
        <v>238</v>
      </c>
    </row>
    <row r="2408" spans="1:8" x14ac:dyDescent="0.25">
      <c r="A2408" s="19" t="s">
        <v>2655</v>
      </c>
      <c r="B2408" s="42" t="s">
        <v>3</v>
      </c>
      <c r="C2408" s="3" t="s">
        <v>239</v>
      </c>
      <c r="D2408" s="3">
        <v>1</v>
      </c>
      <c r="G2408" s="43">
        <v>44061</v>
      </c>
      <c r="H2408" s="42" t="s">
        <v>238</v>
      </c>
    </row>
    <row r="2409" spans="1:8" x14ac:dyDescent="0.25">
      <c r="A2409" s="19" t="s">
        <v>2656</v>
      </c>
      <c r="B2409" s="42" t="s">
        <v>3</v>
      </c>
      <c r="C2409" s="3" t="s">
        <v>239</v>
      </c>
      <c r="D2409" s="3">
        <v>1</v>
      </c>
      <c r="G2409" s="43">
        <v>44061</v>
      </c>
      <c r="H2409" s="42" t="s">
        <v>238</v>
      </c>
    </row>
    <row r="2410" spans="1:8" x14ac:dyDescent="0.25">
      <c r="A2410" s="19" t="s">
        <v>2657</v>
      </c>
      <c r="B2410" s="42" t="s">
        <v>3</v>
      </c>
      <c r="C2410" s="3" t="s">
        <v>239</v>
      </c>
      <c r="D2410" s="3">
        <v>1</v>
      </c>
      <c r="G2410" s="43">
        <v>44061</v>
      </c>
      <c r="H2410" s="42" t="s">
        <v>238</v>
      </c>
    </row>
    <row r="2411" spans="1:8" x14ac:dyDescent="0.25">
      <c r="A2411" s="19" t="s">
        <v>2658</v>
      </c>
      <c r="B2411" s="42" t="s">
        <v>3</v>
      </c>
      <c r="C2411" s="3" t="s">
        <v>239</v>
      </c>
      <c r="D2411" s="3">
        <v>1</v>
      </c>
      <c r="G2411" s="43">
        <v>44061</v>
      </c>
      <c r="H2411" s="42" t="s">
        <v>238</v>
      </c>
    </row>
    <row r="2412" spans="1:8" x14ac:dyDescent="0.25">
      <c r="A2412" s="19" t="s">
        <v>2659</v>
      </c>
      <c r="B2412" s="42" t="s">
        <v>3</v>
      </c>
      <c r="C2412" s="3" t="s">
        <v>239</v>
      </c>
      <c r="D2412" s="3">
        <v>1</v>
      </c>
      <c r="G2412" s="43">
        <v>44061</v>
      </c>
      <c r="H2412" s="42" t="s">
        <v>238</v>
      </c>
    </row>
    <row r="2413" spans="1:8" x14ac:dyDescent="0.25">
      <c r="A2413" s="19" t="s">
        <v>2660</v>
      </c>
      <c r="B2413" s="42" t="s">
        <v>3</v>
      </c>
      <c r="C2413" s="3" t="s">
        <v>241</v>
      </c>
      <c r="D2413" s="3">
        <v>1</v>
      </c>
      <c r="G2413" s="43">
        <v>44061</v>
      </c>
      <c r="H2413" s="42" t="s">
        <v>238</v>
      </c>
    </row>
    <row r="2414" spans="1:8" x14ac:dyDescent="0.25">
      <c r="A2414" s="19" t="s">
        <v>2661</v>
      </c>
      <c r="B2414" s="42" t="s">
        <v>3</v>
      </c>
      <c r="C2414" s="3" t="s">
        <v>240</v>
      </c>
      <c r="D2414" s="3">
        <v>1</v>
      </c>
      <c r="G2414" s="43">
        <v>44061</v>
      </c>
      <c r="H2414" s="42" t="s">
        <v>238</v>
      </c>
    </row>
    <row r="2415" spans="1:8" x14ac:dyDescent="0.25">
      <c r="A2415" s="19" t="s">
        <v>2662</v>
      </c>
      <c r="B2415" s="42" t="s">
        <v>3</v>
      </c>
      <c r="C2415" s="3" t="s">
        <v>240</v>
      </c>
      <c r="D2415" s="3">
        <v>1</v>
      </c>
      <c r="G2415" s="43">
        <v>44061</v>
      </c>
      <c r="H2415" s="42" t="s">
        <v>238</v>
      </c>
    </row>
    <row r="2416" spans="1:8" x14ac:dyDescent="0.25">
      <c r="A2416" s="19" t="s">
        <v>2663</v>
      </c>
      <c r="B2416" s="42" t="s">
        <v>3</v>
      </c>
      <c r="C2416" s="3" t="s">
        <v>239</v>
      </c>
      <c r="D2416" s="3">
        <v>1</v>
      </c>
      <c r="G2416" s="43">
        <v>44061</v>
      </c>
      <c r="H2416" s="42" t="s">
        <v>238</v>
      </c>
    </row>
    <row r="2417" spans="1:8" x14ac:dyDescent="0.25">
      <c r="A2417" s="19" t="s">
        <v>2664</v>
      </c>
      <c r="B2417" s="42" t="s">
        <v>3</v>
      </c>
      <c r="C2417" s="3" t="s">
        <v>242</v>
      </c>
      <c r="D2417" s="3">
        <v>1</v>
      </c>
      <c r="G2417" s="43">
        <v>44061</v>
      </c>
      <c r="H2417" s="42" t="s">
        <v>238</v>
      </c>
    </row>
    <row r="2418" spans="1:8" x14ac:dyDescent="0.25">
      <c r="A2418" s="19" t="s">
        <v>2665</v>
      </c>
      <c r="B2418" s="42" t="s">
        <v>3</v>
      </c>
      <c r="C2418" s="3" t="s">
        <v>243</v>
      </c>
      <c r="D2418" s="3">
        <v>1</v>
      </c>
      <c r="G2418" s="43">
        <v>44061</v>
      </c>
      <c r="H2418" s="42" t="s">
        <v>238</v>
      </c>
    </row>
    <row r="2419" spans="1:8" x14ac:dyDescent="0.25">
      <c r="A2419" s="19" t="s">
        <v>2666</v>
      </c>
      <c r="B2419" s="42" t="s">
        <v>3</v>
      </c>
      <c r="C2419" s="3" t="s">
        <v>239</v>
      </c>
      <c r="D2419" s="3">
        <v>1</v>
      </c>
      <c r="G2419" s="43">
        <v>44061</v>
      </c>
      <c r="H2419" s="42" t="s">
        <v>238</v>
      </c>
    </row>
    <row r="2420" spans="1:8" x14ac:dyDescent="0.25">
      <c r="A2420" s="19" t="s">
        <v>2667</v>
      </c>
      <c r="B2420" s="42" t="s">
        <v>3</v>
      </c>
      <c r="C2420" s="3" t="s">
        <v>239</v>
      </c>
      <c r="D2420" s="3">
        <v>1</v>
      </c>
      <c r="G2420" s="43">
        <v>44061</v>
      </c>
      <c r="H2420" s="42" t="s">
        <v>238</v>
      </c>
    </row>
    <row r="2421" spans="1:8" x14ac:dyDescent="0.25">
      <c r="A2421" s="19" t="s">
        <v>2668</v>
      </c>
      <c r="B2421" s="42" t="s">
        <v>3</v>
      </c>
      <c r="C2421" s="3" t="s">
        <v>240</v>
      </c>
      <c r="D2421" s="3">
        <v>1</v>
      </c>
      <c r="G2421" s="43">
        <v>44061</v>
      </c>
      <c r="H2421" s="42" t="s">
        <v>238</v>
      </c>
    </row>
    <row r="2422" spans="1:8" x14ac:dyDescent="0.25">
      <c r="A2422" s="19" t="s">
        <v>2669</v>
      </c>
      <c r="B2422" s="42" t="s">
        <v>3</v>
      </c>
      <c r="C2422" s="3" t="s">
        <v>239</v>
      </c>
      <c r="D2422" s="3">
        <v>1</v>
      </c>
      <c r="G2422" s="43">
        <v>44061</v>
      </c>
      <c r="H2422" s="42" t="s">
        <v>238</v>
      </c>
    </row>
    <row r="2423" spans="1:8" x14ac:dyDescent="0.25">
      <c r="A2423" s="19" t="s">
        <v>2670</v>
      </c>
      <c r="B2423" s="42" t="s">
        <v>3</v>
      </c>
      <c r="C2423" s="3" t="s">
        <v>239</v>
      </c>
      <c r="D2423" s="3">
        <v>1</v>
      </c>
      <c r="G2423" s="43">
        <v>44061</v>
      </c>
      <c r="H2423" s="42" t="s">
        <v>238</v>
      </c>
    </row>
    <row r="2424" spans="1:8" x14ac:dyDescent="0.25">
      <c r="A2424" s="19" t="s">
        <v>2671</v>
      </c>
      <c r="B2424" s="42" t="s">
        <v>3</v>
      </c>
      <c r="C2424" s="3" t="s">
        <v>241</v>
      </c>
      <c r="D2424" s="3">
        <v>1</v>
      </c>
      <c r="G2424" s="43">
        <v>44061</v>
      </c>
      <c r="H2424" s="42" t="s">
        <v>238</v>
      </c>
    </row>
    <row r="2425" spans="1:8" x14ac:dyDescent="0.25">
      <c r="A2425" s="19" t="s">
        <v>2672</v>
      </c>
      <c r="B2425" s="42" t="s">
        <v>3</v>
      </c>
      <c r="C2425" s="3" t="s">
        <v>240</v>
      </c>
      <c r="D2425" s="3">
        <v>1</v>
      </c>
      <c r="G2425" s="43">
        <v>44061</v>
      </c>
      <c r="H2425" s="42" t="s">
        <v>238</v>
      </c>
    </row>
    <row r="2426" spans="1:8" x14ac:dyDescent="0.25">
      <c r="A2426" s="19" t="s">
        <v>2673</v>
      </c>
      <c r="B2426" s="42" t="s">
        <v>3</v>
      </c>
      <c r="C2426" s="3" t="s">
        <v>243</v>
      </c>
      <c r="D2426" s="3">
        <v>1</v>
      </c>
      <c r="G2426" s="43">
        <v>44061</v>
      </c>
      <c r="H2426" s="42" t="s">
        <v>238</v>
      </c>
    </row>
    <row r="2427" spans="1:8" x14ac:dyDescent="0.25">
      <c r="A2427" s="19" t="s">
        <v>2674</v>
      </c>
      <c r="B2427" s="42" t="s">
        <v>3</v>
      </c>
      <c r="C2427" s="3" t="s">
        <v>239</v>
      </c>
      <c r="D2427" s="3">
        <v>1</v>
      </c>
      <c r="G2427" s="43">
        <v>44061</v>
      </c>
      <c r="H2427" s="42" t="s">
        <v>238</v>
      </c>
    </row>
    <row r="2428" spans="1:8" x14ac:dyDescent="0.25">
      <c r="A2428" s="19" t="s">
        <v>2675</v>
      </c>
      <c r="B2428" s="42" t="s">
        <v>3</v>
      </c>
      <c r="C2428" s="3" t="s">
        <v>239</v>
      </c>
      <c r="D2428" s="3">
        <v>1</v>
      </c>
      <c r="G2428" s="43">
        <v>44061</v>
      </c>
      <c r="H2428" s="42" t="s">
        <v>238</v>
      </c>
    </row>
    <row r="2429" spans="1:8" x14ac:dyDescent="0.25">
      <c r="A2429" s="19" t="s">
        <v>2676</v>
      </c>
      <c r="B2429" s="42" t="s">
        <v>3</v>
      </c>
      <c r="C2429" s="3" t="s">
        <v>242</v>
      </c>
      <c r="D2429" s="3">
        <v>1</v>
      </c>
      <c r="G2429" s="43">
        <v>44061</v>
      </c>
      <c r="H2429" s="42" t="s">
        <v>238</v>
      </c>
    </row>
    <row r="2430" spans="1:8" x14ac:dyDescent="0.25">
      <c r="A2430" s="19" t="s">
        <v>2677</v>
      </c>
      <c r="B2430" s="42" t="s">
        <v>3</v>
      </c>
      <c r="C2430" s="3" t="s">
        <v>239</v>
      </c>
      <c r="D2430" s="3">
        <v>1</v>
      </c>
      <c r="G2430" s="43">
        <v>44061</v>
      </c>
      <c r="H2430" s="42" t="s">
        <v>238</v>
      </c>
    </row>
    <row r="2431" spans="1:8" x14ac:dyDescent="0.25">
      <c r="A2431" s="19" t="s">
        <v>2678</v>
      </c>
      <c r="B2431" s="42" t="s">
        <v>3</v>
      </c>
      <c r="C2431" s="3" t="s">
        <v>240</v>
      </c>
      <c r="D2431" s="3">
        <v>1</v>
      </c>
      <c r="G2431" s="43">
        <v>44061</v>
      </c>
      <c r="H2431" s="42" t="s">
        <v>238</v>
      </c>
    </row>
    <row r="2432" spans="1:8" x14ac:dyDescent="0.25">
      <c r="A2432" s="19" t="s">
        <v>2679</v>
      </c>
      <c r="B2432" s="42" t="s">
        <v>3</v>
      </c>
      <c r="C2432" s="3" t="s">
        <v>239</v>
      </c>
      <c r="D2432" s="3">
        <v>1</v>
      </c>
      <c r="G2432" s="43">
        <v>44061</v>
      </c>
      <c r="H2432" s="42" t="s">
        <v>238</v>
      </c>
    </row>
    <row r="2433" spans="1:8" x14ac:dyDescent="0.25">
      <c r="A2433" s="19" t="s">
        <v>2680</v>
      </c>
      <c r="B2433" s="42" t="s">
        <v>3</v>
      </c>
      <c r="C2433" s="3" t="s">
        <v>239</v>
      </c>
      <c r="D2433" s="3">
        <v>1</v>
      </c>
      <c r="G2433" s="43">
        <v>44061</v>
      </c>
      <c r="H2433" s="42" t="s">
        <v>238</v>
      </c>
    </row>
    <row r="2434" spans="1:8" x14ac:dyDescent="0.25">
      <c r="A2434" s="19" t="s">
        <v>2681</v>
      </c>
      <c r="B2434" s="42" t="s">
        <v>3</v>
      </c>
      <c r="C2434" s="3" t="s">
        <v>239</v>
      </c>
      <c r="D2434" s="3">
        <v>1</v>
      </c>
      <c r="G2434" s="43">
        <v>44061</v>
      </c>
      <c r="H2434" s="42" t="s">
        <v>238</v>
      </c>
    </row>
    <row r="2435" spans="1:8" x14ac:dyDescent="0.25">
      <c r="A2435" s="19" t="s">
        <v>2682</v>
      </c>
      <c r="B2435" s="42" t="s">
        <v>3</v>
      </c>
      <c r="C2435" s="3" t="s">
        <v>240</v>
      </c>
      <c r="D2435" s="3">
        <v>1</v>
      </c>
      <c r="G2435" s="43">
        <v>44061</v>
      </c>
      <c r="H2435" s="42" t="s">
        <v>238</v>
      </c>
    </row>
    <row r="2436" spans="1:8" x14ac:dyDescent="0.25">
      <c r="A2436" s="19" t="s">
        <v>2683</v>
      </c>
      <c r="B2436" s="42" t="s">
        <v>3</v>
      </c>
      <c r="C2436" s="3" t="s">
        <v>239</v>
      </c>
      <c r="D2436" s="3">
        <v>1</v>
      </c>
      <c r="G2436" s="43">
        <v>44061</v>
      </c>
      <c r="H2436" s="42" t="s">
        <v>238</v>
      </c>
    </row>
    <row r="2437" spans="1:8" x14ac:dyDescent="0.25">
      <c r="A2437" s="19" t="s">
        <v>2684</v>
      </c>
      <c r="B2437" s="42" t="s">
        <v>3</v>
      </c>
      <c r="C2437" s="3" t="s">
        <v>240</v>
      </c>
      <c r="D2437" s="3">
        <v>1</v>
      </c>
      <c r="G2437" s="43">
        <v>44061</v>
      </c>
      <c r="H2437" s="42" t="s">
        <v>238</v>
      </c>
    </row>
    <row r="2438" spans="1:8" x14ac:dyDescent="0.25">
      <c r="A2438" s="19" t="s">
        <v>2685</v>
      </c>
      <c r="B2438" s="42" t="s">
        <v>3</v>
      </c>
      <c r="C2438" s="3" t="s">
        <v>244</v>
      </c>
      <c r="D2438" s="3">
        <v>1</v>
      </c>
      <c r="G2438" s="43">
        <v>44061</v>
      </c>
      <c r="H2438" s="42" t="s">
        <v>238</v>
      </c>
    </row>
    <row r="2439" spans="1:8" x14ac:dyDescent="0.25">
      <c r="A2439" s="19" t="s">
        <v>2686</v>
      </c>
      <c r="B2439" s="42" t="s">
        <v>3</v>
      </c>
      <c r="C2439" s="3" t="s">
        <v>239</v>
      </c>
      <c r="D2439" s="3">
        <v>1</v>
      </c>
      <c r="G2439" s="43">
        <v>44061</v>
      </c>
      <c r="H2439" s="42" t="s">
        <v>238</v>
      </c>
    </row>
    <row r="2440" spans="1:8" x14ac:dyDescent="0.25">
      <c r="A2440" s="19" t="s">
        <v>2687</v>
      </c>
      <c r="B2440" s="42" t="s">
        <v>3</v>
      </c>
      <c r="C2440" s="3" t="s">
        <v>239</v>
      </c>
      <c r="D2440" s="3">
        <v>1</v>
      </c>
      <c r="G2440" s="43">
        <v>44061</v>
      </c>
      <c r="H2440" s="42" t="s">
        <v>238</v>
      </c>
    </row>
    <row r="2441" spans="1:8" x14ac:dyDescent="0.25">
      <c r="A2441" s="19" t="s">
        <v>2688</v>
      </c>
      <c r="B2441" s="42" t="s">
        <v>3</v>
      </c>
      <c r="C2441" s="3" t="s">
        <v>239</v>
      </c>
      <c r="D2441" s="3">
        <v>1</v>
      </c>
      <c r="G2441" s="43">
        <v>44061</v>
      </c>
      <c r="H2441" s="42" t="s">
        <v>238</v>
      </c>
    </row>
    <row r="2442" spans="1:8" x14ac:dyDescent="0.25">
      <c r="A2442" s="19" t="s">
        <v>2689</v>
      </c>
      <c r="B2442" s="42" t="s">
        <v>3</v>
      </c>
      <c r="C2442" s="3" t="s">
        <v>244</v>
      </c>
      <c r="D2442" s="3">
        <v>1</v>
      </c>
      <c r="G2442" s="43">
        <v>44061</v>
      </c>
      <c r="H2442" s="42" t="s">
        <v>238</v>
      </c>
    </row>
    <row r="2443" spans="1:8" x14ac:dyDescent="0.25">
      <c r="A2443" s="19" t="s">
        <v>2690</v>
      </c>
      <c r="B2443" s="42" t="s">
        <v>3</v>
      </c>
      <c r="C2443" s="3" t="s">
        <v>240</v>
      </c>
      <c r="D2443" s="3">
        <v>1</v>
      </c>
      <c r="G2443" s="43">
        <v>44061</v>
      </c>
      <c r="H2443" s="42" t="s">
        <v>238</v>
      </c>
    </row>
    <row r="2444" spans="1:8" x14ac:dyDescent="0.25">
      <c r="A2444" s="19" t="s">
        <v>2691</v>
      </c>
      <c r="B2444" s="42" t="s">
        <v>3</v>
      </c>
      <c r="C2444" s="3" t="s">
        <v>239</v>
      </c>
      <c r="D2444" s="3">
        <v>1</v>
      </c>
      <c r="G2444" s="43">
        <v>44061</v>
      </c>
      <c r="H2444" s="42" t="s">
        <v>238</v>
      </c>
    </row>
    <row r="2445" spans="1:8" x14ac:dyDescent="0.25">
      <c r="A2445" s="19" t="s">
        <v>2692</v>
      </c>
      <c r="B2445" s="42" t="s">
        <v>3</v>
      </c>
      <c r="C2445" s="3" t="s">
        <v>239</v>
      </c>
      <c r="D2445" s="3">
        <v>1</v>
      </c>
      <c r="G2445" s="43">
        <v>44061</v>
      </c>
      <c r="H2445" s="42" t="s">
        <v>238</v>
      </c>
    </row>
    <row r="2446" spans="1:8" x14ac:dyDescent="0.25">
      <c r="A2446" s="19" t="s">
        <v>2693</v>
      </c>
      <c r="B2446" s="42" t="s">
        <v>3</v>
      </c>
      <c r="C2446" s="3" t="s">
        <v>239</v>
      </c>
      <c r="D2446" s="3">
        <v>1</v>
      </c>
      <c r="G2446" s="43">
        <v>44061</v>
      </c>
      <c r="H2446" s="42" t="s">
        <v>238</v>
      </c>
    </row>
    <row r="2447" spans="1:8" x14ac:dyDescent="0.25">
      <c r="A2447" s="19" t="s">
        <v>2694</v>
      </c>
      <c r="B2447" s="42" t="s">
        <v>3</v>
      </c>
      <c r="C2447" s="3" t="s">
        <v>240</v>
      </c>
      <c r="D2447" s="3">
        <v>1</v>
      </c>
      <c r="G2447" s="43">
        <v>44061</v>
      </c>
      <c r="H2447" s="42" t="s">
        <v>238</v>
      </c>
    </row>
    <row r="2448" spans="1:8" x14ac:dyDescent="0.25">
      <c r="A2448" s="19" t="s">
        <v>2695</v>
      </c>
      <c r="B2448" s="42" t="s">
        <v>3</v>
      </c>
      <c r="C2448" s="3" t="s">
        <v>240</v>
      </c>
      <c r="D2448" s="3">
        <v>1</v>
      </c>
      <c r="G2448" s="43">
        <v>44061</v>
      </c>
      <c r="H2448" s="42" t="s">
        <v>238</v>
      </c>
    </row>
    <row r="2449" spans="1:8" x14ac:dyDescent="0.25">
      <c r="A2449" s="19" t="s">
        <v>2696</v>
      </c>
      <c r="B2449" s="42" t="s">
        <v>3</v>
      </c>
      <c r="C2449" s="3" t="s">
        <v>239</v>
      </c>
      <c r="D2449" s="3">
        <v>1</v>
      </c>
      <c r="G2449" s="43">
        <v>44061</v>
      </c>
      <c r="H2449" s="42" t="s">
        <v>238</v>
      </c>
    </row>
    <row r="2450" spans="1:8" x14ac:dyDescent="0.25">
      <c r="A2450" s="19" t="s">
        <v>2697</v>
      </c>
      <c r="B2450" s="42" t="s">
        <v>3</v>
      </c>
      <c r="C2450" s="3" t="s">
        <v>245</v>
      </c>
      <c r="D2450" s="3">
        <v>1</v>
      </c>
      <c r="G2450" s="43">
        <v>44061</v>
      </c>
      <c r="H2450" s="42" t="s">
        <v>238</v>
      </c>
    </row>
    <row r="2451" spans="1:8" x14ac:dyDescent="0.25">
      <c r="A2451" s="19" t="s">
        <v>2698</v>
      </c>
      <c r="B2451" s="42" t="s">
        <v>3</v>
      </c>
      <c r="C2451" s="3" t="s">
        <v>244</v>
      </c>
      <c r="D2451" s="3">
        <v>1</v>
      </c>
      <c r="G2451" s="43">
        <v>44061</v>
      </c>
      <c r="H2451" s="42" t="s">
        <v>238</v>
      </c>
    </row>
    <row r="2452" spans="1:8" x14ac:dyDescent="0.25">
      <c r="A2452" s="19" t="s">
        <v>2699</v>
      </c>
      <c r="B2452" s="42" t="s">
        <v>3</v>
      </c>
      <c r="C2452" s="3" t="s">
        <v>239</v>
      </c>
      <c r="D2452" s="3">
        <v>1</v>
      </c>
      <c r="G2452" s="43">
        <v>44061</v>
      </c>
      <c r="H2452" s="42" t="s">
        <v>238</v>
      </c>
    </row>
    <row r="2453" spans="1:8" x14ac:dyDescent="0.25">
      <c r="A2453" s="19" t="s">
        <v>2700</v>
      </c>
      <c r="B2453" s="42" t="s">
        <v>3</v>
      </c>
      <c r="C2453" s="3" t="s">
        <v>239</v>
      </c>
      <c r="D2453" s="3">
        <v>1</v>
      </c>
      <c r="G2453" s="43">
        <v>44061</v>
      </c>
      <c r="H2453" s="42" t="s">
        <v>238</v>
      </c>
    </row>
    <row r="2454" spans="1:8" x14ac:dyDescent="0.25">
      <c r="A2454" s="19" t="s">
        <v>2701</v>
      </c>
      <c r="B2454" s="42" t="s">
        <v>3</v>
      </c>
      <c r="C2454" s="3" t="s">
        <v>239</v>
      </c>
      <c r="D2454" s="3">
        <v>1</v>
      </c>
      <c r="G2454" s="43">
        <v>44061</v>
      </c>
      <c r="H2454" s="42" t="s">
        <v>238</v>
      </c>
    </row>
    <row r="2455" spans="1:8" x14ac:dyDescent="0.25">
      <c r="A2455" s="19" t="s">
        <v>2702</v>
      </c>
      <c r="B2455" s="42" t="s">
        <v>3</v>
      </c>
      <c r="C2455" s="3" t="s">
        <v>239</v>
      </c>
      <c r="D2455" s="3">
        <v>1</v>
      </c>
      <c r="G2455" s="43">
        <v>44061</v>
      </c>
      <c r="H2455" s="42" t="s">
        <v>238</v>
      </c>
    </row>
    <row r="2456" spans="1:8" x14ac:dyDescent="0.25">
      <c r="A2456" s="19" t="s">
        <v>2703</v>
      </c>
      <c r="B2456" s="42" t="s">
        <v>3</v>
      </c>
      <c r="C2456" s="3" t="s">
        <v>239</v>
      </c>
      <c r="D2456" s="3">
        <v>1</v>
      </c>
      <c r="G2456" s="43">
        <v>44061</v>
      </c>
      <c r="H2456" s="42" t="s">
        <v>238</v>
      </c>
    </row>
    <row r="2457" spans="1:8" x14ac:dyDescent="0.25">
      <c r="A2457" s="19" t="s">
        <v>2704</v>
      </c>
      <c r="B2457" s="42" t="s">
        <v>3</v>
      </c>
      <c r="C2457" s="3" t="s">
        <v>239</v>
      </c>
      <c r="D2457" s="3">
        <v>1</v>
      </c>
      <c r="G2457" s="43">
        <v>44061</v>
      </c>
      <c r="H2457" s="42" t="s">
        <v>238</v>
      </c>
    </row>
    <row r="2458" spans="1:8" x14ac:dyDescent="0.25">
      <c r="A2458" s="19" t="s">
        <v>2705</v>
      </c>
      <c r="B2458" s="42" t="s">
        <v>3</v>
      </c>
      <c r="C2458" s="3" t="s">
        <v>239</v>
      </c>
      <c r="D2458" s="3">
        <v>1</v>
      </c>
      <c r="G2458" s="43">
        <v>44061</v>
      </c>
      <c r="H2458" s="42" t="s">
        <v>238</v>
      </c>
    </row>
    <row r="2459" spans="1:8" x14ac:dyDescent="0.25">
      <c r="A2459" s="19" t="s">
        <v>2706</v>
      </c>
      <c r="B2459" s="42" t="s">
        <v>3</v>
      </c>
      <c r="C2459" s="3" t="s">
        <v>240</v>
      </c>
      <c r="D2459" s="3">
        <v>1</v>
      </c>
      <c r="G2459" s="43">
        <v>44061</v>
      </c>
      <c r="H2459" s="42" t="s">
        <v>238</v>
      </c>
    </row>
    <row r="2460" spans="1:8" x14ac:dyDescent="0.25">
      <c r="A2460" s="19" t="s">
        <v>2707</v>
      </c>
      <c r="B2460" s="42" t="s">
        <v>3</v>
      </c>
      <c r="C2460" s="3" t="s">
        <v>239</v>
      </c>
      <c r="D2460" s="3">
        <v>1</v>
      </c>
      <c r="G2460" s="43">
        <v>44061</v>
      </c>
      <c r="H2460" s="42" t="s">
        <v>238</v>
      </c>
    </row>
    <row r="2461" spans="1:8" x14ac:dyDescent="0.25">
      <c r="A2461" s="19" t="s">
        <v>2708</v>
      </c>
      <c r="B2461" s="42" t="s">
        <v>3</v>
      </c>
      <c r="C2461" s="3" t="s">
        <v>239</v>
      </c>
      <c r="D2461" s="3">
        <v>1</v>
      </c>
      <c r="G2461" s="43">
        <v>44061</v>
      </c>
      <c r="H2461" s="42" t="s">
        <v>238</v>
      </c>
    </row>
    <row r="2462" spans="1:8" x14ac:dyDescent="0.25">
      <c r="A2462" s="19" t="s">
        <v>2709</v>
      </c>
      <c r="B2462" s="42" t="s">
        <v>3</v>
      </c>
      <c r="C2462" s="3" t="s">
        <v>239</v>
      </c>
      <c r="D2462" s="3">
        <v>1</v>
      </c>
      <c r="G2462" s="43">
        <v>44061</v>
      </c>
      <c r="H2462" s="42" t="s">
        <v>238</v>
      </c>
    </row>
    <row r="2463" spans="1:8" x14ac:dyDescent="0.25">
      <c r="A2463" s="19" t="s">
        <v>2710</v>
      </c>
      <c r="B2463" s="42" t="s">
        <v>3</v>
      </c>
      <c r="C2463" s="3" t="s">
        <v>241</v>
      </c>
      <c r="D2463" s="3">
        <v>1</v>
      </c>
      <c r="G2463" s="43">
        <v>44061</v>
      </c>
      <c r="H2463" s="42" t="s">
        <v>238</v>
      </c>
    </row>
    <row r="2464" spans="1:8" x14ac:dyDescent="0.25">
      <c r="A2464" s="19" t="s">
        <v>2711</v>
      </c>
      <c r="B2464" s="42" t="s">
        <v>3</v>
      </c>
      <c r="C2464" s="3" t="s">
        <v>239</v>
      </c>
      <c r="D2464" s="3">
        <v>1</v>
      </c>
      <c r="G2464" s="43">
        <v>44061</v>
      </c>
      <c r="H2464" s="42" t="s">
        <v>238</v>
      </c>
    </row>
    <row r="2465" spans="1:8" x14ac:dyDescent="0.25">
      <c r="A2465" s="19" t="s">
        <v>2712</v>
      </c>
      <c r="B2465" s="42" t="s">
        <v>3</v>
      </c>
      <c r="C2465" s="3" t="s">
        <v>239</v>
      </c>
      <c r="D2465" s="3">
        <v>1</v>
      </c>
      <c r="G2465" s="43">
        <v>44061</v>
      </c>
      <c r="H2465" s="42" t="s">
        <v>238</v>
      </c>
    </row>
    <row r="2466" spans="1:8" x14ac:dyDescent="0.25">
      <c r="A2466" s="19" t="s">
        <v>2713</v>
      </c>
      <c r="B2466" s="42" t="s">
        <v>3</v>
      </c>
      <c r="C2466" s="3" t="s">
        <v>239</v>
      </c>
      <c r="D2466" s="3">
        <v>1</v>
      </c>
      <c r="G2466" s="43">
        <v>44061</v>
      </c>
      <c r="H2466" s="42" t="s">
        <v>238</v>
      </c>
    </row>
    <row r="2467" spans="1:8" x14ac:dyDescent="0.25">
      <c r="A2467" s="19" t="s">
        <v>2714</v>
      </c>
      <c r="B2467" s="42" t="s">
        <v>3</v>
      </c>
      <c r="C2467" s="3" t="s">
        <v>244</v>
      </c>
      <c r="D2467" s="3">
        <v>1</v>
      </c>
      <c r="G2467" s="43">
        <v>44061</v>
      </c>
      <c r="H2467" s="42" t="s">
        <v>238</v>
      </c>
    </row>
    <row r="2468" spans="1:8" x14ac:dyDescent="0.25">
      <c r="A2468" s="19" t="s">
        <v>2715</v>
      </c>
      <c r="B2468" s="42" t="s">
        <v>3</v>
      </c>
      <c r="C2468" s="3" t="s">
        <v>239</v>
      </c>
      <c r="D2468" s="3">
        <v>1</v>
      </c>
      <c r="G2468" s="43">
        <v>44061</v>
      </c>
      <c r="H2468" s="42" t="s">
        <v>238</v>
      </c>
    </row>
    <row r="2469" spans="1:8" x14ac:dyDescent="0.25">
      <c r="A2469" s="19" t="s">
        <v>2716</v>
      </c>
      <c r="B2469" s="42" t="s">
        <v>3</v>
      </c>
      <c r="C2469" s="3" t="s">
        <v>239</v>
      </c>
      <c r="D2469" s="3">
        <v>1</v>
      </c>
      <c r="G2469" s="43">
        <v>44061</v>
      </c>
      <c r="H2469" s="42" t="s">
        <v>238</v>
      </c>
    </row>
    <row r="2470" spans="1:8" x14ac:dyDescent="0.25">
      <c r="A2470" s="19" t="s">
        <v>2717</v>
      </c>
      <c r="B2470" s="42" t="s">
        <v>3</v>
      </c>
      <c r="C2470" s="3" t="s">
        <v>240</v>
      </c>
      <c r="D2470" s="3">
        <v>1</v>
      </c>
      <c r="G2470" s="43">
        <v>44061</v>
      </c>
      <c r="H2470" s="42" t="s">
        <v>238</v>
      </c>
    </row>
    <row r="2471" spans="1:8" x14ac:dyDescent="0.25">
      <c r="A2471" s="19" t="s">
        <v>2718</v>
      </c>
      <c r="B2471" s="42" t="s">
        <v>3</v>
      </c>
      <c r="C2471" s="3" t="s">
        <v>244</v>
      </c>
      <c r="D2471" s="3">
        <v>1</v>
      </c>
      <c r="G2471" s="43">
        <v>44061</v>
      </c>
      <c r="H2471" s="42" t="s">
        <v>238</v>
      </c>
    </row>
    <row r="2472" spans="1:8" x14ac:dyDescent="0.25">
      <c r="A2472" s="19" t="s">
        <v>2719</v>
      </c>
      <c r="B2472" s="42" t="s">
        <v>3</v>
      </c>
      <c r="C2472" s="3" t="s">
        <v>241</v>
      </c>
      <c r="D2472" s="3">
        <v>1</v>
      </c>
      <c r="G2472" s="43">
        <v>44061</v>
      </c>
      <c r="H2472" s="42" t="s">
        <v>238</v>
      </c>
    </row>
    <row r="2473" spans="1:8" x14ac:dyDescent="0.25">
      <c r="A2473" s="19" t="s">
        <v>2720</v>
      </c>
      <c r="B2473" s="42" t="s">
        <v>3</v>
      </c>
      <c r="C2473" s="3" t="s">
        <v>240</v>
      </c>
      <c r="D2473" s="3">
        <v>1</v>
      </c>
      <c r="G2473" s="43">
        <v>44061</v>
      </c>
      <c r="H2473" s="42" t="s">
        <v>238</v>
      </c>
    </row>
    <row r="2474" spans="1:8" x14ac:dyDescent="0.25">
      <c r="A2474" s="19" t="s">
        <v>2721</v>
      </c>
      <c r="B2474" s="42" t="s">
        <v>3</v>
      </c>
      <c r="C2474" s="3" t="s">
        <v>239</v>
      </c>
      <c r="D2474" s="3">
        <v>1</v>
      </c>
      <c r="G2474" s="43">
        <v>44061</v>
      </c>
      <c r="H2474" s="42" t="s">
        <v>238</v>
      </c>
    </row>
    <row r="2475" spans="1:8" x14ac:dyDescent="0.25">
      <c r="A2475" s="19" t="s">
        <v>2722</v>
      </c>
      <c r="B2475" s="42" t="s">
        <v>3</v>
      </c>
      <c r="C2475" s="3" t="s">
        <v>240</v>
      </c>
      <c r="D2475" s="3">
        <v>1</v>
      </c>
      <c r="G2475" s="43">
        <v>44061</v>
      </c>
      <c r="H2475" s="42" t="s">
        <v>238</v>
      </c>
    </row>
    <row r="2476" spans="1:8" x14ac:dyDescent="0.25">
      <c r="A2476" s="19" t="s">
        <v>2723</v>
      </c>
      <c r="B2476" s="42" t="s">
        <v>3</v>
      </c>
      <c r="C2476" s="3" t="s">
        <v>239</v>
      </c>
      <c r="D2476" s="3">
        <v>1</v>
      </c>
      <c r="G2476" s="43">
        <v>44061</v>
      </c>
      <c r="H2476" s="42" t="s">
        <v>238</v>
      </c>
    </row>
    <row r="2477" spans="1:8" x14ac:dyDescent="0.25">
      <c r="A2477" s="19" t="s">
        <v>2724</v>
      </c>
      <c r="B2477" s="42" t="s">
        <v>3</v>
      </c>
      <c r="C2477" s="3" t="s">
        <v>241</v>
      </c>
      <c r="D2477" s="3">
        <v>1</v>
      </c>
      <c r="G2477" s="43">
        <v>44061</v>
      </c>
      <c r="H2477" s="42" t="s">
        <v>238</v>
      </c>
    </row>
    <row r="2478" spans="1:8" x14ac:dyDescent="0.25">
      <c r="A2478" s="19" t="s">
        <v>2725</v>
      </c>
      <c r="B2478" s="42" t="s">
        <v>3</v>
      </c>
      <c r="C2478" s="3" t="s">
        <v>240</v>
      </c>
      <c r="D2478" s="3">
        <v>1</v>
      </c>
      <c r="G2478" s="43">
        <v>44061</v>
      </c>
      <c r="H2478" s="42" t="s">
        <v>238</v>
      </c>
    </row>
    <row r="2479" spans="1:8" x14ac:dyDescent="0.25">
      <c r="A2479" s="19" t="s">
        <v>2726</v>
      </c>
      <c r="B2479" s="42" t="s">
        <v>3</v>
      </c>
      <c r="C2479" s="3" t="s">
        <v>242</v>
      </c>
      <c r="D2479" s="3">
        <v>1</v>
      </c>
      <c r="G2479" s="43">
        <v>44061</v>
      </c>
      <c r="H2479" s="42" t="s">
        <v>238</v>
      </c>
    </row>
    <row r="2480" spans="1:8" x14ac:dyDescent="0.25">
      <c r="A2480" s="19" t="s">
        <v>2727</v>
      </c>
      <c r="B2480" s="42" t="s">
        <v>3</v>
      </c>
      <c r="C2480" s="3" t="s">
        <v>242</v>
      </c>
      <c r="D2480" s="3">
        <v>1</v>
      </c>
      <c r="G2480" s="43">
        <v>44061</v>
      </c>
      <c r="H2480" s="42" t="s">
        <v>238</v>
      </c>
    </row>
    <row r="2481" spans="1:8" x14ac:dyDescent="0.25">
      <c r="A2481" s="19" t="s">
        <v>2728</v>
      </c>
      <c r="B2481" s="42" t="s">
        <v>3</v>
      </c>
      <c r="C2481" s="3" t="s">
        <v>240</v>
      </c>
      <c r="D2481" s="3">
        <v>1</v>
      </c>
      <c r="G2481" s="43">
        <v>44061</v>
      </c>
      <c r="H2481" s="42" t="s">
        <v>238</v>
      </c>
    </row>
    <row r="2482" spans="1:8" x14ac:dyDescent="0.25">
      <c r="A2482" s="19" t="s">
        <v>2729</v>
      </c>
      <c r="B2482" s="42" t="s">
        <v>3</v>
      </c>
      <c r="C2482" s="3" t="s">
        <v>240</v>
      </c>
      <c r="D2482" s="3">
        <v>1</v>
      </c>
      <c r="G2482" s="43">
        <v>44061</v>
      </c>
      <c r="H2482" s="42" t="s">
        <v>238</v>
      </c>
    </row>
    <row r="2483" spans="1:8" x14ac:dyDescent="0.25">
      <c r="A2483" s="19" t="s">
        <v>2730</v>
      </c>
      <c r="B2483" s="42" t="s">
        <v>3</v>
      </c>
      <c r="C2483" s="3" t="s">
        <v>239</v>
      </c>
      <c r="D2483" s="3">
        <v>1</v>
      </c>
      <c r="G2483" s="43">
        <v>44061</v>
      </c>
      <c r="H2483" s="42" t="s">
        <v>238</v>
      </c>
    </row>
    <row r="2484" spans="1:8" x14ac:dyDescent="0.25">
      <c r="A2484" s="19" t="s">
        <v>2731</v>
      </c>
      <c r="B2484" s="42" t="s">
        <v>3</v>
      </c>
      <c r="C2484" s="3" t="s">
        <v>239</v>
      </c>
      <c r="D2484" s="3">
        <v>1</v>
      </c>
      <c r="G2484" s="43">
        <v>44061</v>
      </c>
      <c r="H2484" s="42" t="s">
        <v>238</v>
      </c>
    </row>
    <row r="2485" spans="1:8" x14ac:dyDescent="0.25">
      <c r="A2485" s="19" t="s">
        <v>2732</v>
      </c>
      <c r="B2485" s="42" t="s">
        <v>3</v>
      </c>
      <c r="C2485" s="3" t="s">
        <v>239</v>
      </c>
      <c r="D2485" s="3">
        <v>1</v>
      </c>
      <c r="G2485" s="43">
        <v>44061</v>
      </c>
      <c r="H2485" s="42" t="s">
        <v>238</v>
      </c>
    </row>
    <row r="2486" spans="1:8" x14ac:dyDescent="0.25">
      <c r="A2486" s="19" t="s">
        <v>2733</v>
      </c>
      <c r="B2486" s="42" t="s">
        <v>3</v>
      </c>
      <c r="C2486" s="3" t="s">
        <v>240</v>
      </c>
      <c r="D2486" s="3">
        <v>1</v>
      </c>
      <c r="G2486" s="43">
        <v>44061</v>
      </c>
      <c r="H2486" s="42" t="s">
        <v>238</v>
      </c>
    </row>
    <row r="2487" spans="1:8" x14ac:dyDescent="0.25">
      <c r="A2487" s="19" t="s">
        <v>2734</v>
      </c>
      <c r="B2487" s="42" t="s">
        <v>3</v>
      </c>
      <c r="C2487" s="3" t="s">
        <v>239</v>
      </c>
      <c r="D2487" s="3">
        <v>1</v>
      </c>
      <c r="G2487" s="43">
        <v>44061</v>
      </c>
      <c r="H2487" s="42" t="s">
        <v>238</v>
      </c>
    </row>
    <row r="2488" spans="1:8" x14ac:dyDescent="0.25">
      <c r="A2488" s="19" t="s">
        <v>2735</v>
      </c>
      <c r="B2488" s="42" t="s">
        <v>3</v>
      </c>
      <c r="C2488" s="3" t="s">
        <v>240</v>
      </c>
      <c r="D2488" s="3">
        <v>1</v>
      </c>
      <c r="G2488" s="43">
        <v>44061</v>
      </c>
      <c r="H2488" s="42" t="s">
        <v>238</v>
      </c>
    </row>
    <row r="2489" spans="1:8" x14ac:dyDescent="0.25">
      <c r="A2489" s="19" t="s">
        <v>2736</v>
      </c>
      <c r="B2489" s="42" t="s">
        <v>3</v>
      </c>
      <c r="C2489" s="3" t="s">
        <v>239</v>
      </c>
      <c r="D2489" s="3">
        <v>1</v>
      </c>
      <c r="G2489" s="43">
        <v>44061</v>
      </c>
      <c r="H2489" s="42" t="s">
        <v>238</v>
      </c>
    </row>
    <row r="2490" spans="1:8" x14ac:dyDescent="0.25">
      <c r="A2490" s="19" t="s">
        <v>2737</v>
      </c>
      <c r="B2490" s="42" t="s">
        <v>3</v>
      </c>
      <c r="C2490" s="3" t="s">
        <v>240</v>
      </c>
      <c r="D2490" s="3">
        <v>1</v>
      </c>
      <c r="G2490" s="43">
        <v>44061</v>
      </c>
      <c r="H2490" s="42" t="s">
        <v>238</v>
      </c>
    </row>
    <row r="2491" spans="1:8" x14ac:dyDescent="0.25">
      <c r="A2491" s="19" t="s">
        <v>2738</v>
      </c>
      <c r="B2491" s="42" t="s">
        <v>3</v>
      </c>
      <c r="C2491" s="3" t="s">
        <v>242</v>
      </c>
      <c r="D2491" s="3">
        <v>1</v>
      </c>
      <c r="G2491" s="43">
        <v>44061</v>
      </c>
      <c r="H2491" s="42" t="s">
        <v>238</v>
      </c>
    </row>
    <row r="2492" spans="1:8" x14ac:dyDescent="0.25">
      <c r="A2492" s="19" t="s">
        <v>2739</v>
      </c>
      <c r="B2492" s="42" t="s">
        <v>3</v>
      </c>
      <c r="C2492" s="3" t="s">
        <v>240</v>
      </c>
      <c r="D2492" s="3">
        <v>1</v>
      </c>
      <c r="G2492" s="43">
        <v>44061</v>
      </c>
      <c r="H2492" s="42" t="s">
        <v>238</v>
      </c>
    </row>
    <row r="2493" spans="1:8" x14ac:dyDescent="0.25">
      <c r="A2493" s="19" t="s">
        <v>2740</v>
      </c>
      <c r="B2493" s="42" t="s">
        <v>3</v>
      </c>
      <c r="C2493" s="3" t="s">
        <v>243</v>
      </c>
      <c r="D2493" s="3">
        <v>1</v>
      </c>
      <c r="G2493" s="43">
        <v>44061</v>
      </c>
      <c r="H2493" s="42" t="s">
        <v>238</v>
      </c>
    </row>
    <row r="2494" spans="1:8" x14ac:dyDescent="0.25">
      <c r="A2494" s="19" t="s">
        <v>2741</v>
      </c>
      <c r="B2494" s="42" t="s">
        <v>3</v>
      </c>
      <c r="C2494" s="3" t="s">
        <v>239</v>
      </c>
      <c r="D2494" s="3">
        <v>1</v>
      </c>
      <c r="G2494" s="43">
        <v>44061</v>
      </c>
      <c r="H2494" s="42" t="s">
        <v>238</v>
      </c>
    </row>
    <row r="2495" spans="1:8" x14ac:dyDescent="0.25">
      <c r="A2495" s="19" t="s">
        <v>2742</v>
      </c>
      <c r="B2495" s="42" t="s">
        <v>3</v>
      </c>
      <c r="C2495" s="3" t="s">
        <v>239</v>
      </c>
      <c r="D2495" s="3">
        <v>1</v>
      </c>
      <c r="G2495" s="43">
        <v>44061</v>
      </c>
      <c r="H2495" s="42" t="s">
        <v>238</v>
      </c>
    </row>
    <row r="2496" spans="1:8" x14ac:dyDescent="0.25">
      <c r="A2496" s="19" t="s">
        <v>2743</v>
      </c>
      <c r="B2496" s="42" t="s">
        <v>3</v>
      </c>
      <c r="C2496" s="3" t="s">
        <v>239</v>
      </c>
      <c r="D2496" s="3">
        <v>1</v>
      </c>
      <c r="G2496" s="43">
        <v>44061</v>
      </c>
      <c r="H2496" s="42" t="s">
        <v>238</v>
      </c>
    </row>
    <row r="2497" spans="1:8" x14ac:dyDescent="0.25">
      <c r="A2497" s="19" t="s">
        <v>2744</v>
      </c>
      <c r="B2497" s="42" t="s">
        <v>3</v>
      </c>
      <c r="C2497" s="3" t="s">
        <v>240</v>
      </c>
      <c r="D2497" s="3">
        <v>1</v>
      </c>
      <c r="G2497" s="43">
        <v>44061</v>
      </c>
      <c r="H2497" s="42" t="s">
        <v>238</v>
      </c>
    </row>
    <row r="2498" spans="1:8" x14ac:dyDescent="0.25">
      <c r="A2498" s="19" t="s">
        <v>2745</v>
      </c>
      <c r="B2498" s="42" t="s">
        <v>3</v>
      </c>
      <c r="C2498" s="3" t="s">
        <v>239</v>
      </c>
      <c r="D2498" s="3">
        <v>1</v>
      </c>
      <c r="G2498" s="43">
        <v>44061</v>
      </c>
      <c r="H2498" s="42" t="s">
        <v>238</v>
      </c>
    </row>
    <row r="2499" spans="1:8" x14ac:dyDescent="0.25">
      <c r="A2499" s="19" t="s">
        <v>2746</v>
      </c>
      <c r="B2499" s="42" t="s">
        <v>120</v>
      </c>
      <c r="C2499" s="3" t="s">
        <v>239</v>
      </c>
      <c r="D2499" s="3">
        <v>1</v>
      </c>
      <c r="E2499" s="42" t="s">
        <v>160</v>
      </c>
      <c r="F2499" s="42" t="s">
        <v>160</v>
      </c>
      <c r="G2499" s="43">
        <v>44061</v>
      </c>
      <c r="H2499" s="42" t="s">
        <v>238</v>
      </c>
    </row>
    <row r="2500" spans="1:8" x14ac:dyDescent="0.25">
      <c r="A2500" s="19" t="s">
        <v>2747</v>
      </c>
      <c r="B2500" s="42" t="s">
        <v>3</v>
      </c>
      <c r="C2500" s="3" t="s">
        <v>239</v>
      </c>
      <c r="D2500" s="3">
        <v>1</v>
      </c>
      <c r="G2500" s="43">
        <v>44061</v>
      </c>
      <c r="H2500" s="42" t="s">
        <v>238</v>
      </c>
    </row>
    <row r="2501" spans="1:8" x14ac:dyDescent="0.25">
      <c r="A2501" s="19" t="s">
        <v>2748</v>
      </c>
      <c r="B2501" s="42" t="s">
        <v>3</v>
      </c>
      <c r="C2501" s="3" t="s">
        <v>241</v>
      </c>
      <c r="D2501" s="3">
        <v>1</v>
      </c>
      <c r="G2501" s="43">
        <v>44061</v>
      </c>
      <c r="H2501" s="42" t="s">
        <v>238</v>
      </c>
    </row>
    <row r="2502" spans="1:8" x14ac:dyDescent="0.25">
      <c r="A2502" s="19" t="s">
        <v>2749</v>
      </c>
      <c r="B2502" s="42" t="s">
        <v>3</v>
      </c>
      <c r="C2502" s="3" t="s">
        <v>240</v>
      </c>
      <c r="D2502" s="3">
        <v>1</v>
      </c>
      <c r="G2502" s="43">
        <v>44061</v>
      </c>
      <c r="H2502" s="42" t="s">
        <v>238</v>
      </c>
    </row>
    <row r="2503" spans="1:8" x14ac:dyDescent="0.25">
      <c r="A2503" s="19" t="s">
        <v>2750</v>
      </c>
      <c r="B2503" s="42" t="s">
        <v>3</v>
      </c>
      <c r="C2503" s="3" t="s">
        <v>239</v>
      </c>
      <c r="D2503" s="3">
        <v>1</v>
      </c>
      <c r="G2503" s="43">
        <v>44061</v>
      </c>
      <c r="H2503" s="42" t="s">
        <v>238</v>
      </c>
    </row>
    <row r="2504" spans="1:8" x14ac:dyDescent="0.25">
      <c r="A2504" s="19" t="s">
        <v>2751</v>
      </c>
      <c r="B2504" s="42" t="s">
        <v>3</v>
      </c>
      <c r="C2504" s="3" t="s">
        <v>239</v>
      </c>
      <c r="D2504" s="3">
        <v>1</v>
      </c>
      <c r="G2504" s="43">
        <v>44061</v>
      </c>
      <c r="H2504" s="42" t="s">
        <v>238</v>
      </c>
    </row>
    <row r="2505" spans="1:8" x14ac:dyDescent="0.25">
      <c r="A2505" s="19" t="s">
        <v>2752</v>
      </c>
      <c r="B2505" s="42" t="s">
        <v>3</v>
      </c>
      <c r="C2505" s="3" t="s">
        <v>243</v>
      </c>
      <c r="D2505" s="3">
        <v>1</v>
      </c>
      <c r="G2505" s="43">
        <v>44061</v>
      </c>
      <c r="H2505" s="42" t="s">
        <v>238</v>
      </c>
    </row>
    <row r="2506" spans="1:8" x14ac:dyDescent="0.25">
      <c r="A2506" s="19" t="s">
        <v>2753</v>
      </c>
      <c r="B2506" s="42" t="s">
        <v>3</v>
      </c>
      <c r="C2506" s="3" t="s">
        <v>239</v>
      </c>
      <c r="D2506" s="3">
        <v>1</v>
      </c>
      <c r="G2506" s="43">
        <v>44061</v>
      </c>
      <c r="H2506" s="42" t="s">
        <v>238</v>
      </c>
    </row>
    <row r="2507" spans="1:8" x14ac:dyDescent="0.25">
      <c r="A2507" s="19" t="s">
        <v>2754</v>
      </c>
      <c r="B2507" s="42" t="s">
        <v>3</v>
      </c>
      <c r="C2507" s="3" t="s">
        <v>239</v>
      </c>
      <c r="D2507" s="3">
        <v>1</v>
      </c>
      <c r="G2507" s="43">
        <v>44061</v>
      </c>
      <c r="H2507" s="42" t="s">
        <v>238</v>
      </c>
    </row>
    <row r="2508" spans="1:8" x14ac:dyDescent="0.25">
      <c r="A2508" s="19" t="s">
        <v>2755</v>
      </c>
      <c r="B2508" s="42" t="s">
        <v>3</v>
      </c>
      <c r="C2508" s="3" t="s">
        <v>239</v>
      </c>
      <c r="D2508" s="3">
        <v>1</v>
      </c>
      <c r="G2508" s="43">
        <v>44061</v>
      </c>
      <c r="H2508" s="42" t="s">
        <v>238</v>
      </c>
    </row>
    <row r="2509" spans="1:8" x14ac:dyDescent="0.25">
      <c r="A2509" s="19" t="s">
        <v>2756</v>
      </c>
      <c r="B2509" s="42" t="s">
        <v>3</v>
      </c>
      <c r="C2509" s="3" t="s">
        <v>242</v>
      </c>
      <c r="D2509" s="3">
        <v>1</v>
      </c>
      <c r="G2509" s="43">
        <v>44061</v>
      </c>
      <c r="H2509" s="42" t="s">
        <v>238</v>
      </c>
    </row>
    <row r="2510" spans="1:8" x14ac:dyDescent="0.25">
      <c r="A2510" s="19" t="s">
        <v>2757</v>
      </c>
      <c r="B2510" s="42" t="s">
        <v>3</v>
      </c>
      <c r="C2510" s="3" t="s">
        <v>239</v>
      </c>
      <c r="D2510" s="3">
        <v>1</v>
      </c>
      <c r="G2510" s="43">
        <v>44061</v>
      </c>
      <c r="H2510" s="42" t="s">
        <v>238</v>
      </c>
    </row>
    <row r="2511" spans="1:8" x14ac:dyDescent="0.25">
      <c r="A2511" s="19" t="s">
        <v>2758</v>
      </c>
      <c r="B2511" s="42" t="s">
        <v>3</v>
      </c>
      <c r="C2511" s="3" t="s">
        <v>241</v>
      </c>
      <c r="D2511" s="3">
        <v>1</v>
      </c>
      <c r="G2511" s="43">
        <v>44061</v>
      </c>
      <c r="H2511" s="42" t="s">
        <v>238</v>
      </c>
    </row>
    <row r="2512" spans="1:8" x14ac:dyDescent="0.25">
      <c r="A2512" s="19" t="s">
        <v>2759</v>
      </c>
      <c r="B2512" s="42" t="s">
        <v>3</v>
      </c>
      <c r="C2512" s="3" t="s">
        <v>239</v>
      </c>
      <c r="D2512" s="3">
        <v>1</v>
      </c>
      <c r="G2512" s="43">
        <v>44061</v>
      </c>
      <c r="H2512" s="42" t="s">
        <v>238</v>
      </c>
    </row>
    <row r="2513" spans="1:8" x14ac:dyDescent="0.25">
      <c r="A2513" s="19" t="s">
        <v>2760</v>
      </c>
      <c r="B2513" s="42" t="s">
        <v>3</v>
      </c>
      <c r="C2513" s="3" t="s">
        <v>239</v>
      </c>
      <c r="D2513" s="3">
        <v>1</v>
      </c>
      <c r="G2513" s="43">
        <v>44061</v>
      </c>
      <c r="H2513" s="42" t="s">
        <v>238</v>
      </c>
    </row>
    <row r="2514" spans="1:8" x14ac:dyDescent="0.25">
      <c r="A2514" s="19" t="s">
        <v>2761</v>
      </c>
      <c r="B2514" s="42" t="s">
        <v>3</v>
      </c>
      <c r="C2514" s="3" t="s">
        <v>239</v>
      </c>
      <c r="D2514" s="3">
        <v>1</v>
      </c>
      <c r="G2514" s="43">
        <v>44061</v>
      </c>
      <c r="H2514" s="42" t="s">
        <v>238</v>
      </c>
    </row>
    <row r="2515" spans="1:8" x14ac:dyDescent="0.25">
      <c r="A2515" s="19" t="s">
        <v>2762</v>
      </c>
      <c r="B2515" s="42" t="s">
        <v>3</v>
      </c>
      <c r="C2515" s="3" t="s">
        <v>239</v>
      </c>
      <c r="D2515" s="3">
        <v>1</v>
      </c>
      <c r="G2515" s="43">
        <v>44061</v>
      </c>
      <c r="H2515" s="42" t="s">
        <v>238</v>
      </c>
    </row>
    <row r="2516" spans="1:8" x14ac:dyDescent="0.25">
      <c r="A2516" s="19" t="s">
        <v>2763</v>
      </c>
      <c r="B2516" s="42" t="s">
        <v>3</v>
      </c>
      <c r="C2516" s="3" t="s">
        <v>239</v>
      </c>
      <c r="D2516" s="3">
        <v>1</v>
      </c>
      <c r="G2516" s="43">
        <v>44061</v>
      </c>
      <c r="H2516" s="42" t="s">
        <v>238</v>
      </c>
    </row>
    <row r="2517" spans="1:8" x14ac:dyDescent="0.25">
      <c r="A2517" s="19" t="s">
        <v>2764</v>
      </c>
      <c r="B2517" s="42" t="s">
        <v>3</v>
      </c>
      <c r="C2517" s="3" t="s">
        <v>241</v>
      </c>
      <c r="D2517" s="3">
        <v>1</v>
      </c>
      <c r="G2517" s="43">
        <v>44061</v>
      </c>
      <c r="H2517" s="42" t="s">
        <v>238</v>
      </c>
    </row>
    <row r="2518" spans="1:8" x14ac:dyDescent="0.25">
      <c r="A2518" s="19" t="s">
        <v>2765</v>
      </c>
      <c r="B2518" s="42" t="s">
        <v>3</v>
      </c>
      <c r="C2518" s="3" t="s">
        <v>239</v>
      </c>
      <c r="D2518" s="3">
        <v>1</v>
      </c>
      <c r="G2518" s="43">
        <v>44061</v>
      </c>
      <c r="H2518" s="42" t="s">
        <v>238</v>
      </c>
    </row>
    <row r="2519" spans="1:8" x14ac:dyDescent="0.25">
      <c r="A2519" s="19" t="s">
        <v>2766</v>
      </c>
      <c r="B2519" s="42" t="s">
        <v>3</v>
      </c>
      <c r="C2519" s="3" t="s">
        <v>239</v>
      </c>
      <c r="D2519" s="3">
        <v>1</v>
      </c>
      <c r="G2519" s="43">
        <v>44061</v>
      </c>
      <c r="H2519" s="42" t="s">
        <v>238</v>
      </c>
    </row>
    <row r="2520" spans="1:8" x14ac:dyDescent="0.25">
      <c r="A2520" s="19" t="s">
        <v>2767</v>
      </c>
      <c r="B2520" s="42" t="s">
        <v>3</v>
      </c>
      <c r="C2520" s="3" t="s">
        <v>239</v>
      </c>
      <c r="D2520" s="3">
        <v>1</v>
      </c>
      <c r="G2520" s="43">
        <v>44061</v>
      </c>
      <c r="H2520" s="42" t="s">
        <v>238</v>
      </c>
    </row>
    <row r="2521" spans="1:8" x14ac:dyDescent="0.25">
      <c r="A2521" s="19" t="s">
        <v>2768</v>
      </c>
      <c r="B2521" s="42" t="s">
        <v>3</v>
      </c>
      <c r="C2521" s="3" t="s">
        <v>240</v>
      </c>
      <c r="D2521" s="3">
        <v>1</v>
      </c>
      <c r="G2521" s="43">
        <v>44061</v>
      </c>
      <c r="H2521" s="42" t="s">
        <v>238</v>
      </c>
    </row>
    <row r="2522" spans="1:8" x14ac:dyDescent="0.25">
      <c r="A2522" s="19" t="s">
        <v>2769</v>
      </c>
      <c r="B2522" s="42" t="s">
        <v>3</v>
      </c>
      <c r="C2522" s="3" t="s">
        <v>239</v>
      </c>
      <c r="D2522" s="3">
        <v>1</v>
      </c>
      <c r="G2522" s="43">
        <v>44061</v>
      </c>
      <c r="H2522" s="42" t="s">
        <v>238</v>
      </c>
    </row>
    <row r="2523" spans="1:8" x14ac:dyDescent="0.25">
      <c r="A2523" s="19" t="s">
        <v>2770</v>
      </c>
      <c r="B2523" s="42" t="s">
        <v>3</v>
      </c>
      <c r="C2523" s="3" t="s">
        <v>239</v>
      </c>
      <c r="D2523" s="3">
        <v>1</v>
      </c>
      <c r="G2523" s="43">
        <v>44061</v>
      </c>
      <c r="H2523" s="42" t="s">
        <v>238</v>
      </c>
    </row>
    <row r="2524" spans="1:8" x14ac:dyDescent="0.25">
      <c r="A2524" s="19" t="s">
        <v>2771</v>
      </c>
      <c r="B2524" s="42" t="s">
        <v>3</v>
      </c>
      <c r="C2524" s="3" t="s">
        <v>241</v>
      </c>
      <c r="D2524" s="3">
        <v>1</v>
      </c>
      <c r="G2524" s="43">
        <v>44061</v>
      </c>
      <c r="H2524" s="42" t="s">
        <v>238</v>
      </c>
    </row>
    <row r="2525" spans="1:8" x14ac:dyDescent="0.25">
      <c r="A2525" s="19" t="s">
        <v>2772</v>
      </c>
      <c r="B2525" s="42" t="s">
        <v>3</v>
      </c>
      <c r="C2525" s="3" t="s">
        <v>240</v>
      </c>
      <c r="D2525" s="3">
        <v>1</v>
      </c>
      <c r="G2525" s="43">
        <v>44061</v>
      </c>
      <c r="H2525" s="42" t="s">
        <v>238</v>
      </c>
    </row>
    <row r="2526" spans="1:8" x14ac:dyDescent="0.25">
      <c r="A2526" s="19" t="s">
        <v>2773</v>
      </c>
      <c r="B2526" s="42" t="s">
        <v>3</v>
      </c>
      <c r="C2526" s="3" t="s">
        <v>240</v>
      </c>
      <c r="D2526" s="3">
        <v>1</v>
      </c>
      <c r="G2526" s="43">
        <v>44061</v>
      </c>
      <c r="H2526" s="42" t="s">
        <v>238</v>
      </c>
    </row>
    <row r="2527" spans="1:8" x14ac:dyDescent="0.25">
      <c r="A2527" s="19" t="s">
        <v>2774</v>
      </c>
      <c r="B2527" s="42" t="s">
        <v>3</v>
      </c>
      <c r="C2527" s="3" t="s">
        <v>239</v>
      </c>
      <c r="D2527" s="3">
        <v>1</v>
      </c>
      <c r="G2527" s="43">
        <v>44061</v>
      </c>
      <c r="H2527" s="42" t="s">
        <v>238</v>
      </c>
    </row>
    <row r="2528" spans="1:8" x14ac:dyDescent="0.25">
      <c r="A2528" s="19" t="s">
        <v>2775</v>
      </c>
      <c r="B2528" s="42" t="s">
        <v>3</v>
      </c>
      <c r="C2528" s="3" t="s">
        <v>239</v>
      </c>
      <c r="D2528" s="3">
        <v>1</v>
      </c>
      <c r="G2528" s="43">
        <v>44061</v>
      </c>
      <c r="H2528" s="42" t="s">
        <v>238</v>
      </c>
    </row>
    <row r="2529" spans="1:8" x14ac:dyDescent="0.25">
      <c r="A2529" s="19" t="s">
        <v>2776</v>
      </c>
      <c r="B2529" s="42" t="s">
        <v>3</v>
      </c>
      <c r="C2529" s="3" t="s">
        <v>239</v>
      </c>
      <c r="D2529" s="3">
        <v>1</v>
      </c>
      <c r="G2529" s="43">
        <v>44061</v>
      </c>
      <c r="H2529" s="42" t="s">
        <v>238</v>
      </c>
    </row>
    <row r="2530" spans="1:8" x14ac:dyDescent="0.25">
      <c r="A2530" s="19" t="s">
        <v>2777</v>
      </c>
      <c r="B2530" s="42" t="s">
        <v>3</v>
      </c>
      <c r="C2530" s="3" t="s">
        <v>239</v>
      </c>
      <c r="D2530" s="3">
        <v>1</v>
      </c>
      <c r="G2530" s="43">
        <v>44061</v>
      </c>
      <c r="H2530" s="42" t="s">
        <v>238</v>
      </c>
    </row>
    <row r="2531" spans="1:8" x14ac:dyDescent="0.25">
      <c r="A2531" s="19" t="s">
        <v>2778</v>
      </c>
      <c r="B2531" s="42" t="s">
        <v>3</v>
      </c>
      <c r="C2531" s="3" t="s">
        <v>239</v>
      </c>
      <c r="D2531" s="3">
        <v>1</v>
      </c>
      <c r="G2531" s="43">
        <v>44061</v>
      </c>
      <c r="H2531" s="42" t="s">
        <v>238</v>
      </c>
    </row>
    <row r="2532" spans="1:8" x14ac:dyDescent="0.25">
      <c r="A2532" s="19" t="s">
        <v>2779</v>
      </c>
      <c r="B2532" s="42" t="s">
        <v>3</v>
      </c>
      <c r="C2532" s="3" t="s">
        <v>242</v>
      </c>
      <c r="D2532" s="3">
        <v>1</v>
      </c>
      <c r="G2532" s="43">
        <v>44061</v>
      </c>
      <c r="H2532" s="42" t="s">
        <v>238</v>
      </c>
    </row>
    <row r="2533" spans="1:8" x14ac:dyDescent="0.25">
      <c r="A2533" s="19" t="s">
        <v>2780</v>
      </c>
      <c r="B2533" s="42" t="s">
        <v>3</v>
      </c>
      <c r="C2533" s="3" t="s">
        <v>239</v>
      </c>
      <c r="D2533" s="3">
        <v>1</v>
      </c>
      <c r="G2533" s="43">
        <v>44061</v>
      </c>
      <c r="H2533" s="42" t="s">
        <v>238</v>
      </c>
    </row>
    <row r="2534" spans="1:8" x14ac:dyDescent="0.25">
      <c r="A2534" s="19" t="s">
        <v>2781</v>
      </c>
      <c r="B2534" s="42" t="s">
        <v>3</v>
      </c>
      <c r="C2534" s="3" t="s">
        <v>239</v>
      </c>
      <c r="D2534" s="3">
        <v>1</v>
      </c>
      <c r="G2534" s="43">
        <v>44061</v>
      </c>
      <c r="H2534" s="42" t="s">
        <v>238</v>
      </c>
    </row>
    <row r="2535" spans="1:8" x14ac:dyDescent="0.25">
      <c r="A2535" s="19" t="s">
        <v>2782</v>
      </c>
      <c r="B2535" s="42" t="s">
        <v>3</v>
      </c>
      <c r="C2535" s="3" t="s">
        <v>240</v>
      </c>
      <c r="D2535" s="3">
        <v>1</v>
      </c>
      <c r="G2535" s="43">
        <v>44061</v>
      </c>
      <c r="H2535" s="42" t="s">
        <v>238</v>
      </c>
    </row>
    <row r="2536" spans="1:8" x14ac:dyDescent="0.25">
      <c r="A2536" s="19" t="s">
        <v>2783</v>
      </c>
      <c r="B2536" s="42" t="s">
        <v>3</v>
      </c>
      <c r="C2536" s="3" t="s">
        <v>240</v>
      </c>
      <c r="D2536" s="3">
        <v>1</v>
      </c>
      <c r="G2536" s="43">
        <v>44061</v>
      </c>
      <c r="H2536" s="42" t="s">
        <v>238</v>
      </c>
    </row>
    <row r="2537" spans="1:8" x14ac:dyDescent="0.25">
      <c r="A2537" s="19" t="s">
        <v>2784</v>
      </c>
      <c r="B2537" s="42" t="s">
        <v>3</v>
      </c>
      <c r="C2537" s="3" t="s">
        <v>239</v>
      </c>
      <c r="D2537" s="3">
        <v>1</v>
      </c>
      <c r="G2537" s="43">
        <v>44061</v>
      </c>
      <c r="H2537" s="42" t="s">
        <v>238</v>
      </c>
    </row>
    <row r="2538" spans="1:8" x14ac:dyDescent="0.25">
      <c r="A2538" s="19" t="s">
        <v>2785</v>
      </c>
      <c r="B2538" s="42" t="s">
        <v>3</v>
      </c>
      <c r="C2538" s="3" t="s">
        <v>239</v>
      </c>
      <c r="D2538" s="3">
        <v>1</v>
      </c>
      <c r="G2538" s="43">
        <v>44061</v>
      </c>
      <c r="H2538" s="42" t="s">
        <v>238</v>
      </c>
    </row>
    <row r="2539" spans="1:8" x14ac:dyDescent="0.25">
      <c r="A2539" s="19" t="s">
        <v>2786</v>
      </c>
      <c r="B2539" s="42" t="s">
        <v>3</v>
      </c>
      <c r="C2539" s="3" t="s">
        <v>239</v>
      </c>
      <c r="D2539" s="3">
        <v>1</v>
      </c>
      <c r="G2539" s="43">
        <v>44061</v>
      </c>
      <c r="H2539" s="42" t="s">
        <v>238</v>
      </c>
    </row>
    <row r="2540" spans="1:8" x14ac:dyDescent="0.25">
      <c r="A2540" s="19" t="s">
        <v>2787</v>
      </c>
      <c r="B2540" s="42" t="s">
        <v>3</v>
      </c>
      <c r="C2540" s="3" t="s">
        <v>239</v>
      </c>
      <c r="D2540" s="3">
        <v>1</v>
      </c>
      <c r="G2540" s="43">
        <v>44061</v>
      </c>
      <c r="H2540" s="42" t="s">
        <v>238</v>
      </c>
    </row>
    <row r="2541" spans="1:8" x14ac:dyDescent="0.25">
      <c r="A2541" s="19" t="s">
        <v>2788</v>
      </c>
      <c r="B2541" s="42" t="s">
        <v>3</v>
      </c>
      <c r="C2541" s="3" t="s">
        <v>239</v>
      </c>
      <c r="D2541" s="3">
        <v>1</v>
      </c>
      <c r="G2541" s="43">
        <v>44061</v>
      </c>
      <c r="H2541" s="42" t="s">
        <v>238</v>
      </c>
    </row>
    <row r="2542" spans="1:8" x14ac:dyDescent="0.25">
      <c r="A2542" s="19" t="s">
        <v>2789</v>
      </c>
      <c r="B2542" s="42" t="s">
        <v>3</v>
      </c>
      <c r="C2542" s="3" t="s">
        <v>239</v>
      </c>
      <c r="D2542" s="3">
        <v>1</v>
      </c>
      <c r="G2542" s="43">
        <v>44061</v>
      </c>
      <c r="H2542" s="42" t="s">
        <v>238</v>
      </c>
    </row>
    <row r="2543" spans="1:8" x14ac:dyDescent="0.25">
      <c r="A2543" s="19" t="s">
        <v>2790</v>
      </c>
      <c r="B2543" s="42" t="s">
        <v>3</v>
      </c>
      <c r="C2543" s="3" t="s">
        <v>239</v>
      </c>
      <c r="D2543" s="3">
        <v>1</v>
      </c>
      <c r="G2543" s="43">
        <v>44061</v>
      </c>
      <c r="H2543" s="42" t="s">
        <v>238</v>
      </c>
    </row>
    <row r="2544" spans="1:8" x14ac:dyDescent="0.25">
      <c r="A2544" s="19" t="s">
        <v>2791</v>
      </c>
      <c r="B2544" s="42" t="s">
        <v>3</v>
      </c>
      <c r="C2544" s="3" t="s">
        <v>239</v>
      </c>
      <c r="D2544" s="3">
        <v>1</v>
      </c>
      <c r="G2544" s="43">
        <v>44061</v>
      </c>
      <c r="H2544" s="42" t="s">
        <v>238</v>
      </c>
    </row>
    <row r="2545" spans="1:8" x14ac:dyDescent="0.25">
      <c r="A2545" s="19" t="s">
        <v>2792</v>
      </c>
      <c r="B2545" s="42" t="s">
        <v>3</v>
      </c>
      <c r="C2545" s="19" t="s">
        <v>239</v>
      </c>
      <c r="D2545" s="3">
        <v>1</v>
      </c>
      <c r="G2545" s="43">
        <v>44061</v>
      </c>
      <c r="H2545" s="42" t="s">
        <v>238</v>
      </c>
    </row>
    <row r="2546" spans="1:8" x14ac:dyDescent="0.25">
      <c r="A2546" s="19" t="s">
        <v>2793</v>
      </c>
      <c r="B2546" s="42" t="s">
        <v>3</v>
      </c>
      <c r="C2546" s="19" t="s">
        <v>239</v>
      </c>
      <c r="D2546" s="3">
        <v>1</v>
      </c>
      <c r="G2546" s="43">
        <v>44061</v>
      </c>
      <c r="H2546" s="42" t="s">
        <v>238</v>
      </c>
    </row>
    <row r="2547" spans="1:8" x14ac:dyDescent="0.25">
      <c r="A2547" s="19" t="s">
        <v>2794</v>
      </c>
      <c r="B2547" s="42" t="s">
        <v>3</v>
      </c>
      <c r="C2547" s="19" t="s">
        <v>243</v>
      </c>
      <c r="D2547" s="3">
        <v>1</v>
      </c>
      <c r="G2547" s="43">
        <v>44061</v>
      </c>
      <c r="H2547" s="42" t="s">
        <v>238</v>
      </c>
    </row>
    <row r="2548" spans="1:8" x14ac:dyDescent="0.25">
      <c r="A2548" s="19" t="s">
        <v>2795</v>
      </c>
      <c r="B2548" s="42" t="s">
        <v>3</v>
      </c>
      <c r="C2548" s="19" t="s">
        <v>239</v>
      </c>
      <c r="D2548" s="3">
        <v>1</v>
      </c>
      <c r="G2548" s="43">
        <v>44061</v>
      </c>
      <c r="H2548" s="42" t="s">
        <v>238</v>
      </c>
    </row>
    <row r="2549" spans="1:8" x14ac:dyDescent="0.25">
      <c r="A2549" s="19" t="s">
        <v>2796</v>
      </c>
      <c r="B2549" s="42" t="s">
        <v>3</v>
      </c>
      <c r="C2549" s="19" t="s">
        <v>239</v>
      </c>
      <c r="D2549" s="3">
        <v>1</v>
      </c>
      <c r="G2549" s="43">
        <v>44061</v>
      </c>
      <c r="H2549" s="42" t="s">
        <v>238</v>
      </c>
    </row>
    <row r="2550" spans="1:8" x14ac:dyDescent="0.25">
      <c r="A2550" s="19" t="s">
        <v>2797</v>
      </c>
      <c r="B2550" s="42" t="s">
        <v>3</v>
      </c>
      <c r="C2550" s="19" t="s">
        <v>239</v>
      </c>
      <c r="D2550" s="3">
        <v>1</v>
      </c>
      <c r="G2550" s="43">
        <v>44061</v>
      </c>
      <c r="H2550" s="42" t="s">
        <v>238</v>
      </c>
    </row>
    <row r="2551" spans="1:8" x14ac:dyDescent="0.25">
      <c r="A2551" s="19" t="s">
        <v>2798</v>
      </c>
      <c r="B2551" s="42" t="s">
        <v>3</v>
      </c>
      <c r="C2551" s="19" t="s">
        <v>239</v>
      </c>
      <c r="D2551" s="3">
        <v>1</v>
      </c>
      <c r="G2551" s="43">
        <v>44061</v>
      </c>
      <c r="H2551" s="42" t="s">
        <v>238</v>
      </c>
    </row>
    <row r="2552" spans="1:8" x14ac:dyDescent="0.25">
      <c r="A2552" s="19" t="s">
        <v>2799</v>
      </c>
      <c r="B2552" s="42" t="s">
        <v>3</v>
      </c>
      <c r="C2552" s="19" t="s">
        <v>239</v>
      </c>
      <c r="D2552" s="3">
        <v>1</v>
      </c>
      <c r="G2552" s="43">
        <v>44061</v>
      </c>
      <c r="H2552" s="42" t="s">
        <v>238</v>
      </c>
    </row>
    <row r="2553" spans="1:8" x14ac:dyDescent="0.25">
      <c r="A2553" s="19" t="s">
        <v>2800</v>
      </c>
      <c r="B2553" s="42" t="s">
        <v>3</v>
      </c>
      <c r="C2553" s="19" t="s">
        <v>240</v>
      </c>
      <c r="D2553" s="3">
        <v>1</v>
      </c>
      <c r="G2553" s="43">
        <v>44061</v>
      </c>
      <c r="H2553" s="42" t="s">
        <v>238</v>
      </c>
    </row>
    <row r="2554" spans="1:8" x14ac:dyDescent="0.25">
      <c r="A2554" s="19" t="s">
        <v>2801</v>
      </c>
      <c r="B2554" s="42" t="s">
        <v>3</v>
      </c>
      <c r="C2554" s="19" t="s">
        <v>239</v>
      </c>
      <c r="D2554" s="3">
        <v>1</v>
      </c>
      <c r="G2554" s="43">
        <v>44061</v>
      </c>
      <c r="H2554" s="42" t="s">
        <v>238</v>
      </c>
    </row>
    <row r="2555" spans="1:8" x14ac:dyDescent="0.25">
      <c r="A2555" s="19" t="s">
        <v>2802</v>
      </c>
      <c r="B2555" s="42" t="s">
        <v>3</v>
      </c>
      <c r="C2555" s="19" t="s">
        <v>239</v>
      </c>
      <c r="D2555" s="3">
        <v>1</v>
      </c>
      <c r="G2555" s="43">
        <v>44061</v>
      </c>
      <c r="H2555" s="42" t="s">
        <v>238</v>
      </c>
    </row>
    <row r="2556" spans="1:8" x14ac:dyDescent="0.25">
      <c r="A2556" s="19" t="s">
        <v>2803</v>
      </c>
      <c r="B2556" s="42" t="s">
        <v>3</v>
      </c>
      <c r="C2556" s="19" t="s">
        <v>239</v>
      </c>
      <c r="D2556" s="3">
        <v>1</v>
      </c>
      <c r="G2556" s="43">
        <v>44061</v>
      </c>
      <c r="H2556" s="42" t="s">
        <v>238</v>
      </c>
    </row>
    <row r="2557" spans="1:8" x14ac:dyDescent="0.25">
      <c r="A2557" s="19" t="s">
        <v>2804</v>
      </c>
      <c r="B2557" s="42" t="s">
        <v>3</v>
      </c>
      <c r="C2557" s="19" t="s">
        <v>239</v>
      </c>
      <c r="D2557" s="3">
        <v>1</v>
      </c>
      <c r="G2557" s="43">
        <v>44061</v>
      </c>
      <c r="H2557" s="42" t="s">
        <v>238</v>
      </c>
    </row>
    <row r="2558" spans="1:8" x14ac:dyDescent="0.25">
      <c r="A2558" s="19" t="s">
        <v>2805</v>
      </c>
      <c r="B2558" s="42" t="s">
        <v>3</v>
      </c>
      <c r="C2558" s="19" t="s">
        <v>239</v>
      </c>
      <c r="D2558" s="3">
        <v>1</v>
      </c>
      <c r="G2558" s="43">
        <v>44061</v>
      </c>
      <c r="H2558" s="42" t="s">
        <v>238</v>
      </c>
    </row>
    <row r="2559" spans="1:8" x14ac:dyDescent="0.25">
      <c r="A2559" s="19" t="s">
        <v>2806</v>
      </c>
      <c r="B2559" s="42" t="s">
        <v>3</v>
      </c>
      <c r="C2559" s="19" t="s">
        <v>239</v>
      </c>
      <c r="D2559" s="3">
        <v>1</v>
      </c>
      <c r="G2559" s="43">
        <v>44061</v>
      </c>
      <c r="H2559" s="42" t="s">
        <v>238</v>
      </c>
    </row>
    <row r="2560" spans="1:8" x14ac:dyDescent="0.25">
      <c r="A2560" s="19" t="s">
        <v>2807</v>
      </c>
      <c r="B2560" s="42" t="s">
        <v>3</v>
      </c>
      <c r="C2560" s="19" t="s">
        <v>239</v>
      </c>
      <c r="D2560" s="3">
        <v>1</v>
      </c>
      <c r="G2560" s="43">
        <v>44061</v>
      </c>
      <c r="H2560" s="42" t="s">
        <v>238</v>
      </c>
    </row>
    <row r="2561" spans="1:8" x14ac:dyDescent="0.25">
      <c r="A2561" s="19" t="s">
        <v>2808</v>
      </c>
      <c r="B2561" s="42" t="s">
        <v>3</v>
      </c>
      <c r="C2561" s="19" t="s">
        <v>240</v>
      </c>
      <c r="D2561" s="3">
        <v>1</v>
      </c>
      <c r="G2561" s="43">
        <v>44061</v>
      </c>
      <c r="H2561" s="42" t="s">
        <v>238</v>
      </c>
    </row>
    <row r="2562" spans="1:8" x14ac:dyDescent="0.25">
      <c r="A2562" s="19" t="s">
        <v>2809</v>
      </c>
      <c r="B2562" s="42" t="s">
        <v>3</v>
      </c>
      <c r="C2562" s="19" t="s">
        <v>239</v>
      </c>
      <c r="D2562" s="3">
        <v>1</v>
      </c>
      <c r="G2562" s="43">
        <v>44061</v>
      </c>
      <c r="H2562" s="42" t="s">
        <v>238</v>
      </c>
    </row>
    <row r="2563" spans="1:8" x14ac:dyDescent="0.25">
      <c r="A2563" s="19" t="s">
        <v>2810</v>
      </c>
      <c r="B2563" s="42" t="s">
        <v>3</v>
      </c>
      <c r="C2563" s="19" t="s">
        <v>239</v>
      </c>
      <c r="D2563" s="3">
        <v>1</v>
      </c>
      <c r="G2563" s="43">
        <v>44061</v>
      </c>
      <c r="H2563" s="42" t="s">
        <v>238</v>
      </c>
    </row>
    <row r="2564" spans="1:8" x14ac:dyDescent="0.25">
      <c r="A2564" s="19" t="s">
        <v>2811</v>
      </c>
      <c r="B2564" s="42" t="s">
        <v>3</v>
      </c>
      <c r="C2564" s="19" t="s">
        <v>239</v>
      </c>
      <c r="D2564" s="3">
        <v>1</v>
      </c>
      <c r="G2564" s="43">
        <v>44061</v>
      </c>
      <c r="H2564" s="42" t="s">
        <v>238</v>
      </c>
    </row>
    <row r="2565" spans="1:8" x14ac:dyDescent="0.25">
      <c r="A2565" s="19" t="s">
        <v>2812</v>
      </c>
      <c r="B2565" s="42" t="s">
        <v>3</v>
      </c>
      <c r="C2565" s="19" t="s">
        <v>241</v>
      </c>
      <c r="D2565" s="3">
        <v>1</v>
      </c>
      <c r="G2565" s="43">
        <v>44061</v>
      </c>
      <c r="H2565" s="42" t="s">
        <v>238</v>
      </c>
    </row>
    <row r="2566" spans="1:8" x14ac:dyDescent="0.25">
      <c r="A2566" s="19" t="s">
        <v>2813</v>
      </c>
      <c r="B2566" s="42" t="s">
        <v>3</v>
      </c>
      <c r="C2566" s="19" t="s">
        <v>239</v>
      </c>
      <c r="D2566" s="3">
        <v>1</v>
      </c>
      <c r="G2566" s="43">
        <v>44061</v>
      </c>
      <c r="H2566" s="42" t="s">
        <v>238</v>
      </c>
    </row>
    <row r="2567" spans="1:8" x14ac:dyDescent="0.25">
      <c r="A2567" s="19" t="s">
        <v>2814</v>
      </c>
      <c r="B2567" s="42" t="s">
        <v>3</v>
      </c>
      <c r="C2567" s="19" t="s">
        <v>240</v>
      </c>
      <c r="D2567" s="3">
        <v>1</v>
      </c>
      <c r="G2567" s="43">
        <v>44061</v>
      </c>
      <c r="H2567" s="42" t="s">
        <v>238</v>
      </c>
    </row>
    <row r="2568" spans="1:8" x14ac:dyDescent="0.25">
      <c r="A2568" s="19" t="s">
        <v>2815</v>
      </c>
      <c r="B2568" s="42" t="s">
        <v>3</v>
      </c>
      <c r="C2568" s="19" t="s">
        <v>239</v>
      </c>
      <c r="D2568" s="3">
        <v>1</v>
      </c>
      <c r="G2568" s="43">
        <v>44061</v>
      </c>
      <c r="H2568" s="42" t="s">
        <v>238</v>
      </c>
    </row>
    <row r="2569" spans="1:8" x14ac:dyDescent="0.25">
      <c r="A2569" s="19" t="s">
        <v>2816</v>
      </c>
      <c r="B2569" s="42" t="s">
        <v>3</v>
      </c>
      <c r="C2569" s="19" t="s">
        <v>243</v>
      </c>
      <c r="D2569" s="3">
        <v>1</v>
      </c>
      <c r="G2569" s="43">
        <v>44061</v>
      </c>
      <c r="H2569" s="42" t="s">
        <v>238</v>
      </c>
    </row>
    <row r="2570" spans="1:8" x14ac:dyDescent="0.25">
      <c r="A2570" s="19" t="s">
        <v>2817</v>
      </c>
      <c r="B2570" s="42" t="s">
        <v>3</v>
      </c>
      <c r="C2570" s="19" t="s">
        <v>239</v>
      </c>
      <c r="D2570" s="3">
        <v>1</v>
      </c>
      <c r="G2570" s="43">
        <v>44061</v>
      </c>
      <c r="H2570" s="42" t="s">
        <v>238</v>
      </c>
    </row>
    <row r="2571" spans="1:8" x14ac:dyDescent="0.25">
      <c r="A2571" s="19" t="s">
        <v>2818</v>
      </c>
      <c r="B2571" s="42" t="s">
        <v>3</v>
      </c>
      <c r="C2571" s="19" t="s">
        <v>239</v>
      </c>
      <c r="D2571" s="3">
        <v>1</v>
      </c>
      <c r="G2571" s="43">
        <v>44061</v>
      </c>
      <c r="H2571" s="42" t="s">
        <v>238</v>
      </c>
    </row>
    <row r="2572" spans="1:8" x14ac:dyDescent="0.25">
      <c r="A2572" s="19" t="s">
        <v>2819</v>
      </c>
      <c r="B2572" s="42" t="s">
        <v>3</v>
      </c>
      <c r="C2572" s="19" t="s">
        <v>240</v>
      </c>
      <c r="D2572" s="3">
        <v>1</v>
      </c>
      <c r="G2572" s="43">
        <v>44061</v>
      </c>
      <c r="H2572" s="42" t="s">
        <v>238</v>
      </c>
    </row>
    <row r="2573" spans="1:8" x14ac:dyDescent="0.25">
      <c r="A2573" s="19" t="s">
        <v>2820</v>
      </c>
      <c r="B2573" s="42" t="s">
        <v>3</v>
      </c>
      <c r="C2573" s="19" t="s">
        <v>239</v>
      </c>
      <c r="D2573" s="3">
        <v>1</v>
      </c>
      <c r="G2573" s="43">
        <v>44061</v>
      </c>
      <c r="H2573" s="42" t="s">
        <v>238</v>
      </c>
    </row>
    <row r="2574" spans="1:8" x14ac:dyDescent="0.25">
      <c r="A2574" s="19" t="s">
        <v>2821</v>
      </c>
      <c r="B2574" s="42" t="s">
        <v>3</v>
      </c>
      <c r="C2574" s="19" t="s">
        <v>243</v>
      </c>
      <c r="D2574" s="3">
        <v>1</v>
      </c>
      <c r="G2574" s="43">
        <v>44061</v>
      </c>
      <c r="H2574" s="42" t="s">
        <v>238</v>
      </c>
    </row>
    <row r="2575" spans="1:8" x14ac:dyDescent="0.25">
      <c r="A2575" s="19" t="s">
        <v>2822</v>
      </c>
      <c r="B2575" s="42" t="s">
        <v>3</v>
      </c>
      <c r="C2575" s="19" t="s">
        <v>240</v>
      </c>
      <c r="D2575" s="3">
        <v>1</v>
      </c>
      <c r="G2575" s="43">
        <v>44061</v>
      </c>
      <c r="H2575" s="42" t="s">
        <v>238</v>
      </c>
    </row>
    <row r="2576" spans="1:8" x14ac:dyDescent="0.25">
      <c r="A2576" s="19" t="s">
        <v>2823</v>
      </c>
      <c r="B2576" s="42" t="s">
        <v>3</v>
      </c>
      <c r="C2576" s="19" t="s">
        <v>240</v>
      </c>
      <c r="D2576" s="3">
        <v>1</v>
      </c>
      <c r="G2576" s="43">
        <v>44061</v>
      </c>
      <c r="H2576" s="42" t="s">
        <v>238</v>
      </c>
    </row>
    <row r="2577" spans="1:8" x14ac:dyDescent="0.25">
      <c r="A2577" s="19" t="s">
        <v>2824</v>
      </c>
      <c r="B2577" s="42" t="s">
        <v>3</v>
      </c>
      <c r="C2577" s="19" t="s">
        <v>240</v>
      </c>
      <c r="D2577" s="3">
        <v>1</v>
      </c>
      <c r="G2577" s="43">
        <v>44061</v>
      </c>
      <c r="H2577" s="42" t="s">
        <v>238</v>
      </c>
    </row>
    <row r="2578" spans="1:8" x14ac:dyDescent="0.25">
      <c r="A2578" s="19" t="s">
        <v>2825</v>
      </c>
      <c r="B2578" s="42" t="s">
        <v>3</v>
      </c>
      <c r="C2578" s="19" t="s">
        <v>239</v>
      </c>
      <c r="D2578" s="3">
        <v>1</v>
      </c>
      <c r="G2578" s="43">
        <v>44061</v>
      </c>
      <c r="H2578" s="42" t="s">
        <v>238</v>
      </c>
    </row>
    <row r="2579" spans="1:8" x14ac:dyDescent="0.25">
      <c r="A2579" s="19" t="s">
        <v>2826</v>
      </c>
      <c r="B2579" s="42" t="s">
        <v>3</v>
      </c>
      <c r="C2579" s="19" t="s">
        <v>239</v>
      </c>
      <c r="D2579" s="3">
        <v>1</v>
      </c>
      <c r="G2579" s="43">
        <v>44061</v>
      </c>
      <c r="H2579" s="42" t="s">
        <v>238</v>
      </c>
    </row>
    <row r="2580" spans="1:8" x14ac:dyDescent="0.25">
      <c r="A2580" s="19" t="s">
        <v>2827</v>
      </c>
      <c r="B2580" s="42" t="s">
        <v>3</v>
      </c>
      <c r="C2580" s="19" t="s">
        <v>240</v>
      </c>
      <c r="D2580" s="3">
        <v>1</v>
      </c>
      <c r="G2580" s="43">
        <v>44061</v>
      </c>
      <c r="H2580" s="42" t="s">
        <v>238</v>
      </c>
    </row>
    <row r="2581" spans="1:8" x14ac:dyDescent="0.25">
      <c r="A2581" s="19" t="s">
        <v>2828</v>
      </c>
      <c r="B2581" s="42" t="s">
        <v>3</v>
      </c>
      <c r="C2581" s="19" t="s">
        <v>239</v>
      </c>
      <c r="D2581" s="3">
        <v>1</v>
      </c>
      <c r="G2581" s="43">
        <v>44061</v>
      </c>
      <c r="H2581" s="42" t="s">
        <v>238</v>
      </c>
    </row>
    <row r="2582" spans="1:8" x14ac:dyDescent="0.25">
      <c r="A2582" s="19" t="s">
        <v>2829</v>
      </c>
      <c r="B2582" s="42" t="s">
        <v>3</v>
      </c>
      <c r="C2582" s="19" t="s">
        <v>239</v>
      </c>
      <c r="D2582" s="3">
        <v>1</v>
      </c>
      <c r="G2582" s="43">
        <v>44061</v>
      </c>
      <c r="H2582" s="42" t="s">
        <v>238</v>
      </c>
    </row>
    <row r="2583" spans="1:8" x14ac:dyDescent="0.25">
      <c r="A2583" s="19" t="s">
        <v>2830</v>
      </c>
      <c r="B2583" s="42" t="s">
        <v>3</v>
      </c>
      <c r="C2583" s="19" t="s">
        <v>239</v>
      </c>
      <c r="D2583" s="3">
        <v>1</v>
      </c>
      <c r="G2583" s="43">
        <v>44061</v>
      </c>
      <c r="H2583" s="42" t="s">
        <v>238</v>
      </c>
    </row>
    <row r="2584" spans="1:8" x14ac:dyDescent="0.25">
      <c r="A2584" s="19" t="s">
        <v>2831</v>
      </c>
      <c r="B2584" s="42" t="s">
        <v>3</v>
      </c>
      <c r="C2584" s="19" t="s">
        <v>239</v>
      </c>
      <c r="D2584" s="3">
        <v>1</v>
      </c>
      <c r="G2584" s="43">
        <v>44061</v>
      </c>
      <c r="H2584" s="42" t="s">
        <v>238</v>
      </c>
    </row>
    <row r="2585" spans="1:8" x14ac:dyDescent="0.25">
      <c r="A2585" s="19" t="s">
        <v>2832</v>
      </c>
      <c r="B2585" s="42" t="s">
        <v>3</v>
      </c>
      <c r="C2585" s="19" t="s">
        <v>243</v>
      </c>
      <c r="D2585" s="3">
        <v>1</v>
      </c>
      <c r="G2585" s="43">
        <v>44061</v>
      </c>
      <c r="H2585" s="42" t="s">
        <v>238</v>
      </c>
    </row>
    <row r="2586" spans="1:8" x14ac:dyDescent="0.25">
      <c r="A2586" s="19" t="s">
        <v>2833</v>
      </c>
      <c r="B2586" s="42" t="s">
        <v>3</v>
      </c>
      <c r="C2586" s="19" t="s">
        <v>245</v>
      </c>
      <c r="D2586" s="3">
        <v>1</v>
      </c>
      <c r="G2586" s="43">
        <v>44061</v>
      </c>
      <c r="H2586" s="42" t="s">
        <v>238</v>
      </c>
    </row>
    <row r="2587" spans="1:8" x14ac:dyDescent="0.25">
      <c r="A2587" s="19" t="s">
        <v>2834</v>
      </c>
      <c r="B2587" s="42" t="s">
        <v>3</v>
      </c>
      <c r="C2587" s="19" t="s">
        <v>239</v>
      </c>
      <c r="D2587" s="3">
        <v>1</v>
      </c>
      <c r="G2587" s="43">
        <v>44061</v>
      </c>
      <c r="H2587" s="42" t="s">
        <v>238</v>
      </c>
    </row>
    <row r="2588" spans="1:8" x14ac:dyDescent="0.25">
      <c r="A2588" s="19" t="s">
        <v>2835</v>
      </c>
      <c r="B2588" s="42" t="s">
        <v>3</v>
      </c>
      <c r="C2588" s="19" t="s">
        <v>239</v>
      </c>
      <c r="D2588" s="3">
        <v>1</v>
      </c>
      <c r="G2588" s="43">
        <v>44061</v>
      </c>
      <c r="H2588" s="42" t="s">
        <v>238</v>
      </c>
    </row>
    <row r="2589" spans="1:8" x14ac:dyDescent="0.25">
      <c r="A2589" s="19" t="s">
        <v>2836</v>
      </c>
      <c r="B2589" s="42" t="s">
        <v>3</v>
      </c>
      <c r="C2589" s="19" t="s">
        <v>241</v>
      </c>
      <c r="D2589" s="3">
        <v>1</v>
      </c>
      <c r="G2589" s="43">
        <v>44061</v>
      </c>
      <c r="H2589" s="42" t="s">
        <v>238</v>
      </c>
    </row>
    <row r="2590" spans="1:8" x14ac:dyDescent="0.25">
      <c r="A2590" s="19" t="s">
        <v>2837</v>
      </c>
      <c r="B2590" s="42" t="s">
        <v>3</v>
      </c>
      <c r="C2590" s="19" t="s">
        <v>244</v>
      </c>
      <c r="D2590" s="3">
        <v>1</v>
      </c>
      <c r="G2590" s="43">
        <v>44061</v>
      </c>
      <c r="H2590" s="42" t="s">
        <v>238</v>
      </c>
    </row>
    <row r="2591" spans="1:8" x14ac:dyDescent="0.25">
      <c r="A2591" s="19" t="s">
        <v>2838</v>
      </c>
      <c r="B2591" s="42" t="s">
        <v>3</v>
      </c>
      <c r="C2591" s="19" t="s">
        <v>239</v>
      </c>
      <c r="D2591" s="3">
        <v>1</v>
      </c>
      <c r="G2591" s="43">
        <v>44061</v>
      </c>
      <c r="H2591" s="42" t="s">
        <v>238</v>
      </c>
    </row>
    <row r="2592" spans="1:8" x14ac:dyDescent="0.25">
      <c r="A2592" s="19" t="s">
        <v>2839</v>
      </c>
      <c r="B2592" s="42" t="s">
        <v>3</v>
      </c>
      <c r="C2592" s="19" t="s">
        <v>239</v>
      </c>
      <c r="D2592" s="3">
        <v>1</v>
      </c>
      <c r="G2592" s="43">
        <v>44061</v>
      </c>
      <c r="H2592" s="42" t="s">
        <v>238</v>
      </c>
    </row>
    <row r="2593" spans="1:8" x14ac:dyDescent="0.25">
      <c r="A2593" s="19" t="s">
        <v>2840</v>
      </c>
      <c r="B2593" s="42" t="s">
        <v>3</v>
      </c>
      <c r="C2593" s="19" t="s">
        <v>239</v>
      </c>
      <c r="D2593" s="3">
        <v>1</v>
      </c>
      <c r="G2593" s="43">
        <v>44061</v>
      </c>
      <c r="H2593" s="42" t="s">
        <v>238</v>
      </c>
    </row>
    <row r="2594" spans="1:8" x14ac:dyDescent="0.25">
      <c r="A2594" s="19" t="s">
        <v>2841</v>
      </c>
      <c r="B2594" s="42" t="s">
        <v>3</v>
      </c>
      <c r="C2594" s="19" t="s">
        <v>241</v>
      </c>
      <c r="D2594" s="3">
        <v>1</v>
      </c>
      <c r="G2594" s="43">
        <v>44061</v>
      </c>
      <c r="H2594" s="42" t="s">
        <v>238</v>
      </c>
    </row>
    <row r="2595" spans="1:8" x14ac:dyDescent="0.25">
      <c r="A2595" s="19" t="s">
        <v>2842</v>
      </c>
      <c r="B2595" s="42" t="s">
        <v>3</v>
      </c>
      <c r="C2595" s="19" t="s">
        <v>239</v>
      </c>
      <c r="D2595" s="3">
        <v>1</v>
      </c>
      <c r="G2595" s="43">
        <v>44061</v>
      </c>
      <c r="H2595" s="42" t="s">
        <v>238</v>
      </c>
    </row>
    <row r="2596" spans="1:8" x14ac:dyDescent="0.25">
      <c r="A2596" s="19" t="s">
        <v>2843</v>
      </c>
      <c r="B2596" s="42" t="s">
        <v>3</v>
      </c>
      <c r="C2596" s="19" t="s">
        <v>239</v>
      </c>
      <c r="D2596" s="3">
        <v>1</v>
      </c>
      <c r="G2596" s="43">
        <v>44061</v>
      </c>
      <c r="H2596" s="42" t="s">
        <v>238</v>
      </c>
    </row>
    <row r="2597" spans="1:8" x14ac:dyDescent="0.25">
      <c r="A2597" s="19" t="s">
        <v>2844</v>
      </c>
      <c r="B2597" s="42" t="s">
        <v>3</v>
      </c>
      <c r="C2597" s="19" t="s">
        <v>241</v>
      </c>
      <c r="D2597" s="3">
        <v>1</v>
      </c>
      <c r="G2597" s="43">
        <v>44061</v>
      </c>
      <c r="H2597" s="42" t="s">
        <v>238</v>
      </c>
    </row>
    <row r="2598" spans="1:8" x14ac:dyDescent="0.25">
      <c r="A2598" s="19" t="s">
        <v>2845</v>
      </c>
      <c r="B2598" s="42" t="s">
        <v>3</v>
      </c>
      <c r="C2598" s="19" t="s">
        <v>239</v>
      </c>
      <c r="D2598" s="3">
        <v>1</v>
      </c>
      <c r="G2598" s="43">
        <v>44061</v>
      </c>
      <c r="H2598" s="42" t="s">
        <v>238</v>
      </c>
    </row>
    <row r="2599" spans="1:8" x14ac:dyDescent="0.25">
      <c r="A2599" s="19" t="s">
        <v>2846</v>
      </c>
      <c r="B2599" s="42" t="s">
        <v>3</v>
      </c>
      <c r="C2599" s="19" t="s">
        <v>239</v>
      </c>
      <c r="D2599" s="3">
        <v>1</v>
      </c>
      <c r="G2599" s="43">
        <v>44061</v>
      </c>
      <c r="H2599" s="42" t="s">
        <v>238</v>
      </c>
    </row>
    <row r="2600" spans="1:8" x14ac:dyDescent="0.25">
      <c r="A2600" s="19" t="s">
        <v>2847</v>
      </c>
      <c r="B2600" s="42" t="s">
        <v>120</v>
      </c>
      <c r="C2600" s="19" t="s">
        <v>240</v>
      </c>
      <c r="D2600" s="3">
        <v>1</v>
      </c>
      <c r="E2600" s="42" t="s">
        <v>160</v>
      </c>
      <c r="G2600" s="43">
        <v>44061</v>
      </c>
      <c r="H2600" s="42" t="s">
        <v>238</v>
      </c>
    </row>
    <row r="2601" spans="1:8" x14ac:dyDescent="0.25">
      <c r="A2601" s="19" t="s">
        <v>2848</v>
      </c>
      <c r="B2601" s="42" t="s">
        <v>3</v>
      </c>
      <c r="C2601" s="19" t="s">
        <v>239</v>
      </c>
      <c r="D2601" s="3">
        <v>1</v>
      </c>
      <c r="G2601" s="43">
        <v>44061</v>
      </c>
      <c r="H2601" s="42" t="s">
        <v>238</v>
      </c>
    </row>
    <row r="2602" spans="1:8" x14ac:dyDescent="0.25">
      <c r="A2602" s="19" t="s">
        <v>2849</v>
      </c>
      <c r="B2602" s="42" t="s">
        <v>3</v>
      </c>
      <c r="C2602" s="19" t="s">
        <v>239</v>
      </c>
      <c r="D2602" s="3">
        <v>1</v>
      </c>
      <c r="G2602" s="43">
        <v>44061</v>
      </c>
      <c r="H2602" s="42" t="s">
        <v>238</v>
      </c>
    </row>
    <row r="2603" spans="1:8" x14ac:dyDescent="0.25">
      <c r="A2603" s="19" t="s">
        <v>2850</v>
      </c>
      <c r="B2603" s="42" t="s">
        <v>3</v>
      </c>
      <c r="C2603" s="19" t="s">
        <v>239</v>
      </c>
      <c r="D2603" s="3">
        <v>1</v>
      </c>
      <c r="G2603" s="43">
        <v>44061</v>
      </c>
      <c r="H2603" s="42" t="s">
        <v>238</v>
      </c>
    </row>
    <row r="2604" spans="1:8" x14ac:dyDescent="0.25">
      <c r="A2604" s="19" t="s">
        <v>2851</v>
      </c>
      <c r="B2604" s="42" t="s">
        <v>3</v>
      </c>
      <c r="C2604" s="19" t="s">
        <v>239</v>
      </c>
      <c r="D2604" s="3">
        <v>1</v>
      </c>
      <c r="G2604" s="43">
        <v>44061</v>
      </c>
      <c r="H2604" s="42" t="s">
        <v>238</v>
      </c>
    </row>
    <row r="2605" spans="1:8" x14ac:dyDescent="0.25">
      <c r="A2605" s="19" t="s">
        <v>2852</v>
      </c>
      <c r="B2605" s="42" t="s">
        <v>3</v>
      </c>
      <c r="C2605" s="19" t="s">
        <v>239</v>
      </c>
      <c r="D2605" s="3">
        <v>1</v>
      </c>
      <c r="G2605" s="43">
        <v>44061</v>
      </c>
      <c r="H2605" s="42" t="s">
        <v>238</v>
      </c>
    </row>
    <row r="2606" spans="1:8" x14ac:dyDescent="0.25">
      <c r="A2606" s="19" t="s">
        <v>2853</v>
      </c>
      <c r="B2606" s="42" t="s">
        <v>3</v>
      </c>
      <c r="C2606" s="19" t="s">
        <v>240</v>
      </c>
      <c r="D2606" s="3">
        <v>1</v>
      </c>
      <c r="G2606" s="43">
        <v>44061</v>
      </c>
      <c r="H2606" s="42" t="s">
        <v>238</v>
      </c>
    </row>
    <row r="2607" spans="1:8" x14ac:dyDescent="0.25">
      <c r="A2607" s="19" t="s">
        <v>2854</v>
      </c>
      <c r="B2607" s="42" t="s">
        <v>3</v>
      </c>
      <c r="C2607" s="19" t="s">
        <v>239</v>
      </c>
      <c r="D2607" s="3">
        <v>1</v>
      </c>
      <c r="G2607" s="43">
        <v>44061</v>
      </c>
      <c r="H2607" s="42" t="s">
        <v>238</v>
      </c>
    </row>
    <row r="2608" spans="1:8" x14ac:dyDescent="0.25">
      <c r="A2608" s="19" t="s">
        <v>2855</v>
      </c>
      <c r="B2608" s="42" t="s">
        <v>3</v>
      </c>
      <c r="C2608" s="19" t="s">
        <v>239</v>
      </c>
      <c r="D2608" s="3">
        <v>1</v>
      </c>
      <c r="G2608" s="43">
        <v>44061</v>
      </c>
      <c r="H2608" s="42" t="s">
        <v>238</v>
      </c>
    </row>
    <row r="2609" spans="1:8" x14ac:dyDescent="0.25">
      <c r="A2609" s="19" t="s">
        <v>2856</v>
      </c>
      <c r="B2609" s="42" t="s">
        <v>3</v>
      </c>
      <c r="C2609" s="19" t="s">
        <v>243</v>
      </c>
      <c r="D2609" s="3">
        <v>1</v>
      </c>
      <c r="G2609" s="43">
        <v>44061</v>
      </c>
      <c r="H2609" s="42" t="s">
        <v>238</v>
      </c>
    </row>
    <row r="2610" spans="1:8" x14ac:dyDescent="0.25">
      <c r="A2610" s="19" t="s">
        <v>2857</v>
      </c>
      <c r="B2610" s="42" t="s">
        <v>3</v>
      </c>
      <c r="C2610" s="19" t="s">
        <v>239</v>
      </c>
      <c r="D2610" s="3">
        <v>1</v>
      </c>
      <c r="G2610" s="43">
        <v>44061</v>
      </c>
      <c r="H2610" s="42" t="s">
        <v>238</v>
      </c>
    </row>
    <row r="2611" spans="1:8" x14ac:dyDescent="0.25">
      <c r="A2611" s="19" t="s">
        <v>2858</v>
      </c>
      <c r="B2611" s="42" t="s">
        <v>3</v>
      </c>
      <c r="C2611" s="19" t="s">
        <v>240</v>
      </c>
      <c r="D2611" s="3">
        <v>1</v>
      </c>
      <c r="G2611" s="43">
        <v>44061</v>
      </c>
      <c r="H2611" s="42" t="s">
        <v>238</v>
      </c>
    </row>
    <row r="2612" spans="1:8" x14ac:dyDescent="0.25">
      <c r="A2612" s="19" t="s">
        <v>2859</v>
      </c>
      <c r="B2612" s="42" t="s">
        <v>3</v>
      </c>
      <c r="C2612" s="19" t="s">
        <v>239</v>
      </c>
      <c r="D2612" s="3">
        <v>1</v>
      </c>
      <c r="G2612" s="43">
        <v>44061</v>
      </c>
      <c r="H2612" s="42" t="s">
        <v>238</v>
      </c>
    </row>
    <row r="2613" spans="1:8" x14ac:dyDescent="0.25">
      <c r="A2613" s="19" t="s">
        <v>2860</v>
      </c>
      <c r="B2613" s="42" t="s">
        <v>3</v>
      </c>
      <c r="C2613" s="19" t="s">
        <v>239</v>
      </c>
      <c r="D2613" s="3">
        <v>1</v>
      </c>
      <c r="G2613" s="43">
        <v>44061</v>
      </c>
      <c r="H2613" s="42" t="s">
        <v>238</v>
      </c>
    </row>
    <row r="2614" spans="1:8" x14ac:dyDescent="0.25">
      <c r="A2614" s="19" t="s">
        <v>2861</v>
      </c>
      <c r="B2614" s="42" t="s">
        <v>3</v>
      </c>
      <c r="C2614" s="19" t="s">
        <v>241</v>
      </c>
      <c r="D2614" s="3">
        <v>1</v>
      </c>
      <c r="G2614" s="43">
        <v>44061</v>
      </c>
      <c r="H2614" s="42" t="s">
        <v>238</v>
      </c>
    </row>
    <row r="2615" spans="1:8" x14ac:dyDescent="0.25">
      <c r="A2615" s="19" t="s">
        <v>2862</v>
      </c>
      <c r="B2615" s="42" t="s">
        <v>3</v>
      </c>
      <c r="C2615" s="19" t="s">
        <v>244</v>
      </c>
      <c r="D2615" s="3">
        <v>1</v>
      </c>
      <c r="G2615" s="43">
        <v>44061</v>
      </c>
      <c r="H2615" s="42" t="s">
        <v>238</v>
      </c>
    </row>
    <row r="2616" spans="1:8" x14ac:dyDescent="0.25">
      <c r="A2616" s="19" t="s">
        <v>2863</v>
      </c>
      <c r="B2616" s="42" t="s">
        <v>3</v>
      </c>
      <c r="C2616" s="19" t="s">
        <v>239</v>
      </c>
      <c r="D2616" s="3">
        <v>1</v>
      </c>
      <c r="G2616" s="43">
        <v>44062</v>
      </c>
      <c r="H2616" s="42" t="s">
        <v>238</v>
      </c>
    </row>
    <row r="2617" spans="1:8" x14ac:dyDescent="0.25">
      <c r="A2617" s="19" t="s">
        <v>2864</v>
      </c>
      <c r="B2617" s="42" t="s">
        <v>3</v>
      </c>
      <c r="C2617" s="19" t="s">
        <v>240</v>
      </c>
      <c r="D2617" s="3">
        <v>1</v>
      </c>
      <c r="G2617" s="43">
        <v>44062</v>
      </c>
      <c r="H2617" s="42" t="s">
        <v>238</v>
      </c>
    </row>
    <row r="2618" spans="1:8" x14ac:dyDescent="0.25">
      <c r="A2618" s="19" t="s">
        <v>2865</v>
      </c>
      <c r="B2618" s="42" t="s">
        <v>3</v>
      </c>
      <c r="C2618" s="19" t="s">
        <v>240</v>
      </c>
      <c r="D2618" s="3">
        <v>1</v>
      </c>
      <c r="G2618" s="43">
        <v>44062</v>
      </c>
      <c r="H2618" s="42" t="s">
        <v>238</v>
      </c>
    </row>
    <row r="2619" spans="1:8" x14ac:dyDescent="0.25">
      <c r="A2619" s="19" t="s">
        <v>2866</v>
      </c>
      <c r="B2619" s="42" t="s">
        <v>3</v>
      </c>
      <c r="C2619" s="19" t="s">
        <v>239</v>
      </c>
      <c r="D2619" s="3">
        <v>1</v>
      </c>
      <c r="G2619" s="43">
        <v>44062</v>
      </c>
      <c r="H2619" s="42" t="s">
        <v>238</v>
      </c>
    </row>
    <row r="2620" spans="1:8" x14ac:dyDescent="0.25">
      <c r="A2620" s="19" t="s">
        <v>2867</v>
      </c>
      <c r="B2620" s="42" t="s">
        <v>3</v>
      </c>
      <c r="C2620" s="19" t="s">
        <v>239</v>
      </c>
      <c r="D2620" s="3">
        <v>1</v>
      </c>
      <c r="G2620" s="43">
        <v>44062</v>
      </c>
      <c r="H2620" s="42" t="s">
        <v>238</v>
      </c>
    </row>
    <row r="2621" spans="1:8" x14ac:dyDescent="0.25">
      <c r="A2621" s="19" t="s">
        <v>2868</v>
      </c>
      <c r="B2621" s="42" t="s">
        <v>3</v>
      </c>
      <c r="C2621" s="19" t="s">
        <v>239</v>
      </c>
      <c r="D2621" s="3">
        <v>1</v>
      </c>
      <c r="G2621" s="43">
        <v>44062</v>
      </c>
      <c r="H2621" s="42" t="s">
        <v>238</v>
      </c>
    </row>
    <row r="2622" spans="1:8" x14ac:dyDescent="0.25">
      <c r="A2622" s="19" t="s">
        <v>2869</v>
      </c>
      <c r="B2622" s="42" t="s">
        <v>3</v>
      </c>
      <c r="C2622" s="19" t="s">
        <v>239</v>
      </c>
      <c r="D2622" s="3">
        <v>1</v>
      </c>
      <c r="G2622" s="43">
        <v>44062</v>
      </c>
      <c r="H2622" s="42" t="s">
        <v>238</v>
      </c>
    </row>
    <row r="2623" spans="1:8" x14ac:dyDescent="0.25">
      <c r="A2623" s="19" t="s">
        <v>2870</v>
      </c>
      <c r="B2623" s="42" t="s">
        <v>3</v>
      </c>
      <c r="C2623" s="19" t="s">
        <v>239</v>
      </c>
      <c r="D2623" s="3">
        <v>1</v>
      </c>
      <c r="G2623" s="43">
        <v>44062</v>
      </c>
      <c r="H2623" s="42" t="s">
        <v>238</v>
      </c>
    </row>
    <row r="2624" spans="1:8" x14ac:dyDescent="0.25">
      <c r="A2624" s="19" t="s">
        <v>2871</v>
      </c>
      <c r="B2624" s="42" t="s">
        <v>3</v>
      </c>
      <c r="C2624" s="19" t="s">
        <v>239</v>
      </c>
      <c r="D2624" s="3">
        <v>1</v>
      </c>
      <c r="G2624" s="43">
        <v>44062</v>
      </c>
      <c r="H2624" s="42" t="s">
        <v>238</v>
      </c>
    </row>
    <row r="2625" spans="1:8" x14ac:dyDescent="0.25">
      <c r="A2625" s="19" t="s">
        <v>2872</v>
      </c>
      <c r="B2625" s="42" t="s">
        <v>3</v>
      </c>
      <c r="C2625" s="19" t="s">
        <v>246</v>
      </c>
      <c r="D2625" s="3">
        <v>1</v>
      </c>
      <c r="G2625" s="43">
        <v>44062</v>
      </c>
      <c r="H2625" s="42" t="s">
        <v>238</v>
      </c>
    </row>
    <row r="2626" spans="1:8" x14ac:dyDescent="0.25">
      <c r="A2626" s="19" t="s">
        <v>2873</v>
      </c>
      <c r="B2626" s="42" t="s">
        <v>3</v>
      </c>
      <c r="C2626" s="19" t="s">
        <v>239</v>
      </c>
      <c r="D2626" s="3">
        <v>1</v>
      </c>
      <c r="G2626" s="43">
        <v>44062</v>
      </c>
      <c r="H2626" s="42" t="s">
        <v>238</v>
      </c>
    </row>
    <row r="2627" spans="1:8" x14ac:dyDescent="0.25">
      <c r="A2627" s="19" t="s">
        <v>2874</v>
      </c>
      <c r="B2627" s="42" t="s">
        <v>3</v>
      </c>
      <c r="C2627" s="19" t="s">
        <v>244</v>
      </c>
      <c r="D2627" s="3">
        <v>1</v>
      </c>
      <c r="G2627" s="43">
        <v>44062</v>
      </c>
      <c r="H2627" s="42" t="s">
        <v>238</v>
      </c>
    </row>
    <row r="2628" spans="1:8" x14ac:dyDescent="0.25">
      <c r="A2628" s="19" t="s">
        <v>2875</v>
      </c>
      <c r="B2628" s="42" t="s">
        <v>3</v>
      </c>
      <c r="C2628" s="19" t="s">
        <v>239</v>
      </c>
      <c r="D2628" s="3">
        <v>1</v>
      </c>
      <c r="G2628" s="43">
        <v>44062</v>
      </c>
      <c r="H2628" s="42" t="s">
        <v>238</v>
      </c>
    </row>
    <row r="2629" spans="1:8" x14ac:dyDescent="0.25">
      <c r="A2629" s="19" t="s">
        <v>2876</v>
      </c>
      <c r="B2629" s="42" t="s">
        <v>3</v>
      </c>
      <c r="C2629" s="19" t="s">
        <v>240</v>
      </c>
      <c r="D2629" s="3">
        <v>1</v>
      </c>
      <c r="G2629" s="43">
        <v>44062</v>
      </c>
      <c r="H2629" s="42" t="s">
        <v>238</v>
      </c>
    </row>
    <row r="2630" spans="1:8" x14ac:dyDescent="0.25">
      <c r="A2630" s="19" t="s">
        <v>2877</v>
      </c>
      <c r="B2630" s="42" t="s">
        <v>3</v>
      </c>
      <c r="C2630" s="19" t="s">
        <v>239</v>
      </c>
      <c r="D2630" s="3">
        <v>1</v>
      </c>
      <c r="G2630" s="43">
        <v>44062</v>
      </c>
      <c r="H2630" s="42" t="s">
        <v>238</v>
      </c>
    </row>
    <row r="2631" spans="1:8" x14ac:dyDescent="0.25">
      <c r="A2631" s="19" t="s">
        <v>2878</v>
      </c>
      <c r="B2631" s="42" t="s">
        <v>3</v>
      </c>
      <c r="C2631" s="19" t="s">
        <v>239</v>
      </c>
      <c r="D2631" s="3">
        <v>1</v>
      </c>
      <c r="G2631" s="43">
        <v>44062</v>
      </c>
      <c r="H2631" s="42" t="s">
        <v>238</v>
      </c>
    </row>
    <row r="2632" spans="1:8" x14ac:dyDescent="0.25">
      <c r="A2632" s="19" t="s">
        <v>2879</v>
      </c>
      <c r="B2632" s="42" t="s">
        <v>3</v>
      </c>
      <c r="C2632" s="19" t="s">
        <v>240</v>
      </c>
      <c r="D2632" s="3">
        <v>1</v>
      </c>
      <c r="G2632" s="43">
        <v>44062</v>
      </c>
      <c r="H2632" s="42" t="s">
        <v>238</v>
      </c>
    </row>
    <row r="2633" spans="1:8" x14ac:dyDescent="0.25">
      <c r="A2633" s="19" t="s">
        <v>2880</v>
      </c>
      <c r="B2633" s="42" t="s">
        <v>3</v>
      </c>
      <c r="C2633" s="19" t="s">
        <v>240</v>
      </c>
      <c r="D2633" s="3">
        <v>1</v>
      </c>
      <c r="G2633" s="43">
        <v>44062</v>
      </c>
      <c r="H2633" s="42" t="s">
        <v>238</v>
      </c>
    </row>
    <row r="2634" spans="1:8" x14ac:dyDescent="0.25">
      <c r="A2634" s="19" t="s">
        <v>2881</v>
      </c>
      <c r="B2634" s="42" t="s">
        <v>3</v>
      </c>
      <c r="C2634" s="19" t="s">
        <v>239</v>
      </c>
      <c r="D2634" s="3">
        <v>1</v>
      </c>
      <c r="G2634" s="43">
        <v>44062</v>
      </c>
      <c r="H2634" s="42" t="s">
        <v>238</v>
      </c>
    </row>
    <row r="2635" spans="1:8" x14ac:dyDescent="0.25">
      <c r="A2635" s="19" t="s">
        <v>2882</v>
      </c>
      <c r="B2635" s="42" t="s">
        <v>3</v>
      </c>
      <c r="C2635" s="19" t="s">
        <v>242</v>
      </c>
      <c r="D2635" s="3">
        <v>1</v>
      </c>
      <c r="G2635" s="43">
        <v>44062</v>
      </c>
      <c r="H2635" s="42" t="s">
        <v>238</v>
      </c>
    </row>
    <row r="2636" spans="1:8" x14ac:dyDescent="0.25">
      <c r="A2636" s="19" t="s">
        <v>2883</v>
      </c>
      <c r="B2636" s="42" t="s">
        <v>3</v>
      </c>
      <c r="C2636" s="19" t="s">
        <v>243</v>
      </c>
      <c r="D2636" s="3">
        <v>1</v>
      </c>
      <c r="G2636" s="43">
        <v>44062</v>
      </c>
      <c r="H2636" s="42" t="s">
        <v>238</v>
      </c>
    </row>
    <row r="2637" spans="1:8" x14ac:dyDescent="0.25">
      <c r="A2637" s="19" t="s">
        <v>2884</v>
      </c>
      <c r="B2637" s="42" t="s">
        <v>3</v>
      </c>
      <c r="C2637" s="19" t="s">
        <v>239</v>
      </c>
      <c r="D2637" s="3">
        <v>1</v>
      </c>
      <c r="G2637" s="43">
        <v>44062</v>
      </c>
      <c r="H2637" s="42" t="s">
        <v>238</v>
      </c>
    </row>
    <row r="2638" spans="1:8" x14ac:dyDescent="0.25">
      <c r="A2638" s="19" t="s">
        <v>2885</v>
      </c>
      <c r="B2638" s="42" t="s">
        <v>3</v>
      </c>
      <c r="C2638" s="19" t="s">
        <v>239</v>
      </c>
      <c r="D2638" s="3">
        <v>1</v>
      </c>
      <c r="G2638" s="43">
        <v>44062</v>
      </c>
      <c r="H2638" s="42" t="s">
        <v>238</v>
      </c>
    </row>
    <row r="2639" spans="1:8" x14ac:dyDescent="0.25">
      <c r="A2639" s="19" t="s">
        <v>2886</v>
      </c>
      <c r="B2639" s="42" t="s">
        <v>3</v>
      </c>
      <c r="C2639" s="19" t="s">
        <v>241</v>
      </c>
      <c r="D2639" s="3">
        <v>1</v>
      </c>
      <c r="G2639" s="43">
        <v>44062</v>
      </c>
      <c r="H2639" s="42" t="s">
        <v>238</v>
      </c>
    </row>
    <row r="2640" spans="1:8" x14ac:dyDescent="0.25">
      <c r="A2640" s="19" t="s">
        <v>2887</v>
      </c>
      <c r="B2640" s="42" t="s">
        <v>3</v>
      </c>
      <c r="C2640" s="19" t="s">
        <v>239</v>
      </c>
      <c r="D2640" s="3">
        <v>1</v>
      </c>
      <c r="G2640" s="43">
        <v>44062</v>
      </c>
      <c r="H2640" s="42" t="s">
        <v>238</v>
      </c>
    </row>
    <row r="2641" spans="1:8" x14ac:dyDescent="0.25">
      <c r="A2641" s="19" t="s">
        <v>2888</v>
      </c>
      <c r="B2641" s="42" t="s">
        <v>3</v>
      </c>
      <c r="C2641" s="19" t="s">
        <v>240</v>
      </c>
      <c r="D2641" s="3">
        <v>1</v>
      </c>
      <c r="G2641" s="43">
        <v>44062</v>
      </c>
      <c r="H2641" s="42" t="s">
        <v>238</v>
      </c>
    </row>
    <row r="2642" spans="1:8" x14ac:dyDescent="0.25">
      <c r="A2642" s="19" t="s">
        <v>2889</v>
      </c>
      <c r="B2642" s="42" t="s">
        <v>3</v>
      </c>
      <c r="C2642" s="19" t="s">
        <v>241</v>
      </c>
      <c r="D2642" s="3">
        <v>1</v>
      </c>
      <c r="G2642" s="43">
        <v>44062</v>
      </c>
      <c r="H2642" s="42" t="s">
        <v>238</v>
      </c>
    </row>
    <row r="2643" spans="1:8" x14ac:dyDescent="0.25">
      <c r="A2643" s="19" t="s">
        <v>2890</v>
      </c>
      <c r="B2643" s="42" t="s">
        <v>3</v>
      </c>
      <c r="C2643" s="19" t="s">
        <v>240</v>
      </c>
      <c r="D2643" s="3">
        <v>1</v>
      </c>
      <c r="G2643" s="43">
        <v>44062</v>
      </c>
      <c r="H2643" s="42" t="s">
        <v>238</v>
      </c>
    </row>
    <row r="2644" spans="1:8" x14ac:dyDescent="0.25">
      <c r="A2644" s="19" t="s">
        <v>2891</v>
      </c>
      <c r="B2644" s="42" t="s">
        <v>3</v>
      </c>
      <c r="C2644" s="19" t="s">
        <v>239</v>
      </c>
      <c r="D2644" s="3">
        <v>1</v>
      </c>
      <c r="G2644" s="43">
        <v>44062</v>
      </c>
      <c r="H2644" s="42" t="s">
        <v>238</v>
      </c>
    </row>
    <row r="2645" spans="1:8" x14ac:dyDescent="0.25">
      <c r="A2645" s="19" t="s">
        <v>2892</v>
      </c>
      <c r="B2645" s="42" t="s">
        <v>3</v>
      </c>
      <c r="C2645" s="19" t="s">
        <v>239</v>
      </c>
      <c r="D2645" s="3">
        <v>1</v>
      </c>
      <c r="G2645" s="43">
        <v>44062</v>
      </c>
      <c r="H2645" s="42" t="s">
        <v>238</v>
      </c>
    </row>
    <row r="2646" spans="1:8" x14ac:dyDescent="0.25">
      <c r="A2646" s="19" t="s">
        <v>2893</v>
      </c>
      <c r="B2646" s="42" t="s">
        <v>3</v>
      </c>
      <c r="C2646" s="19" t="s">
        <v>243</v>
      </c>
      <c r="D2646" s="3">
        <v>1</v>
      </c>
      <c r="G2646" s="43">
        <v>44062</v>
      </c>
      <c r="H2646" s="42" t="s">
        <v>238</v>
      </c>
    </row>
    <row r="2647" spans="1:8" x14ac:dyDescent="0.25">
      <c r="A2647" s="19" t="s">
        <v>2894</v>
      </c>
      <c r="B2647" s="42" t="s">
        <v>3</v>
      </c>
      <c r="C2647" s="19" t="s">
        <v>239</v>
      </c>
      <c r="D2647" s="3">
        <v>1</v>
      </c>
      <c r="G2647" s="43">
        <v>44062</v>
      </c>
      <c r="H2647" s="42" t="s">
        <v>238</v>
      </c>
    </row>
    <row r="2648" spans="1:8" x14ac:dyDescent="0.25">
      <c r="A2648" s="19" t="s">
        <v>2895</v>
      </c>
      <c r="B2648" s="42" t="s">
        <v>3</v>
      </c>
      <c r="C2648" s="19" t="s">
        <v>240</v>
      </c>
      <c r="D2648" s="3">
        <v>1</v>
      </c>
      <c r="G2648" s="43">
        <v>44062</v>
      </c>
      <c r="H2648" s="42" t="s">
        <v>238</v>
      </c>
    </row>
    <row r="2649" spans="1:8" x14ac:dyDescent="0.25">
      <c r="A2649" s="19" t="s">
        <v>2896</v>
      </c>
      <c r="B2649" s="42" t="s">
        <v>3</v>
      </c>
      <c r="C2649" s="19" t="s">
        <v>239</v>
      </c>
      <c r="D2649" s="3">
        <v>1</v>
      </c>
      <c r="G2649" s="43">
        <v>44062</v>
      </c>
      <c r="H2649" s="42" t="s">
        <v>238</v>
      </c>
    </row>
    <row r="2650" spans="1:8" x14ac:dyDescent="0.25">
      <c r="A2650" s="19" t="s">
        <v>2897</v>
      </c>
      <c r="B2650" s="42" t="s">
        <v>3</v>
      </c>
      <c r="C2650" s="19" t="s">
        <v>239</v>
      </c>
      <c r="D2650" s="3">
        <v>1</v>
      </c>
      <c r="G2650" s="43">
        <v>44062</v>
      </c>
      <c r="H2650" s="42" t="s">
        <v>238</v>
      </c>
    </row>
    <row r="2651" spans="1:8" x14ac:dyDescent="0.25">
      <c r="A2651" s="19" t="s">
        <v>2898</v>
      </c>
      <c r="B2651" s="42" t="s">
        <v>3</v>
      </c>
      <c r="C2651" s="19" t="s">
        <v>239</v>
      </c>
      <c r="D2651" s="3">
        <v>1</v>
      </c>
      <c r="G2651" s="43">
        <v>44062</v>
      </c>
      <c r="H2651" s="42" t="s">
        <v>238</v>
      </c>
    </row>
    <row r="2652" spans="1:8" x14ac:dyDescent="0.25">
      <c r="A2652" s="19" t="s">
        <v>2899</v>
      </c>
      <c r="B2652" s="42" t="s">
        <v>3</v>
      </c>
      <c r="C2652" s="19" t="s">
        <v>243</v>
      </c>
      <c r="D2652" s="3">
        <v>1</v>
      </c>
      <c r="G2652" s="43">
        <v>44062</v>
      </c>
      <c r="H2652" s="42" t="s">
        <v>238</v>
      </c>
    </row>
    <row r="2653" spans="1:8" x14ac:dyDescent="0.25">
      <c r="A2653" s="19" t="s">
        <v>2900</v>
      </c>
      <c r="B2653" s="42" t="s">
        <v>3</v>
      </c>
      <c r="C2653" s="19" t="s">
        <v>240</v>
      </c>
      <c r="D2653" s="3">
        <v>1</v>
      </c>
      <c r="G2653" s="43">
        <v>44062</v>
      </c>
      <c r="H2653" s="42" t="s">
        <v>238</v>
      </c>
    </row>
    <row r="2654" spans="1:8" x14ac:dyDescent="0.25">
      <c r="A2654" s="19" t="s">
        <v>2901</v>
      </c>
      <c r="B2654" s="42" t="s">
        <v>3</v>
      </c>
      <c r="C2654" s="19" t="s">
        <v>239</v>
      </c>
      <c r="D2654" s="3">
        <v>1</v>
      </c>
      <c r="G2654" s="43">
        <v>44062</v>
      </c>
      <c r="H2654" s="42" t="s">
        <v>238</v>
      </c>
    </row>
    <row r="2655" spans="1:8" x14ac:dyDescent="0.25">
      <c r="A2655" s="19" t="s">
        <v>2902</v>
      </c>
      <c r="B2655" s="42" t="s">
        <v>3</v>
      </c>
      <c r="C2655" s="19" t="s">
        <v>247</v>
      </c>
      <c r="D2655" s="3">
        <v>1</v>
      </c>
      <c r="G2655" s="43">
        <v>44062</v>
      </c>
      <c r="H2655" s="42" t="s">
        <v>238</v>
      </c>
    </row>
    <row r="2656" spans="1:8" x14ac:dyDescent="0.25">
      <c r="A2656" s="19" t="s">
        <v>2903</v>
      </c>
      <c r="B2656" s="42" t="s">
        <v>3</v>
      </c>
      <c r="C2656" s="19" t="s">
        <v>239</v>
      </c>
      <c r="D2656" s="3">
        <v>1</v>
      </c>
      <c r="G2656" s="43">
        <v>44062</v>
      </c>
      <c r="H2656" s="42" t="s">
        <v>238</v>
      </c>
    </row>
    <row r="2657" spans="1:8" x14ac:dyDescent="0.25">
      <c r="A2657" s="19" t="s">
        <v>2904</v>
      </c>
      <c r="B2657" s="42" t="s">
        <v>3</v>
      </c>
      <c r="C2657" s="19" t="s">
        <v>239</v>
      </c>
      <c r="D2657" s="3">
        <v>1</v>
      </c>
      <c r="G2657" s="43">
        <v>44062</v>
      </c>
      <c r="H2657" s="42" t="s">
        <v>238</v>
      </c>
    </row>
    <row r="2658" spans="1:8" x14ac:dyDescent="0.25">
      <c r="A2658" s="19" t="s">
        <v>2905</v>
      </c>
      <c r="B2658" s="42" t="s">
        <v>3</v>
      </c>
      <c r="C2658" s="19" t="s">
        <v>245</v>
      </c>
      <c r="D2658" s="3">
        <v>1</v>
      </c>
      <c r="G2658" s="43">
        <v>44062</v>
      </c>
      <c r="H2658" s="42" t="s">
        <v>238</v>
      </c>
    </row>
    <row r="2659" spans="1:8" x14ac:dyDescent="0.25">
      <c r="A2659" s="19" t="s">
        <v>2906</v>
      </c>
      <c r="B2659" s="42" t="s">
        <v>3</v>
      </c>
      <c r="C2659" s="19" t="s">
        <v>239</v>
      </c>
      <c r="D2659" s="3">
        <v>1</v>
      </c>
      <c r="G2659" s="43">
        <v>44062</v>
      </c>
      <c r="H2659" s="42" t="s">
        <v>238</v>
      </c>
    </row>
    <row r="2660" spans="1:8" x14ac:dyDescent="0.25">
      <c r="A2660" s="19" t="s">
        <v>2907</v>
      </c>
      <c r="B2660" s="42" t="s">
        <v>3</v>
      </c>
      <c r="C2660" s="19" t="s">
        <v>239</v>
      </c>
      <c r="D2660" s="3">
        <v>1</v>
      </c>
      <c r="G2660" s="43">
        <v>44062</v>
      </c>
      <c r="H2660" s="42" t="s">
        <v>238</v>
      </c>
    </row>
    <row r="2661" spans="1:8" x14ac:dyDescent="0.25">
      <c r="A2661" s="19" t="s">
        <v>2908</v>
      </c>
      <c r="B2661" s="42" t="s">
        <v>3</v>
      </c>
      <c r="C2661" s="19" t="s">
        <v>240</v>
      </c>
      <c r="D2661" s="3">
        <v>1</v>
      </c>
      <c r="G2661" s="43">
        <v>44062</v>
      </c>
      <c r="H2661" s="42" t="s">
        <v>238</v>
      </c>
    </row>
    <row r="2662" spans="1:8" x14ac:dyDescent="0.25">
      <c r="A2662" s="19" t="s">
        <v>2909</v>
      </c>
      <c r="B2662" s="42" t="s">
        <v>3</v>
      </c>
      <c r="C2662" s="19" t="s">
        <v>239</v>
      </c>
      <c r="D2662" s="3">
        <v>1</v>
      </c>
      <c r="G2662" s="43">
        <v>44062</v>
      </c>
      <c r="H2662" s="42" t="s">
        <v>238</v>
      </c>
    </row>
    <row r="2663" spans="1:8" x14ac:dyDescent="0.25">
      <c r="A2663" s="19" t="s">
        <v>2910</v>
      </c>
      <c r="B2663" s="42" t="s">
        <v>120</v>
      </c>
      <c r="C2663" s="19" t="s">
        <v>239</v>
      </c>
      <c r="D2663" s="3">
        <v>1</v>
      </c>
      <c r="E2663" s="42" t="s">
        <v>160</v>
      </c>
      <c r="G2663" s="43">
        <v>44062</v>
      </c>
      <c r="H2663" s="42" t="s">
        <v>238</v>
      </c>
    </row>
    <row r="2664" spans="1:8" x14ac:dyDescent="0.25">
      <c r="A2664" s="19" t="s">
        <v>2911</v>
      </c>
      <c r="B2664" s="42" t="s">
        <v>3</v>
      </c>
      <c r="C2664" s="19" t="s">
        <v>240</v>
      </c>
      <c r="D2664" s="3">
        <v>1</v>
      </c>
      <c r="G2664" s="43">
        <v>44062</v>
      </c>
      <c r="H2664" s="42" t="s">
        <v>238</v>
      </c>
    </row>
    <row r="2665" spans="1:8" x14ac:dyDescent="0.25">
      <c r="A2665" s="3" t="s">
        <v>2912</v>
      </c>
      <c r="B2665" s="42" t="s">
        <v>3</v>
      </c>
      <c r="C2665" s="3">
        <v>18</v>
      </c>
      <c r="D2665" s="3">
        <v>1</v>
      </c>
      <c r="G2665" s="43">
        <v>44062</v>
      </c>
      <c r="H2665" s="42" t="s">
        <v>238</v>
      </c>
    </row>
    <row r="2666" spans="1:8" x14ac:dyDescent="0.25">
      <c r="A2666" s="19" t="s">
        <v>2913</v>
      </c>
      <c r="B2666" s="42" t="s">
        <v>3</v>
      </c>
      <c r="C2666" s="19" t="s">
        <v>239</v>
      </c>
      <c r="D2666" s="3">
        <v>1</v>
      </c>
      <c r="G2666" s="43">
        <v>44062</v>
      </c>
      <c r="H2666" s="42" t="s">
        <v>238</v>
      </c>
    </row>
    <row r="2667" spans="1:8" x14ac:dyDescent="0.25">
      <c r="A2667" s="19" t="s">
        <v>2914</v>
      </c>
      <c r="B2667" s="42" t="s">
        <v>3</v>
      </c>
      <c r="C2667" s="19" t="s">
        <v>239</v>
      </c>
      <c r="D2667" s="3">
        <v>1</v>
      </c>
      <c r="G2667" s="43">
        <v>44062</v>
      </c>
      <c r="H2667" s="42" t="s">
        <v>238</v>
      </c>
    </row>
    <row r="2668" spans="1:8" x14ac:dyDescent="0.25">
      <c r="A2668" s="19" t="s">
        <v>2915</v>
      </c>
      <c r="B2668" s="42" t="s">
        <v>3</v>
      </c>
      <c r="C2668" s="19" t="s">
        <v>239</v>
      </c>
      <c r="D2668" s="3">
        <v>1</v>
      </c>
      <c r="G2668" s="43">
        <v>44062</v>
      </c>
      <c r="H2668" s="42" t="s">
        <v>238</v>
      </c>
    </row>
    <row r="2669" spans="1:8" x14ac:dyDescent="0.25">
      <c r="A2669" s="19" t="s">
        <v>2916</v>
      </c>
      <c r="B2669" s="42" t="s">
        <v>3</v>
      </c>
      <c r="C2669" s="19" t="s">
        <v>240</v>
      </c>
      <c r="D2669" s="3">
        <v>1</v>
      </c>
      <c r="G2669" s="43">
        <v>44062</v>
      </c>
      <c r="H2669" s="42" t="s">
        <v>238</v>
      </c>
    </row>
    <row r="2670" spans="1:8" x14ac:dyDescent="0.25">
      <c r="A2670" s="19" t="s">
        <v>2917</v>
      </c>
      <c r="B2670" s="42" t="s">
        <v>3</v>
      </c>
      <c r="C2670" s="19" t="s">
        <v>239</v>
      </c>
      <c r="D2670" s="3">
        <v>1</v>
      </c>
      <c r="G2670" s="43">
        <v>44062</v>
      </c>
      <c r="H2670" s="42" t="s">
        <v>238</v>
      </c>
    </row>
    <row r="2671" spans="1:8" x14ac:dyDescent="0.25">
      <c r="A2671" s="19" t="s">
        <v>2918</v>
      </c>
      <c r="B2671" s="42" t="s">
        <v>3</v>
      </c>
      <c r="C2671" s="19" t="s">
        <v>239</v>
      </c>
      <c r="D2671" s="3">
        <v>1</v>
      </c>
      <c r="G2671" s="43">
        <v>44062</v>
      </c>
      <c r="H2671" s="42" t="s">
        <v>238</v>
      </c>
    </row>
    <row r="2672" spans="1:8" x14ac:dyDescent="0.25">
      <c r="A2672" s="19" t="s">
        <v>2919</v>
      </c>
      <c r="B2672" s="42" t="s">
        <v>3</v>
      </c>
      <c r="C2672" s="19" t="s">
        <v>239</v>
      </c>
      <c r="D2672" s="3">
        <v>1</v>
      </c>
      <c r="G2672" s="43">
        <v>44062</v>
      </c>
      <c r="H2672" s="42" t="s">
        <v>238</v>
      </c>
    </row>
    <row r="2673" spans="1:8" x14ac:dyDescent="0.25">
      <c r="A2673" s="19" t="s">
        <v>2920</v>
      </c>
      <c r="B2673" s="42" t="s">
        <v>3</v>
      </c>
      <c r="C2673" s="19" t="s">
        <v>240</v>
      </c>
      <c r="D2673" s="3">
        <v>1</v>
      </c>
      <c r="G2673" s="43">
        <v>44062</v>
      </c>
      <c r="H2673" s="42" t="s">
        <v>238</v>
      </c>
    </row>
    <row r="2674" spans="1:8" x14ac:dyDescent="0.25">
      <c r="A2674" s="19" t="s">
        <v>2921</v>
      </c>
      <c r="B2674" s="42" t="s">
        <v>3</v>
      </c>
      <c r="C2674" s="19" t="s">
        <v>239</v>
      </c>
      <c r="D2674" s="3">
        <v>1</v>
      </c>
      <c r="G2674" s="43">
        <v>44062</v>
      </c>
      <c r="H2674" s="42" t="s">
        <v>238</v>
      </c>
    </row>
    <row r="2675" spans="1:8" x14ac:dyDescent="0.25">
      <c r="A2675" s="19" t="s">
        <v>2922</v>
      </c>
      <c r="B2675" s="42" t="s">
        <v>3</v>
      </c>
      <c r="C2675" s="19" t="s">
        <v>239</v>
      </c>
      <c r="D2675" s="3">
        <v>1</v>
      </c>
      <c r="G2675" s="43">
        <v>44062</v>
      </c>
      <c r="H2675" s="42" t="s">
        <v>238</v>
      </c>
    </row>
    <row r="2676" spans="1:8" x14ac:dyDescent="0.25">
      <c r="A2676" s="19" t="s">
        <v>2923</v>
      </c>
      <c r="B2676" s="42" t="s">
        <v>3</v>
      </c>
      <c r="C2676" s="19" t="s">
        <v>239</v>
      </c>
      <c r="D2676" s="3">
        <v>1</v>
      </c>
      <c r="G2676" s="43">
        <v>44062</v>
      </c>
      <c r="H2676" s="42" t="s">
        <v>238</v>
      </c>
    </row>
    <row r="2677" spans="1:8" x14ac:dyDescent="0.25">
      <c r="A2677" s="19" t="s">
        <v>2924</v>
      </c>
      <c r="B2677" s="42" t="s">
        <v>120</v>
      </c>
      <c r="C2677" s="19" t="s">
        <v>239</v>
      </c>
      <c r="D2677" s="3">
        <v>1</v>
      </c>
      <c r="E2677" s="42" t="s">
        <v>160</v>
      </c>
      <c r="G2677" s="43">
        <v>44062</v>
      </c>
      <c r="H2677" s="42" t="s">
        <v>238</v>
      </c>
    </row>
    <row r="2678" spans="1:8" x14ac:dyDescent="0.25">
      <c r="A2678" s="19" t="s">
        <v>2925</v>
      </c>
      <c r="B2678" s="42" t="s">
        <v>3</v>
      </c>
      <c r="C2678" s="19" t="s">
        <v>239</v>
      </c>
      <c r="D2678" s="3">
        <v>1</v>
      </c>
      <c r="G2678" s="43">
        <v>44062</v>
      </c>
      <c r="H2678" s="42" t="s">
        <v>238</v>
      </c>
    </row>
    <row r="2679" spans="1:8" x14ac:dyDescent="0.25">
      <c r="A2679" s="19" t="s">
        <v>2926</v>
      </c>
      <c r="B2679" s="42" t="s">
        <v>3</v>
      </c>
      <c r="C2679" s="19" t="s">
        <v>239</v>
      </c>
      <c r="D2679" s="3">
        <v>1</v>
      </c>
      <c r="G2679" s="43">
        <v>44062</v>
      </c>
      <c r="H2679" s="42" t="s">
        <v>238</v>
      </c>
    </row>
    <row r="2680" spans="1:8" x14ac:dyDescent="0.25">
      <c r="A2680" s="19" t="s">
        <v>2927</v>
      </c>
      <c r="B2680" s="42" t="s">
        <v>3</v>
      </c>
      <c r="C2680" s="19" t="s">
        <v>239</v>
      </c>
      <c r="D2680" s="3">
        <v>1</v>
      </c>
      <c r="G2680" s="43">
        <v>44062</v>
      </c>
      <c r="H2680" s="42" t="s">
        <v>238</v>
      </c>
    </row>
    <row r="2681" spans="1:8" x14ac:dyDescent="0.25">
      <c r="A2681" s="19" t="s">
        <v>2928</v>
      </c>
      <c r="B2681" s="42" t="s">
        <v>3</v>
      </c>
      <c r="C2681" s="19" t="s">
        <v>239</v>
      </c>
      <c r="D2681" s="3">
        <v>1</v>
      </c>
      <c r="G2681" s="43">
        <v>44062</v>
      </c>
      <c r="H2681" s="42" t="s">
        <v>238</v>
      </c>
    </row>
    <row r="2682" spans="1:8" x14ac:dyDescent="0.25">
      <c r="A2682" s="19" t="s">
        <v>2929</v>
      </c>
      <c r="B2682" s="42" t="s">
        <v>3</v>
      </c>
      <c r="C2682" s="19" t="s">
        <v>239</v>
      </c>
      <c r="D2682" s="3">
        <v>1</v>
      </c>
      <c r="G2682" s="43">
        <v>44062</v>
      </c>
      <c r="H2682" s="42" t="s">
        <v>238</v>
      </c>
    </row>
    <row r="2683" spans="1:8" x14ac:dyDescent="0.25">
      <c r="A2683" s="3" t="s">
        <v>2930</v>
      </c>
      <c r="B2683" s="42" t="s">
        <v>3</v>
      </c>
      <c r="C2683" s="3">
        <v>18</v>
      </c>
      <c r="D2683" s="3">
        <v>1</v>
      </c>
      <c r="G2683" s="43">
        <v>44062</v>
      </c>
      <c r="H2683" s="42" t="s">
        <v>238</v>
      </c>
    </row>
    <row r="2684" spans="1:8" x14ac:dyDescent="0.25">
      <c r="A2684" s="3" t="s">
        <v>2931</v>
      </c>
      <c r="B2684" s="42" t="s">
        <v>3</v>
      </c>
      <c r="C2684" s="3">
        <v>18</v>
      </c>
      <c r="D2684" s="3">
        <v>1</v>
      </c>
      <c r="G2684" s="43">
        <v>44062</v>
      </c>
      <c r="H2684" s="42" t="s">
        <v>238</v>
      </c>
    </row>
    <row r="2685" spans="1:8" x14ac:dyDescent="0.25">
      <c r="A2685" s="19" t="s">
        <v>2932</v>
      </c>
      <c r="B2685" s="42" t="s">
        <v>3</v>
      </c>
      <c r="C2685" s="19" t="s">
        <v>239</v>
      </c>
      <c r="D2685" s="3">
        <v>1</v>
      </c>
      <c r="G2685" s="43">
        <v>44062</v>
      </c>
      <c r="H2685" s="42" t="s">
        <v>238</v>
      </c>
    </row>
    <row r="2686" spans="1:8" x14ac:dyDescent="0.25">
      <c r="A2686" s="19" t="s">
        <v>2933</v>
      </c>
      <c r="B2686" s="42" t="s">
        <v>3</v>
      </c>
      <c r="C2686" s="19" t="s">
        <v>239</v>
      </c>
      <c r="D2686" s="3">
        <v>1</v>
      </c>
      <c r="G2686" s="43">
        <v>44062</v>
      </c>
      <c r="H2686" s="42" t="s">
        <v>238</v>
      </c>
    </row>
    <row r="2687" spans="1:8" x14ac:dyDescent="0.25">
      <c r="A2687" s="19" t="s">
        <v>2934</v>
      </c>
      <c r="B2687" s="42" t="s">
        <v>3</v>
      </c>
      <c r="C2687" s="19" t="s">
        <v>239</v>
      </c>
      <c r="D2687" s="3">
        <v>1</v>
      </c>
      <c r="G2687" s="43">
        <v>44062</v>
      </c>
      <c r="H2687" s="42" t="s">
        <v>238</v>
      </c>
    </row>
    <row r="2688" spans="1:8" x14ac:dyDescent="0.25">
      <c r="A2688" s="19" t="s">
        <v>2935</v>
      </c>
      <c r="B2688" s="42" t="s">
        <v>3</v>
      </c>
      <c r="C2688" s="19" t="s">
        <v>240</v>
      </c>
      <c r="D2688" s="3">
        <v>1</v>
      </c>
      <c r="G2688" s="43">
        <v>44062</v>
      </c>
      <c r="H2688" s="42" t="s">
        <v>238</v>
      </c>
    </row>
    <row r="2689" spans="1:8" x14ac:dyDescent="0.25">
      <c r="A2689" s="19" t="s">
        <v>2936</v>
      </c>
      <c r="B2689" s="42" t="s">
        <v>3</v>
      </c>
      <c r="C2689" s="19" t="s">
        <v>240</v>
      </c>
      <c r="D2689" s="3">
        <v>1</v>
      </c>
      <c r="G2689" s="43">
        <v>44062</v>
      </c>
      <c r="H2689" s="42" t="s">
        <v>238</v>
      </c>
    </row>
    <row r="2690" spans="1:8" x14ac:dyDescent="0.25">
      <c r="A2690" s="19" t="s">
        <v>2937</v>
      </c>
      <c r="B2690" s="42" t="s">
        <v>3</v>
      </c>
      <c r="C2690" s="19" t="s">
        <v>239</v>
      </c>
      <c r="D2690" s="3">
        <v>1</v>
      </c>
      <c r="G2690" s="43">
        <v>44062</v>
      </c>
      <c r="H2690" s="42" t="s">
        <v>238</v>
      </c>
    </row>
    <row r="2691" spans="1:8" x14ac:dyDescent="0.25">
      <c r="A2691" s="19" t="s">
        <v>2938</v>
      </c>
      <c r="B2691" s="42" t="s">
        <v>3</v>
      </c>
      <c r="C2691" s="19" t="s">
        <v>241</v>
      </c>
      <c r="D2691" s="3">
        <v>1</v>
      </c>
      <c r="G2691" s="43">
        <v>44062</v>
      </c>
      <c r="H2691" s="42" t="s">
        <v>238</v>
      </c>
    </row>
    <row r="2692" spans="1:8" x14ac:dyDescent="0.25">
      <c r="A2692" s="19" t="s">
        <v>2939</v>
      </c>
      <c r="B2692" s="42" t="s">
        <v>3</v>
      </c>
      <c r="C2692" s="19" t="s">
        <v>242</v>
      </c>
      <c r="D2692" s="3">
        <v>1</v>
      </c>
      <c r="G2692" s="43">
        <v>44062</v>
      </c>
      <c r="H2692" s="42" t="s">
        <v>238</v>
      </c>
    </row>
    <row r="2693" spans="1:8" x14ac:dyDescent="0.25">
      <c r="A2693" s="19" t="s">
        <v>2940</v>
      </c>
      <c r="B2693" s="42" t="s">
        <v>3</v>
      </c>
      <c r="C2693" s="19" t="s">
        <v>239</v>
      </c>
      <c r="D2693" s="3">
        <v>1</v>
      </c>
      <c r="G2693" s="43">
        <v>44062</v>
      </c>
      <c r="H2693" s="42" t="s">
        <v>238</v>
      </c>
    </row>
    <row r="2694" spans="1:8" x14ac:dyDescent="0.25">
      <c r="A2694" s="19" t="s">
        <v>2941</v>
      </c>
      <c r="B2694" s="42" t="s">
        <v>3</v>
      </c>
      <c r="C2694" s="19" t="s">
        <v>239</v>
      </c>
      <c r="D2694" s="3">
        <v>1</v>
      </c>
      <c r="G2694" s="43">
        <v>44062</v>
      </c>
      <c r="H2694" s="42" t="s">
        <v>238</v>
      </c>
    </row>
    <row r="2695" spans="1:8" x14ac:dyDescent="0.25">
      <c r="A2695" s="19" t="s">
        <v>2942</v>
      </c>
      <c r="B2695" s="42" t="s">
        <v>3</v>
      </c>
      <c r="C2695" s="19" t="s">
        <v>239</v>
      </c>
      <c r="D2695" s="3">
        <v>1</v>
      </c>
      <c r="G2695" s="43">
        <v>44062</v>
      </c>
      <c r="H2695" s="42" t="s">
        <v>238</v>
      </c>
    </row>
    <row r="2696" spans="1:8" x14ac:dyDescent="0.25">
      <c r="A2696" s="19" t="s">
        <v>2943</v>
      </c>
      <c r="B2696" s="42" t="s">
        <v>3</v>
      </c>
      <c r="C2696" s="19" t="s">
        <v>243</v>
      </c>
      <c r="D2696" s="3">
        <v>1</v>
      </c>
      <c r="G2696" s="43">
        <v>44062</v>
      </c>
      <c r="H2696" s="42" t="s">
        <v>238</v>
      </c>
    </row>
    <row r="2697" spans="1:8" x14ac:dyDescent="0.25">
      <c r="A2697" s="19" t="s">
        <v>2944</v>
      </c>
      <c r="B2697" s="42" t="s">
        <v>3</v>
      </c>
      <c r="C2697" s="19" t="s">
        <v>239</v>
      </c>
      <c r="D2697" s="3">
        <v>1</v>
      </c>
      <c r="G2697" s="43">
        <v>44062</v>
      </c>
      <c r="H2697" s="42" t="s">
        <v>238</v>
      </c>
    </row>
    <row r="2698" spans="1:8" x14ac:dyDescent="0.25">
      <c r="A2698" s="19" t="s">
        <v>2945</v>
      </c>
      <c r="B2698" s="42" t="s">
        <v>3</v>
      </c>
      <c r="C2698" s="19" t="s">
        <v>243</v>
      </c>
      <c r="D2698" s="3">
        <v>1</v>
      </c>
      <c r="G2698" s="43">
        <v>44062</v>
      </c>
      <c r="H2698" s="42" t="s">
        <v>238</v>
      </c>
    </row>
    <row r="2699" spans="1:8" x14ac:dyDescent="0.25">
      <c r="A2699" s="19" t="s">
        <v>2946</v>
      </c>
      <c r="B2699" s="42" t="s">
        <v>3</v>
      </c>
      <c r="C2699" s="19" t="s">
        <v>239</v>
      </c>
      <c r="D2699" s="3">
        <v>1</v>
      </c>
      <c r="G2699" s="43">
        <v>44062</v>
      </c>
      <c r="H2699" s="42" t="s">
        <v>238</v>
      </c>
    </row>
    <row r="2700" spans="1:8" x14ac:dyDescent="0.25">
      <c r="A2700" s="19" t="s">
        <v>2947</v>
      </c>
      <c r="B2700" s="42" t="s">
        <v>3</v>
      </c>
      <c r="C2700" s="19" t="s">
        <v>239</v>
      </c>
      <c r="D2700" s="3">
        <v>1</v>
      </c>
      <c r="G2700" s="43">
        <v>44062</v>
      </c>
      <c r="H2700" s="42" t="s">
        <v>238</v>
      </c>
    </row>
    <row r="2701" spans="1:8" x14ac:dyDescent="0.25">
      <c r="A2701" s="19" t="s">
        <v>2948</v>
      </c>
      <c r="B2701" s="42" t="s">
        <v>3</v>
      </c>
      <c r="C2701" s="19" t="s">
        <v>240</v>
      </c>
      <c r="D2701" s="3">
        <v>1</v>
      </c>
      <c r="G2701" s="43">
        <v>44062</v>
      </c>
      <c r="H2701" s="42" t="s">
        <v>238</v>
      </c>
    </row>
    <row r="2702" spans="1:8" x14ac:dyDescent="0.25">
      <c r="A2702" s="19" t="s">
        <v>2949</v>
      </c>
      <c r="B2702" s="42" t="s">
        <v>3</v>
      </c>
      <c r="C2702" s="19" t="s">
        <v>239</v>
      </c>
      <c r="D2702" s="3">
        <v>1</v>
      </c>
      <c r="G2702" s="43">
        <v>44062</v>
      </c>
      <c r="H2702" s="42" t="s">
        <v>238</v>
      </c>
    </row>
    <row r="2703" spans="1:8" x14ac:dyDescent="0.25">
      <c r="A2703" s="3" t="s">
        <v>2950</v>
      </c>
      <c r="B2703" s="42" t="s">
        <v>3</v>
      </c>
      <c r="C2703" s="3">
        <v>18</v>
      </c>
      <c r="D2703" s="3">
        <v>1</v>
      </c>
      <c r="G2703" s="43">
        <v>44062</v>
      </c>
      <c r="H2703" s="42" t="s">
        <v>238</v>
      </c>
    </row>
    <row r="2704" spans="1:8" x14ac:dyDescent="0.25">
      <c r="A2704" s="19" t="s">
        <v>2951</v>
      </c>
      <c r="B2704" s="42" t="s">
        <v>3</v>
      </c>
      <c r="C2704" s="19" t="s">
        <v>239</v>
      </c>
      <c r="D2704" s="3">
        <v>1</v>
      </c>
      <c r="G2704" s="43">
        <v>44062</v>
      </c>
      <c r="H2704" s="42" t="s">
        <v>238</v>
      </c>
    </row>
    <row r="2705" spans="1:8" x14ac:dyDescent="0.25">
      <c r="A2705" s="19" t="s">
        <v>2952</v>
      </c>
      <c r="B2705" s="42" t="s">
        <v>3</v>
      </c>
      <c r="C2705" s="19" t="s">
        <v>239</v>
      </c>
      <c r="D2705" s="3">
        <v>1</v>
      </c>
      <c r="G2705" s="43">
        <v>44062</v>
      </c>
      <c r="H2705" s="42" t="s">
        <v>238</v>
      </c>
    </row>
    <row r="2706" spans="1:8" x14ac:dyDescent="0.25">
      <c r="A2706" s="19" t="s">
        <v>2953</v>
      </c>
      <c r="B2706" s="42" t="s">
        <v>3</v>
      </c>
      <c r="C2706" s="19" t="s">
        <v>240</v>
      </c>
      <c r="D2706" s="3">
        <v>1</v>
      </c>
      <c r="G2706" s="43">
        <v>44062</v>
      </c>
      <c r="H2706" s="42" t="s">
        <v>238</v>
      </c>
    </row>
    <row r="2707" spans="1:8" x14ac:dyDescent="0.25">
      <c r="A2707" s="19" t="s">
        <v>2954</v>
      </c>
      <c r="B2707" s="42" t="s">
        <v>3</v>
      </c>
      <c r="C2707" s="19" t="s">
        <v>243</v>
      </c>
      <c r="D2707" s="3">
        <v>1</v>
      </c>
      <c r="G2707" s="43">
        <v>44062</v>
      </c>
      <c r="H2707" s="42" t="s">
        <v>238</v>
      </c>
    </row>
    <row r="2708" spans="1:8" x14ac:dyDescent="0.25">
      <c r="A2708" s="19" t="s">
        <v>2955</v>
      </c>
      <c r="B2708" s="42" t="s">
        <v>3</v>
      </c>
      <c r="C2708" s="19" t="s">
        <v>239</v>
      </c>
      <c r="D2708" s="3">
        <v>1</v>
      </c>
      <c r="G2708" s="43">
        <v>44062</v>
      </c>
      <c r="H2708" s="42" t="s">
        <v>238</v>
      </c>
    </row>
    <row r="2709" spans="1:8" x14ac:dyDescent="0.25">
      <c r="A2709" s="19" t="s">
        <v>2956</v>
      </c>
      <c r="B2709" s="42" t="s">
        <v>3</v>
      </c>
      <c r="C2709" s="19" t="s">
        <v>239</v>
      </c>
      <c r="D2709" s="3">
        <v>1</v>
      </c>
      <c r="G2709" s="43">
        <v>44062</v>
      </c>
      <c r="H2709" s="42" t="s">
        <v>238</v>
      </c>
    </row>
    <row r="2710" spans="1:8" x14ac:dyDescent="0.25">
      <c r="A2710" s="19" t="s">
        <v>2957</v>
      </c>
      <c r="B2710" s="42" t="s">
        <v>3</v>
      </c>
      <c r="C2710" s="19" t="s">
        <v>239</v>
      </c>
      <c r="D2710" s="3">
        <v>1</v>
      </c>
      <c r="G2710" s="43">
        <v>44062</v>
      </c>
      <c r="H2710" s="42" t="s">
        <v>238</v>
      </c>
    </row>
    <row r="2711" spans="1:8" x14ac:dyDescent="0.25">
      <c r="A2711" s="19" t="s">
        <v>2958</v>
      </c>
      <c r="B2711" s="42" t="s">
        <v>3</v>
      </c>
      <c r="C2711" s="19" t="s">
        <v>241</v>
      </c>
      <c r="D2711" s="3">
        <v>1</v>
      </c>
      <c r="G2711" s="43">
        <v>44062</v>
      </c>
      <c r="H2711" s="42" t="s">
        <v>238</v>
      </c>
    </row>
    <row r="2712" spans="1:8" x14ac:dyDescent="0.25">
      <c r="A2712" s="19" t="s">
        <v>2959</v>
      </c>
      <c r="B2712" s="42" t="s">
        <v>3</v>
      </c>
      <c r="C2712" s="19" t="s">
        <v>240</v>
      </c>
      <c r="D2712" s="3">
        <v>1</v>
      </c>
      <c r="G2712" s="43">
        <v>44062</v>
      </c>
      <c r="H2712" s="42" t="s">
        <v>238</v>
      </c>
    </row>
    <row r="2713" spans="1:8" x14ac:dyDescent="0.25">
      <c r="A2713" s="19" t="s">
        <v>2960</v>
      </c>
      <c r="B2713" s="42" t="s">
        <v>3</v>
      </c>
      <c r="C2713" s="19" t="s">
        <v>239</v>
      </c>
      <c r="D2713" s="3">
        <v>1</v>
      </c>
      <c r="G2713" s="43">
        <v>44062</v>
      </c>
      <c r="H2713" s="42" t="s">
        <v>238</v>
      </c>
    </row>
    <row r="2714" spans="1:8" x14ac:dyDescent="0.25">
      <c r="A2714" s="19" t="s">
        <v>2961</v>
      </c>
      <c r="B2714" s="42" t="s">
        <v>3</v>
      </c>
      <c r="C2714" s="19" t="s">
        <v>240</v>
      </c>
      <c r="D2714" s="3">
        <v>1</v>
      </c>
      <c r="G2714" s="43">
        <v>44062</v>
      </c>
      <c r="H2714" s="42" t="s">
        <v>238</v>
      </c>
    </row>
    <row r="2715" spans="1:8" x14ac:dyDescent="0.25">
      <c r="A2715" s="19" t="s">
        <v>2962</v>
      </c>
      <c r="B2715" s="42" t="s">
        <v>3</v>
      </c>
      <c r="C2715" s="19" t="s">
        <v>240</v>
      </c>
      <c r="D2715" s="3">
        <v>1</v>
      </c>
      <c r="G2715" s="43">
        <v>44062</v>
      </c>
      <c r="H2715" s="42" t="s">
        <v>238</v>
      </c>
    </row>
    <row r="2716" spans="1:8" x14ac:dyDescent="0.25">
      <c r="A2716" s="19" t="s">
        <v>2963</v>
      </c>
      <c r="B2716" s="42" t="s">
        <v>3</v>
      </c>
      <c r="C2716" s="19" t="s">
        <v>239</v>
      </c>
      <c r="D2716" s="3">
        <v>1</v>
      </c>
      <c r="G2716" s="43">
        <v>44062</v>
      </c>
      <c r="H2716" s="42" t="s">
        <v>238</v>
      </c>
    </row>
    <row r="2717" spans="1:8" x14ac:dyDescent="0.25">
      <c r="A2717" s="3" t="s">
        <v>2964</v>
      </c>
      <c r="B2717" s="42" t="s">
        <v>3</v>
      </c>
      <c r="C2717" s="3">
        <v>18</v>
      </c>
      <c r="D2717" s="3">
        <v>1</v>
      </c>
      <c r="G2717" s="43">
        <v>44062</v>
      </c>
      <c r="H2717" s="42" t="s">
        <v>238</v>
      </c>
    </row>
    <row r="2718" spans="1:8" x14ac:dyDescent="0.25">
      <c r="A2718" s="3" t="s">
        <v>2965</v>
      </c>
      <c r="B2718" s="42" t="s">
        <v>3</v>
      </c>
      <c r="C2718" s="3">
        <v>18</v>
      </c>
      <c r="D2718" s="3">
        <v>1</v>
      </c>
      <c r="G2718" s="43">
        <v>44062</v>
      </c>
      <c r="H2718" s="42" t="s">
        <v>238</v>
      </c>
    </row>
    <row r="2719" spans="1:8" x14ac:dyDescent="0.25">
      <c r="A2719" s="3" t="s">
        <v>2966</v>
      </c>
      <c r="B2719" s="42" t="s">
        <v>3</v>
      </c>
      <c r="C2719" s="3">
        <v>18</v>
      </c>
      <c r="D2719" s="3">
        <v>1</v>
      </c>
      <c r="G2719" s="43">
        <v>44062</v>
      </c>
      <c r="H2719" s="42" t="s">
        <v>238</v>
      </c>
    </row>
    <row r="2720" spans="1:8" x14ac:dyDescent="0.25">
      <c r="A2720" s="19" t="s">
        <v>2967</v>
      </c>
      <c r="B2720" s="42" t="s">
        <v>3</v>
      </c>
      <c r="C2720" s="19" t="s">
        <v>239</v>
      </c>
      <c r="D2720" s="3">
        <v>1</v>
      </c>
      <c r="G2720" s="43">
        <v>44062</v>
      </c>
      <c r="H2720" s="42" t="s">
        <v>238</v>
      </c>
    </row>
    <row r="2721" spans="1:8" x14ac:dyDescent="0.25">
      <c r="A2721" s="3" t="s">
        <v>2968</v>
      </c>
      <c r="B2721" s="42" t="s">
        <v>3</v>
      </c>
      <c r="C2721" s="3">
        <v>18</v>
      </c>
      <c r="D2721" s="3">
        <v>1</v>
      </c>
      <c r="G2721" s="43">
        <v>44067</v>
      </c>
      <c r="H2721" s="42" t="s">
        <v>238</v>
      </c>
    </row>
    <row r="2722" spans="1:8" x14ac:dyDescent="0.25">
      <c r="A2722" s="3" t="s">
        <v>2969</v>
      </c>
      <c r="B2722" s="42" t="s">
        <v>3</v>
      </c>
      <c r="C2722" s="3">
        <v>18</v>
      </c>
      <c r="D2722" s="3">
        <v>1</v>
      </c>
      <c r="G2722" s="43">
        <v>44068</v>
      </c>
      <c r="H2722" s="42" t="s">
        <v>238</v>
      </c>
    </row>
    <row r="2723" spans="1:8" x14ac:dyDescent="0.25">
      <c r="A2723" s="3" t="s">
        <v>2970</v>
      </c>
      <c r="B2723" s="42" t="s">
        <v>3</v>
      </c>
      <c r="C2723" s="3">
        <v>18</v>
      </c>
      <c r="D2723" s="3">
        <v>1</v>
      </c>
      <c r="G2723" s="43">
        <v>44068</v>
      </c>
      <c r="H2723" s="42" t="s">
        <v>238</v>
      </c>
    </row>
    <row r="2724" spans="1:8" x14ac:dyDescent="0.25">
      <c r="A2724" s="3" t="s">
        <v>2971</v>
      </c>
      <c r="B2724" s="42" t="s">
        <v>3</v>
      </c>
      <c r="C2724" s="3">
        <v>19</v>
      </c>
      <c r="D2724" s="3">
        <v>1</v>
      </c>
      <c r="G2724" s="43">
        <v>44068</v>
      </c>
      <c r="H2724" s="42" t="s">
        <v>238</v>
      </c>
    </row>
    <row r="2725" spans="1:8" x14ac:dyDescent="0.25">
      <c r="A2725" s="3" t="s">
        <v>2972</v>
      </c>
      <c r="B2725" s="42" t="s">
        <v>3</v>
      </c>
      <c r="C2725" s="3">
        <v>18</v>
      </c>
      <c r="D2725" s="3">
        <v>1</v>
      </c>
      <c r="G2725" s="43">
        <v>44068</v>
      </c>
      <c r="H2725" s="42" t="s">
        <v>238</v>
      </c>
    </row>
    <row r="2726" spans="1:8" x14ac:dyDescent="0.25">
      <c r="A2726" s="3" t="s">
        <v>2973</v>
      </c>
      <c r="B2726" s="42" t="s">
        <v>3</v>
      </c>
      <c r="C2726" s="3">
        <v>18</v>
      </c>
      <c r="D2726" s="3">
        <v>1</v>
      </c>
      <c r="G2726" s="43">
        <v>44068</v>
      </c>
      <c r="H2726" s="42" t="s">
        <v>238</v>
      </c>
    </row>
    <row r="2727" spans="1:8" x14ac:dyDescent="0.25">
      <c r="A2727" s="3" t="s">
        <v>2974</v>
      </c>
      <c r="B2727" s="42" t="s">
        <v>3</v>
      </c>
      <c r="C2727" s="3">
        <v>23</v>
      </c>
      <c r="D2727" s="3">
        <v>1</v>
      </c>
      <c r="G2727" s="43">
        <v>44068</v>
      </c>
      <c r="H2727" s="42" t="s">
        <v>238</v>
      </c>
    </row>
    <row r="2728" spans="1:8" x14ac:dyDescent="0.25">
      <c r="A2728" s="3" t="s">
        <v>2975</v>
      </c>
      <c r="B2728" s="42" t="s">
        <v>3</v>
      </c>
      <c r="C2728" s="3">
        <v>19</v>
      </c>
      <c r="D2728" s="3">
        <v>1</v>
      </c>
      <c r="G2728" s="43">
        <v>44068</v>
      </c>
      <c r="H2728" s="42" t="s">
        <v>238</v>
      </c>
    </row>
    <row r="2729" spans="1:8" x14ac:dyDescent="0.25">
      <c r="A2729" s="3" t="s">
        <v>2976</v>
      </c>
      <c r="B2729" s="42" t="s">
        <v>3</v>
      </c>
      <c r="C2729" s="3">
        <v>20</v>
      </c>
      <c r="D2729" s="3">
        <v>1</v>
      </c>
      <c r="G2729" s="43">
        <v>44068</v>
      </c>
      <c r="H2729" s="42" t="s">
        <v>238</v>
      </c>
    </row>
    <row r="2730" spans="1:8" x14ac:dyDescent="0.25">
      <c r="A2730" s="3" t="s">
        <v>2977</v>
      </c>
      <c r="B2730" s="42" t="s">
        <v>3</v>
      </c>
      <c r="C2730" s="3">
        <v>18</v>
      </c>
      <c r="D2730" s="3">
        <v>1</v>
      </c>
      <c r="G2730" s="43">
        <v>44068</v>
      </c>
      <c r="H2730" s="42" t="s">
        <v>238</v>
      </c>
    </row>
    <row r="2731" spans="1:8" x14ac:dyDescent="0.25">
      <c r="A2731" s="3" t="s">
        <v>2978</v>
      </c>
      <c r="B2731" s="42" t="s">
        <v>3</v>
      </c>
      <c r="C2731" s="3">
        <v>19</v>
      </c>
      <c r="D2731" s="3">
        <v>1</v>
      </c>
      <c r="G2731" s="43">
        <v>44068</v>
      </c>
      <c r="H2731" s="42" t="s">
        <v>238</v>
      </c>
    </row>
    <row r="2732" spans="1:8" x14ac:dyDescent="0.25">
      <c r="A2732" s="3" t="s">
        <v>2979</v>
      </c>
      <c r="B2732" s="42" t="s">
        <v>3</v>
      </c>
      <c r="C2732" s="3">
        <v>18</v>
      </c>
      <c r="D2732" s="3">
        <v>1</v>
      </c>
      <c r="G2732" s="43">
        <v>44068</v>
      </c>
      <c r="H2732" s="42" t="s">
        <v>238</v>
      </c>
    </row>
    <row r="2733" spans="1:8" x14ac:dyDescent="0.25">
      <c r="A2733" s="3" t="s">
        <v>2980</v>
      </c>
      <c r="B2733" s="42" t="s">
        <v>3</v>
      </c>
      <c r="C2733" s="3">
        <v>19</v>
      </c>
      <c r="D2733" s="3">
        <v>1</v>
      </c>
      <c r="G2733" s="43">
        <v>44068</v>
      </c>
      <c r="H2733" s="42" t="s">
        <v>238</v>
      </c>
    </row>
    <row r="2734" spans="1:8" x14ac:dyDescent="0.25">
      <c r="A2734" s="3" t="s">
        <v>2981</v>
      </c>
      <c r="B2734" s="42" t="s">
        <v>3</v>
      </c>
      <c r="C2734" s="3">
        <v>19</v>
      </c>
      <c r="D2734" s="3">
        <v>1</v>
      </c>
      <c r="G2734" s="43">
        <v>44068</v>
      </c>
      <c r="H2734" s="42" t="s">
        <v>238</v>
      </c>
    </row>
    <row r="2735" spans="1:8" x14ac:dyDescent="0.25">
      <c r="A2735" s="3" t="s">
        <v>2982</v>
      </c>
      <c r="B2735" s="42" t="s">
        <v>3</v>
      </c>
      <c r="C2735" s="3">
        <v>18</v>
      </c>
      <c r="D2735" s="3">
        <v>1</v>
      </c>
      <c r="G2735" s="43">
        <v>44068</v>
      </c>
      <c r="H2735" s="42" t="s">
        <v>238</v>
      </c>
    </row>
    <row r="2736" spans="1:8" x14ac:dyDescent="0.25">
      <c r="A2736" s="3" t="s">
        <v>2983</v>
      </c>
      <c r="B2736" s="42" t="s">
        <v>3</v>
      </c>
      <c r="C2736" s="3">
        <v>18</v>
      </c>
      <c r="D2736" s="3">
        <v>1</v>
      </c>
      <c r="G2736" s="43">
        <v>44068</v>
      </c>
      <c r="H2736" s="42" t="s">
        <v>238</v>
      </c>
    </row>
    <row r="2737" spans="1:8" x14ac:dyDescent="0.25">
      <c r="A2737" s="3" t="s">
        <v>2984</v>
      </c>
      <c r="B2737" s="42" t="s">
        <v>3</v>
      </c>
      <c r="C2737" s="3">
        <v>18</v>
      </c>
      <c r="D2737" s="3">
        <v>1</v>
      </c>
      <c r="G2737" s="43">
        <v>44068</v>
      </c>
      <c r="H2737" s="42" t="s">
        <v>238</v>
      </c>
    </row>
    <row r="2738" spans="1:8" x14ac:dyDescent="0.25">
      <c r="A2738" s="3" t="s">
        <v>2985</v>
      </c>
      <c r="B2738" s="42" t="s">
        <v>3</v>
      </c>
      <c r="C2738" s="3">
        <v>20</v>
      </c>
      <c r="D2738" s="3">
        <v>1</v>
      </c>
      <c r="G2738" s="43">
        <v>44068</v>
      </c>
      <c r="H2738" s="42" t="s">
        <v>238</v>
      </c>
    </row>
    <row r="2739" spans="1:8" x14ac:dyDescent="0.25">
      <c r="A2739" s="3" t="s">
        <v>2986</v>
      </c>
      <c r="B2739" s="42" t="s">
        <v>3</v>
      </c>
      <c r="C2739" s="3">
        <v>18</v>
      </c>
      <c r="D2739" s="3">
        <v>1</v>
      </c>
      <c r="G2739" s="43">
        <v>44068</v>
      </c>
      <c r="H2739" s="42" t="s">
        <v>238</v>
      </c>
    </row>
    <row r="2740" spans="1:8" x14ac:dyDescent="0.25">
      <c r="A2740" s="3" t="s">
        <v>2987</v>
      </c>
      <c r="B2740" s="42" t="s">
        <v>3</v>
      </c>
      <c r="C2740" s="3">
        <v>18</v>
      </c>
      <c r="D2740" s="3">
        <v>1</v>
      </c>
      <c r="G2740" s="43">
        <v>44068</v>
      </c>
      <c r="H2740" s="42" t="s">
        <v>238</v>
      </c>
    </row>
    <row r="2741" spans="1:8" x14ac:dyDescent="0.25">
      <c r="A2741" s="3" t="s">
        <v>2988</v>
      </c>
      <c r="B2741" s="42" t="s">
        <v>3</v>
      </c>
      <c r="C2741" s="3">
        <v>18</v>
      </c>
      <c r="D2741" s="3">
        <v>1</v>
      </c>
      <c r="G2741" s="43">
        <v>44068</v>
      </c>
      <c r="H2741" s="42" t="s">
        <v>238</v>
      </c>
    </row>
    <row r="2742" spans="1:8" x14ac:dyDescent="0.25">
      <c r="A2742" s="3" t="s">
        <v>2989</v>
      </c>
      <c r="B2742" s="42" t="s">
        <v>3</v>
      </c>
      <c r="C2742" s="3">
        <v>18</v>
      </c>
      <c r="D2742" s="3">
        <v>1</v>
      </c>
      <c r="G2742" s="43">
        <v>44068</v>
      </c>
      <c r="H2742" s="42" t="s">
        <v>238</v>
      </c>
    </row>
    <row r="2743" spans="1:8" x14ac:dyDescent="0.25">
      <c r="A2743" s="3" t="s">
        <v>2990</v>
      </c>
      <c r="B2743" s="42" t="s">
        <v>3</v>
      </c>
      <c r="C2743" s="3">
        <v>18</v>
      </c>
      <c r="D2743" s="3">
        <v>1</v>
      </c>
      <c r="G2743" s="43">
        <v>44068</v>
      </c>
      <c r="H2743" s="42" t="s">
        <v>238</v>
      </c>
    </row>
    <row r="2744" spans="1:8" x14ac:dyDescent="0.25">
      <c r="A2744" s="3" t="s">
        <v>2991</v>
      </c>
      <c r="B2744" s="42" t="s">
        <v>3</v>
      </c>
      <c r="C2744" s="3">
        <v>19</v>
      </c>
      <c r="D2744" s="3">
        <v>1</v>
      </c>
      <c r="G2744" s="43">
        <v>44068</v>
      </c>
      <c r="H2744" s="42" t="s">
        <v>238</v>
      </c>
    </row>
    <row r="2745" spans="1:8" x14ac:dyDescent="0.25">
      <c r="A2745" s="3" t="s">
        <v>2992</v>
      </c>
      <c r="B2745" s="42" t="s">
        <v>3</v>
      </c>
      <c r="C2745" s="3">
        <v>19</v>
      </c>
      <c r="D2745" s="3">
        <v>1</v>
      </c>
      <c r="G2745" s="43">
        <v>44068</v>
      </c>
      <c r="H2745" s="42" t="s">
        <v>238</v>
      </c>
    </row>
    <row r="2746" spans="1:8" x14ac:dyDescent="0.25">
      <c r="A2746" s="3" t="s">
        <v>2993</v>
      </c>
      <c r="B2746" s="42" t="s">
        <v>3</v>
      </c>
      <c r="C2746" s="3">
        <v>21</v>
      </c>
      <c r="D2746" s="3">
        <v>1</v>
      </c>
      <c r="G2746" s="43">
        <v>44068</v>
      </c>
      <c r="H2746" s="42" t="s">
        <v>238</v>
      </c>
    </row>
    <row r="2747" spans="1:8" x14ac:dyDescent="0.25">
      <c r="A2747" s="3" t="s">
        <v>2994</v>
      </c>
      <c r="B2747" s="42" t="s">
        <v>3</v>
      </c>
      <c r="C2747" s="3">
        <v>19</v>
      </c>
      <c r="D2747" s="3">
        <v>1</v>
      </c>
      <c r="G2747" s="43">
        <v>44068</v>
      </c>
      <c r="H2747" s="42" t="s">
        <v>238</v>
      </c>
    </row>
    <row r="2748" spans="1:8" x14ac:dyDescent="0.25">
      <c r="A2748" s="3" t="s">
        <v>2995</v>
      </c>
      <c r="B2748" s="42" t="s">
        <v>3</v>
      </c>
      <c r="C2748" s="3">
        <v>22</v>
      </c>
      <c r="D2748" s="3">
        <v>1</v>
      </c>
      <c r="G2748" s="43">
        <v>44068</v>
      </c>
      <c r="H2748" s="42" t="s">
        <v>238</v>
      </c>
    </row>
    <row r="2749" spans="1:8" x14ac:dyDescent="0.25">
      <c r="A2749" s="3" t="s">
        <v>2996</v>
      </c>
      <c r="B2749" s="42" t="s">
        <v>3</v>
      </c>
      <c r="C2749" s="3">
        <v>19</v>
      </c>
      <c r="D2749" s="3">
        <v>1</v>
      </c>
      <c r="G2749" s="43">
        <v>44068</v>
      </c>
      <c r="H2749" s="42" t="s">
        <v>238</v>
      </c>
    </row>
    <row r="2750" spans="1:8" x14ac:dyDescent="0.25">
      <c r="A2750" s="3" t="s">
        <v>2997</v>
      </c>
      <c r="B2750" s="42" t="s">
        <v>3</v>
      </c>
      <c r="C2750" s="3">
        <v>18</v>
      </c>
      <c r="D2750" s="3">
        <v>1</v>
      </c>
      <c r="G2750" s="43">
        <v>44068</v>
      </c>
      <c r="H2750" s="42" t="s">
        <v>238</v>
      </c>
    </row>
    <row r="2751" spans="1:8" x14ac:dyDescent="0.25">
      <c r="A2751" s="3" t="s">
        <v>2998</v>
      </c>
      <c r="B2751" s="42" t="s">
        <v>3</v>
      </c>
      <c r="C2751" s="3">
        <v>18</v>
      </c>
      <c r="D2751" s="3">
        <v>1</v>
      </c>
      <c r="G2751" s="43">
        <v>44068</v>
      </c>
      <c r="H2751" s="42" t="s">
        <v>238</v>
      </c>
    </row>
    <row r="2752" spans="1:8" x14ac:dyDescent="0.25">
      <c r="A2752" s="3" t="s">
        <v>2999</v>
      </c>
      <c r="B2752" s="42" t="s">
        <v>3</v>
      </c>
      <c r="C2752" s="3">
        <v>18</v>
      </c>
      <c r="D2752" s="3">
        <v>1</v>
      </c>
      <c r="G2752" s="43">
        <v>44068</v>
      </c>
      <c r="H2752" s="42" t="s">
        <v>238</v>
      </c>
    </row>
    <row r="2753" spans="1:8" x14ac:dyDescent="0.25">
      <c r="A2753" s="3" t="s">
        <v>3000</v>
      </c>
      <c r="B2753" s="42" t="s">
        <v>3</v>
      </c>
      <c r="C2753" s="3">
        <v>19</v>
      </c>
      <c r="D2753" s="3">
        <v>1</v>
      </c>
      <c r="G2753" s="43">
        <v>44068</v>
      </c>
      <c r="H2753" s="42" t="s">
        <v>238</v>
      </c>
    </row>
    <row r="2754" spans="1:8" x14ac:dyDescent="0.25">
      <c r="A2754" s="3" t="s">
        <v>3001</v>
      </c>
      <c r="B2754" s="42" t="s">
        <v>3</v>
      </c>
      <c r="C2754" s="3">
        <v>24</v>
      </c>
      <c r="D2754" s="3">
        <v>1</v>
      </c>
      <c r="G2754" s="43">
        <v>44068</v>
      </c>
      <c r="H2754" s="42" t="s">
        <v>238</v>
      </c>
    </row>
    <row r="2755" spans="1:8" x14ac:dyDescent="0.25">
      <c r="A2755" s="3" t="s">
        <v>3002</v>
      </c>
      <c r="B2755" s="42" t="s">
        <v>3</v>
      </c>
      <c r="C2755" s="3">
        <v>21</v>
      </c>
      <c r="D2755" s="3">
        <v>1</v>
      </c>
      <c r="G2755" s="43">
        <v>44068</v>
      </c>
      <c r="H2755" s="42" t="s">
        <v>238</v>
      </c>
    </row>
    <row r="2756" spans="1:8" x14ac:dyDescent="0.25">
      <c r="A2756" s="3" t="s">
        <v>3003</v>
      </c>
      <c r="B2756" s="42" t="s">
        <v>3</v>
      </c>
      <c r="C2756" s="3">
        <v>19</v>
      </c>
      <c r="D2756" s="3">
        <v>1</v>
      </c>
      <c r="G2756" s="43">
        <v>44068</v>
      </c>
      <c r="H2756" s="42" t="s">
        <v>238</v>
      </c>
    </row>
    <row r="2757" spans="1:8" x14ac:dyDescent="0.25">
      <c r="A2757" s="3" t="s">
        <v>3004</v>
      </c>
      <c r="B2757" s="42" t="s">
        <v>3</v>
      </c>
      <c r="C2757" s="3">
        <v>18</v>
      </c>
      <c r="D2757" s="3">
        <v>1</v>
      </c>
      <c r="G2757" s="43">
        <v>44068</v>
      </c>
      <c r="H2757" s="42" t="s">
        <v>238</v>
      </c>
    </row>
    <row r="2758" spans="1:8" x14ac:dyDescent="0.25">
      <c r="A2758" s="3" t="s">
        <v>3005</v>
      </c>
      <c r="B2758" s="42" t="s">
        <v>3</v>
      </c>
      <c r="C2758" s="3">
        <v>18</v>
      </c>
      <c r="D2758" s="3">
        <v>1</v>
      </c>
      <c r="G2758" s="43">
        <v>44068</v>
      </c>
      <c r="H2758" s="42" t="s">
        <v>238</v>
      </c>
    </row>
    <row r="2759" spans="1:8" x14ac:dyDescent="0.25">
      <c r="A2759" s="3" t="s">
        <v>3006</v>
      </c>
      <c r="B2759" s="42" t="s">
        <v>3</v>
      </c>
      <c r="C2759" s="3">
        <v>20</v>
      </c>
      <c r="D2759" s="3">
        <v>1</v>
      </c>
      <c r="G2759" s="43">
        <v>44068</v>
      </c>
      <c r="H2759" s="42" t="s">
        <v>238</v>
      </c>
    </row>
    <row r="2760" spans="1:8" x14ac:dyDescent="0.25">
      <c r="A2760" s="3" t="s">
        <v>3007</v>
      </c>
      <c r="B2760" s="42" t="s">
        <v>3</v>
      </c>
      <c r="C2760" s="3">
        <v>19</v>
      </c>
      <c r="D2760" s="3">
        <v>1</v>
      </c>
      <c r="G2760" s="43">
        <v>44068</v>
      </c>
      <c r="H2760" s="42" t="s">
        <v>238</v>
      </c>
    </row>
    <row r="2761" spans="1:8" x14ac:dyDescent="0.25">
      <c r="A2761" s="3" t="s">
        <v>3008</v>
      </c>
      <c r="B2761" s="42" t="s">
        <v>3</v>
      </c>
      <c r="C2761" s="3">
        <v>20</v>
      </c>
      <c r="D2761" s="3">
        <v>1</v>
      </c>
      <c r="G2761" s="43">
        <v>44068</v>
      </c>
      <c r="H2761" s="42" t="s">
        <v>238</v>
      </c>
    </row>
    <row r="2762" spans="1:8" x14ac:dyDescent="0.25">
      <c r="A2762" s="3" t="s">
        <v>3009</v>
      </c>
      <c r="B2762" s="42" t="s">
        <v>120</v>
      </c>
      <c r="C2762" s="3">
        <v>18</v>
      </c>
      <c r="D2762" s="3">
        <v>1</v>
      </c>
      <c r="E2762" s="42" t="s">
        <v>160</v>
      </c>
      <c r="G2762" s="43">
        <v>44068</v>
      </c>
      <c r="H2762" s="42" t="s">
        <v>238</v>
      </c>
    </row>
    <row r="2763" spans="1:8" x14ac:dyDescent="0.25">
      <c r="A2763" s="3" t="s">
        <v>3010</v>
      </c>
      <c r="B2763" s="42" t="s">
        <v>3</v>
      </c>
      <c r="C2763" s="3">
        <v>18</v>
      </c>
      <c r="D2763" s="3">
        <v>1</v>
      </c>
      <c r="G2763" s="43">
        <v>44068</v>
      </c>
      <c r="H2763" s="42" t="s">
        <v>238</v>
      </c>
    </row>
    <row r="2764" spans="1:8" x14ac:dyDescent="0.25">
      <c r="A2764" s="3" t="s">
        <v>3011</v>
      </c>
      <c r="B2764" s="42" t="s">
        <v>3</v>
      </c>
      <c r="C2764" s="3">
        <v>18</v>
      </c>
      <c r="D2764" s="3">
        <v>1</v>
      </c>
      <c r="G2764" s="43">
        <v>44068</v>
      </c>
      <c r="H2764" s="42" t="s">
        <v>238</v>
      </c>
    </row>
    <row r="2765" spans="1:8" x14ac:dyDescent="0.25">
      <c r="A2765" s="3" t="s">
        <v>3012</v>
      </c>
      <c r="B2765" s="42" t="s">
        <v>3</v>
      </c>
      <c r="C2765" s="3">
        <v>18</v>
      </c>
      <c r="D2765" s="3">
        <v>1</v>
      </c>
      <c r="G2765" s="43">
        <v>44068</v>
      </c>
      <c r="H2765" s="42" t="s">
        <v>238</v>
      </c>
    </row>
    <row r="2766" spans="1:8" x14ac:dyDescent="0.25">
      <c r="A2766" s="3" t="s">
        <v>3013</v>
      </c>
      <c r="B2766" s="42" t="s">
        <v>3</v>
      </c>
      <c r="C2766" s="3">
        <v>18</v>
      </c>
      <c r="D2766" s="3">
        <v>1</v>
      </c>
      <c r="G2766" s="43">
        <v>44068</v>
      </c>
      <c r="H2766" s="42" t="s">
        <v>238</v>
      </c>
    </row>
    <row r="2767" spans="1:8" x14ac:dyDescent="0.25">
      <c r="A2767" s="3" t="s">
        <v>3014</v>
      </c>
      <c r="B2767" s="42" t="s">
        <v>3</v>
      </c>
      <c r="C2767" s="3">
        <v>18</v>
      </c>
      <c r="D2767" s="3">
        <v>1</v>
      </c>
      <c r="G2767" s="43">
        <v>44068</v>
      </c>
      <c r="H2767" s="42" t="s">
        <v>238</v>
      </c>
    </row>
    <row r="2768" spans="1:8" x14ac:dyDescent="0.25">
      <c r="A2768" s="3" t="s">
        <v>3015</v>
      </c>
      <c r="B2768" s="42" t="s">
        <v>3</v>
      </c>
      <c r="C2768" s="3">
        <v>18</v>
      </c>
      <c r="D2768" s="3">
        <v>1</v>
      </c>
      <c r="G2768" s="43">
        <v>44068</v>
      </c>
      <c r="H2768" s="42" t="s">
        <v>238</v>
      </c>
    </row>
    <row r="2769" spans="1:8" x14ac:dyDescent="0.25">
      <c r="A2769" s="3" t="s">
        <v>3016</v>
      </c>
      <c r="B2769" s="42" t="s">
        <v>3</v>
      </c>
      <c r="C2769" s="3">
        <v>20</v>
      </c>
      <c r="D2769" s="3">
        <v>1</v>
      </c>
      <c r="G2769" s="43">
        <v>44068</v>
      </c>
      <c r="H2769" s="42" t="s">
        <v>238</v>
      </c>
    </row>
    <row r="2770" spans="1:8" x14ac:dyDescent="0.25">
      <c r="A2770" s="3" t="s">
        <v>3017</v>
      </c>
      <c r="B2770" s="42" t="s">
        <v>3</v>
      </c>
      <c r="C2770" s="3">
        <v>18</v>
      </c>
      <c r="D2770" s="3">
        <v>1</v>
      </c>
      <c r="G2770" s="43">
        <v>44068</v>
      </c>
      <c r="H2770" s="42" t="s">
        <v>238</v>
      </c>
    </row>
    <row r="2771" spans="1:8" x14ac:dyDescent="0.25">
      <c r="A2771" s="3" t="s">
        <v>3018</v>
      </c>
      <c r="B2771" s="42" t="s">
        <v>3</v>
      </c>
      <c r="C2771" s="3">
        <v>21</v>
      </c>
      <c r="D2771" s="3">
        <v>1</v>
      </c>
      <c r="G2771" s="43">
        <v>44068</v>
      </c>
      <c r="H2771" s="42" t="s">
        <v>238</v>
      </c>
    </row>
    <row r="2772" spans="1:8" x14ac:dyDescent="0.25">
      <c r="A2772" s="3" t="s">
        <v>3019</v>
      </c>
      <c r="B2772" s="42" t="s">
        <v>3</v>
      </c>
      <c r="C2772" s="3">
        <v>19</v>
      </c>
      <c r="D2772" s="3">
        <v>1</v>
      </c>
      <c r="G2772" s="43">
        <v>44068</v>
      </c>
      <c r="H2772" s="42" t="s">
        <v>238</v>
      </c>
    </row>
    <row r="2773" spans="1:8" x14ac:dyDescent="0.25">
      <c r="A2773" s="3" t="s">
        <v>3020</v>
      </c>
      <c r="B2773" s="42" t="s">
        <v>3</v>
      </c>
      <c r="C2773" s="3">
        <v>18</v>
      </c>
      <c r="D2773" s="3">
        <v>1</v>
      </c>
      <c r="G2773" s="43">
        <v>44068</v>
      </c>
      <c r="H2773" s="42" t="s">
        <v>238</v>
      </c>
    </row>
    <row r="2774" spans="1:8" x14ac:dyDescent="0.25">
      <c r="A2774" s="3" t="s">
        <v>3021</v>
      </c>
      <c r="B2774" s="42" t="s">
        <v>3</v>
      </c>
      <c r="C2774" s="3">
        <v>18</v>
      </c>
      <c r="D2774" s="3">
        <v>1</v>
      </c>
      <c r="G2774" s="43">
        <v>44068</v>
      </c>
      <c r="H2774" s="42" t="s">
        <v>238</v>
      </c>
    </row>
    <row r="2775" spans="1:8" x14ac:dyDescent="0.25">
      <c r="A2775" s="3" t="s">
        <v>3022</v>
      </c>
      <c r="B2775" s="42" t="s">
        <v>3</v>
      </c>
      <c r="C2775" s="3">
        <v>19</v>
      </c>
      <c r="D2775" s="3">
        <v>1</v>
      </c>
      <c r="G2775" s="43">
        <v>44068</v>
      </c>
      <c r="H2775" s="42" t="s">
        <v>238</v>
      </c>
    </row>
    <row r="2776" spans="1:8" x14ac:dyDescent="0.25">
      <c r="A2776" s="3" t="s">
        <v>3023</v>
      </c>
      <c r="B2776" s="42" t="s">
        <v>3</v>
      </c>
      <c r="C2776" s="3">
        <v>19</v>
      </c>
      <c r="D2776" s="3">
        <v>1</v>
      </c>
      <c r="G2776" s="43">
        <v>44068</v>
      </c>
      <c r="H2776" s="42" t="s">
        <v>238</v>
      </c>
    </row>
    <row r="2777" spans="1:8" x14ac:dyDescent="0.25">
      <c r="A2777" s="3" t="s">
        <v>3024</v>
      </c>
      <c r="B2777" s="42" t="s">
        <v>120</v>
      </c>
      <c r="C2777" s="3">
        <v>18</v>
      </c>
      <c r="D2777" s="3">
        <v>1</v>
      </c>
      <c r="E2777" s="42" t="s">
        <v>160</v>
      </c>
      <c r="F2777" s="42" t="s">
        <v>160</v>
      </c>
      <c r="G2777" s="43">
        <v>44068</v>
      </c>
      <c r="H2777" s="42" t="s">
        <v>238</v>
      </c>
    </row>
    <row r="2778" spans="1:8" x14ac:dyDescent="0.25">
      <c r="A2778" s="3" t="s">
        <v>3025</v>
      </c>
      <c r="B2778" s="42" t="s">
        <v>3</v>
      </c>
      <c r="C2778" s="3">
        <v>19</v>
      </c>
      <c r="D2778" s="3">
        <v>1</v>
      </c>
      <c r="G2778" s="43">
        <v>44068</v>
      </c>
      <c r="H2778" s="42" t="s">
        <v>238</v>
      </c>
    </row>
    <row r="2779" spans="1:8" x14ac:dyDescent="0.25">
      <c r="A2779" s="3" t="s">
        <v>3026</v>
      </c>
      <c r="B2779" s="42" t="s">
        <v>3</v>
      </c>
      <c r="C2779" s="3">
        <v>19</v>
      </c>
      <c r="D2779" s="3">
        <v>1</v>
      </c>
      <c r="G2779" s="43">
        <v>44068</v>
      </c>
      <c r="H2779" s="42" t="s">
        <v>238</v>
      </c>
    </row>
    <row r="2780" spans="1:8" x14ac:dyDescent="0.25">
      <c r="A2780" s="3" t="s">
        <v>3027</v>
      </c>
      <c r="B2780" s="42" t="s">
        <v>3</v>
      </c>
      <c r="C2780" s="3">
        <v>18</v>
      </c>
      <c r="D2780" s="3">
        <v>1</v>
      </c>
      <c r="G2780" s="43">
        <v>44068</v>
      </c>
      <c r="H2780" s="42" t="s">
        <v>238</v>
      </c>
    </row>
    <row r="2781" spans="1:8" x14ac:dyDescent="0.25">
      <c r="A2781" s="3" t="s">
        <v>3028</v>
      </c>
      <c r="B2781" s="42" t="s">
        <v>3</v>
      </c>
      <c r="C2781" s="3">
        <v>19</v>
      </c>
      <c r="D2781" s="3">
        <v>1</v>
      </c>
      <c r="G2781" s="43">
        <v>44068</v>
      </c>
      <c r="H2781" s="42" t="s">
        <v>238</v>
      </c>
    </row>
    <row r="2782" spans="1:8" x14ac:dyDescent="0.25">
      <c r="A2782" s="3" t="s">
        <v>3029</v>
      </c>
      <c r="B2782" s="42" t="s">
        <v>3</v>
      </c>
      <c r="C2782" s="3">
        <v>18</v>
      </c>
      <c r="D2782" s="3">
        <v>1</v>
      </c>
      <c r="G2782" s="43">
        <v>44068</v>
      </c>
      <c r="H2782" s="42" t="s">
        <v>238</v>
      </c>
    </row>
    <row r="2783" spans="1:8" x14ac:dyDescent="0.25">
      <c r="A2783" s="3" t="s">
        <v>3030</v>
      </c>
      <c r="B2783" s="42" t="s">
        <v>3</v>
      </c>
      <c r="C2783" s="3">
        <v>18</v>
      </c>
      <c r="D2783" s="3">
        <v>1</v>
      </c>
      <c r="G2783" s="43">
        <v>44068</v>
      </c>
      <c r="H2783" s="42" t="s">
        <v>238</v>
      </c>
    </row>
    <row r="2784" spans="1:8" x14ac:dyDescent="0.25">
      <c r="A2784" s="3" t="s">
        <v>3031</v>
      </c>
      <c r="B2784" s="42" t="s">
        <v>3</v>
      </c>
      <c r="C2784" s="3">
        <v>18</v>
      </c>
      <c r="D2784" s="3">
        <v>1</v>
      </c>
      <c r="G2784" s="43">
        <v>44068</v>
      </c>
      <c r="H2784" s="42" t="s">
        <v>238</v>
      </c>
    </row>
    <row r="2785" spans="1:8" x14ac:dyDescent="0.25">
      <c r="A2785" s="3" t="s">
        <v>3032</v>
      </c>
      <c r="B2785" s="42" t="s">
        <v>3</v>
      </c>
      <c r="C2785" s="3">
        <v>18</v>
      </c>
      <c r="D2785" s="3">
        <v>1</v>
      </c>
      <c r="G2785" s="43">
        <v>44068</v>
      </c>
      <c r="H2785" s="42" t="s">
        <v>238</v>
      </c>
    </row>
    <row r="2786" spans="1:8" x14ac:dyDescent="0.25">
      <c r="A2786" s="3" t="s">
        <v>3033</v>
      </c>
      <c r="B2786" s="42" t="s">
        <v>3</v>
      </c>
      <c r="C2786" s="3">
        <v>18</v>
      </c>
      <c r="D2786" s="3">
        <v>1</v>
      </c>
      <c r="G2786" s="43">
        <v>44068</v>
      </c>
      <c r="H2786" s="42" t="s">
        <v>238</v>
      </c>
    </row>
    <row r="2787" spans="1:8" x14ac:dyDescent="0.25">
      <c r="A2787" s="3" t="s">
        <v>3034</v>
      </c>
      <c r="B2787" s="42" t="s">
        <v>3</v>
      </c>
      <c r="C2787" s="3">
        <v>18</v>
      </c>
      <c r="D2787" s="3">
        <v>1</v>
      </c>
      <c r="G2787" s="43">
        <v>44068</v>
      </c>
      <c r="H2787" s="42" t="s">
        <v>238</v>
      </c>
    </row>
    <row r="2788" spans="1:8" x14ac:dyDescent="0.25">
      <c r="A2788" s="3" t="s">
        <v>3035</v>
      </c>
      <c r="B2788" s="42" t="s">
        <v>3</v>
      </c>
      <c r="C2788" s="3">
        <v>18</v>
      </c>
      <c r="D2788" s="3">
        <v>1</v>
      </c>
      <c r="G2788" s="43">
        <v>44068</v>
      </c>
      <c r="H2788" s="42" t="s">
        <v>238</v>
      </c>
    </row>
    <row r="2789" spans="1:8" x14ac:dyDescent="0.25">
      <c r="A2789" s="3" t="s">
        <v>3036</v>
      </c>
      <c r="B2789" s="42" t="s">
        <v>3</v>
      </c>
      <c r="C2789" s="3">
        <v>18</v>
      </c>
      <c r="D2789" s="3">
        <v>1</v>
      </c>
      <c r="G2789" s="43">
        <v>44068</v>
      </c>
      <c r="H2789" s="42" t="s">
        <v>238</v>
      </c>
    </row>
    <row r="2790" spans="1:8" x14ac:dyDescent="0.25">
      <c r="A2790" s="3" t="s">
        <v>3037</v>
      </c>
      <c r="B2790" s="42" t="s">
        <v>3</v>
      </c>
      <c r="C2790" s="3">
        <v>18</v>
      </c>
      <c r="D2790" s="3">
        <v>1</v>
      </c>
      <c r="G2790" s="43">
        <v>44068</v>
      </c>
      <c r="H2790" s="42" t="s">
        <v>238</v>
      </c>
    </row>
    <row r="2791" spans="1:8" x14ac:dyDescent="0.25">
      <c r="A2791" s="3" t="s">
        <v>3038</v>
      </c>
      <c r="B2791" s="42" t="s">
        <v>3</v>
      </c>
      <c r="C2791" s="3">
        <v>20</v>
      </c>
      <c r="D2791" s="3">
        <v>1</v>
      </c>
      <c r="G2791" s="43">
        <v>44068</v>
      </c>
      <c r="H2791" s="42" t="s">
        <v>238</v>
      </c>
    </row>
    <row r="2792" spans="1:8" x14ac:dyDescent="0.25">
      <c r="A2792" s="3" t="s">
        <v>3039</v>
      </c>
      <c r="B2792" s="42" t="s">
        <v>3</v>
      </c>
      <c r="C2792" s="3">
        <v>19</v>
      </c>
      <c r="D2792" s="3">
        <v>1</v>
      </c>
      <c r="G2792" s="43">
        <v>44068</v>
      </c>
      <c r="H2792" s="42" t="s">
        <v>238</v>
      </c>
    </row>
    <row r="2793" spans="1:8" x14ac:dyDescent="0.25">
      <c r="A2793" s="3" t="s">
        <v>3040</v>
      </c>
      <c r="B2793" s="42" t="s">
        <v>3</v>
      </c>
      <c r="C2793" s="3">
        <v>18</v>
      </c>
      <c r="D2793" s="3">
        <v>1</v>
      </c>
      <c r="G2793" s="43">
        <v>44068</v>
      </c>
      <c r="H2793" s="42" t="s">
        <v>238</v>
      </c>
    </row>
    <row r="2794" spans="1:8" x14ac:dyDescent="0.25">
      <c r="A2794" s="3" t="s">
        <v>3041</v>
      </c>
      <c r="B2794" s="42" t="s">
        <v>3</v>
      </c>
      <c r="C2794" s="3">
        <v>19</v>
      </c>
      <c r="D2794" s="3">
        <v>1</v>
      </c>
      <c r="G2794" s="43">
        <v>44068</v>
      </c>
      <c r="H2794" s="42" t="s">
        <v>238</v>
      </c>
    </row>
    <row r="2795" spans="1:8" x14ac:dyDescent="0.25">
      <c r="A2795" s="3" t="s">
        <v>3042</v>
      </c>
      <c r="B2795" s="42" t="s">
        <v>3</v>
      </c>
      <c r="C2795" s="3">
        <v>19</v>
      </c>
      <c r="D2795" s="3">
        <v>1</v>
      </c>
      <c r="G2795" s="43">
        <v>44068</v>
      </c>
      <c r="H2795" s="42" t="s">
        <v>238</v>
      </c>
    </row>
    <row r="2796" spans="1:8" x14ac:dyDescent="0.25">
      <c r="A2796" s="3" t="s">
        <v>3043</v>
      </c>
      <c r="B2796" s="42" t="s">
        <v>3</v>
      </c>
      <c r="C2796" s="3">
        <v>18</v>
      </c>
      <c r="D2796" s="3">
        <v>1</v>
      </c>
      <c r="G2796" s="43">
        <v>44068</v>
      </c>
      <c r="H2796" s="42" t="s">
        <v>238</v>
      </c>
    </row>
    <row r="2797" spans="1:8" x14ac:dyDescent="0.25">
      <c r="A2797" s="3" t="s">
        <v>3044</v>
      </c>
      <c r="B2797" s="42" t="s">
        <v>3</v>
      </c>
      <c r="C2797" s="3">
        <v>18</v>
      </c>
      <c r="D2797" s="3">
        <v>1</v>
      </c>
      <c r="G2797" s="43">
        <v>44068</v>
      </c>
      <c r="H2797" s="42" t="s">
        <v>238</v>
      </c>
    </row>
    <row r="2798" spans="1:8" x14ac:dyDescent="0.25">
      <c r="A2798" s="3" t="s">
        <v>3045</v>
      </c>
      <c r="B2798" s="42" t="s">
        <v>3</v>
      </c>
      <c r="C2798" s="3">
        <v>19</v>
      </c>
      <c r="D2798" s="3">
        <v>1</v>
      </c>
      <c r="G2798" s="43">
        <v>44068</v>
      </c>
      <c r="H2798" s="42" t="s">
        <v>238</v>
      </c>
    </row>
    <row r="2799" spans="1:8" x14ac:dyDescent="0.25">
      <c r="A2799" s="3" t="s">
        <v>3046</v>
      </c>
      <c r="B2799" s="42" t="s">
        <v>3</v>
      </c>
      <c r="C2799" s="3">
        <v>19</v>
      </c>
      <c r="D2799" s="3">
        <v>1</v>
      </c>
      <c r="G2799" s="43">
        <v>44068</v>
      </c>
      <c r="H2799" s="42" t="s">
        <v>238</v>
      </c>
    </row>
    <row r="2800" spans="1:8" x14ac:dyDescent="0.25">
      <c r="A2800" s="3" t="s">
        <v>3047</v>
      </c>
      <c r="B2800" s="42" t="s">
        <v>3</v>
      </c>
      <c r="C2800" s="3">
        <v>18</v>
      </c>
      <c r="D2800" s="3">
        <v>1</v>
      </c>
      <c r="G2800" s="43">
        <v>44068</v>
      </c>
      <c r="H2800" s="42" t="s">
        <v>238</v>
      </c>
    </row>
    <row r="2801" spans="1:8" x14ac:dyDescent="0.25">
      <c r="A2801" s="3" t="s">
        <v>3048</v>
      </c>
      <c r="B2801" s="42" t="s">
        <v>3</v>
      </c>
      <c r="C2801" s="3">
        <v>18</v>
      </c>
      <c r="D2801" s="3">
        <v>1</v>
      </c>
      <c r="G2801" s="43">
        <v>44068</v>
      </c>
      <c r="H2801" s="42" t="s">
        <v>238</v>
      </c>
    </row>
    <row r="2802" spans="1:8" x14ac:dyDescent="0.25">
      <c r="A2802" s="3" t="s">
        <v>3049</v>
      </c>
      <c r="B2802" s="42" t="s">
        <v>3</v>
      </c>
      <c r="C2802" s="3">
        <v>18</v>
      </c>
      <c r="D2802" s="3">
        <v>1</v>
      </c>
      <c r="G2802" s="43">
        <v>44068</v>
      </c>
      <c r="H2802" s="42" t="s">
        <v>238</v>
      </c>
    </row>
    <row r="2803" spans="1:8" x14ac:dyDescent="0.25">
      <c r="A2803" s="3" t="s">
        <v>3050</v>
      </c>
      <c r="B2803" s="42" t="s">
        <v>3</v>
      </c>
      <c r="C2803" s="3">
        <v>18</v>
      </c>
      <c r="D2803" s="3">
        <v>1</v>
      </c>
      <c r="G2803" s="43">
        <v>44068</v>
      </c>
      <c r="H2803" s="42" t="s">
        <v>238</v>
      </c>
    </row>
    <row r="2804" spans="1:8" x14ac:dyDescent="0.25">
      <c r="A2804" s="3" t="s">
        <v>3051</v>
      </c>
      <c r="B2804" s="42" t="s">
        <v>3</v>
      </c>
      <c r="C2804" s="3">
        <v>18</v>
      </c>
      <c r="D2804" s="3">
        <v>1</v>
      </c>
      <c r="G2804" s="43">
        <v>44068</v>
      </c>
      <c r="H2804" s="42" t="s">
        <v>238</v>
      </c>
    </row>
    <row r="2805" spans="1:8" x14ac:dyDescent="0.25">
      <c r="A2805" s="3" t="s">
        <v>3052</v>
      </c>
      <c r="B2805" s="42" t="s">
        <v>3</v>
      </c>
      <c r="C2805" s="3">
        <v>19</v>
      </c>
      <c r="D2805" s="3">
        <v>1</v>
      </c>
      <c r="G2805" s="43">
        <v>44068</v>
      </c>
      <c r="H2805" s="42" t="s">
        <v>238</v>
      </c>
    </row>
    <row r="2806" spans="1:8" x14ac:dyDescent="0.25">
      <c r="A2806" s="3" t="s">
        <v>3053</v>
      </c>
      <c r="B2806" s="42" t="s">
        <v>3</v>
      </c>
      <c r="C2806" s="3">
        <v>20</v>
      </c>
      <c r="D2806" s="3">
        <v>1</v>
      </c>
      <c r="G2806" s="43">
        <v>44068</v>
      </c>
      <c r="H2806" s="42" t="s">
        <v>238</v>
      </c>
    </row>
    <row r="2807" spans="1:8" x14ac:dyDescent="0.25">
      <c r="A2807" s="3" t="s">
        <v>3054</v>
      </c>
      <c r="B2807" s="42" t="s">
        <v>3</v>
      </c>
      <c r="C2807" s="3">
        <v>18</v>
      </c>
      <c r="D2807" s="3">
        <v>1</v>
      </c>
      <c r="G2807" s="43">
        <v>44068</v>
      </c>
      <c r="H2807" s="42" t="s">
        <v>238</v>
      </c>
    </row>
    <row r="2808" spans="1:8" x14ac:dyDescent="0.25">
      <c r="A2808" s="3" t="s">
        <v>3055</v>
      </c>
      <c r="B2808" s="42" t="s">
        <v>3</v>
      </c>
      <c r="C2808" s="3">
        <v>19</v>
      </c>
      <c r="D2808" s="3">
        <v>1</v>
      </c>
      <c r="G2808" s="43">
        <v>44068</v>
      </c>
      <c r="H2808" s="42" t="s">
        <v>238</v>
      </c>
    </row>
    <row r="2809" spans="1:8" x14ac:dyDescent="0.25">
      <c r="A2809" s="3" t="s">
        <v>3056</v>
      </c>
      <c r="B2809" s="42" t="s">
        <v>3</v>
      </c>
      <c r="C2809" s="3">
        <v>20</v>
      </c>
      <c r="D2809" s="3">
        <v>1</v>
      </c>
      <c r="G2809" s="43">
        <v>44068</v>
      </c>
      <c r="H2809" s="42" t="s">
        <v>238</v>
      </c>
    </row>
    <row r="2810" spans="1:8" x14ac:dyDescent="0.25">
      <c r="A2810" s="3" t="s">
        <v>3057</v>
      </c>
      <c r="B2810" s="42" t="s">
        <v>3</v>
      </c>
      <c r="C2810" s="3">
        <v>18</v>
      </c>
      <c r="D2810" s="3">
        <v>1</v>
      </c>
      <c r="G2810" s="43">
        <v>44068</v>
      </c>
      <c r="H2810" s="42" t="s">
        <v>238</v>
      </c>
    </row>
    <row r="2811" spans="1:8" x14ac:dyDescent="0.25">
      <c r="A2811" s="3" t="s">
        <v>3058</v>
      </c>
      <c r="B2811" s="42" t="s">
        <v>3</v>
      </c>
      <c r="C2811" s="3">
        <v>19</v>
      </c>
      <c r="D2811" s="3">
        <v>1</v>
      </c>
      <c r="G2811" s="43">
        <v>44068</v>
      </c>
      <c r="H2811" s="42" t="s">
        <v>238</v>
      </c>
    </row>
    <row r="2812" spans="1:8" x14ac:dyDescent="0.25">
      <c r="A2812" s="3" t="s">
        <v>3059</v>
      </c>
      <c r="B2812" s="42" t="s">
        <v>3</v>
      </c>
      <c r="C2812" s="3">
        <v>22</v>
      </c>
      <c r="D2812" s="3">
        <v>1</v>
      </c>
      <c r="G2812" s="43">
        <v>44068</v>
      </c>
      <c r="H2812" s="42" t="s">
        <v>238</v>
      </c>
    </row>
    <row r="2813" spans="1:8" x14ac:dyDescent="0.25">
      <c r="A2813" s="3" t="s">
        <v>3060</v>
      </c>
      <c r="B2813" s="42" t="s">
        <v>3</v>
      </c>
      <c r="C2813" s="3">
        <v>18</v>
      </c>
      <c r="D2813" s="3">
        <v>1</v>
      </c>
      <c r="G2813" s="43">
        <v>44068</v>
      </c>
      <c r="H2813" s="42" t="s">
        <v>238</v>
      </c>
    </row>
    <row r="2814" spans="1:8" x14ac:dyDescent="0.25">
      <c r="A2814" s="3" t="s">
        <v>3061</v>
      </c>
      <c r="B2814" s="42" t="s">
        <v>3</v>
      </c>
      <c r="C2814" s="3">
        <v>18</v>
      </c>
      <c r="D2814" s="3">
        <v>1</v>
      </c>
      <c r="G2814" s="43">
        <v>44068</v>
      </c>
      <c r="H2814" s="42" t="s">
        <v>238</v>
      </c>
    </row>
    <row r="2815" spans="1:8" x14ac:dyDescent="0.25">
      <c r="A2815" s="3" t="s">
        <v>3062</v>
      </c>
      <c r="B2815" s="42" t="s">
        <v>3</v>
      </c>
      <c r="C2815" s="3">
        <v>18</v>
      </c>
      <c r="D2815" s="3">
        <v>1</v>
      </c>
      <c r="G2815" s="43">
        <v>44068</v>
      </c>
      <c r="H2815" s="42" t="s">
        <v>238</v>
      </c>
    </row>
    <row r="2816" spans="1:8" x14ac:dyDescent="0.25">
      <c r="A2816" s="3" t="s">
        <v>3063</v>
      </c>
      <c r="B2816" s="42" t="s">
        <v>3</v>
      </c>
      <c r="C2816" s="3">
        <v>18</v>
      </c>
      <c r="D2816" s="3">
        <v>1</v>
      </c>
      <c r="G2816" s="43">
        <v>44068</v>
      </c>
      <c r="H2816" s="42" t="s">
        <v>238</v>
      </c>
    </row>
    <row r="2817" spans="1:8" x14ac:dyDescent="0.25">
      <c r="A2817" s="3" t="s">
        <v>3064</v>
      </c>
      <c r="B2817" s="42" t="s">
        <v>3</v>
      </c>
      <c r="C2817" s="3">
        <v>19</v>
      </c>
      <c r="D2817" s="3">
        <v>1</v>
      </c>
      <c r="G2817" s="43">
        <v>44068</v>
      </c>
      <c r="H2817" s="42" t="s">
        <v>238</v>
      </c>
    </row>
    <row r="2818" spans="1:8" x14ac:dyDescent="0.25">
      <c r="A2818" s="3" t="s">
        <v>3065</v>
      </c>
      <c r="B2818" s="42" t="s">
        <v>3</v>
      </c>
      <c r="C2818" s="3">
        <v>19</v>
      </c>
      <c r="D2818" s="3">
        <v>1</v>
      </c>
      <c r="G2818" s="43">
        <v>44068</v>
      </c>
      <c r="H2818" s="42" t="s">
        <v>238</v>
      </c>
    </row>
    <row r="2819" spans="1:8" x14ac:dyDescent="0.25">
      <c r="A2819" s="3" t="s">
        <v>3066</v>
      </c>
      <c r="B2819" s="42" t="s">
        <v>3</v>
      </c>
      <c r="C2819" s="3">
        <v>22</v>
      </c>
      <c r="D2819" s="3">
        <v>1</v>
      </c>
      <c r="G2819" s="43">
        <v>44068</v>
      </c>
      <c r="H2819" s="42" t="s">
        <v>238</v>
      </c>
    </row>
    <row r="2820" spans="1:8" x14ac:dyDescent="0.25">
      <c r="A2820" s="3" t="s">
        <v>3067</v>
      </c>
      <c r="B2820" s="42" t="s">
        <v>3</v>
      </c>
      <c r="C2820" s="3">
        <v>18</v>
      </c>
      <c r="D2820" s="3">
        <v>1</v>
      </c>
      <c r="G2820" s="43">
        <v>44068</v>
      </c>
      <c r="H2820" s="42" t="s">
        <v>238</v>
      </c>
    </row>
    <row r="2821" spans="1:8" x14ac:dyDescent="0.25">
      <c r="A2821" s="3" t="s">
        <v>3068</v>
      </c>
      <c r="B2821" s="42" t="s">
        <v>3</v>
      </c>
      <c r="C2821" s="3">
        <v>19</v>
      </c>
      <c r="D2821" s="3">
        <v>1</v>
      </c>
      <c r="G2821" s="43">
        <v>44068</v>
      </c>
      <c r="H2821" s="42" t="s">
        <v>238</v>
      </c>
    </row>
    <row r="2822" spans="1:8" x14ac:dyDescent="0.25">
      <c r="A2822" s="3" t="s">
        <v>3069</v>
      </c>
      <c r="B2822" s="42" t="s">
        <v>3</v>
      </c>
      <c r="C2822" s="3">
        <v>19</v>
      </c>
      <c r="D2822" s="3">
        <v>1</v>
      </c>
      <c r="G2822" s="43">
        <v>44068</v>
      </c>
      <c r="H2822" s="42" t="s">
        <v>238</v>
      </c>
    </row>
    <row r="2823" spans="1:8" x14ac:dyDescent="0.25">
      <c r="A2823" s="3" t="s">
        <v>3070</v>
      </c>
      <c r="B2823" s="42" t="s">
        <v>3</v>
      </c>
      <c r="C2823" s="3">
        <v>18</v>
      </c>
      <c r="D2823" s="3">
        <v>1</v>
      </c>
      <c r="G2823" s="43">
        <v>44068</v>
      </c>
      <c r="H2823" s="42" t="s">
        <v>238</v>
      </c>
    </row>
    <row r="2824" spans="1:8" x14ac:dyDescent="0.25">
      <c r="A2824" s="3" t="s">
        <v>3071</v>
      </c>
      <c r="B2824" s="42" t="s">
        <v>3</v>
      </c>
      <c r="C2824" s="3">
        <v>19</v>
      </c>
      <c r="D2824" s="3">
        <v>1</v>
      </c>
      <c r="G2824" s="43">
        <v>44068</v>
      </c>
      <c r="H2824" s="42" t="s">
        <v>238</v>
      </c>
    </row>
    <row r="2825" spans="1:8" x14ac:dyDescent="0.25">
      <c r="A2825" s="3" t="s">
        <v>3072</v>
      </c>
      <c r="B2825" s="42" t="s">
        <v>3</v>
      </c>
      <c r="C2825" s="3">
        <v>19</v>
      </c>
      <c r="D2825" s="3">
        <v>1</v>
      </c>
      <c r="G2825" s="43">
        <v>44068</v>
      </c>
      <c r="H2825" s="42" t="s">
        <v>238</v>
      </c>
    </row>
    <row r="2826" spans="1:8" x14ac:dyDescent="0.25">
      <c r="A2826" s="3" t="s">
        <v>3073</v>
      </c>
      <c r="B2826" s="42" t="s">
        <v>3</v>
      </c>
      <c r="C2826" s="3">
        <v>18</v>
      </c>
      <c r="D2826" s="3">
        <v>1</v>
      </c>
      <c r="G2826" s="43">
        <v>44068</v>
      </c>
      <c r="H2826" s="42" t="s">
        <v>238</v>
      </c>
    </row>
    <row r="2827" spans="1:8" x14ac:dyDescent="0.25">
      <c r="A2827" s="3" t="s">
        <v>3074</v>
      </c>
      <c r="B2827" s="42" t="s">
        <v>3</v>
      </c>
      <c r="C2827" s="3">
        <v>18</v>
      </c>
      <c r="D2827" s="3">
        <v>1</v>
      </c>
      <c r="G2827" s="43">
        <v>44068</v>
      </c>
      <c r="H2827" s="42" t="s">
        <v>238</v>
      </c>
    </row>
    <row r="2828" spans="1:8" x14ac:dyDescent="0.25">
      <c r="A2828" s="3" t="s">
        <v>3075</v>
      </c>
      <c r="B2828" s="42" t="s">
        <v>3</v>
      </c>
      <c r="C2828" s="3">
        <v>19</v>
      </c>
      <c r="D2828" s="3">
        <v>1</v>
      </c>
      <c r="G2828" s="43">
        <v>44068</v>
      </c>
      <c r="H2828" s="42" t="s">
        <v>238</v>
      </c>
    </row>
    <row r="2829" spans="1:8" x14ac:dyDescent="0.25">
      <c r="A2829" s="3" t="s">
        <v>3076</v>
      </c>
      <c r="B2829" s="42" t="s">
        <v>3</v>
      </c>
      <c r="C2829" s="3">
        <v>18</v>
      </c>
      <c r="D2829" s="3">
        <v>1</v>
      </c>
      <c r="G2829" s="43">
        <v>44068</v>
      </c>
      <c r="H2829" s="42" t="s">
        <v>238</v>
      </c>
    </row>
    <row r="2830" spans="1:8" x14ac:dyDescent="0.25">
      <c r="A2830" s="3" t="s">
        <v>3077</v>
      </c>
      <c r="B2830" s="42" t="s">
        <v>3</v>
      </c>
      <c r="C2830" s="3">
        <v>18</v>
      </c>
      <c r="D2830" s="3">
        <v>1</v>
      </c>
      <c r="G2830" s="43">
        <v>44068</v>
      </c>
      <c r="H2830" s="42" t="s">
        <v>238</v>
      </c>
    </row>
    <row r="2831" spans="1:8" x14ac:dyDescent="0.25">
      <c r="A2831" s="3" t="s">
        <v>3078</v>
      </c>
      <c r="B2831" s="42" t="s">
        <v>3</v>
      </c>
      <c r="C2831" s="3">
        <v>24</v>
      </c>
      <c r="D2831" s="3">
        <v>1</v>
      </c>
      <c r="G2831" s="43">
        <v>44068</v>
      </c>
      <c r="H2831" s="42" t="s">
        <v>238</v>
      </c>
    </row>
    <row r="2832" spans="1:8" x14ac:dyDescent="0.25">
      <c r="A2832" s="3" t="s">
        <v>3079</v>
      </c>
      <c r="B2832" s="42" t="s">
        <v>3</v>
      </c>
      <c r="C2832" s="3">
        <v>18</v>
      </c>
      <c r="D2832" s="3">
        <v>1</v>
      </c>
      <c r="G2832" s="43">
        <v>44068</v>
      </c>
      <c r="H2832" s="42" t="s">
        <v>238</v>
      </c>
    </row>
    <row r="2833" spans="1:8" x14ac:dyDescent="0.25">
      <c r="A2833" s="3" t="s">
        <v>3080</v>
      </c>
      <c r="B2833" s="42" t="s">
        <v>3</v>
      </c>
      <c r="C2833" s="3">
        <v>18</v>
      </c>
      <c r="D2833" s="3">
        <v>1</v>
      </c>
      <c r="G2833" s="43">
        <v>44068</v>
      </c>
      <c r="H2833" s="42" t="s">
        <v>238</v>
      </c>
    </row>
    <row r="2834" spans="1:8" x14ac:dyDescent="0.25">
      <c r="A2834" s="3" t="s">
        <v>3081</v>
      </c>
      <c r="B2834" s="42" t="s">
        <v>3</v>
      </c>
      <c r="C2834" s="3">
        <v>19</v>
      </c>
      <c r="D2834" s="3">
        <v>1</v>
      </c>
      <c r="G2834" s="43">
        <v>44068</v>
      </c>
      <c r="H2834" s="42" t="s">
        <v>238</v>
      </c>
    </row>
    <row r="2835" spans="1:8" x14ac:dyDescent="0.25">
      <c r="A2835" s="3" t="s">
        <v>3082</v>
      </c>
      <c r="B2835" s="42" t="s">
        <v>3</v>
      </c>
      <c r="C2835" s="3">
        <v>19</v>
      </c>
      <c r="D2835" s="3">
        <v>1</v>
      </c>
      <c r="G2835" s="43">
        <v>44068</v>
      </c>
      <c r="H2835" s="42" t="s">
        <v>238</v>
      </c>
    </row>
    <row r="2836" spans="1:8" x14ac:dyDescent="0.25">
      <c r="A2836" s="3" t="s">
        <v>3083</v>
      </c>
      <c r="B2836" s="42" t="s">
        <v>3</v>
      </c>
      <c r="C2836" s="3">
        <v>18</v>
      </c>
      <c r="D2836" s="3">
        <v>1</v>
      </c>
      <c r="G2836" s="43">
        <v>44068</v>
      </c>
      <c r="H2836" s="42" t="s">
        <v>238</v>
      </c>
    </row>
    <row r="2837" spans="1:8" x14ac:dyDescent="0.25">
      <c r="A2837" s="3" t="s">
        <v>3084</v>
      </c>
      <c r="B2837" s="42" t="s">
        <v>3</v>
      </c>
      <c r="C2837" s="3">
        <v>18</v>
      </c>
      <c r="D2837" s="3">
        <v>1</v>
      </c>
      <c r="G2837" s="43">
        <v>44068</v>
      </c>
      <c r="H2837" s="42" t="s">
        <v>238</v>
      </c>
    </row>
    <row r="2838" spans="1:8" x14ac:dyDescent="0.25">
      <c r="A2838" s="3" t="s">
        <v>3085</v>
      </c>
      <c r="B2838" s="42" t="s">
        <v>3</v>
      </c>
      <c r="C2838" s="3">
        <v>18</v>
      </c>
      <c r="D2838" s="3">
        <v>1</v>
      </c>
      <c r="G2838" s="43">
        <v>44068</v>
      </c>
      <c r="H2838" s="42" t="s">
        <v>238</v>
      </c>
    </row>
    <row r="2839" spans="1:8" x14ac:dyDescent="0.25">
      <c r="A2839" s="3" t="s">
        <v>3086</v>
      </c>
      <c r="B2839" s="42" t="s">
        <v>3</v>
      </c>
      <c r="C2839" s="3">
        <v>19</v>
      </c>
      <c r="D2839" s="3">
        <v>1</v>
      </c>
      <c r="G2839" s="43">
        <v>44068</v>
      </c>
      <c r="H2839" s="42" t="s">
        <v>238</v>
      </c>
    </row>
    <row r="2840" spans="1:8" x14ac:dyDescent="0.25">
      <c r="A2840" s="3" t="s">
        <v>3087</v>
      </c>
      <c r="B2840" s="42" t="s">
        <v>3</v>
      </c>
      <c r="C2840" s="3">
        <v>18</v>
      </c>
      <c r="D2840" s="3">
        <v>1</v>
      </c>
      <c r="G2840" s="43">
        <v>44068</v>
      </c>
      <c r="H2840" s="42" t="s">
        <v>238</v>
      </c>
    </row>
    <row r="2841" spans="1:8" x14ac:dyDescent="0.25">
      <c r="A2841" s="3" t="s">
        <v>3088</v>
      </c>
      <c r="B2841" s="42" t="s">
        <v>3</v>
      </c>
      <c r="C2841" s="3">
        <v>20</v>
      </c>
      <c r="D2841" s="3">
        <v>1</v>
      </c>
      <c r="G2841" s="43">
        <v>44068</v>
      </c>
      <c r="H2841" s="42" t="s">
        <v>238</v>
      </c>
    </row>
    <row r="2842" spans="1:8" x14ac:dyDescent="0.25">
      <c r="A2842" s="3" t="s">
        <v>3089</v>
      </c>
      <c r="B2842" s="42" t="s">
        <v>3</v>
      </c>
      <c r="C2842" s="3">
        <v>18</v>
      </c>
      <c r="D2842" s="3">
        <v>1</v>
      </c>
      <c r="G2842" s="43">
        <v>44068</v>
      </c>
      <c r="H2842" s="42" t="s">
        <v>238</v>
      </c>
    </row>
    <row r="2843" spans="1:8" x14ac:dyDescent="0.25">
      <c r="A2843" s="3" t="s">
        <v>3090</v>
      </c>
      <c r="B2843" s="42" t="s">
        <v>3</v>
      </c>
      <c r="C2843" s="3">
        <v>18</v>
      </c>
      <c r="D2843" s="3">
        <v>1</v>
      </c>
      <c r="G2843" s="43">
        <v>44068</v>
      </c>
      <c r="H2843" s="42" t="s">
        <v>238</v>
      </c>
    </row>
    <row r="2844" spans="1:8" x14ac:dyDescent="0.25">
      <c r="A2844" s="3" t="s">
        <v>3091</v>
      </c>
      <c r="B2844" s="42" t="s">
        <v>3</v>
      </c>
      <c r="C2844" s="3">
        <v>30</v>
      </c>
      <c r="D2844" s="3">
        <v>1</v>
      </c>
      <c r="G2844" s="43">
        <v>44068</v>
      </c>
      <c r="H2844" s="42" t="s">
        <v>238</v>
      </c>
    </row>
    <row r="2845" spans="1:8" x14ac:dyDescent="0.25">
      <c r="A2845" s="3" t="s">
        <v>3092</v>
      </c>
      <c r="B2845" s="42" t="s">
        <v>3</v>
      </c>
      <c r="C2845" s="3">
        <v>18</v>
      </c>
      <c r="D2845" s="3">
        <v>1</v>
      </c>
      <c r="G2845" s="43">
        <v>44068</v>
      </c>
      <c r="H2845" s="42" t="s">
        <v>238</v>
      </c>
    </row>
    <row r="2846" spans="1:8" x14ac:dyDescent="0.25">
      <c r="A2846" s="3" t="s">
        <v>3093</v>
      </c>
      <c r="B2846" s="42" t="s">
        <v>3</v>
      </c>
      <c r="C2846" s="3">
        <v>18</v>
      </c>
      <c r="D2846" s="3">
        <v>1</v>
      </c>
      <c r="G2846" s="43">
        <v>44068</v>
      </c>
      <c r="H2846" s="42" t="s">
        <v>238</v>
      </c>
    </row>
    <row r="2847" spans="1:8" x14ac:dyDescent="0.25">
      <c r="A2847" s="3" t="s">
        <v>3094</v>
      </c>
      <c r="B2847" s="42" t="s">
        <v>3</v>
      </c>
      <c r="C2847" s="3">
        <v>18</v>
      </c>
      <c r="D2847" s="3">
        <v>1</v>
      </c>
      <c r="G2847" s="43">
        <v>44068</v>
      </c>
      <c r="H2847" s="42" t="s">
        <v>238</v>
      </c>
    </row>
    <row r="2848" spans="1:8" x14ac:dyDescent="0.25">
      <c r="A2848" s="3" t="s">
        <v>3095</v>
      </c>
      <c r="B2848" s="42" t="s">
        <v>3</v>
      </c>
      <c r="C2848" s="3">
        <v>18</v>
      </c>
      <c r="D2848" s="3">
        <v>1</v>
      </c>
      <c r="G2848" s="43">
        <v>44068</v>
      </c>
      <c r="H2848" s="42" t="s">
        <v>238</v>
      </c>
    </row>
    <row r="2849" spans="1:8" x14ac:dyDescent="0.25">
      <c r="A2849" s="3" t="s">
        <v>3096</v>
      </c>
      <c r="B2849" s="42" t="s">
        <v>3</v>
      </c>
      <c r="C2849" s="3">
        <v>18</v>
      </c>
      <c r="D2849" s="3">
        <v>1</v>
      </c>
      <c r="G2849" s="43">
        <v>44068</v>
      </c>
      <c r="H2849" s="42" t="s">
        <v>238</v>
      </c>
    </row>
    <row r="2850" spans="1:8" x14ac:dyDescent="0.25">
      <c r="A2850" s="3" t="s">
        <v>3097</v>
      </c>
      <c r="B2850" s="42" t="s">
        <v>3</v>
      </c>
      <c r="C2850" s="3">
        <v>20</v>
      </c>
      <c r="D2850" s="3">
        <v>1</v>
      </c>
      <c r="G2850" s="43">
        <v>44068</v>
      </c>
      <c r="H2850" s="42" t="s">
        <v>238</v>
      </c>
    </row>
    <row r="2851" spans="1:8" x14ac:dyDescent="0.25">
      <c r="A2851" s="3" t="s">
        <v>3098</v>
      </c>
      <c r="B2851" s="42" t="s">
        <v>3</v>
      </c>
      <c r="C2851" s="3">
        <v>18</v>
      </c>
      <c r="D2851" s="3">
        <v>1</v>
      </c>
      <c r="G2851" s="43">
        <v>44068</v>
      </c>
      <c r="H2851" s="42" t="s">
        <v>238</v>
      </c>
    </row>
    <row r="2852" spans="1:8" x14ac:dyDescent="0.25">
      <c r="A2852" s="3" t="s">
        <v>3099</v>
      </c>
      <c r="B2852" s="42" t="s">
        <v>3</v>
      </c>
      <c r="C2852" s="3">
        <v>18</v>
      </c>
      <c r="D2852" s="3">
        <v>1</v>
      </c>
      <c r="G2852" s="43">
        <v>44068</v>
      </c>
      <c r="H2852" s="42" t="s">
        <v>238</v>
      </c>
    </row>
    <row r="2853" spans="1:8" x14ac:dyDescent="0.25">
      <c r="A2853" s="3" t="s">
        <v>3100</v>
      </c>
      <c r="B2853" s="42" t="s">
        <v>3</v>
      </c>
      <c r="C2853" s="3">
        <v>18</v>
      </c>
      <c r="D2853" s="3">
        <v>1</v>
      </c>
      <c r="G2853" s="43">
        <v>44068</v>
      </c>
      <c r="H2853" s="42" t="s">
        <v>238</v>
      </c>
    </row>
    <row r="2854" spans="1:8" x14ac:dyDescent="0.25">
      <c r="A2854" s="3" t="s">
        <v>3101</v>
      </c>
      <c r="B2854" s="42" t="s">
        <v>3</v>
      </c>
      <c r="C2854" s="3">
        <v>18</v>
      </c>
      <c r="D2854" s="3">
        <v>1</v>
      </c>
      <c r="G2854" s="43">
        <v>44068</v>
      </c>
      <c r="H2854" s="42" t="s">
        <v>238</v>
      </c>
    </row>
    <row r="2855" spans="1:8" x14ac:dyDescent="0.25">
      <c r="A2855" s="3" t="s">
        <v>3102</v>
      </c>
      <c r="B2855" s="42" t="s">
        <v>3</v>
      </c>
      <c r="C2855" s="3">
        <v>22</v>
      </c>
      <c r="D2855" s="3">
        <v>1</v>
      </c>
      <c r="G2855" s="43">
        <v>44068</v>
      </c>
      <c r="H2855" s="42" t="s">
        <v>238</v>
      </c>
    </row>
    <row r="2856" spans="1:8" x14ac:dyDescent="0.25">
      <c r="A2856" s="3" t="s">
        <v>3103</v>
      </c>
      <c r="B2856" s="42" t="s">
        <v>3</v>
      </c>
      <c r="C2856" s="3">
        <v>20</v>
      </c>
      <c r="D2856" s="3">
        <v>1</v>
      </c>
      <c r="G2856" s="43">
        <v>44068</v>
      </c>
      <c r="H2856" s="42" t="s">
        <v>238</v>
      </c>
    </row>
    <row r="2857" spans="1:8" x14ac:dyDescent="0.25">
      <c r="A2857" s="3" t="s">
        <v>3104</v>
      </c>
      <c r="B2857" s="42" t="s">
        <v>3</v>
      </c>
      <c r="C2857" s="3">
        <v>19</v>
      </c>
      <c r="D2857" s="3">
        <v>1</v>
      </c>
      <c r="G2857" s="43">
        <v>44068</v>
      </c>
      <c r="H2857" s="42" t="s">
        <v>238</v>
      </c>
    </row>
    <row r="2858" spans="1:8" x14ac:dyDescent="0.25">
      <c r="A2858" s="3" t="s">
        <v>3105</v>
      </c>
      <c r="B2858" s="42" t="s">
        <v>3</v>
      </c>
      <c r="C2858" s="3">
        <v>18</v>
      </c>
      <c r="D2858" s="3">
        <v>1</v>
      </c>
      <c r="G2858" s="43">
        <v>44068</v>
      </c>
      <c r="H2858" s="42" t="s">
        <v>238</v>
      </c>
    </row>
    <row r="2859" spans="1:8" x14ac:dyDescent="0.25">
      <c r="A2859" s="3" t="s">
        <v>3106</v>
      </c>
      <c r="B2859" s="42" t="s">
        <v>3</v>
      </c>
      <c r="C2859" s="3">
        <v>18</v>
      </c>
      <c r="D2859" s="3">
        <v>1</v>
      </c>
      <c r="G2859" s="43">
        <v>44068</v>
      </c>
      <c r="H2859" s="42" t="s">
        <v>238</v>
      </c>
    </row>
    <row r="2860" spans="1:8" x14ac:dyDescent="0.25">
      <c r="A2860" s="3" t="s">
        <v>3107</v>
      </c>
      <c r="B2860" s="42" t="s">
        <v>3</v>
      </c>
      <c r="C2860" s="3">
        <v>18</v>
      </c>
      <c r="D2860" s="3">
        <v>1</v>
      </c>
      <c r="G2860" s="43">
        <v>44068</v>
      </c>
      <c r="H2860" s="42" t="s">
        <v>238</v>
      </c>
    </row>
    <row r="2861" spans="1:8" x14ac:dyDescent="0.25">
      <c r="A2861" s="3" t="s">
        <v>3108</v>
      </c>
      <c r="B2861" s="42" t="s">
        <v>3</v>
      </c>
      <c r="C2861" s="3">
        <v>18</v>
      </c>
      <c r="D2861" s="3">
        <v>1</v>
      </c>
      <c r="G2861" s="43">
        <v>44068</v>
      </c>
      <c r="H2861" s="42" t="s">
        <v>238</v>
      </c>
    </row>
    <row r="2862" spans="1:8" x14ac:dyDescent="0.25">
      <c r="A2862" s="3" t="s">
        <v>3109</v>
      </c>
      <c r="B2862" s="42" t="s">
        <v>3</v>
      </c>
      <c r="C2862" s="3">
        <v>18</v>
      </c>
      <c r="D2862" s="3">
        <v>1</v>
      </c>
      <c r="G2862" s="43">
        <v>44068</v>
      </c>
      <c r="H2862" s="42" t="s">
        <v>238</v>
      </c>
    </row>
    <row r="2863" spans="1:8" x14ac:dyDescent="0.25">
      <c r="A2863" s="3" t="s">
        <v>3110</v>
      </c>
      <c r="B2863" s="42" t="s">
        <v>3</v>
      </c>
      <c r="C2863" s="3">
        <v>18</v>
      </c>
      <c r="D2863" s="3">
        <v>1</v>
      </c>
      <c r="G2863" s="43">
        <v>44068</v>
      </c>
      <c r="H2863" s="42" t="s">
        <v>238</v>
      </c>
    </row>
    <row r="2864" spans="1:8" x14ac:dyDescent="0.25">
      <c r="A2864" s="3" t="s">
        <v>3111</v>
      </c>
      <c r="B2864" s="42" t="s">
        <v>3</v>
      </c>
      <c r="C2864" s="3">
        <v>18</v>
      </c>
      <c r="D2864" s="3">
        <v>1</v>
      </c>
      <c r="G2864" s="43">
        <v>44068</v>
      </c>
      <c r="H2864" s="42" t="s">
        <v>238</v>
      </c>
    </row>
    <row r="2865" spans="1:8" x14ac:dyDescent="0.25">
      <c r="A2865" s="3" t="s">
        <v>3112</v>
      </c>
      <c r="B2865" s="42" t="s">
        <v>3</v>
      </c>
      <c r="C2865" s="3">
        <v>25</v>
      </c>
      <c r="D2865" s="3">
        <v>1</v>
      </c>
      <c r="G2865" s="43">
        <v>44068</v>
      </c>
      <c r="H2865" s="42" t="s">
        <v>238</v>
      </c>
    </row>
    <row r="2866" spans="1:8" x14ac:dyDescent="0.25">
      <c r="A2866" s="3" t="s">
        <v>3113</v>
      </c>
      <c r="B2866" s="42" t="s">
        <v>3</v>
      </c>
      <c r="C2866" s="3">
        <v>18</v>
      </c>
      <c r="D2866" s="3">
        <v>1</v>
      </c>
      <c r="G2866" s="43">
        <v>44068</v>
      </c>
      <c r="H2866" s="42" t="s">
        <v>238</v>
      </c>
    </row>
    <row r="2867" spans="1:8" x14ac:dyDescent="0.25">
      <c r="A2867" s="3" t="s">
        <v>3114</v>
      </c>
      <c r="B2867" s="42" t="s">
        <v>3</v>
      </c>
      <c r="C2867" s="3">
        <v>18</v>
      </c>
      <c r="D2867" s="3">
        <v>1</v>
      </c>
      <c r="G2867" s="43">
        <v>44068</v>
      </c>
      <c r="H2867" s="42" t="s">
        <v>238</v>
      </c>
    </row>
    <row r="2868" spans="1:8" x14ac:dyDescent="0.25">
      <c r="A2868" s="3" t="s">
        <v>3115</v>
      </c>
      <c r="B2868" s="42" t="s">
        <v>3</v>
      </c>
      <c r="C2868" s="3">
        <v>23</v>
      </c>
      <c r="D2868" s="3">
        <v>1</v>
      </c>
      <c r="G2868" s="43">
        <v>44068</v>
      </c>
      <c r="H2868" s="42" t="s">
        <v>238</v>
      </c>
    </row>
    <row r="2869" spans="1:8" x14ac:dyDescent="0.25">
      <c r="A2869" s="3" t="s">
        <v>3116</v>
      </c>
      <c r="B2869" s="42" t="s">
        <v>3</v>
      </c>
      <c r="C2869" s="3">
        <v>18</v>
      </c>
      <c r="D2869" s="3">
        <v>1</v>
      </c>
      <c r="G2869" s="43">
        <v>44068</v>
      </c>
      <c r="H2869" s="42" t="s">
        <v>238</v>
      </c>
    </row>
    <row r="2870" spans="1:8" x14ac:dyDescent="0.25">
      <c r="A2870" s="3" t="s">
        <v>3117</v>
      </c>
      <c r="B2870" s="42" t="s">
        <v>3</v>
      </c>
      <c r="C2870" s="3">
        <v>18</v>
      </c>
      <c r="D2870" s="3">
        <v>1</v>
      </c>
      <c r="G2870" s="43">
        <v>44068</v>
      </c>
      <c r="H2870" s="42" t="s">
        <v>238</v>
      </c>
    </row>
    <row r="2871" spans="1:8" x14ac:dyDescent="0.25">
      <c r="A2871" s="3" t="s">
        <v>3118</v>
      </c>
      <c r="B2871" s="42" t="s">
        <v>3</v>
      </c>
      <c r="C2871" s="3">
        <v>20</v>
      </c>
      <c r="D2871" s="3">
        <v>1</v>
      </c>
      <c r="G2871" s="43">
        <v>44068</v>
      </c>
      <c r="H2871" s="42" t="s">
        <v>238</v>
      </c>
    </row>
    <row r="2872" spans="1:8" x14ac:dyDescent="0.25">
      <c r="A2872" s="3" t="s">
        <v>3119</v>
      </c>
      <c r="B2872" s="42" t="s">
        <v>3</v>
      </c>
      <c r="C2872" s="3">
        <v>18</v>
      </c>
      <c r="D2872" s="3">
        <v>1</v>
      </c>
      <c r="G2872" s="43">
        <v>44068</v>
      </c>
      <c r="H2872" s="42" t="s">
        <v>238</v>
      </c>
    </row>
    <row r="2873" spans="1:8" x14ac:dyDescent="0.25">
      <c r="A2873" s="3" t="s">
        <v>3120</v>
      </c>
      <c r="B2873" s="42" t="s">
        <v>3</v>
      </c>
      <c r="C2873" s="3">
        <v>19</v>
      </c>
      <c r="D2873" s="3">
        <v>1</v>
      </c>
      <c r="G2873" s="43">
        <v>44068</v>
      </c>
      <c r="H2873" s="42" t="s">
        <v>238</v>
      </c>
    </row>
    <row r="2874" spans="1:8" x14ac:dyDescent="0.25">
      <c r="A2874" s="3" t="s">
        <v>3121</v>
      </c>
      <c r="B2874" s="42" t="s">
        <v>3</v>
      </c>
      <c r="C2874" s="3">
        <v>19</v>
      </c>
      <c r="D2874" s="3">
        <v>1</v>
      </c>
      <c r="G2874" s="43">
        <v>44068</v>
      </c>
      <c r="H2874" s="42" t="s">
        <v>238</v>
      </c>
    </row>
    <row r="2875" spans="1:8" x14ac:dyDescent="0.25">
      <c r="A2875" s="3" t="s">
        <v>3122</v>
      </c>
      <c r="B2875" s="42" t="s">
        <v>3</v>
      </c>
      <c r="C2875" s="3">
        <v>21</v>
      </c>
      <c r="D2875" s="3">
        <v>1</v>
      </c>
      <c r="G2875" s="43">
        <v>44068</v>
      </c>
      <c r="H2875" s="42" t="s">
        <v>238</v>
      </c>
    </row>
    <row r="2876" spans="1:8" x14ac:dyDescent="0.25">
      <c r="A2876" s="3" t="s">
        <v>3123</v>
      </c>
      <c r="B2876" s="42" t="s">
        <v>3</v>
      </c>
      <c r="C2876" s="3">
        <v>18</v>
      </c>
      <c r="D2876" s="3">
        <v>1</v>
      </c>
      <c r="G2876" s="43">
        <v>44068</v>
      </c>
      <c r="H2876" s="42" t="s">
        <v>238</v>
      </c>
    </row>
    <row r="2877" spans="1:8" x14ac:dyDescent="0.25">
      <c r="A2877" s="3" t="s">
        <v>3124</v>
      </c>
      <c r="B2877" s="42" t="s">
        <v>3</v>
      </c>
      <c r="C2877" s="3">
        <v>18</v>
      </c>
      <c r="D2877" s="3">
        <v>1</v>
      </c>
      <c r="G2877" s="43">
        <v>44068</v>
      </c>
      <c r="H2877" s="42" t="s">
        <v>238</v>
      </c>
    </row>
    <row r="2878" spans="1:8" x14ac:dyDescent="0.25">
      <c r="A2878" s="3" t="s">
        <v>3125</v>
      </c>
      <c r="B2878" s="42" t="s">
        <v>3</v>
      </c>
      <c r="C2878" s="3">
        <v>19</v>
      </c>
      <c r="D2878" s="3">
        <v>1</v>
      </c>
      <c r="G2878" s="43">
        <v>44068</v>
      </c>
      <c r="H2878" s="42" t="s">
        <v>238</v>
      </c>
    </row>
    <row r="2879" spans="1:8" x14ac:dyDescent="0.25">
      <c r="A2879" s="3" t="s">
        <v>3126</v>
      </c>
      <c r="B2879" s="42" t="s">
        <v>3</v>
      </c>
      <c r="C2879" s="3">
        <v>18</v>
      </c>
      <c r="D2879" s="3">
        <v>1</v>
      </c>
      <c r="G2879" s="43">
        <v>44068</v>
      </c>
      <c r="H2879" s="42" t="s">
        <v>238</v>
      </c>
    </row>
    <row r="2880" spans="1:8" x14ac:dyDescent="0.25">
      <c r="A2880" s="3" t="s">
        <v>3127</v>
      </c>
      <c r="B2880" s="42" t="s">
        <v>3</v>
      </c>
      <c r="C2880" s="3">
        <v>19</v>
      </c>
      <c r="D2880" s="3">
        <v>1</v>
      </c>
      <c r="G2880" s="43">
        <v>44068</v>
      </c>
      <c r="H2880" s="42" t="s">
        <v>238</v>
      </c>
    </row>
    <row r="2881" spans="1:8" x14ac:dyDescent="0.25">
      <c r="A2881" s="3" t="s">
        <v>3128</v>
      </c>
      <c r="B2881" s="42" t="s">
        <v>3</v>
      </c>
      <c r="C2881" s="3">
        <v>18</v>
      </c>
      <c r="D2881" s="3">
        <v>1</v>
      </c>
      <c r="G2881" s="43">
        <v>44068</v>
      </c>
      <c r="H2881" s="42" t="s">
        <v>238</v>
      </c>
    </row>
    <row r="2882" spans="1:8" x14ac:dyDescent="0.25">
      <c r="A2882" s="3" t="s">
        <v>3129</v>
      </c>
      <c r="B2882" s="42" t="s">
        <v>3</v>
      </c>
      <c r="C2882" s="3">
        <v>20</v>
      </c>
      <c r="D2882" s="3">
        <v>1</v>
      </c>
      <c r="G2882" s="43">
        <v>44068</v>
      </c>
      <c r="H2882" s="42" t="s">
        <v>238</v>
      </c>
    </row>
    <row r="2883" spans="1:8" x14ac:dyDescent="0.25">
      <c r="A2883" s="3" t="s">
        <v>3130</v>
      </c>
      <c r="B2883" s="42" t="s">
        <v>3</v>
      </c>
      <c r="C2883" s="3">
        <v>18</v>
      </c>
      <c r="D2883" s="3">
        <v>1</v>
      </c>
      <c r="G2883" s="43">
        <v>44068</v>
      </c>
      <c r="H2883" s="42" t="s">
        <v>238</v>
      </c>
    </row>
    <row r="2884" spans="1:8" x14ac:dyDescent="0.25">
      <c r="A2884" s="3" t="s">
        <v>3131</v>
      </c>
      <c r="B2884" s="42" t="s">
        <v>3</v>
      </c>
      <c r="C2884" s="3">
        <v>19</v>
      </c>
      <c r="D2884" s="3">
        <v>1</v>
      </c>
      <c r="G2884" s="43">
        <v>44068</v>
      </c>
      <c r="H2884" s="42" t="s">
        <v>238</v>
      </c>
    </row>
    <row r="2885" spans="1:8" x14ac:dyDescent="0.25">
      <c r="A2885" s="3" t="s">
        <v>3132</v>
      </c>
      <c r="B2885" s="42" t="s">
        <v>3</v>
      </c>
      <c r="C2885" s="3">
        <v>20</v>
      </c>
      <c r="D2885" s="3">
        <v>1</v>
      </c>
      <c r="G2885" s="43">
        <v>44068</v>
      </c>
      <c r="H2885" s="42" t="s">
        <v>238</v>
      </c>
    </row>
    <row r="2886" spans="1:8" x14ac:dyDescent="0.25">
      <c r="A2886" s="3" t="s">
        <v>3133</v>
      </c>
      <c r="B2886" s="42" t="s">
        <v>3</v>
      </c>
      <c r="C2886" s="3">
        <v>18</v>
      </c>
      <c r="D2886" s="3">
        <v>1</v>
      </c>
      <c r="G2886" s="43">
        <v>44068</v>
      </c>
      <c r="H2886" s="42" t="s">
        <v>238</v>
      </c>
    </row>
    <row r="2887" spans="1:8" x14ac:dyDescent="0.25">
      <c r="A2887" s="3" t="s">
        <v>3134</v>
      </c>
      <c r="B2887" s="42" t="s">
        <v>3</v>
      </c>
      <c r="C2887" s="3">
        <v>18</v>
      </c>
      <c r="D2887" s="3">
        <v>1</v>
      </c>
      <c r="G2887" s="43">
        <v>44068</v>
      </c>
      <c r="H2887" s="42" t="s">
        <v>238</v>
      </c>
    </row>
    <row r="2888" spans="1:8" x14ac:dyDescent="0.25">
      <c r="A2888" s="3" t="s">
        <v>3135</v>
      </c>
      <c r="B2888" s="42" t="s">
        <v>3</v>
      </c>
      <c r="C2888" s="3">
        <v>22</v>
      </c>
      <c r="D2888" s="3">
        <v>1</v>
      </c>
      <c r="G2888" s="43">
        <v>44068</v>
      </c>
      <c r="H2888" s="42" t="s">
        <v>238</v>
      </c>
    </row>
    <row r="2889" spans="1:8" x14ac:dyDescent="0.25">
      <c r="A2889" s="3" t="s">
        <v>3136</v>
      </c>
      <c r="B2889" s="42" t="s">
        <v>3</v>
      </c>
      <c r="C2889" s="3">
        <v>18</v>
      </c>
      <c r="D2889" s="3">
        <v>1</v>
      </c>
      <c r="G2889" s="43">
        <v>44068</v>
      </c>
      <c r="H2889" s="42" t="s">
        <v>238</v>
      </c>
    </row>
    <row r="2890" spans="1:8" x14ac:dyDescent="0.25">
      <c r="A2890" s="3" t="s">
        <v>3137</v>
      </c>
      <c r="B2890" s="42" t="s">
        <v>3</v>
      </c>
      <c r="C2890" s="3">
        <v>18</v>
      </c>
      <c r="D2890" s="3">
        <v>1</v>
      </c>
      <c r="G2890" s="43">
        <v>44068</v>
      </c>
      <c r="H2890" s="42" t="s">
        <v>238</v>
      </c>
    </row>
    <row r="2891" spans="1:8" x14ac:dyDescent="0.25">
      <c r="A2891" s="3" t="s">
        <v>3138</v>
      </c>
      <c r="B2891" s="42" t="s">
        <v>3</v>
      </c>
      <c r="C2891" s="3">
        <v>18</v>
      </c>
      <c r="D2891" s="3">
        <v>1</v>
      </c>
      <c r="G2891" s="43">
        <v>44068</v>
      </c>
      <c r="H2891" s="42" t="s">
        <v>238</v>
      </c>
    </row>
    <row r="2892" spans="1:8" x14ac:dyDescent="0.25">
      <c r="A2892" s="3" t="s">
        <v>3139</v>
      </c>
      <c r="B2892" s="42" t="s">
        <v>3</v>
      </c>
      <c r="C2892" s="3">
        <v>19</v>
      </c>
      <c r="D2892" s="3">
        <v>1</v>
      </c>
      <c r="G2892" s="43">
        <v>44068</v>
      </c>
      <c r="H2892" s="42" t="s">
        <v>238</v>
      </c>
    </row>
    <row r="2893" spans="1:8" x14ac:dyDescent="0.25">
      <c r="A2893" s="3" t="s">
        <v>3140</v>
      </c>
      <c r="B2893" s="42" t="s">
        <v>3</v>
      </c>
      <c r="C2893" s="3">
        <v>19</v>
      </c>
      <c r="D2893" s="3">
        <v>1</v>
      </c>
      <c r="G2893" s="43">
        <v>44068</v>
      </c>
      <c r="H2893" s="42" t="s">
        <v>238</v>
      </c>
    </row>
    <row r="2894" spans="1:8" x14ac:dyDescent="0.25">
      <c r="A2894" s="3" t="s">
        <v>3141</v>
      </c>
      <c r="B2894" s="42" t="s">
        <v>3</v>
      </c>
      <c r="C2894" s="3">
        <v>18</v>
      </c>
      <c r="D2894" s="3">
        <v>1</v>
      </c>
      <c r="G2894" s="43">
        <v>44068</v>
      </c>
      <c r="H2894" s="42" t="s">
        <v>238</v>
      </c>
    </row>
    <row r="2895" spans="1:8" x14ac:dyDescent="0.25">
      <c r="A2895" s="3" t="s">
        <v>3142</v>
      </c>
      <c r="B2895" s="42" t="s">
        <v>3</v>
      </c>
      <c r="C2895" s="3">
        <v>24</v>
      </c>
      <c r="D2895" s="3">
        <v>1</v>
      </c>
      <c r="G2895" s="43">
        <v>44068</v>
      </c>
      <c r="H2895" s="42" t="s">
        <v>238</v>
      </c>
    </row>
    <row r="2896" spans="1:8" x14ac:dyDescent="0.25">
      <c r="A2896" s="3" t="s">
        <v>3143</v>
      </c>
      <c r="B2896" s="42" t="s">
        <v>3</v>
      </c>
      <c r="C2896" s="3">
        <v>18</v>
      </c>
      <c r="D2896" s="3">
        <v>1</v>
      </c>
      <c r="G2896" s="43">
        <v>44068</v>
      </c>
      <c r="H2896" s="42" t="s">
        <v>238</v>
      </c>
    </row>
    <row r="2897" spans="1:8" x14ac:dyDescent="0.25">
      <c r="A2897" s="3" t="s">
        <v>3144</v>
      </c>
      <c r="B2897" s="42" t="s">
        <v>3</v>
      </c>
      <c r="C2897" s="3">
        <v>18</v>
      </c>
      <c r="D2897" s="3">
        <v>1</v>
      </c>
      <c r="G2897" s="43">
        <v>44068</v>
      </c>
      <c r="H2897" s="42" t="s">
        <v>238</v>
      </c>
    </row>
    <row r="2898" spans="1:8" x14ac:dyDescent="0.25">
      <c r="A2898" s="3" t="s">
        <v>3145</v>
      </c>
      <c r="B2898" s="42" t="s">
        <v>3</v>
      </c>
      <c r="C2898" s="3">
        <v>22</v>
      </c>
      <c r="D2898" s="3">
        <v>1</v>
      </c>
      <c r="G2898" s="43">
        <v>44068</v>
      </c>
      <c r="H2898" s="42" t="s">
        <v>238</v>
      </c>
    </row>
    <row r="2899" spans="1:8" x14ac:dyDescent="0.25">
      <c r="A2899" s="3" t="s">
        <v>3146</v>
      </c>
      <c r="B2899" s="42" t="s">
        <v>3</v>
      </c>
      <c r="C2899" s="3">
        <v>18</v>
      </c>
      <c r="D2899" s="3">
        <v>1</v>
      </c>
      <c r="G2899" s="43">
        <v>44068</v>
      </c>
      <c r="H2899" s="42" t="s">
        <v>238</v>
      </c>
    </row>
    <row r="2900" spans="1:8" x14ac:dyDescent="0.25">
      <c r="A2900" s="3" t="s">
        <v>3147</v>
      </c>
      <c r="B2900" s="42" t="s">
        <v>3</v>
      </c>
      <c r="C2900" s="3">
        <v>19</v>
      </c>
      <c r="D2900" s="3">
        <v>1</v>
      </c>
      <c r="G2900" s="43">
        <v>44068</v>
      </c>
      <c r="H2900" s="42" t="s">
        <v>238</v>
      </c>
    </row>
    <row r="2901" spans="1:8" x14ac:dyDescent="0.25">
      <c r="A2901" s="3" t="s">
        <v>3148</v>
      </c>
      <c r="B2901" s="42" t="s">
        <v>3</v>
      </c>
      <c r="C2901" s="3">
        <v>19</v>
      </c>
      <c r="D2901" s="3">
        <v>1</v>
      </c>
      <c r="G2901" s="43">
        <v>44068</v>
      </c>
      <c r="H2901" s="42" t="s">
        <v>238</v>
      </c>
    </row>
    <row r="2902" spans="1:8" x14ac:dyDescent="0.25">
      <c r="A2902" s="3" t="s">
        <v>3149</v>
      </c>
      <c r="B2902" s="42" t="s">
        <v>3</v>
      </c>
      <c r="C2902" s="3">
        <v>18</v>
      </c>
      <c r="D2902" s="3">
        <v>1</v>
      </c>
      <c r="G2902" s="43">
        <v>44068</v>
      </c>
      <c r="H2902" s="42" t="s">
        <v>238</v>
      </c>
    </row>
    <row r="2903" spans="1:8" x14ac:dyDescent="0.25">
      <c r="A2903" s="3" t="s">
        <v>3150</v>
      </c>
      <c r="B2903" s="42" t="s">
        <v>3</v>
      </c>
      <c r="C2903" s="3">
        <v>18</v>
      </c>
      <c r="D2903" s="3">
        <v>1</v>
      </c>
      <c r="G2903" s="43">
        <v>44068</v>
      </c>
      <c r="H2903" s="42" t="s">
        <v>238</v>
      </c>
    </row>
    <row r="2904" spans="1:8" x14ac:dyDescent="0.25">
      <c r="A2904" s="3" t="s">
        <v>3151</v>
      </c>
      <c r="B2904" s="42" t="s">
        <v>3</v>
      </c>
      <c r="C2904" s="3">
        <v>18</v>
      </c>
      <c r="D2904" s="3">
        <v>1</v>
      </c>
      <c r="G2904" s="43">
        <v>44068</v>
      </c>
      <c r="H2904" s="42" t="s">
        <v>238</v>
      </c>
    </row>
    <row r="2905" spans="1:8" x14ac:dyDescent="0.25">
      <c r="A2905" s="3" t="s">
        <v>3152</v>
      </c>
      <c r="B2905" s="42" t="s">
        <v>3</v>
      </c>
      <c r="C2905" s="3">
        <v>18</v>
      </c>
      <c r="D2905" s="3">
        <v>1</v>
      </c>
      <c r="G2905" s="43">
        <v>44068</v>
      </c>
      <c r="H2905" s="42" t="s">
        <v>238</v>
      </c>
    </row>
    <row r="2906" spans="1:8" x14ac:dyDescent="0.25">
      <c r="A2906" s="3" t="s">
        <v>3153</v>
      </c>
      <c r="B2906" s="42" t="s">
        <v>3</v>
      </c>
      <c r="C2906" s="3">
        <v>18</v>
      </c>
      <c r="D2906" s="3">
        <v>1</v>
      </c>
      <c r="G2906" s="43">
        <v>44068</v>
      </c>
      <c r="H2906" s="42" t="s">
        <v>238</v>
      </c>
    </row>
    <row r="2907" spans="1:8" x14ac:dyDescent="0.25">
      <c r="A2907" s="3" t="s">
        <v>3154</v>
      </c>
      <c r="B2907" s="42" t="s">
        <v>3</v>
      </c>
      <c r="C2907" s="3">
        <v>18</v>
      </c>
      <c r="D2907" s="3">
        <v>1</v>
      </c>
      <c r="G2907" s="43">
        <v>44068</v>
      </c>
      <c r="H2907" s="42" t="s">
        <v>238</v>
      </c>
    </row>
    <row r="2908" spans="1:8" x14ac:dyDescent="0.25">
      <c r="A2908" s="3" t="s">
        <v>3155</v>
      </c>
      <c r="B2908" s="42" t="s">
        <v>3</v>
      </c>
      <c r="C2908" s="3">
        <v>20</v>
      </c>
      <c r="D2908" s="3">
        <v>1</v>
      </c>
      <c r="G2908" s="43">
        <v>44068</v>
      </c>
      <c r="H2908" s="42" t="s">
        <v>238</v>
      </c>
    </row>
    <row r="2909" spans="1:8" x14ac:dyDescent="0.25">
      <c r="A2909" s="3" t="s">
        <v>3156</v>
      </c>
      <c r="B2909" s="42" t="s">
        <v>3</v>
      </c>
      <c r="C2909" s="3">
        <v>23</v>
      </c>
      <c r="D2909" s="3">
        <v>1</v>
      </c>
      <c r="G2909" s="43">
        <v>44068</v>
      </c>
      <c r="H2909" s="42" t="s">
        <v>238</v>
      </c>
    </row>
    <row r="2910" spans="1:8" x14ac:dyDescent="0.25">
      <c r="A2910" s="3" t="s">
        <v>3157</v>
      </c>
      <c r="B2910" s="42" t="s">
        <v>3</v>
      </c>
      <c r="C2910" s="3">
        <v>21</v>
      </c>
      <c r="D2910" s="3">
        <v>1</v>
      </c>
      <c r="G2910" s="43">
        <v>44068</v>
      </c>
      <c r="H2910" s="42" t="s">
        <v>238</v>
      </c>
    </row>
    <row r="2911" spans="1:8" x14ac:dyDescent="0.25">
      <c r="A2911" s="3" t="s">
        <v>3158</v>
      </c>
      <c r="B2911" s="42" t="s">
        <v>3</v>
      </c>
      <c r="C2911" s="3">
        <v>18</v>
      </c>
      <c r="D2911" s="3">
        <v>1</v>
      </c>
      <c r="G2911" s="43">
        <v>44068</v>
      </c>
      <c r="H2911" s="42" t="s">
        <v>238</v>
      </c>
    </row>
    <row r="2912" spans="1:8" x14ac:dyDescent="0.25">
      <c r="A2912" s="3" t="s">
        <v>3159</v>
      </c>
      <c r="B2912" s="42" t="s">
        <v>3</v>
      </c>
      <c r="C2912" s="3">
        <v>18</v>
      </c>
      <c r="D2912" s="3">
        <v>1</v>
      </c>
      <c r="G2912" s="43">
        <v>44068</v>
      </c>
      <c r="H2912" s="42" t="s">
        <v>238</v>
      </c>
    </row>
    <row r="2913" spans="1:8" x14ac:dyDescent="0.25">
      <c r="A2913" s="3" t="s">
        <v>3160</v>
      </c>
      <c r="B2913" s="42" t="s">
        <v>3</v>
      </c>
      <c r="C2913" s="3">
        <v>19</v>
      </c>
      <c r="D2913" s="3">
        <v>1</v>
      </c>
      <c r="G2913" s="43">
        <v>44068</v>
      </c>
      <c r="H2913" s="42" t="s">
        <v>238</v>
      </c>
    </row>
    <row r="2914" spans="1:8" x14ac:dyDescent="0.25">
      <c r="A2914" s="3" t="s">
        <v>3161</v>
      </c>
      <c r="B2914" s="42" t="s">
        <v>3</v>
      </c>
      <c r="C2914" s="3">
        <v>19</v>
      </c>
      <c r="D2914" s="3">
        <v>1</v>
      </c>
      <c r="G2914" s="43">
        <v>44068</v>
      </c>
      <c r="H2914" s="42" t="s">
        <v>238</v>
      </c>
    </row>
    <row r="2915" spans="1:8" x14ac:dyDescent="0.25">
      <c r="A2915" s="3" t="s">
        <v>3162</v>
      </c>
      <c r="B2915" s="42" t="s">
        <v>3</v>
      </c>
      <c r="C2915" s="3">
        <v>18</v>
      </c>
      <c r="D2915" s="3">
        <v>1</v>
      </c>
      <c r="G2915" s="43">
        <v>44068</v>
      </c>
      <c r="H2915" s="42" t="s">
        <v>238</v>
      </c>
    </row>
    <row r="2916" spans="1:8" x14ac:dyDescent="0.25">
      <c r="A2916" s="3" t="s">
        <v>3163</v>
      </c>
      <c r="B2916" s="42" t="s">
        <v>3</v>
      </c>
      <c r="C2916" s="3">
        <v>18</v>
      </c>
      <c r="D2916" s="3">
        <v>1</v>
      </c>
      <c r="G2916" s="43">
        <v>44068</v>
      </c>
      <c r="H2916" s="42" t="s">
        <v>238</v>
      </c>
    </row>
    <row r="2917" spans="1:8" x14ac:dyDescent="0.25">
      <c r="A2917" s="3" t="s">
        <v>3164</v>
      </c>
      <c r="B2917" s="42" t="s">
        <v>120</v>
      </c>
      <c r="C2917" s="3">
        <v>19</v>
      </c>
      <c r="D2917" s="3">
        <v>1</v>
      </c>
      <c r="E2917" s="42" t="s">
        <v>160</v>
      </c>
      <c r="F2917" s="42" t="s">
        <v>160</v>
      </c>
      <c r="G2917" s="43">
        <v>44068</v>
      </c>
      <c r="H2917" s="42" t="s">
        <v>238</v>
      </c>
    </row>
    <row r="2918" spans="1:8" x14ac:dyDescent="0.25">
      <c r="A2918" s="3" t="s">
        <v>3165</v>
      </c>
      <c r="B2918" s="42" t="s">
        <v>3</v>
      </c>
      <c r="C2918" s="3">
        <v>19</v>
      </c>
      <c r="D2918" s="3">
        <v>1</v>
      </c>
      <c r="G2918" s="43">
        <v>44068</v>
      </c>
      <c r="H2918" s="42" t="s">
        <v>238</v>
      </c>
    </row>
    <row r="2919" spans="1:8" x14ac:dyDescent="0.25">
      <c r="A2919" s="3" t="s">
        <v>3166</v>
      </c>
      <c r="B2919" s="42" t="s">
        <v>120</v>
      </c>
      <c r="C2919" s="3">
        <v>18</v>
      </c>
      <c r="D2919" s="3">
        <v>1</v>
      </c>
      <c r="E2919" s="42" t="s">
        <v>160</v>
      </c>
      <c r="F2919" s="42" t="s">
        <v>160</v>
      </c>
      <c r="G2919" s="43">
        <v>44068</v>
      </c>
      <c r="H2919" s="42" t="s">
        <v>238</v>
      </c>
    </row>
    <row r="2920" spans="1:8" x14ac:dyDescent="0.25">
      <c r="A2920" s="3" t="s">
        <v>3167</v>
      </c>
      <c r="B2920" s="42" t="s">
        <v>120</v>
      </c>
      <c r="C2920" s="3">
        <v>18</v>
      </c>
      <c r="D2920" s="3">
        <v>1</v>
      </c>
      <c r="E2920" s="42" t="s">
        <v>160</v>
      </c>
      <c r="F2920" s="42" t="s">
        <v>160</v>
      </c>
      <c r="G2920" s="43">
        <v>44068</v>
      </c>
      <c r="H2920" s="42" t="s">
        <v>238</v>
      </c>
    </row>
    <row r="2921" spans="1:8" x14ac:dyDescent="0.25">
      <c r="A2921" s="3" t="s">
        <v>3168</v>
      </c>
      <c r="B2921" s="42" t="s">
        <v>3</v>
      </c>
      <c r="C2921" s="3">
        <v>18</v>
      </c>
      <c r="D2921" s="3">
        <v>1</v>
      </c>
      <c r="G2921" s="43">
        <v>44068</v>
      </c>
      <c r="H2921" s="42" t="s">
        <v>238</v>
      </c>
    </row>
    <row r="2922" spans="1:8" x14ac:dyDescent="0.25">
      <c r="A2922" s="3" t="s">
        <v>3169</v>
      </c>
      <c r="B2922" s="42" t="s">
        <v>3</v>
      </c>
      <c r="C2922" s="3">
        <v>18</v>
      </c>
      <c r="D2922" s="3">
        <v>1</v>
      </c>
      <c r="G2922" s="43">
        <v>44068</v>
      </c>
      <c r="H2922" s="42" t="s">
        <v>238</v>
      </c>
    </row>
    <row r="2923" spans="1:8" x14ac:dyDescent="0.25">
      <c r="A2923" s="3" t="s">
        <v>3170</v>
      </c>
      <c r="B2923" s="42" t="s">
        <v>3</v>
      </c>
      <c r="C2923" s="3">
        <v>18</v>
      </c>
      <c r="D2923" s="3">
        <v>1</v>
      </c>
      <c r="G2923" s="43">
        <v>44068</v>
      </c>
      <c r="H2923" s="42" t="s">
        <v>238</v>
      </c>
    </row>
    <row r="2924" spans="1:8" x14ac:dyDescent="0.25">
      <c r="A2924" s="3" t="s">
        <v>3171</v>
      </c>
      <c r="B2924" s="42" t="s">
        <v>3</v>
      </c>
      <c r="C2924" s="3">
        <v>18</v>
      </c>
      <c r="D2924" s="3">
        <v>1</v>
      </c>
      <c r="G2924" s="43">
        <v>44068</v>
      </c>
      <c r="H2924" s="42" t="s">
        <v>238</v>
      </c>
    </row>
    <row r="2925" spans="1:8" x14ac:dyDescent="0.25">
      <c r="A2925" s="3" t="s">
        <v>3172</v>
      </c>
      <c r="B2925" s="42" t="s">
        <v>3</v>
      </c>
      <c r="C2925" s="3">
        <v>18</v>
      </c>
      <c r="D2925" s="3">
        <v>1</v>
      </c>
      <c r="G2925" s="43">
        <v>44068</v>
      </c>
      <c r="H2925" s="42" t="s">
        <v>238</v>
      </c>
    </row>
    <row r="2926" spans="1:8" x14ac:dyDescent="0.25">
      <c r="A2926" s="3" t="s">
        <v>3173</v>
      </c>
      <c r="B2926" s="42" t="s">
        <v>3</v>
      </c>
      <c r="C2926" s="3">
        <v>18</v>
      </c>
      <c r="D2926" s="3">
        <v>1</v>
      </c>
      <c r="G2926" s="43">
        <v>44068</v>
      </c>
      <c r="H2926" s="42" t="s">
        <v>238</v>
      </c>
    </row>
    <row r="2927" spans="1:8" x14ac:dyDescent="0.25">
      <c r="A2927" s="3" t="s">
        <v>3174</v>
      </c>
      <c r="B2927" s="42" t="s">
        <v>3</v>
      </c>
      <c r="C2927" s="3">
        <v>18</v>
      </c>
      <c r="D2927" s="3">
        <v>1</v>
      </c>
      <c r="G2927" s="43">
        <v>44068</v>
      </c>
      <c r="H2927" s="42" t="s">
        <v>238</v>
      </c>
    </row>
    <row r="2928" spans="1:8" x14ac:dyDescent="0.25">
      <c r="A2928" s="3" t="s">
        <v>3175</v>
      </c>
      <c r="B2928" s="42" t="s">
        <v>3</v>
      </c>
      <c r="C2928" s="3">
        <v>19</v>
      </c>
      <c r="D2928" s="3">
        <v>1</v>
      </c>
      <c r="G2928" s="43">
        <v>44068</v>
      </c>
      <c r="H2928" s="42" t="s">
        <v>238</v>
      </c>
    </row>
    <row r="2929" spans="1:8" x14ac:dyDescent="0.25">
      <c r="A2929" s="3" t="s">
        <v>3176</v>
      </c>
      <c r="B2929" s="42" t="s">
        <v>3</v>
      </c>
      <c r="C2929" s="3">
        <v>18</v>
      </c>
      <c r="D2929" s="3">
        <v>1</v>
      </c>
      <c r="G2929" s="43">
        <v>44068</v>
      </c>
      <c r="H2929" s="42" t="s">
        <v>238</v>
      </c>
    </row>
    <row r="2930" spans="1:8" x14ac:dyDescent="0.25">
      <c r="A2930" s="3" t="s">
        <v>3177</v>
      </c>
      <c r="B2930" s="42" t="s">
        <v>3</v>
      </c>
      <c r="C2930" s="3">
        <v>18</v>
      </c>
      <c r="D2930" s="3">
        <v>1</v>
      </c>
      <c r="G2930" s="43">
        <v>44068</v>
      </c>
      <c r="H2930" s="42" t="s">
        <v>238</v>
      </c>
    </row>
    <row r="2931" spans="1:8" x14ac:dyDescent="0.25">
      <c r="A2931" s="3" t="s">
        <v>3178</v>
      </c>
      <c r="B2931" s="42" t="s">
        <v>3</v>
      </c>
      <c r="C2931" s="3">
        <v>18</v>
      </c>
      <c r="D2931" s="3">
        <v>1</v>
      </c>
      <c r="G2931" s="43">
        <v>44068</v>
      </c>
      <c r="H2931" s="42" t="s">
        <v>238</v>
      </c>
    </row>
    <row r="2932" spans="1:8" x14ac:dyDescent="0.25">
      <c r="A2932" s="3" t="s">
        <v>3179</v>
      </c>
      <c r="B2932" s="42" t="s">
        <v>3</v>
      </c>
      <c r="C2932" s="3">
        <v>18</v>
      </c>
      <c r="D2932" s="3">
        <v>1</v>
      </c>
      <c r="G2932" s="43">
        <v>44068</v>
      </c>
      <c r="H2932" s="42" t="s">
        <v>238</v>
      </c>
    </row>
    <row r="2933" spans="1:8" x14ac:dyDescent="0.25">
      <c r="A2933" s="3" t="s">
        <v>3180</v>
      </c>
      <c r="B2933" s="42" t="s">
        <v>3</v>
      </c>
      <c r="C2933" s="3">
        <v>19</v>
      </c>
      <c r="D2933" s="3">
        <v>1</v>
      </c>
      <c r="G2933" s="43">
        <v>44068</v>
      </c>
      <c r="H2933" s="42" t="s">
        <v>238</v>
      </c>
    </row>
    <row r="2934" spans="1:8" x14ac:dyDescent="0.25">
      <c r="A2934" s="3" t="s">
        <v>3181</v>
      </c>
      <c r="B2934" s="42" t="s">
        <v>3</v>
      </c>
      <c r="C2934" s="3">
        <v>20</v>
      </c>
      <c r="D2934" s="3">
        <v>1</v>
      </c>
      <c r="G2934" s="43">
        <v>44068</v>
      </c>
      <c r="H2934" s="42" t="s">
        <v>238</v>
      </c>
    </row>
    <row r="2935" spans="1:8" x14ac:dyDescent="0.25">
      <c r="A2935" s="3" t="s">
        <v>3182</v>
      </c>
      <c r="B2935" s="42" t="s">
        <v>3</v>
      </c>
      <c r="C2935" s="3">
        <v>18</v>
      </c>
      <c r="D2935" s="3">
        <v>1</v>
      </c>
      <c r="G2935" s="43">
        <v>44068</v>
      </c>
      <c r="H2935" s="42" t="s">
        <v>238</v>
      </c>
    </row>
    <row r="2936" spans="1:8" x14ac:dyDescent="0.25">
      <c r="A2936" s="3" t="s">
        <v>3183</v>
      </c>
      <c r="B2936" s="42" t="s">
        <v>3</v>
      </c>
      <c r="C2936" s="3">
        <v>19</v>
      </c>
      <c r="D2936" s="3">
        <v>1</v>
      </c>
      <c r="G2936" s="43">
        <v>44068</v>
      </c>
      <c r="H2936" s="42" t="s">
        <v>238</v>
      </c>
    </row>
    <row r="2937" spans="1:8" x14ac:dyDescent="0.25">
      <c r="A2937" s="3" t="s">
        <v>3184</v>
      </c>
      <c r="B2937" s="42" t="s">
        <v>3</v>
      </c>
      <c r="C2937" s="3">
        <v>18</v>
      </c>
      <c r="D2937" s="3">
        <v>1</v>
      </c>
      <c r="G2937" s="43">
        <v>44068</v>
      </c>
      <c r="H2937" s="42" t="s">
        <v>238</v>
      </c>
    </row>
    <row r="2938" spans="1:8" x14ac:dyDescent="0.25">
      <c r="A2938" s="3" t="s">
        <v>3185</v>
      </c>
      <c r="B2938" s="42" t="s">
        <v>3</v>
      </c>
      <c r="C2938" s="3">
        <v>18</v>
      </c>
      <c r="D2938" s="3">
        <v>1</v>
      </c>
      <c r="G2938" s="43">
        <v>44068</v>
      </c>
      <c r="H2938" s="42" t="s">
        <v>238</v>
      </c>
    </row>
    <row r="2939" spans="1:8" x14ac:dyDescent="0.25">
      <c r="A2939" s="3" t="s">
        <v>3186</v>
      </c>
      <c r="B2939" s="42" t="s">
        <v>3</v>
      </c>
      <c r="C2939" s="3">
        <v>18</v>
      </c>
      <c r="D2939" s="3">
        <v>1</v>
      </c>
      <c r="G2939" s="43">
        <v>44068</v>
      </c>
      <c r="H2939" s="42" t="s">
        <v>238</v>
      </c>
    </row>
    <row r="2940" spans="1:8" x14ac:dyDescent="0.25">
      <c r="A2940" s="3" t="s">
        <v>3187</v>
      </c>
      <c r="B2940" s="42" t="s">
        <v>3</v>
      </c>
      <c r="C2940" s="3">
        <v>18</v>
      </c>
      <c r="D2940" s="3">
        <v>1</v>
      </c>
      <c r="G2940" s="43">
        <v>44068</v>
      </c>
      <c r="H2940" s="42" t="s">
        <v>238</v>
      </c>
    </row>
    <row r="2941" spans="1:8" x14ac:dyDescent="0.25">
      <c r="A2941" s="3" t="s">
        <v>3188</v>
      </c>
      <c r="B2941" s="42" t="s">
        <v>3</v>
      </c>
      <c r="C2941" s="3">
        <v>18</v>
      </c>
      <c r="D2941" s="3">
        <v>1</v>
      </c>
      <c r="G2941" s="43">
        <v>44068</v>
      </c>
      <c r="H2941" s="42" t="s">
        <v>238</v>
      </c>
    </row>
    <row r="2942" spans="1:8" x14ac:dyDescent="0.25">
      <c r="A2942" s="3" t="s">
        <v>3189</v>
      </c>
      <c r="B2942" s="42" t="s">
        <v>3</v>
      </c>
      <c r="C2942" s="3">
        <v>27</v>
      </c>
      <c r="D2942" s="3">
        <v>1</v>
      </c>
      <c r="G2942" s="43">
        <v>44068</v>
      </c>
      <c r="H2942" s="42" t="s">
        <v>238</v>
      </c>
    </row>
    <row r="2943" spans="1:8" x14ac:dyDescent="0.25">
      <c r="A2943" s="3" t="s">
        <v>3190</v>
      </c>
      <c r="B2943" s="42" t="s">
        <v>3</v>
      </c>
      <c r="C2943" s="3">
        <v>18</v>
      </c>
      <c r="D2943" s="3">
        <v>1</v>
      </c>
      <c r="G2943" s="43">
        <v>44068</v>
      </c>
      <c r="H2943" s="42" t="s">
        <v>238</v>
      </c>
    </row>
    <row r="2944" spans="1:8" x14ac:dyDescent="0.25">
      <c r="A2944" s="3" t="s">
        <v>3191</v>
      </c>
      <c r="B2944" s="42" t="s">
        <v>3</v>
      </c>
      <c r="C2944" s="3">
        <v>19</v>
      </c>
      <c r="D2944" s="3">
        <v>1</v>
      </c>
      <c r="G2944" s="43">
        <v>44068</v>
      </c>
      <c r="H2944" s="42" t="s">
        <v>238</v>
      </c>
    </row>
    <row r="2945" spans="1:8" x14ac:dyDescent="0.25">
      <c r="A2945" s="3" t="s">
        <v>3192</v>
      </c>
      <c r="B2945" s="42" t="s">
        <v>3</v>
      </c>
      <c r="C2945" s="3">
        <v>18</v>
      </c>
      <c r="D2945" s="3">
        <v>1</v>
      </c>
      <c r="G2945" s="43">
        <v>44068</v>
      </c>
      <c r="H2945" s="42" t="s">
        <v>238</v>
      </c>
    </row>
    <row r="2946" spans="1:8" x14ac:dyDescent="0.25">
      <c r="A2946" s="3" t="s">
        <v>3193</v>
      </c>
      <c r="B2946" s="42" t="s">
        <v>3</v>
      </c>
      <c r="C2946" s="3">
        <v>18</v>
      </c>
      <c r="D2946" s="3">
        <v>1</v>
      </c>
      <c r="G2946" s="43">
        <v>44068</v>
      </c>
      <c r="H2946" s="42" t="s">
        <v>238</v>
      </c>
    </row>
    <row r="2947" spans="1:8" x14ac:dyDescent="0.25">
      <c r="A2947" s="3" t="s">
        <v>3194</v>
      </c>
      <c r="B2947" s="42" t="s">
        <v>3</v>
      </c>
      <c r="C2947" s="3">
        <v>18</v>
      </c>
      <c r="D2947" s="3">
        <v>1</v>
      </c>
      <c r="G2947" s="43">
        <v>44068</v>
      </c>
      <c r="H2947" s="42" t="s">
        <v>238</v>
      </c>
    </row>
    <row r="2948" spans="1:8" x14ac:dyDescent="0.25">
      <c r="A2948" s="3" t="s">
        <v>3195</v>
      </c>
      <c r="B2948" s="42" t="s">
        <v>3</v>
      </c>
      <c r="C2948" s="3">
        <v>18</v>
      </c>
      <c r="D2948" s="3">
        <v>1</v>
      </c>
      <c r="G2948" s="43">
        <v>44068</v>
      </c>
      <c r="H2948" s="42" t="s">
        <v>238</v>
      </c>
    </row>
    <row r="2949" spans="1:8" x14ac:dyDescent="0.25">
      <c r="A2949" s="3" t="s">
        <v>3196</v>
      </c>
      <c r="B2949" s="42" t="s">
        <v>3</v>
      </c>
      <c r="C2949" s="3">
        <v>18</v>
      </c>
      <c r="D2949" s="3">
        <v>1</v>
      </c>
      <c r="G2949" s="43">
        <v>44068</v>
      </c>
      <c r="H2949" s="42" t="s">
        <v>238</v>
      </c>
    </row>
    <row r="2950" spans="1:8" x14ac:dyDescent="0.25">
      <c r="A2950" s="3" t="s">
        <v>3197</v>
      </c>
      <c r="B2950" s="42" t="s">
        <v>3</v>
      </c>
      <c r="C2950" s="3">
        <v>18</v>
      </c>
      <c r="D2950" s="3">
        <v>1</v>
      </c>
      <c r="G2950" s="43">
        <v>44068</v>
      </c>
      <c r="H2950" s="42" t="s">
        <v>238</v>
      </c>
    </row>
    <row r="2951" spans="1:8" x14ac:dyDescent="0.25">
      <c r="A2951" s="3" t="s">
        <v>3198</v>
      </c>
      <c r="B2951" s="42" t="s">
        <v>3</v>
      </c>
      <c r="C2951" s="3">
        <v>18</v>
      </c>
      <c r="D2951" s="3">
        <v>1</v>
      </c>
      <c r="G2951" s="43">
        <v>44068</v>
      </c>
      <c r="H2951" s="42" t="s">
        <v>238</v>
      </c>
    </row>
    <row r="2952" spans="1:8" x14ac:dyDescent="0.25">
      <c r="A2952" s="3" t="s">
        <v>3199</v>
      </c>
      <c r="B2952" s="42" t="s">
        <v>3</v>
      </c>
      <c r="C2952" s="3">
        <v>19</v>
      </c>
      <c r="D2952" s="3">
        <v>1</v>
      </c>
      <c r="G2952" s="43">
        <v>44068</v>
      </c>
      <c r="H2952" s="42" t="s">
        <v>238</v>
      </c>
    </row>
    <row r="2953" spans="1:8" x14ac:dyDescent="0.25">
      <c r="A2953" s="3" t="s">
        <v>3200</v>
      </c>
      <c r="B2953" s="42" t="s">
        <v>3</v>
      </c>
      <c r="C2953" s="3">
        <v>19</v>
      </c>
      <c r="D2953" s="3">
        <v>1</v>
      </c>
      <c r="G2953" s="43">
        <v>44068</v>
      </c>
      <c r="H2953" s="42" t="s">
        <v>238</v>
      </c>
    </row>
    <row r="2954" spans="1:8" x14ac:dyDescent="0.25">
      <c r="A2954" s="3" t="s">
        <v>3201</v>
      </c>
      <c r="B2954" s="42" t="s">
        <v>3</v>
      </c>
      <c r="C2954" s="3">
        <v>18</v>
      </c>
      <c r="D2954" s="3">
        <v>1</v>
      </c>
      <c r="G2954" s="43">
        <v>44068</v>
      </c>
      <c r="H2954" s="42" t="s">
        <v>238</v>
      </c>
    </row>
    <row r="2955" spans="1:8" x14ac:dyDescent="0.25">
      <c r="A2955" s="3" t="s">
        <v>3202</v>
      </c>
      <c r="B2955" s="42" t="s">
        <v>3</v>
      </c>
      <c r="C2955" s="3">
        <v>18</v>
      </c>
      <c r="D2955" s="3">
        <v>1</v>
      </c>
      <c r="G2955" s="43">
        <v>44068</v>
      </c>
      <c r="H2955" s="42" t="s">
        <v>238</v>
      </c>
    </row>
    <row r="2956" spans="1:8" x14ac:dyDescent="0.25">
      <c r="A2956" s="3" t="s">
        <v>3203</v>
      </c>
      <c r="B2956" s="42" t="s">
        <v>3</v>
      </c>
      <c r="C2956" s="3">
        <v>18</v>
      </c>
      <c r="D2956" s="3">
        <v>1</v>
      </c>
      <c r="G2956" s="43">
        <v>44068</v>
      </c>
      <c r="H2956" s="42" t="s">
        <v>238</v>
      </c>
    </row>
    <row r="2957" spans="1:8" x14ac:dyDescent="0.25">
      <c r="A2957" s="3" t="s">
        <v>3204</v>
      </c>
      <c r="B2957" s="42" t="s">
        <v>3</v>
      </c>
      <c r="C2957" s="3">
        <v>19</v>
      </c>
      <c r="D2957" s="3">
        <v>1</v>
      </c>
      <c r="G2957" s="43">
        <v>44068</v>
      </c>
      <c r="H2957" s="42" t="s">
        <v>238</v>
      </c>
    </row>
    <row r="2958" spans="1:8" x14ac:dyDescent="0.25">
      <c r="A2958" s="3" t="s">
        <v>3205</v>
      </c>
      <c r="B2958" s="42" t="s">
        <v>3</v>
      </c>
      <c r="C2958" s="3">
        <v>19</v>
      </c>
      <c r="D2958" s="3">
        <v>1</v>
      </c>
      <c r="G2958" s="43">
        <v>44068</v>
      </c>
      <c r="H2958" s="42" t="s">
        <v>238</v>
      </c>
    </row>
    <row r="2959" spans="1:8" x14ac:dyDescent="0.25">
      <c r="A2959" s="3" t="s">
        <v>3206</v>
      </c>
      <c r="B2959" s="42" t="s">
        <v>3</v>
      </c>
      <c r="C2959" s="3">
        <v>18</v>
      </c>
      <c r="D2959" s="3">
        <v>1</v>
      </c>
      <c r="G2959" s="43">
        <v>44068</v>
      </c>
      <c r="H2959" s="42" t="s">
        <v>238</v>
      </c>
    </row>
    <row r="2960" spans="1:8" x14ac:dyDescent="0.25">
      <c r="A2960" s="3" t="s">
        <v>3207</v>
      </c>
      <c r="B2960" s="42" t="s">
        <v>3</v>
      </c>
      <c r="C2960" s="3">
        <v>19</v>
      </c>
      <c r="D2960" s="3">
        <v>1</v>
      </c>
      <c r="G2960" s="43">
        <v>44068</v>
      </c>
      <c r="H2960" s="42" t="s">
        <v>238</v>
      </c>
    </row>
    <row r="2961" spans="1:8" x14ac:dyDescent="0.25">
      <c r="A2961" s="3" t="s">
        <v>3208</v>
      </c>
      <c r="B2961" s="42" t="s">
        <v>3</v>
      </c>
      <c r="C2961" s="3">
        <v>19</v>
      </c>
      <c r="D2961" s="3">
        <v>1</v>
      </c>
      <c r="G2961" s="43">
        <v>44068</v>
      </c>
      <c r="H2961" s="42" t="s">
        <v>238</v>
      </c>
    </row>
    <row r="2962" spans="1:8" x14ac:dyDescent="0.25">
      <c r="A2962" s="3" t="s">
        <v>3209</v>
      </c>
      <c r="B2962" s="42" t="s">
        <v>3</v>
      </c>
      <c r="C2962" s="3">
        <v>19</v>
      </c>
      <c r="D2962" s="3">
        <v>1</v>
      </c>
      <c r="G2962" s="43">
        <v>44068</v>
      </c>
      <c r="H2962" s="42" t="s">
        <v>238</v>
      </c>
    </row>
    <row r="2963" spans="1:8" x14ac:dyDescent="0.25">
      <c r="A2963" s="3" t="s">
        <v>3210</v>
      </c>
      <c r="B2963" s="42" t="s">
        <v>3</v>
      </c>
      <c r="C2963" s="3">
        <v>18</v>
      </c>
      <c r="D2963" s="3">
        <v>1</v>
      </c>
      <c r="G2963" s="43">
        <v>44068</v>
      </c>
      <c r="H2963" s="42" t="s">
        <v>238</v>
      </c>
    </row>
    <row r="2964" spans="1:8" x14ac:dyDescent="0.25">
      <c r="A2964" s="3" t="s">
        <v>3211</v>
      </c>
      <c r="B2964" s="42" t="s">
        <v>3</v>
      </c>
      <c r="C2964" s="3">
        <v>18</v>
      </c>
      <c r="D2964" s="3">
        <v>1</v>
      </c>
      <c r="G2964" s="43">
        <v>44068</v>
      </c>
      <c r="H2964" s="42" t="s">
        <v>238</v>
      </c>
    </row>
    <row r="2965" spans="1:8" x14ac:dyDescent="0.25">
      <c r="A2965" s="3" t="s">
        <v>3212</v>
      </c>
      <c r="B2965" s="42" t="s">
        <v>3</v>
      </c>
      <c r="C2965" s="3">
        <v>18</v>
      </c>
      <c r="D2965" s="3">
        <v>1</v>
      </c>
      <c r="G2965" s="43">
        <v>44068</v>
      </c>
      <c r="H2965" s="42" t="s">
        <v>238</v>
      </c>
    </row>
    <row r="2966" spans="1:8" x14ac:dyDescent="0.25">
      <c r="A2966" s="3" t="s">
        <v>3213</v>
      </c>
      <c r="B2966" s="42" t="s">
        <v>3</v>
      </c>
      <c r="C2966" s="3">
        <v>20</v>
      </c>
      <c r="D2966" s="3">
        <v>1</v>
      </c>
      <c r="G2966" s="43">
        <v>44068</v>
      </c>
      <c r="H2966" s="42" t="s">
        <v>238</v>
      </c>
    </row>
    <row r="2967" spans="1:8" x14ac:dyDescent="0.25">
      <c r="A2967" s="3" t="s">
        <v>3214</v>
      </c>
      <c r="B2967" s="42" t="s">
        <v>3</v>
      </c>
      <c r="C2967" s="3">
        <v>18</v>
      </c>
      <c r="D2967" s="3">
        <v>1</v>
      </c>
      <c r="G2967" s="43">
        <v>44068</v>
      </c>
      <c r="H2967" s="42" t="s">
        <v>238</v>
      </c>
    </row>
    <row r="2968" spans="1:8" x14ac:dyDescent="0.25">
      <c r="A2968" s="3" t="s">
        <v>3215</v>
      </c>
      <c r="B2968" s="42" t="s">
        <v>3</v>
      </c>
      <c r="C2968" s="3">
        <v>18</v>
      </c>
      <c r="D2968" s="3">
        <v>1</v>
      </c>
      <c r="G2968" s="43">
        <v>44068</v>
      </c>
      <c r="H2968" s="42" t="s">
        <v>238</v>
      </c>
    </row>
    <row r="2969" spans="1:8" x14ac:dyDescent="0.25">
      <c r="A2969" s="3" t="s">
        <v>3216</v>
      </c>
      <c r="B2969" s="42" t="s">
        <v>3</v>
      </c>
      <c r="C2969" s="3">
        <v>18</v>
      </c>
      <c r="D2969" s="3">
        <v>1</v>
      </c>
      <c r="G2969" s="43">
        <v>44068</v>
      </c>
      <c r="H2969" s="42" t="s">
        <v>238</v>
      </c>
    </row>
    <row r="2970" spans="1:8" x14ac:dyDescent="0.25">
      <c r="A2970" s="3" t="s">
        <v>3217</v>
      </c>
      <c r="B2970" s="42" t="s">
        <v>3</v>
      </c>
      <c r="C2970" s="3">
        <v>18</v>
      </c>
      <c r="D2970" s="3">
        <v>1</v>
      </c>
      <c r="G2970" s="43">
        <v>44068</v>
      </c>
      <c r="H2970" s="42" t="s">
        <v>238</v>
      </c>
    </row>
    <row r="2971" spans="1:8" x14ac:dyDescent="0.25">
      <c r="A2971" s="3" t="s">
        <v>3218</v>
      </c>
      <c r="B2971" s="42" t="s">
        <v>3</v>
      </c>
      <c r="C2971" s="3">
        <v>21</v>
      </c>
      <c r="D2971" s="3">
        <v>1</v>
      </c>
      <c r="G2971" s="43">
        <v>44068</v>
      </c>
      <c r="H2971" s="42" t="s">
        <v>238</v>
      </c>
    </row>
    <row r="2972" spans="1:8" x14ac:dyDescent="0.25">
      <c r="A2972" s="3" t="s">
        <v>3219</v>
      </c>
      <c r="B2972" s="42" t="s">
        <v>3</v>
      </c>
      <c r="C2972" s="3">
        <v>19</v>
      </c>
      <c r="D2972" s="3">
        <v>1</v>
      </c>
      <c r="G2972" s="43">
        <v>44068</v>
      </c>
      <c r="H2972" s="42" t="s">
        <v>238</v>
      </c>
    </row>
    <row r="2973" spans="1:8" x14ac:dyDescent="0.25">
      <c r="A2973" s="3" t="s">
        <v>3220</v>
      </c>
      <c r="B2973" s="42" t="s">
        <v>3</v>
      </c>
      <c r="C2973" s="3">
        <v>18</v>
      </c>
      <c r="D2973" s="3">
        <v>1</v>
      </c>
      <c r="G2973" s="43">
        <v>44068</v>
      </c>
      <c r="H2973" s="42" t="s">
        <v>238</v>
      </c>
    </row>
    <row r="2974" spans="1:8" x14ac:dyDescent="0.25">
      <c r="A2974" s="3" t="s">
        <v>3221</v>
      </c>
      <c r="B2974" s="42" t="s">
        <v>3</v>
      </c>
      <c r="C2974" s="3">
        <v>20</v>
      </c>
      <c r="D2974" s="3">
        <v>1</v>
      </c>
      <c r="G2974" s="43">
        <v>44068</v>
      </c>
      <c r="H2974" s="42" t="s">
        <v>238</v>
      </c>
    </row>
    <row r="2975" spans="1:8" x14ac:dyDescent="0.25">
      <c r="A2975" s="3" t="s">
        <v>3222</v>
      </c>
      <c r="B2975" s="42" t="s">
        <v>3</v>
      </c>
      <c r="C2975" s="3">
        <v>18</v>
      </c>
      <c r="D2975" s="3">
        <v>1</v>
      </c>
      <c r="G2975" s="43">
        <v>44068</v>
      </c>
      <c r="H2975" s="42" t="s">
        <v>238</v>
      </c>
    </row>
    <row r="2976" spans="1:8" x14ac:dyDescent="0.25">
      <c r="A2976" s="3" t="s">
        <v>3223</v>
      </c>
      <c r="B2976" s="42" t="s">
        <v>3</v>
      </c>
      <c r="C2976" s="3">
        <v>19</v>
      </c>
      <c r="D2976" s="3">
        <v>1</v>
      </c>
      <c r="G2976" s="43">
        <v>44068</v>
      </c>
      <c r="H2976" s="42" t="s">
        <v>238</v>
      </c>
    </row>
    <row r="2977" spans="1:8" x14ac:dyDescent="0.25">
      <c r="A2977" s="3" t="s">
        <v>3224</v>
      </c>
      <c r="B2977" s="42" t="s">
        <v>3</v>
      </c>
      <c r="C2977" s="3">
        <v>18</v>
      </c>
      <c r="D2977" s="3">
        <v>1</v>
      </c>
      <c r="G2977" s="43">
        <v>44068</v>
      </c>
      <c r="H2977" s="42" t="s">
        <v>238</v>
      </c>
    </row>
    <row r="2978" spans="1:8" x14ac:dyDescent="0.25">
      <c r="A2978" s="3" t="s">
        <v>3225</v>
      </c>
      <c r="B2978" s="42" t="s">
        <v>3</v>
      </c>
      <c r="C2978" s="3">
        <v>18</v>
      </c>
      <c r="D2978" s="3">
        <v>1</v>
      </c>
      <c r="G2978" s="43">
        <v>44069</v>
      </c>
      <c r="H2978" s="42" t="s">
        <v>238</v>
      </c>
    </row>
    <row r="2979" spans="1:8" x14ac:dyDescent="0.25">
      <c r="A2979" s="3" t="s">
        <v>3226</v>
      </c>
      <c r="B2979" s="42" t="s">
        <v>3</v>
      </c>
      <c r="C2979" s="3">
        <v>21</v>
      </c>
      <c r="D2979" s="3">
        <v>1</v>
      </c>
      <c r="G2979" s="43">
        <v>44069</v>
      </c>
      <c r="H2979" s="42" t="s">
        <v>238</v>
      </c>
    </row>
    <row r="2980" spans="1:8" x14ac:dyDescent="0.25">
      <c r="A2980" s="3" t="s">
        <v>3227</v>
      </c>
      <c r="B2980" s="42" t="s">
        <v>3</v>
      </c>
      <c r="C2980" s="3">
        <v>23</v>
      </c>
      <c r="D2980" s="3">
        <v>1</v>
      </c>
      <c r="G2980" s="43">
        <v>44069</v>
      </c>
      <c r="H2980" s="42" t="s">
        <v>238</v>
      </c>
    </row>
    <row r="2981" spans="1:8" x14ac:dyDescent="0.25">
      <c r="A2981" s="3" t="s">
        <v>3228</v>
      </c>
      <c r="B2981" s="42" t="s">
        <v>3</v>
      </c>
      <c r="C2981" s="3">
        <v>20</v>
      </c>
      <c r="D2981" s="3">
        <v>1</v>
      </c>
      <c r="G2981" s="43">
        <v>44069</v>
      </c>
      <c r="H2981" s="42" t="s">
        <v>238</v>
      </c>
    </row>
    <row r="2982" spans="1:8" x14ac:dyDescent="0.25">
      <c r="A2982" s="3" t="s">
        <v>3229</v>
      </c>
      <c r="B2982" s="42" t="s">
        <v>3</v>
      </c>
      <c r="C2982" s="3">
        <v>19</v>
      </c>
      <c r="D2982" s="3">
        <v>1</v>
      </c>
      <c r="G2982" s="43">
        <v>44069</v>
      </c>
      <c r="H2982" s="42" t="s">
        <v>238</v>
      </c>
    </row>
    <row r="2983" spans="1:8" x14ac:dyDescent="0.25">
      <c r="A2983" s="3" t="s">
        <v>3230</v>
      </c>
      <c r="B2983" s="42" t="s">
        <v>3</v>
      </c>
      <c r="C2983" s="3">
        <v>18</v>
      </c>
      <c r="D2983" s="3">
        <v>1</v>
      </c>
      <c r="G2983" s="43">
        <v>44069</v>
      </c>
      <c r="H2983" s="42" t="s">
        <v>238</v>
      </c>
    </row>
    <row r="2984" spans="1:8" x14ac:dyDescent="0.25">
      <c r="A2984" s="3" t="s">
        <v>3231</v>
      </c>
      <c r="B2984" s="42" t="s">
        <v>3</v>
      </c>
      <c r="C2984" s="3">
        <v>18</v>
      </c>
      <c r="D2984" s="3">
        <v>1</v>
      </c>
      <c r="G2984" s="43">
        <v>44069</v>
      </c>
      <c r="H2984" s="42" t="s">
        <v>238</v>
      </c>
    </row>
    <row r="2985" spans="1:8" x14ac:dyDescent="0.25">
      <c r="A2985" s="3" t="s">
        <v>3232</v>
      </c>
      <c r="B2985" s="42" t="s">
        <v>3</v>
      </c>
      <c r="C2985" s="3">
        <v>23</v>
      </c>
      <c r="D2985" s="3">
        <v>1</v>
      </c>
      <c r="G2985" s="43">
        <v>44069</v>
      </c>
      <c r="H2985" s="42" t="s">
        <v>238</v>
      </c>
    </row>
    <row r="2986" spans="1:8" x14ac:dyDescent="0.25">
      <c r="A2986" s="3" t="s">
        <v>3233</v>
      </c>
      <c r="B2986" s="42" t="s">
        <v>3</v>
      </c>
      <c r="C2986" s="3">
        <v>19</v>
      </c>
      <c r="D2986" s="3">
        <v>1</v>
      </c>
      <c r="G2986" s="43">
        <v>44069</v>
      </c>
      <c r="H2986" s="42" t="s">
        <v>238</v>
      </c>
    </row>
    <row r="2987" spans="1:8" x14ac:dyDescent="0.25">
      <c r="A2987" s="3" t="s">
        <v>3234</v>
      </c>
      <c r="B2987" s="42" t="s">
        <v>3</v>
      </c>
      <c r="C2987" s="3">
        <v>18</v>
      </c>
      <c r="D2987" s="3">
        <v>1</v>
      </c>
      <c r="G2987" s="43">
        <v>44069</v>
      </c>
      <c r="H2987" s="42" t="s">
        <v>238</v>
      </c>
    </row>
    <row r="2988" spans="1:8" x14ac:dyDescent="0.25">
      <c r="A2988" s="3" t="s">
        <v>3235</v>
      </c>
      <c r="B2988" s="42" t="s">
        <v>3</v>
      </c>
      <c r="C2988" s="3">
        <v>18</v>
      </c>
      <c r="D2988" s="3">
        <v>1</v>
      </c>
      <c r="G2988" s="43">
        <v>44069</v>
      </c>
      <c r="H2988" s="42" t="s">
        <v>238</v>
      </c>
    </row>
    <row r="2989" spans="1:8" x14ac:dyDescent="0.25">
      <c r="A2989" s="3" t="s">
        <v>3236</v>
      </c>
      <c r="B2989" s="42" t="s">
        <v>3</v>
      </c>
      <c r="C2989" s="3">
        <v>28</v>
      </c>
      <c r="D2989" s="3">
        <v>1</v>
      </c>
      <c r="G2989" s="43">
        <v>44069</v>
      </c>
      <c r="H2989" s="42" t="s">
        <v>238</v>
      </c>
    </row>
    <row r="2990" spans="1:8" x14ac:dyDescent="0.25">
      <c r="A2990" s="3" t="s">
        <v>3237</v>
      </c>
      <c r="B2990" s="42" t="s">
        <v>3</v>
      </c>
      <c r="C2990" s="3">
        <v>18</v>
      </c>
      <c r="D2990" s="3">
        <v>1</v>
      </c>
      <c r="G2990" s="43">
        <v>44069</v>
      </c>
      <c r="H2990" s="42" t="s">
        <v>238</v>
      </c>
    </row>
    <row r="2991" spans="1:8" x14ac:dyDescent="0.25">
      <c r="A2991" s="3" t="s">
        <v>3238</v>
      </c>
      <c r="B2991" s="42" t="s">
        <v>3</v>
      </c>
      <c r="C2991" s="3">
        <v>18</v>
      </c>
      <c r="D2991" s="3">
        <v>1</v>
      </c>
      <c r="G2991" s="43">
        <v>44069</v>
      </c>
      <c r="H2991" s="42" t="s">
        <v>238</v>
      </c>
    </row>
    <row r="2992" spans="1:8" x14ac:dyDescent="0.25">
      <c r="A2992" s="3" t="s">
        <v>3239</v>
      </c>
      <c r="B2992" s="42" t="s">
        <v>3</v>
      </c>
      <c r="C2992" s="3">
        <v>18</v>
      </c>
      <c r="D2992" s="3">
        <v>1</v>
      </c>
      <c r="G2992" s="43">
        <v>44069</v>
      </c>
      <c r="H2992" s="42" t="s">
        <v>238</v>
      </c>
    </row>
    <row r="2993" spans="1:8" x14ac:dyDescent="0.25">
      <c r="A2993" s="3" t="s">
        <v>3240</v>
      </c>
      <c r="B2993" s="42" t="s">
        <v>3</v>
      </c>
      <c r="C2993" s="3">
        <v>18</v>
      </c>
      <c r="D2993" s="3">
        <v>1</v>
      </c>
      <c r="G2993" s="43">
        <v>44069</v>
      </c>
      <c r="H2993" s="42" t="s">
        <v>238</v>
      </c>
    </row>
    <row r="2994" spans="1:8" x14ac:dyDescent="0.25">
      <c r="A2994" s="3" t="s">
        <v>3241</v>
      </c>
      <c r="B2994" s="42" t="s">
        <v>3</v>
      </c>
      <c r="C2994" s="3">
        <v>23</v>
      </c>
      <c r="D2994" s="3">
        <v>1</v>
      </c>
      <c r="G2994" s="43">
        <v>44069</v>
      </c>
      <c r="H2994" s="42" t="s">
        <v>238</v>
      </c>
    </row>
    <row r="2995" spans="1:8" x14ac:dyDescent="0.25">
      <c r="A2995" s="3" t="s">
        <v>3242</v>
      </c>
      <c r="B2995" s="42" t="s">
        <v>3</v>
      </c>
      <c r="C2995" s="3">
        <v>20</v>
      </c>
      <c r="D2995" s="3">
        <v>1</v>
      </c>
      <c r="G2995" s="43">
        <v>44069</v>
      </c>
      <c r="H2995" s="42" t="s">
        <v>238</v>
      </c>
    </row>
    <row r="2996" spans="1:8" x14ac:dyDescent="0.25">
      <c r="A2996" s="3" t="s">
        <v>3243</v>
      </c>
      <c r="B2996" s="42" t="s">
        <v>3</v>
      </c>
      <c r="C2996" s="3">
        <v>18</v>
      </c>
      <c r="D2996" s="3">
        <v>1</v>
      </c>
      <c r="G2996" s="43">
        <v>44069</v>
      </c>
      <c r="H2996" s="42" t="s">
        <v>238</v>
      </c>
    </row>
    <row r="2997" spans="1:8" x14ac:dyDescent="0.25">
      <c r="A2997" s="3" t="s">
        <v>3244</v>
      </c>
      <c r="B2997" s="42" t="s">
        <v>3</v>
      </c>
      <c r="C2997" s="3">
        <v>23</v>
      </c>
      <c r="D2997" s="3">
        <v>1</v>
      </c>
      <c r="G2997" s="43">
        <v>44069</v>
      </c>
      <c r="H2997" s="42" t="s">
        <v>238</v>
      </c>
    </row>
    <row r="2998" spans="1:8" x14ac:dyDescent="0.25">
      <c r="A2998" s="3" t="s">
        <v>3245</v>
      </c>
      <c r="B2998" s="42" t="s">
        <v>3</v>
      </c>
      <c r="C2998" s="3">
        <v>18</v>
      </c>
      <c r="D2998" s="3">
        <v>1</v>
      </c>
      <c r="G2998" s="43">
        <v>44069</v>
      </c>
      <c r="H2998" s="42" t="s">
        <v>238</v>
      </c>
    </row>
    <row r="2999" spans="1:8" x14ac:dyDescent="0.25">
      <c r="A2999" s="3" t="s">
        <v>3246</v>
      </c>
      <c r="B2999" s="42" t="s">
        <v>3</v>
      </c>
      <c r="C2999" s="3">
        <v>20</v>
      </c>
      <c r="D2999" s="3">
        <v>1</v>
      </c>
      <c r="G2999" s="43">
        <v>44069</v>
      </c>
      <c r="H2999" s="42" t="s">
        <v>238</v>
      </c>
    </row>
    <row r="3000" spans="1:8" x14ac:dyDescent="0.25">
      <c r="A3000" s="3" t="s">
        <v>3247</v>
      </c>
      <c r="B3000" s="42" t="s">
        <v>3</v>
      </c>
      <c r="C3000" s="3">
        <v>22</v>
      </c>
      <c r="D3000" s="3">
        <v>1</v>
      </c>
      <c r="G3000" s="43">
        <v>44069</v>
      </c>
      <c r="H3000" s="42" t="s">
        <v>238</v>
      </c>
    </row>
    <row r="3001" spans="1:8" x14ac:dyDescent="0.25">
      <c r="A3001" s="3" t="s">
        <v>3248</v>
      </c>
      <c r="B3001" s="42" t="s">
        <v>3</v>
      </c>
      <c r="C3001" s="3">
        <v>18</v>
      </c>
      <c r="D3001" s="3">
        <v>1</v>
      </c>
      <c r="G3001" s="43">
        <v>44069</v>
      </c>
      <c r="H3001" s="42" t="s">
        <v>238</v>
      </c>
    </row>
    <row r="3002" spans="1:8" x14ac:dyDescent="0.25">
      <c r="A3002" s="3" t="s">
        <v>3249</v>
      </c>
      <c r="B3002" s="42" t="s">
        <v>3</v>
      </c>
      <c r="C3002" s="3">
        <v>18</v>
      </c>
      <c r="D3002" s="3">
        <v>1</v>
      </c>
      <c r="G3002" s="43">
        <v>44069</v>
      </c>
      <c r="H3002" s="42" t="s">
        <v>238</v>
      </c>
    </row>
    <row r="3003" spans="1:8" x14ac:dyDescent="0.25">
      <c r="A3003" s="3" t="s">
        <v>3250</v>
      </c>
      <c r="B3003" s="42" t="s">
        <v>3</v>
      </c>
      <c r="C3003" s="3">
        <v>18</v>
      </c>
      <c r="D3003" s="3">
        <v>1</v>
      </c>
      <c r="G3003" s="43">
        <v>44069</v>
      </c>
      <c r="H3003" s="42" t="s">
        <v>238</v>
      </c>
    </row>
    <row r="3004" spans="1:8" x14ac:dyDescent="0.25">
      <c r="A3004" s="3" t="s">
        <v>3251</v>
      </c>
      <c r="B3004" s="42" t="s">
        <v>3</v>
      </c>
      <c r="C3004" s="3">
        <v>19</v>
      </c>
      <c r="D3004" s="3">
        <v>1</v>
      </c>
      <c r="G3004" s="43">
        <v>44069</v>
      </c>
      <c r="H3004" s="42" t="s">
        <v>238</v>
      </c>
    </row>
    <row r="3005" spans="1:8" x14ac:dyDescent="0.25">
      <c r="A3005" s="3" t="s">
        <v>3252</v>
      </c>
      <c r="B3005" s="42" t="s">
        <v>3</v>
      </c>
      <c r="C3005" s="3">
        <v>18</v>
      </c>
      <c r="D3005" s="3">
        <v>1</v>
      </c>
      <c r="G3005" s="43">
        <v>44069</v>
      </c>
      <c r="H3005" s="42" t="s">
        <v>238</v>
      </c>
    </row>
    <row r="3006" spans="1:8" x14ac:dyDescent="0.25">
      <c r="A3006" s="3" t="s">
        <v>3253</v>
      </c>
      <c r="B3006" s="42" t="s">
        <v>3</v>
      </c>
      <c r="C3006" s="3">
        <v>18</v>
      </c>
      <c r="D3006" s="3">
        <v>1</v>
      </c>
      <c r="G3006" s="43">
        <v>44069</v>
      </c>
      <c r="H3006" s="42" t="s">
        <v>238</v>
      </c>
    </row>
    <row r="3007" spans="1:8" x14ac:dyDescent="0.25">
      <c r="A3007" s="3" t="s">
        <v>3254</v>
      </c>
      <c r="B3007" s="42" t="s">
        <v>3</v>
      </c>
      <c r="C3007" s="3">
        <v>18</v>
      </c>
      <c r="D3007" s="3">
        <v>1</v>
      </c>
      <c r="G3007" s="43">
        <v>44069</v>
      </c>
      <c r="H3007" s="42" t="s">
        <v>238</v>
      </c>
    </row>
    <row r="3008" spans="1:8" x14ac:dyDescent="0.25">
      <c r="A3008" s="3" t="s">
        <v>3255</v>
      </c>
      <c r="B3008" s="42" t="s">
        <v>3</v>
      </c>
      <c r="C3008" s="3">
        <v>18</v>
      </c>
      <c r="D3008" s="3">
        <v>1</v>
      </c>
      <c r="G3008" s="43">
        <v>44069</v>
      </c>
      <c r="H3008" s="42" t="s">
        <v>238</v>
      </c>
    </row>
    <row r="3009" spans="1:8" x14ac:dyDescent="0.25">
      <c r="A3009" s="3" t="s">
        <v>3256</v>
      </c>
      <c r="B3009" s="42" t="s">
        <v>3</v>
      </c>
      <c r="C3009" s="3">
        <v>19</v>
      </c>
      <c r="D3009" s="3">
        <v>1</v>
      </c>
      <c r="G3009" s="43">
        <v>44069</v>
      </c>
      <c r="H3009" s="42" t="s">
        <v>238</v>
      </c>
    </row>
    <row r="3010" spans="1:8" x14ac:dyDescent="0.25">
      <c r="A3010" s="3" t="s">
        <v>3257</v>
      </c>
      <c r="B3010" s="42" t="s">
        <v>3</v>
      </c>
      <c r="C3010" s="3">
        <v>18</v>
      </c>
      <c r="D3010" s="3">
        <v>1</v>
      </c>
      <c r="G3010" s="43">
        <v>44069</v>
      </c>
      <c r="H3010" s="42" t="s">
        <v>238</v>
      </c>
    </row>
    <row r="3011" spans="1:8" x14ac:dyDescent="0.25">
      <c r="A3011" s="3" t="s">
        <v>3258</v>
      </c>
      <c r="B3011" s="42" t="s">
        <v>3</v>
      </c>
      <c r="C3011" s="3">
        <v>18</v>
      </c>
      <c r="D3011" s="3">
        <v>1</v>
      </c>
      <c r="G3011" s="43">
        <v>44069</v>
      </c>
      <c r="H3011" s="42" t="s">
        <v>238</v>
      </c>
    </row>
    <row r="3012" spans="1:8" x14ac:dyDescent="0.25">
      <c r="A3012" s="3" t="s">
        <v>3259</v>
      </c>
      <c r="B3012" s="42" t="s">
        <v>3</v>
      </c>
      <c r="C3012" s="3">
        <v>18</v>
      </c>
      <c r="D3012" s="3">
        <v>1</v>
      </c>
      <c r="G3012" s="43">
        <v>44069</v>
      </c>
      <c r="H3012" s="42" t="s">
        <v>238</v>
      </c>
    </row>
    <row r="3013" spans="1:8" x14ac:dyDescent="0.25">
      <c r="A3013" s="3" t="s">
        <v>3260</v>
      </c>
      <c r="B3013" s="42" t="s">
        <v>3</v>
      </c>
      <c r="C3013" s="3">
        <v>18</v>
      </c>
      <c r="D3013" s="3">
        <v>1</v>
      </c>
      <c r="G3013" s="43">
        <v>44069</v>
      </c>
      <c r="H3013" s="42" t="s">
        <v>238</v>
      </c>
    </row>
    <row r="3014" spans="1:8" x14ac:dyDescent="0.25">
      <c r="A3014" s="3" t="s">
        <v>3261</v>
      </c>
      <c r="B3014" s="42" t="s">
        <v>3</v>
      </c>
      <c r="C3014" s="3">
        <v>18</v>
      </c>
      <c r="D3014" s="3">
        <v>1</v>
      </c>
      <c r="G3014" s="43">
        <v>44069</v>
      </c>
      <c r="H3014" s="42" t="s">
        <v>238</v>
      </c>
    </row>
    <row r="3015" spans="1:8" x14ac:dyDescent="0.25">
      <c r="A3015" s="3" t="s">
        <v>3262</v>
      </c>
      <c r="B3015" s="42" t="s">
        <v>3</v>
      </c>
      <c r="C3015" s="3">
        <v>18</v>
      </c>
      <c r="D3015" s="3">
        <v>1</v>
      </c>
      <c r="G3015" s="43">
        <v>44069</v>
      </c>
      <c r="H3015" s="42" t="s">
        <v>238</v>
      </c>
    </row>
    <row r="3016" spans="1:8" x14ac:dyDescent="0.25">
      <c r="A3016" s="3" t="s">
        <v>3263</v>
      </c>
      <c r="B3016" s="42" t="s">
        <v>3</v>
      </c>
      <c r="C3016" s="3">
        <v>20</v>
      </c>
      <c r="D3016" s="3">
        <v>1</v>
      </c>
      <c r="G3016" s="43">
        <v>44069</v>
      </c>
      <c r="H3016" s="42" t="s">
        <v>238</v>
      </c>
    </row>
    <row r="3017" spans="1:8" x14ac:dyDescent="0.25">
      <c r="A3017" s="3" t="s">
        <v>3264</v>
      </c>
      <c r="B3017" s="42" t="s">
        <v>3</v>
      </c>
      <c r="C3017" s="3">
        <v>18</v>
      </c>
      <c r="D3017" s="3">
        <v>1</v>
      </c>
      <c r="G3017" s="43">
        <v>44069</v>
      </c>
      <c r="H3017" s="42" t="s">
        <v>238</v>
      </c>
    </row>
    <row r="3018" spans="1:8" x14ac:dyDescent="0.25">
      <c r="A3018" s="3" t="s">
        <v>3265</v>
      </c>
      <c r="B3018" s="42" t="s">
        <v>3</v>
      </c>
      <c r="C3018" s="3">
        <v>24</v>
      </c>
      <c r="D3018" s="3">
        <v>1</v>
      </c>
      <c r="G3018" s="43">
        <v>44069</v>
      </c>
      <c r="H3018" s="42" t="s">
        <v>238</v>
      </c>
    </row>
    <row r="3019" spans="1:8" x14ac:dyDescent="0.25">
      <c r="A3019" s="3" t="s">
        <v>3266</v>
      </c>
      <c r="B3019" s="42" t="s">
        <v>3</v>
      </c>
      <c r="C3019" s="3">
        <v>21</v>
      </c>
      <c r="D3019" s="3">
        <v>1</v>
      </c>
      <c r="G3019" s="43">
        <v>44069</v>
      </c>
      <c r="H3019" s="42" t="s">
        <v>238</v>
      </c>
    </row>
    <row r="3020" spans="1:8" x14ac:dyDescent="0.25">
      <c r="A3020" s="3" t="s">
        <v>3267</v>
      </c>
      <c r="B3020" s="42" t="s">
        <v>3</v>
      </c>
      <c r="C3020" s="3">
        <v>18</v>
      </c>
      <c r="D3020" s="3">
        <v>1</v>
      </c>
      <c r="G3020" s="43">
        <v>44069</v>
      </c>
      <c r="H3020" s="42" t="s">
        <v>238</v>
      </c>
    </row>
    <row r="3021" spans="1:8" x14ac:dyDescent="0.25">
      <c r="A3021" s="3" t="s">
        <v>3268</v>
      </c>
      <c r="B3021" s="42" t="s">
        <v>3</v>
      </c>
      <c r="C3021" s="3">
        <v>19</v>
      </c>
      <c r="D3021" s="3">
        <v>1</v>
      </c>
      <c r="G3021" s="43">
        <v>44069</v>
      </c>
      <c r="H3021" s="42" t="s">
        <v>238</v>
      </c>
    </row>
    <row r="3022" spans="1:8" x14ac:dyDescent="0.25">
      <c r="A3022" s="3" t="s">
        <v>3269</v>
      </c>
      <c r="B3022" s="42" t="s">
        <v>3</v>
      </c>
      <c r="C3022" s="3">
        <v>20</v>
      </c>
      <c r="D3022" s="3">
        <v>1</v>
      </c>
      <c r="G3022" s="43">
        <v>44069</v>
      </c>
      <c r="H3022" s="42" t="s">
        <v>238</v>
      </c>
    </row>
    <row r="3023" spans="1:8" x14ac:dyDescent="0.25">
      <c r="A3023" s="3" t="s">
        <v>3270</v>
      </c>
      <c r="B3023" s="42" t="s">
        <v>3</v>
      </c>
      <c r="C3023" s="3">
        <v>19</v>
      </c>
      <c r="D3023" s="3">
        <v>1</v>
      </c>
      <c r="G3023" s="43">
        <v>44069</v>
      </c>
      <c r="H3023" s="42" t="s">
        <v>238</v>
      </c>
    </row>
    <row r="3024" spans="1:8" x14ac:dyDescent="0.25">
      <c r="A3024" s="3" t="s">
        <v>3271</v>
      </c>
      <c r="B3024" s="42" t="s">
        <v>3</v>
      </c>
      <c r="C3024" s="3">
        <v>19</v>
      </c>
      <c r="D3024" s="3">
        <v>1</v>
      </c>
      <c r="G3024" s="43">
        <v>44069</v>
      </c>
      <c r="H3024" s="42" t="s">
        <v>238</v>
      </c>
    </row>
    <row r="3025" spans="1:8" x14ac:dyDescent="0.25">
      <c r="A3025" s="3" t="s">
        <v>3272</v>
      </c>
      <c r="B3025" s="42" t="s">
        <v>3</v>
      </c>
      <c r="C3025" s="3">
        <v>21</v>
      </c>
      <c r="D3025" s="3">
        <v>1</v>
      </c>
      <c r="G3025" s="43">
        <v>44069</v>
      </c>
      <c r="H3025" s="42" t="s">
        <v>238</v>
      </c>
    </row>
    <row r="3026" spans="1:8" x14ac:dyDescent="0.25">
      <c r="A3026" s="3" t="s">
        <v>3273</v>
      </c>
      <c r="B3026" s="42" t="s">
        <v>3</v>
      </c>
      <c r="C3026" s="3">
        <v>19</v>
      </c>
      <c r="D3026" s="3">
        <v>1</v>
      </c>
      <c r="G3026" s="43">
        <v>44069</v>
      </c>
      <c r="H3026" s="42" t="s">
        <v>238</v>
      </c>
    </row>
    <row r="3027" spans="1:8" x14ac:dyDescent="0.25">
      <c r="A3027" s="3" t="s">
        <v>3274</v>
      </c>
      <c r="B3027" s="42" t="s">
        <v>3</v>
      </c>
      <c r="C3027" s="3">
        <v>20</v>
      </c>
      <c r="D3027" s="3">
        <v>1</v>
      </c>
      <c r="G3027" s="43">
        <v>44069</v>
      </c>
      <c r="H3027" s="42" t="s">
        <v>238</v>
      </c>
    </row>
    <row r="3028" spans="1:8" x14ac:dyDescent="0.25">
      <c r="A3028" s="3" t="s">
        <v>3275</v>
      </c>
      <c r="B3028" s="42" t="s">
        <v>3</v>
      </c>
      <c r="C3028" s="3">
        <v>19</v>
      </c>
      <c r="D3028" s="3">
        <v>1</v>
      </c>
      <c r="G3028" s="43">
        <v>44069</v>
      </c>
      <c r="H3028" s="42" t="s">
        <v>238</v>
      </c>
    </row>
    <row r="3029" spans="1:8" x14ac:dyDescent="0.25">
      <c r="A3029" s="3" t="s">
        <v>3276</v>
      </c>
      <c r="B3029" s="42" t="s">
        <v>3</v>
      </c>
      <c r="C3029" s="3">
        <v>18</v>
      </c>
      <c r="D3029" s="3">
        <v>1</v>
      </c>
      <c r="G3029" s="43">
        <v>44069</v>
      </c>
      <c r="H3029" s="42" t="s">
        <v>238</v>
      </c>
    </row>
    <row r="3030" spans="1:8" x14ac:dyDescent="0.25">
      <c r="A3030" s="3" t="s">
        <v>3277</v>
      </c>
      <c r="B3030" s="42" t="s">
        <v>3</v>
      </c>
      <c r="C3030" s="3">
        <v>22</v>
      </c>
      <c r="D3030" s="3">
        <v>1</v>
      </c>
      <c r="G3030" s="43">
        <v>44069</v>
      </c>
      <c r="H3030" s="42" t="s">
        <v>238</v>
      </c>
    </row>
    <row r="3031" spans="1:8" x14ac:dyDescent="0.25">
      <c r="A3031" s="3" t="s">
        <v>3278</v>
      </c>
      <c r="B3031" s="42" t="s">
        <v>3</v>
      </c>
      <c r="C3031" s="3">
        <v>18</v>
      </c>
      <c r="D3031" s="3">
        <v>1</v>
      </c>
      <c r="G3031" s="43">
        <v>44069</v>
      </c>
      <c r="H3031" s="42" t="s">
        <v>238</v>
      </c>
    </row>
    <row r="3032" spans="1:8" x14ac:dyDescent="0.25">
      <c r="A3032" s="3" t="s">
        <v>3279</v>
      </c>
      <c r="B3032" s="42" t="s">
        <v>3</v>
      </c>
      <c r="C3032" s="3">
        <v>18</v>
      </c>
      <c r="D3032" s="3">
        <v>1</v>
      </c>
      <c r="G3032" s="43">
        <v>44069</v>
      </c>
      <c r="H3032" s="42" t="s">
        <v>238</v>
      </c>
    </row>
    <row r="3033" spans="1:8" x14ac:dyDescent="0.25">
      <c r="A3033" s="3" t="s">
        <v>3280</v>
      </c>
      <c r="B3033" s="42" t="s">
        <v>3</v>
      </c>
      <c r="C3033" s="3">
        <v>18</v>
      </c>
      <c r="D3033" s="3">
        <v>1</v>
      </c>
      <c r="G3033" s="43">
        <v>44069</v>
      </c>
      <c r="H3033" s="42" t="s">
        <v>238</v>
      </c>
    </row>
    <row r="3034" spans="1:8" x14ac:dyDescent="0.25">
      <c r="A3034" s="3" t="s">
        <v>3281</v>
      </c>
      <c r="B3034" s="42" t="s">
        <v>3</v>
      </c>
      <c r="C3034" s="3">
        <v>18</v>
      </c>
      <c r="D3034" s="3">
        <v>1</v>
      </c>
      <c r="G3034" s="43">
        <v>44069</v>
      </c>
      <c r="H3034" s="42" t="s">
        <v>238</v>
      </c>
    </row>
    <row r="3035" spans="1:8" x14ac:dyDescent="0.25">
      <c r="A3035" s="3" t="s">
        <v>3282</v>
      </c>
      <c r="B3035" s="42" t="s">
        <v>3</v>
      </c>
      <c r="C3035" s="3">
        <v>19</v>
      </c>
      <c r="D3035" s="3">
        <v>1</v>
      </c>
      <c r="G3035" s="43">
        <v>44069</v>
      </c>
      <c r="H3035" s="42" t="s">
        <v>238</v>
      </c>
    </row>
    <row r="3036" spans="1:8" x14ac:dyDescent="0.25">
      <c r="A3036" s="3" t="s">
        <v>3283</v>
      </c>
      <c r="B3036" s="42" t="s">
        <v>3</v>
      </c>
      <c r="C3036" s="3">
        <v>18</v>
      </c>
      <c r="D3036" s="3">
        <v>1</v>
      </c>
      <c r="G3036" s="43">
        <v>44069</v>
      </c>
      <c r="H3036" s="42" t="s">
        <v>238</v>
      </c>
    </row>
    <row r="3037" spans="1:8" x14ac:dyDescent="0.25">
      <c r="A3037" s="3" t="s">
        <v>3284</v>
      </c>
      <c r="B3037" s="42" t="s">
        <v>3</v>
      </c>
      <c r="C3037" s="3">
        <v>18</v>
      </c>
      <c r="D3037" s="3">
        <v>1</v>
      </c>
      <c r="G3037" s="43">
        <v>44069</v>
      </c>
      <c r="H3037" s="42" t="s">
        <v>238</v>
      </c>
    </row>
    <row r="3038" spans="1:8" x14ac:dyDescent="0.25">
      <c r="A3038" s="3" t="s">
        <v>3285</v>
      </c>
      <c r="B3038" s="42" t="s">
        <v>3</v>
      </c>
      <c r="C3038" s="3">
        <v>19</v>
      </c>
      <c r="D3038" s="3">
        <v>1</v>
      </c>
      <c r="G3038" s="43">
        <v>44069</v>
      </c>
      <c r="H3038" s="42" t="s">
        <v>238</v>
      </c>
    </row>
    <row r="3039" spans="1:8" x14ac:dyDescent="0.25">
      <c r="A3039" s="3" t="s">
        <v>3286</v>
      </c>
      <c r="B3039" s="42" t="s">
        <v>3</v>
      </c>
      <c r="C3039" s="3">
        <v>18</v>
      </c>
      <c r="D3039" s="3">
        <v>1</v>
      </c>
      <c r="G3039" s="43">
        <v>44069</v>
      </c>
      <c r="H3039" s="42" t="s">
        <v>238</v>
      </c>
    </row>
    <row r="3040" spans="1:8" x14ac:dyDescent="0.25">
      <c r="A3040" s="3" t="s">
        <v>3287</v>
      </c>
      <c r="B3040" s="42" t="s">
        <v>3</v>
      </c>
      <c r="C3040" s="3">
        <v>22</v>
      </c>
      <c r="D3040" s="3">
        <v>1</v>
      </c>
      <c r="G3040" s="43">
        <v>44069</v>
      </c>
      <c r="H3040" s="42" t="s">
        <v>238</v>
      </c>
    </row>
    <row r="3041" spans="1:8" x14ac:dyDescent="0.25">
      <c r="A3041" s="3" t="s">
        <v>3288</v>
      </c>
      <c r="B3041" s="42" t="s">
        <v>3</v>
      </c>
      <c r="C3041" s="3">
        <v>18</v>
      </c>
      <c r="D3041" s="3">
        <v>1</v>
      </c>
      <c r="G3041" s="43">
        <v>44069</v>
      </c>
      <c r="H3041" s="42" t="s">
        <v>238</v>
      </c>
    </row>
    <row r="3042" spans="1:8" x14ac:dyDescent="0.25">
      <c r="A3042" s="3" t="s">
        <v>3289</v>
      </c>
      <c r="B3042" s="42" t="s">
        <v>3</v>
      </c>
      <c r="C3042" s="3">
        <v>24</v>
      </c>
      <c r="D3042" s="3">
        <v>1</v>
      </c>
      <c r="G3042" s="43">
        <v>44069</v>
      </c>
      <c r="H3042" s="42" t="s">
        <v>238</v>
      </c>
    </row>
    <row r="3043" spans="1:8" x14ac:dyDescent="0.25">
      <c r="A3043" s="3" t="s">
        <v>3290</v>
      </c>
      <c r="B3043" s="42" t="s">
        <v>3</v>
      </c>
      <c r="C3043" s="3">
        <v>18</v>
      </c>
      <c r="D3043" s="3">
        <v>1</v>
      </c>
      <c r="G3043" s="43">
        <v>44069</v>
      </c>
      <c r="H3043" s="42" t="s">
        <v>238</v>
      </c>
    </row>
    <row r="3044" spans="1:8" x14ac:dyDescent="0.25">
      <c r="A3044" s="3" t="s">
        <v>3291</v>
      </c>
      <c r="B3044" s="42" t="s">
        <v>3</v>
      </c>
      <c r="C3044" s="3">
        <v>18</v>
      </c>
      <c r="D3044" s="3">
        <v>1</v>
      </c>
      <c r="G3044" s="43">
        <v>44069</v>
      </c>
      <c r="H3044" s="42" t="s">
        <v>238</v>
      </c>
    </row>
    <row r="3045" spans="1:8" x14ac:dyDescent="0.25">
      <c r="A3045" s="3" t="s">
        <v>3292</v>
      </c>
      <c r="B3045" s="42" t="s">
        <v>3</v>
      </c>
      <c r="C3045" s="3">
        <v>18</v>
      </c>
      <c r="D3045" s="3">
        <v>1</v>
      </c>
      <c r="G3045" s="43">
        <v>44069</v>
      </c>
      <c r="H3045" s="42" t="s">
        <v>238</v>
      </c>
    </row>
    <row r="3046" spans="1:8" x14ac:dyDescent="0.25">
      <c r="A3046" s="3" t="s">
        <v>3293</v>
      </c>
      <c r="B3046" s="42" t="s">
        <v>3</v>
      </c>
      <c r="C3046" s="3">
        <v>18</v>
      </c>
      <c r="D3046" s="3">
        <v>1</v>
      </c>
      <c r="G3046" s="43">
        <v>44069</v>
      </c>
      <c r="H3046" s="42" t="s">
        <v>238</v>
      </c>
    </row>
    <row r="3047" spans="1:8" x14ac:dyDescent="0.25">
      <c r="A3047" s="3" t="s">
        <v>3294</v>
      </c>
      <c r="B3047" s="42" t="s">
        <v>3</v>
      </c>
      <c r="C3047" s="3">
        <v>28</v>
      </c>
      <c r="D3047" s="3">
        <v>1</v>
      </c>
      <c r="G3047" s="43">
        <v>44069</v>
      </c>
      <c r="H3047" s="42" t="s">
        <v>238</v>
      </c>
    </row>
    <row r="3048" spans="1:8" x14ac:dyDescent="0.25">
      <c r="A3048" s="3" t="s">
        <v>3295</v>
      </c>
      <c r="B3048" s="42" t="s">
        <v>3</v>
      </c>
      <c r="C3048" s="3">
        <v>18</v>
      </c>
      <c r="D3048" s="3">
        <v>1</v>
      </c>
      <c r="G3048" s="43">
        <v>44069</v>
      </c>
      <c r="H3048" s="42" t="s">
        <v>238</v>
      </c>
    </row>
    <row r="3049" spans="1:8" x14ac:dyDescent="0.25">
      <c r="A3049" s="3" t="s">
        <v>3296</v>
      </c>
      <c r="B3049" s="42" t="s">
        <v>3</v>
      </c>
      <c r="C3049" s="3">
        <v>18</v>
      </c>
      <c r="D3049" s="3">
        <v>1</v>
      </c>
      <c r="G3049" s="43">
        <v>44069</v>
      </c>
      <c r="H3049" s="42" t="s">
        <v>238</v>
      </c>
    </row>
    <row r="3050" spans="1:8" x14ac:dyDescent="0.25">
      <c r="A3050" s="3" t="s">
        <v>3297</v>
      </c>
      <c r="B3050" s="42" t="s">
        <v>3</v>
      </c>
      <c r="C3050" s="3">
        <v>18</v>
      </c>
      <c r="D3050" s="3">
        <v>1</v>
      </c>
      <c r="G3050" s="43">
        <v>44069</v>
      </c>
      <c r="H3050" s="42" t="s">
        <v>238</v>
      </c>
    </row>
    <row r="3051" spans="1:8" x14ac:dyDescent="0.25">
      <c r="A3051" s="3" t="s">
        <v>3298</v>
      </c>
      <c r="B3051" s="42" t="s">
        <v>3</v>
      </c>
      <c r="C3051" s="3">
        <v>19</v>
      </c>
      <c r="D3051" s="3">
        <v>1</v>
      </c>
      <c r="G3051" s="43">
        <v>44069</v>
      </c>
      <c r="H3051" s="42" t="s">
        <v>238</v>
      </c>
    </row>
    <row r="3052" spans="1:8" x14ac:dyDescent="0.25">
      <c r="A3052" s="3" t="s">
        <v>3299</v>
      </c>
      <c r="B3052" s="42" t="s">
        <v>3</v>
      </c>
      <c r="C3052" s="3">
        <v>19</v>
      </c>
      <c r="D3052" s="3">
        <v>1</v>
      </c>
      <c r="G3052" s="43">
        <v>44069</v>
      </c>
      <c r="H3052" s="42" t="s">
        <v>238</v>
      </c>
    </row>
    <row r="3053" spans="1:8" x14ac:dyDescent="0.25">
      <c r="A3053" s="3" t="s">
        <v>3300</v>
      </c>
      <c r="B3053" s="42" t="s">
        <v>3</v>
      </c>
      <c r="C3053" s="3">
        <v>18</v>
      </c>
      <c r="D3053" s="3">
        <v>1</v>
      </c>
      <c r="G3053" s="43">
        <v>44069</v>
      </c>
      <c r="H3053" s="42" t="s">
        <v>238</v>
      </c>
    </row>
    <row r="3054" spans="1:8" x14ac:dyDescent="0.25">
      <c r="A3054" s="3" t="s">
        <v>3301</v>
      </c>
      <c r="B3054" s="42" t="s">
        <v>3</v>
      </c>
      <c r="C3054" s="3">
        <v>19</v>
      </c>
      <c r="D3054" s="3">
        <v>1</v>
      </c>
      <c r="G3054" s="43">
        <v>44069</v>
      </c>
      <c r="H3054" s="42" t="s">
        <v>238</v>
      </c>
    </row>
    <row r="3055" spans="1:8" x14ac:dyDescent="0.25">
      <c r="A3055" s="3" t="s">
        <v>3302</v>
      </c>
      <c r="B3055" s="42" t="s">
        <v>3</v>
      </c>
      <c r="C3055" s="3">
        <v>19</v>
      </c>
      <c r="D3055" s="3">
        <v>1</v>
      </c>
      <c r="G3055" s="43">
        <v>44069</v>
      </c>
      <c r="H3055" s="42" t="s">
        <v>238</v>
      </c>
    </row>
    <row r="3056" spans="1:8" x14ac:dyDescent="0.25">
      <c r="A3056" s="3" t="s">
        <v>3303</v>
      </c>
      <c r="B3056" s="42" t="s">
        <v>3</v>
      </c>
      <c r="C3056" s="3">
        <v>18</v>
      </c>
      <c r="D3056" s="3">
        <v>1</v>
      </c>
      <c r="G3056" s="43">
        <v>44069</v>
      </c>
      <c r="H3056" s="42" t="s">
        <v>238</v>
      </c>
    </row>
    <row r="3057" spans="1:8" x14ac:dyDescent="0.25">
      <c r="A3057" s="3" t="s">
        <v>3304</v>
      </c>
      <c r="B3057" s="42" t="s">
        <v>3</v>
      </c>
      <c r="C3057" s="3">
        <v>18</v>
      </c>
      <c r="D3057" s="3">
        <v>1</v>
      </c>
      <c r="G3057" s="43">
        <v>44069</v>
      </c>
      <c r="H3057" s="42" t="s">
        <v>238</v>
      </c>
    </row>
    <row r="3058" spans="1:8" x14ac:dyDescent="0.25">
      <c r="A3058" s="3" t="s">
        <v>3305</v>
      </c>
      <c r="B3058" s="42" t="s">
        <v>3</v>
      </c>
      <c r="C3058" s="3">
        <v>18</v>
      </c>
      <c r="D3058" s="3">
        <v>1</v>
      </c>
      <c r="G3058" s="43">
        <v>44069</v>
      </c>
      <c r="H3058" s="42" t="s">
        <v>238</v>
      </c>
    </row>
    <row r="3059" spans="1:8" x14ac:dyDescent="0.25">
      <c r="A3059" s="3" t="s">
        <v>3306</v>
      </c>
      <c r="B3059" s="42" t="s">
        <v>3</v>
      </c>
      <c r="C3059" s="3">
        <v>18</v>
      </c>
      <c r="D3059" s="3">
        <v>1</v>
      </c>
      <c r="G3059" s="43">
        <v>44069</v>
      </c>
      <c r="H3059" s="42" t="s">
        <v>238</v>
      </c>
    </row>
    <row r="3060" spans="1:8" x14ac:dyDescent="0.25">
      <c r="A3060" s="3" t="s">
        <v>3307</v>
      </c>
      <c r="B3060" s="42" t="s">
        <v>3</v>
      </c>
      <c r="C3060" s="3">
        <v>18</v>
      </c>
      <c r="D3060" s="3">
        <v>1</v>
      </c>
      <c r="G3060" s="43">
        <v>44069</v>
      </c>
      <c r="H3060" s="42" t="s">
        <v>238</v>
      </c>
    </row>
    <row r="3061" spans="1:8" x14ac:dyDescent="0.25">
      <c r="A3061" s="3" t="s">
        <v>3308</v>
      </c>
      <c r="B3061" s="42" t="s">
        <v>3</v>
      </c>
      <c r="C3061" s="3">
        <v>18</v>
      </c>
      <c r="D3061" s="3">
        <v>1</v>
      </c>
      <c r="G3061" s="43">
        <v>44069</v>
      </c>
      <c r="H3061" s="42" t="s">
        <v>238</v>
      </c>
    </row>
    <row r="3062" spans="1:8" x14ac:dyDescent="0.25">
      <c r="A3062" s="3" t="s">
        <v>3309</v>
      </c>
      <c r="B3062" s="42" t="s">
        <v>3</v>
      </c>
      <c r="C3062" s="3">
        <v>18</v>
      </c>
      <c r="D3062" s="3">
        <v>1</v>
      </c>
      <c r="G3062" s="43">
        <v>44069</v>
      </c>
      <c r="H3062" s="42" t="s">
        <v>238</v>
      </c>
    </row>
    <row r="3063" spans="1:8" x14ac:dyDescent="0.25">
      <c r="A3063" s="3" t="s">
        <v>3310</v>
      </c>
      <c r="B3063" s="42" t="s">
        <v>3</v>
      </c>
      <c r="C3063" s="3">
        <v>25</v>
      </c>
      <c r="D3063" s="3">
        <v>1</v>
      </c>
      <c r="G3063" s="43">
        <v>44069</v>
      </c>
      <c r="H3063" s="42" t="s">
        <v>238</v>
      </c>
    </row>
    <row r="3064" spans="1:8" x14ac:dyDescent="0.25">
      <c r="A3064" s="3" t="s">
        <v>3311</v>
      </c>
      <c r="B3064" s="42" t="s">
        <v>3</v>
      </c>
      <c r="C3064" s="3">
        <v>26</v>
      </c>
      <c r="D3064" s="3">
        <v>1</v>
      </c>
      <c r="G3064" s="43">
        <v>44069</v>
      </c>
      <c r="H3064" s="42" t="s">
        <v>238</v>
      </c>
    </row>
    <row r="3065" spans="1:8" x14ac:dyDescent="0.25">
      <c r="A3065" s="3" t="s">
        <v>3312</v>
      </c>
      <c r="B3065" s="42" t="s">
        <v>3</v>
      </c>
      <c r="C3065" s="3">
        <v>20</v>
      </c>
      <c r="D3065" s="3">
        <v>1</v>
      </c>
      <c r="G3065" s="43">
        <v>44069</v>
      </c>
      <c r="H3065" s="42" t="s">
        <v>238</v>
      </c>
    </row>
    <row r="3066" spans="1:8" x14ac:dyDescent="0.25">
      <c r="A3066" s="3" t="s">
        <v>3313</v>
      </c>
      <c r="B3066" s="42" t="s">
        <v>3</v>
      </c>
      <c r="C3066" s="3">
        <v>18</v>
      </c>
      <c r="D3066" s="3">
        <v>1</v>
      </c>
      <c r="G3066" s="43">
        <v>44069</v>
      </c>
      <c r="H3066" s="42" t="s">
        <v>238</v>
      </c>
    </row>
    <row r="3067" spans="1:8" x14ac:dyDescent="0.25">
      <c r="A3067" s="3" t="s">
        <v>3314</v>
      </c>
      <c r="B3067" s="42" t="s">
        <v>3</v>
      </c>
      <c r="C3067" s="3">
        <v>19</v>
      </c>
      <c r="D3067" s="3">
        <v>1</v>
      </c>
      <c r="G3067" s="43">
        <v>44069</v>
      </c>
      <c r="H3067" s="42" t="s">
        <v>238</v>
      </c>
    </row>
    <row r="3068" spans="1:8" x14ac:dyDescent="0.25">
      <c r="A3068" s="3" t="s">
        <v>3315</v>
      </c>
      <c r="B3068" s="42" t="s">
        <v>3</v>
      </c>
      <c r="C3068" s="3">
        <v>18</v>
      </c>
      <c r="D3068" s="3">
        <v>1</v>
      </c>
      <c r="G3068" s="43">
        <v>44069</v>
      </c>
      <c r="H3068" s="42" t="s">
        <v>238</v>
      </c>
    </row>
    <row r="3069" spans="1:8" x14ac:dyDescent="0.25">
      <c r="A3069" s="3" t="s">
        <v>3316</v>
      </c>
      <c r="B3069" s="42" t="s">
        <v>3</v>
      </c>
      <c r="C3069" s="3">
        <v>18</v>
      </c>
      <c r="D3069" s="3">
        <v>1</v>
      </c>
      <c r="G3069" s="43">
        <v>44069</v>
      </c>
      <c r="H3069" s="42" t="s">
        <v>238</v>
      </c>
    </row>
    <row r="3070" spans="1:8" x14ac:dyDescent="0.25">
      <c r="A3070" s="3" t="s">
        <v>3317</v>
      </c>
      <c r="B3070" s="42" t="s">
        <v>3</v>
      </c>
      <c r="C3070" s="3">
        <v>18</v>
      </c>
      <c r="D3070" s="3">
        <v>1</v>
      </c>
      <c r="G3070" s="43">
        <v>44069</v>
      </c>
      <c r="H3070" s="42" t="s">
        <v>238</v>
      </c>
    </row>
    <row r="3071" spans="1:8" x14ac:dyDescent="0.25">
      <c r="A3071" s="3" t="s">
        <v>3318</v>
      </c>
      <c r="B3071" s="42" t="s">
        <v>3</v>
      </c>
      <c r="C3071" s="3">
        <v>18</v>
      </c>
      <c r="D3071" s="3">
        <v>1</v>
      </c>
      <c r="G3071" s="43">
        <v>44069</v>
      </c>
      <c r="H3071" s="42" t="s">
        <v>238</v>
      </c>
    </row>
    <row r="3072" spans="1:8" x14ac:dyDescent="0.25">
      <c r="A3072" s="3" t="s">
        <v>3319</v>
      </c>
      <c r="B3072" s="42" t="s">
        <v>3</v>
      </c>
      <c r="C3072" s="3">
        <v>18</v>
      </c>
      <c r="D3072" s="3">
        <v>1</v>
      </c>
      <c r="G3072" s="43">
        <v>44069</v>
      </c>
      <c r="H3072" s="42" t="s">
        <v>238</v>
      </c>
    </row>
    <row r="3073" spans="1:8" x14ac:dyDescent="0.25">
      <c r="A3073" s="3" t="s">
        <v>3320</v>
      </c>
      <c r="B3073" s="42" t="s">
        <v>3</v>
      </c>
      <c r="C3073" s="3">
        <v>18</v>
      </c>
      <c r="D3073" s="3">
        <v>1</v>
      </c>
      <c r="G3073" s="43">
        <v>44069</v>
      </c>
      <c r="H3073" s="42" t="s">
        <v>238</v>
      </c>
    </row>
    <row r="3074" spans="1:8" x14ac:dyDescent="0.25">
      <c r="A3074" s="3" t="s">
        <v>3321</v>
      </c>
      <c r="B3074" s="42" t="s">
        <v>3</v>
      </c>
      <c r="C3074" s="3">
        <v>18</v>
      </c>
      <c r="D3074" s="3">
        <v>1</v>
      </c>
      <c r="G3074" s="43">
        <v>44069</v>
      </c>
      <c r="H3074" s="42" t="s">
        <v>238</v>
      </c>
    </row>
    <row r="3075" spans="1:8" x14ac:dyDescent="0.25">
      <c r="A3075" s="3" t="s">
        <v>3322</v>
      </c>
      <c r="B3075" s="42" t="s">
        <v>3</v>
      </c>
      <c r="C3075" s="3">
        <v>19</v>
      </c>
      <c r="D3075" s="3">
        <v>1</v>
      </c>
      <c r="G3075" s="43">
        <v>44069</v>
      </c>
      <c r="H3075" s="42" t="s">
        <v>238</v>
      </c>
    </row>
    <row r="3076" spans="1:8" x14ac:dyDescent="0.25">
      <c r="A3076" s="3" t="s">
        <v>3323</v>
      </c>
      <c r="B3076" s="42" t="s">
        <v>3</v>
      </c>
      <c r="C3076" s="3">
        <v>18</v>
      </c>
      <c r="D3076" s="3">
        <v>1</v>
      </c>
      <c r="G3076" s="43">
        <v>44069</v>
      </c>
      <c r="H3076" s="42" t="s">
        <v>238</v>
      </c>
    </row>
    <row r="3077" spans="1:8" x14ac:dyDescent="0.25">
      <c r="A3077" s="3" t="s">
        <v>3324</v>
      </c>
      <c r="B3077" s="42" t="s">
        <v>3</v>
      </c>
      <c r="C3077" s="3">
        <v>18</v>
      </c>
      <c r="D3077" s="3">
        <v>1</v>
      </c>
      <c r="G3077" s="43">
        <v>44069</v>
      </c>
      <c r="H3077" s="42" t="s">
        <v>238</v>
      </c>
    </row>
    <row r="3078" spans="1:8" x14ac:dyDescent="0.25">
      <c r="A3078" s="3" t="s">
        <v>3325</v>
      </c>
      <c r="B3078" s="42" t="s">
        <v>3</v>
      </c>
      <c r="C3078" s="3">
        <v>19</v>
      </c>
      <c r="D3078" s="3">
        <v>1</v>
      </c>
      <c r="G3078" s="43">
        <v>44069</v>
      </c>
      <c r="H3078" s="42" t="s">
        <v>238</v>
      </c>
    </row>
    <row r="3079" spans="1:8" x14ac:dyDescent="0.25">
      <c r="A3079" s="3" t="s">
        <v>3326</v>
      </c>
      <c r="B3079" s="42" t="s">
        <v>3</v>
      </c>
      <c r="C3079" s="3">
        <v>18</v>
      </c>
      <c r="D3079" s="3">
        <v>1</v>
      </c>
      <c r="G3079" s="43">
        <v>44069</v>
      </c>
      <c r="H3079" s="42" t="s">
        <v>238</v>
      </c>
    </row>
    <row r="3080" spans="1:8" x14ac:dyDescent="0.25">
      <c r="A3080" s="3" t="s">
        <v>3327</v>
      </c>
      <c r="B3080" s="42" t="s">
        <v>3</v>
      </c>
      <c r="C3080" s="3">
        <v>22</v>
      </c>
      <c r="D3080" s="3">
        <v>1</v>
      </c>
      <c r="G3080" s="43">
        <v>44069</v>
      </c>
      <c r="H3080" s="42" t="s">
        <v>238</v>
      </c>
    </row>
    <row r="3081" spans="1:8" x14ac:dyDescent="0.25">
      <c r="A3081" s="3" t="s">
        <v>3328</v>
      </c>
      <c r="B3081" s="42" t="s">
        <v>3</v>
      </c>
      <c r="C3081" s="3">
        <v>18</v>
      </c>
      <c r="D3081" s="3">
        <v>1</v>
      </c>
      <c r="G3081" s="43">
        <v>44069</v>
      </c>
      <c r="H3081" s="42" t="s">
        <v>238</v>
      </c>
    </row>
    <row r="3082" spans="1:8" x14ac:dyDescent="0.25">
      <c r="A3082" s="3" t="s">
        <v>3329</v>
      </c>
      <c r="B3082" s="42" t="s">
        <v>3</v>
      </c>
      <c r="C3082" s="3">
        <v>19</v>
      </c>
      <c r="D3082" s="3">
        <v>1</v>
      </c>
      <c r="G3082" s="43">
        <v>44069</v>
      </c>
      <c r="H3082" s="42" t="s">
        <v>238</v>
      </c>
    </row>
    <row r="3083" spans="1:8" x14ac:dyDescent="0.25">
      <c r="A3083" s="3" t="s">
        <v>3330</v>
      </c>
      <c r="B3083" s="42" t="s">
        <v>3</v>
      </c>
      <c r="C3083" s="3">
        <v>18</v>
      </c>
      <c r="D3083" s="3">
        <v>1</v>
      </c>
      <c r="G3083" s="43">
        <v>44069</v>
      </c>
      <c r="H3083" s="42" t="s">
        <v>238</v>
      </c>
    </row>
    <row r="3084" spans="1:8" x14ac:dyDescent="0.25">
      <c r="A3084" s="3" t="s">
        <v>3331</v>
      </c>
      <c r="B3084" s="42" t="s">
        <v>3</v>
      </c>
      <c r="C3084" s="3">
        <v>23</v>
      </c>
      <c r="D3084" s="3">
        <v>1</v>
      </c>
      <c r="G3084" s="43">
        <v>44069</v>
      </c>
      <c r="H3084" s="42" t="s">
        <v>238</v>
      </c>
    </row>
    <row r="3085" spans="1:8" x14ac:dyDescent="0.25">
      <c r="A3085" s="3" t="s">
        <v>3332</v>
      </c>
      <c r="B3085" s="42" t="s">
        <v>3</v>
      </c>
      <c r="C3085" s="3">
        <v>18</v>
      </c>
      <c r="D3085" s="3">
        <v>1</v>
      </c>
      <c r="G3085" s="43">
        <v>44069</v>
      </c>
      <c r="H3085" s="42" t="s">
        <v>238</v>
      </c>
    </row>
    <row r="3086" spans="1:8" x14ac:dyDescent="0.25">
      <c r="A3086" s="3" t="s">
        <v>3333</v>
      </c>
      <c r="B3086" s="42" t="s">
        <v>3</v>
      </c>
      <c r="C3086" s="3">
        <v>18</v>
      </c>
      <c r="D3086" s="3">
        <v>1</v>
      </c>
      <c r="G3086" s="43">
        <v>44069</v>
      </c>
      <c r="H3086" s="42" t="s">
        <v>238</v>
      </c>
    </row>
    <row r="3087" spans="1:8" x14ac:dyDescent="0.25">
      <c r="A3087" s="3" t="s">
        <v>3334</v>
      </c>
      <c r="B3087" s="42" t="s">
        <v>3</v>
      </c>
      <c r="C3087" s="3">
        <v>18</v>
      </c>
      <c r="D3087" s="3">
        <v>1</v>
      </c>
      <c r="G3087" s="43">
        <v>44069</v>
      </c>
      <c r="H3087" s="42" t="s">
        <v>238</v>
      </c>
    </row>
    <row r="3088" spans="1:8" x14ac:dyDescent="0.25">
      <c r="A3088" s="3" t="s">
        <v>3335</v>
      </c>
      <c r="B3088" s="42" t="s">
        <v>3</v>
      </c>
      <c r="C3088" s="3">
        <v>18</v>
      </c>
      <c r="D3088" s="3">
        <v>1</v>
      </c>
      <c r="G3088" s="43">
        <v>44069</v>
      </c>
      <c r="H3088" s="42" t="s">
        <v>238</v>
      </c>
    </row>
    <row r="3089" spans="1:8" x14ac:dyDescent="0.25">
      <c r="A3089" s="3" t="s">
        <v>3336</v>
      </c>
      <c r="B3089" s="42" t="s">
        <v>3</v>
      </c>
      <c r="C3089" s="3">
        <v>19</v>
      </c>
      <c r="D3089" s="3">
        <v>1</v>
      </c>
      <c r="G3089" s="43">
        <v>44069</v>
      </c>
      <c r="H3089" s="42" t="s">
        <v>238</v>
      </c>
    </row>
    <row r="3090" spans="1:8" x14ac:dyDescent="0.25">
      <c r="A3090" s="3" t="s">
        <v>3337</v>
      </c>
      <c r="B3090" s="42" t="s">
        <v>3</v>
      </c>
      <c r="C3090" s="3">
        <v>18</v>
      </c>
      <c r="D3090" s="3">
        <v>1</v>
      </c>
      <c r="G3090" s="43">
        <v>44069</v>
      </c>
      <c r="H3090" s="42" t="s">
        <v>238</v>
      </c>
    </row>
    <row r="3091" spans="1:8" x14ac:dyDescent="0.25">
      <c r="A3091" s="3" t="s">
        <v>3338</v>
      </c>
      <c r="B3091" s="42" t="s">
        <v>3</v>
      </c>
      <c r="C3091" s="3">
        <v>18</v>
      </c>
      <c r="D3091" s="3">
        <v>1</v>
      </c>
      <c r="G3091" s="43">
        <v>44069</v>
      </c>
      <c r="H3091" s="42" t="s">
        <v>238</v>
      </c>
    </row>
    <row r="3092" spans="1:8" x14ac:dyDescent="0.25">
      <c r="A3092" s="3" t="s">
        <v>3339</v>
      </c>
      <c r="B3092" s="42" t="s">
        <v>3</v>
      </c>
      <c r="C3092" s="3">
        <v>20</v>
      </c>
      <c r="D3092" s="3">
        <v>1</v>
      </c>
      <c r="G3092" s="43">
        <v>44069</v>
      </c>
      <c r="H3092" s="42" t="s">
        <v>238</v>
      </c>
    </row>
    <row r="3093" spans="1:8" x14ac:dyDescent="0.25">
      <c r="A3093" s="3" t="s">
        <v>3340</v>
      </c>
      <c r="B3093" s="42" t="s">
        <v>3</v>
      </c>
      <c r="C3093" s="3">
        <v>24</v>
      </c>
      <c r="D3093" s="3">
        <v>1</v>
      </c>
      <c r="G3093" s="43">
        <v>44069</v>
      </c>
      <c r="H3093" s="42" t="s">
        <v>238</v>
      </c>
    </row>
    <row r="3094" spans="1:8" x14ac:dyDescent="0.25">
      <c r="A3094" s="3" t="s">
        <v>3341</v>
      </c>
      <c r="B3094" s="42" t="s">
        <v>3</v>
      </c>
      <c r="C3094" s="3">
        <v>22</v>
      </c>
      <c r="D3094" s="3">
        <v>1</v>
      </c>
      <c r="G3094" s="43">
        <v>44069</v>
      </c>
      <c r="H3094" s="42" t="s">
        <v>238</v>
      </c>
    </row>
    <row r="3095" spans="1:8" x14ac:dyDescent="0.25">
      <c r="A3095" s="3" t="s">
        <v>3342</v>
      </c>
      <c r="B3095" s="42" t="s">
        <v>3</v>
      </c>
      <c r="C3095" s="3">
        <v>19</v>
      </c>
      <c r="D3095" s="3">
        <v>1</v>
      </c>
      <c r="G3095" s="43">
        <v>44069</v>
      </c>
      <c r="H3095" s="42" t="s">
        <v>238</v>
      </c>
    </row>
    <row r="3096" spans="1:8" x14ac:dyDescent="0.25">
      <c r="A3096" s="3" t="s">
        <v>3343</v>
      </c>
      <c r="B3096" s="42" t="s">
        <v>3</v>
      </c>
      <c r="C3096" s="3">
        <v>22</v>
      </c>
      <c r="D3096" s="3">
        <v>1</v>
      </c>
      <c r="G3096" s="43">
        <v>44069</v>
      </c>
      <c r="H3096" s="42" t="s">
        <v>238</v>
      </c>
    </row>
    <row r="3097" spans="1:8" x14ac:dyDescent="0.25">
      <c r="A3097" s="3" t="s">
        <v>3344</v>
      </c>
      <c r="B3097" s="42" t="s">
        <v>3</v>
      </c>
      <c r="C3097" s="3">
        <v>20</v>
      </c>
      <c r="D3097" s="3">
        <v>1</v>
      </c>
      <c r="G3097" s="43">
        <v>44069</v>
      </c>
      <c r="H3097" s="42" t="s">
        <v>238</v>
      </c>
    </row>
    <row r="3098" spans="1:8" x14ac:dyDescent="0.25">
      <c r="A3098" s="3" t="s">
        <v>3345</v>
      </c>
      <c r="B3098" s="42" t="s">
        <v>3</v>
      </c>
      <c r="C3098" s="3">
        <v>18</v>
      </c>
      <c r="D3098" s="3">
        <v>1</v>
      </c>
      <c r="G3098" s="43">
        <v>44069</v>
      </c>
      <c r="H3098" s="42" t="s">
        <v>238</v>
      </c>
    </row>
    <row r="3099" spans="1:8" x14ac:dyDescent="0.25">
      <c r="A3099" s="3" t="s">
        <v>3346</v>
      </c>
      <c r="B3099" s="42" t="s">
        <v>3</v>
      </c>
      <c r="C3099" s="3">
        <v>18</v>
      </c>
      <c r="D3099" s="3">
        <v>1</v>
      </c>
      <c r="G3099" s="43">
        <v>44069</v>
      </c>
      <c r="H3099" s="42" t="s">
        <v>238</v>
      </c>
    </row>
    <row r="3100" spans="1:8" x14ac:dyDescent="0.25">
      <c r="A3100" s="3" t="s">
        <v>3347</v>
      </c>
      <c r="B3100" s="42" t="s">
        <v>3</v>
      </c>
      <c r="C3100" s="3">
        <v>18</v>
      </c>
      <c r="D3100" s="3">
        <v>1</v>
      </c>
      <c r="G3100" s="43">
        <v>44069</v>
      </c>
      <c r="H3100" s="42" t="s">
        <v>238</v>
      </c>
    </row>
    <row r="3101" spans="1:8" x14ac:dyDescent="0.25">
      <c r="A3101" s="3" t="s">
        <v>3348</v>
      </c>
      <c r="B3101" s="42" t="s">
        <v>3</v>
      </c>
      <c r="C3101" s="3">
        <v>18</v>
      </c>
      <c r="D3101" s="3">
        <v>1</v>
      </c>
      <c r="G3101" s="53">
        <v>44075</v>
      </c>
      <c r="H3101" s="42" t="s">
        <v>238</v>
      </c>
    </row>
    <row r="3102" spans="1:8" x14ac:dyDescent="0.25">
      <c r="A3102" s="3" t="s">
        <v>3349</v>
      </c>
      <c r="B3102" s="42" t="s">
        <v>3</v>
      </c>
      <c r="C3102" s="3">
        <v>18</v>
      </c>
      <c r="D3102" s="3">
        <v>1</v>
      </c>
      <c r="G3102" s="53">
        <v>44075</v>
      </c>
      <c r="H3102" s="42" t="s">
        <v>238</v>
      </c>
    </row>
    <row r="3103" spans="1:8" x14ac:dyDescent="0.25">
      <c r="A3103" s="3" t="s">
        <v>3350</v>
      </c>
      <c r="B3103" s="42" t="s">
        <v>3</v>
      </c>
      <c r="C3103" s="3">
        <v>18</v>
      </c>
      <c r="D3103" s="3">
        <v>1</v>
      </c>
      <c r="G3103" s="53">
        <v>44075</v>
      </c>
      <c r="H3103" s="42" t="s">
        <v>238</v>
      </c>
    </row>
    <row r="3104" spans="1:8" x14ac:dyDescent="0.25">
      <c r="A3104" s="3" t="s">
        <v>3351</v>
      </c>
      <c r="B3104" s="42" t="s">
        <v>3</v>
      </c>
      <c r="C3104" s="3">
        <v>19</v>
      </c>
      <c r="D3104" s="3">
        <v>1</v>
      </c>
      <c r="G3104" s="53">
        <v>44075</v>
      </c>
      <c r="H3104" s="42" t="s">
        <v>238</v>
      </c>
    </row>
    <row r="3105" spans="1:8" x14ac:dyDescent="0.25">
      <c r="A3105" s="3" t="s">
        <v>3352</v>
      </c>
      <c r="B3105" s="42" t="s">
        <v>3</v>
      </c>
      <c r="C3105" s="3">
        <v>18</v>
      </c>
      <c r="D3105" s="3">
        <v>1</v>
      </c>
      <c r="G3105" s="53">
        <v>44075</v>
      </c>
      <c r="H3105" s="42" t="s">
        <v>238</v>
      </c>
    </row>
    <row r="3106" spans="1:8" x14ac:dyDescent="0.25">
      <c r="A3106" s="3" t="s">
        <v>3353</v>
      </c>
      <c r="B3106" s="42" t="s">
        <v>3</v>
      </c>
      <c r="C3106" s="3">
        <v>18</v>
      </c>
      <c r="D3106" s="3">
        <v>1</v>
      </c>
      <c r="G3106" s="53">
        <v>44075</v>
      </c>
      <c r="H3106" s="42" t="s">
        <v>238</v>
      </c>
    </row>
    <row r="3107" spans="1:8" x14ac:dyDescent="0.25">
      <c r="A3107" s="3" t="s">
        <v>3354</v>
      </c>
      <c r="B3107" s="42" t="s">
        <v>3</v>
      </c>
      <c r="C3107" s="3">
        <v>19</v>
      </c>
      <c r="D3107" s="3">
        <v>1</v>
      </c>
      <c r="G3107" s="53">
        <v>44075</v>
      </c>
      <c r="H3107" s="42" t="s">
        <v>238</v>
      </c>
    </row>
    <row r="3108" spans="1:8" x14ac:dyDescent="0.25">
      <c r="A3108" s="3" t="s">
        <v>3355</v>
      </c>
      <c r="B3108" s="42" t="s">
        <v>3</v>
      </c>
      <c r="C3108" s="3">
        <v>18</v>
      </c>
      <c r="D3108" s="3">
        <v>1</v>
      </c>
      <c r="G3108" s="53">
        <v>44075</v>
      </c>
      <c r="H3108" s="42" t="s">
        <v>238</v>
      </c>
    </row>
    <row r="3109" spans="1:8" x14ac:dyDescent="0.25">
      <c r="A3109" s="3" t="s">
        <v>3356</v>
      </c>
      <c r="B3109" s="42" t="s">
        <v>3</v>
      </c>
      <c r="C3109" s="3">
        <v>19</v>
      </c>
      <c r="D3109" s="3">
        <v>1</v>
      </c>
      <c r="G3109" s="53">
        <v>44075</v>
      </c>
      <c r="H3109" s="42" t="s">
        <v>238</v>
      </c>
    </row>
    <row r="3110" spans="1:8" x14ac:dyDescent="0.25">
      <c r="A3110" s="3" t="s">
        <v>3357</v>
      </c>
      <c r="B3110" s="42" t="s">
        <v>3</v>
      </c>
      <c r="C3110" s="3">
        <v>18</v>
      </c>
      <c r="D3110" s="3">
        <v>1</v>
      </c>
      <c r="G3110" s="53">
        <v>44075</v>
      </c>
      <c r="H3110" s="42" t="s">
        <v>238</v>
      </c>
    </row>
    <row r="3111" spans="1:8" x14ac:dyDescent="0.25">
      <c r="A3111" s="3" t="s">
        <v>3358</v>
      </c>
      <c r="B3111" s="42" t="s">
        <v>3</v>
      </c>
      <c r="C3111" s="3">
        <v>18</v>
      </c>
      <c r="D3111" s="3">
        <v>1</v>
      </c>
      <c r="G3111" s="53">
        <v>44075</v>
      </c>
      <c r="H3111" s="42" t="s">
        <v>238</v>
      </c>
    </row>
    <row r="3112" spans="1:8" x14ac:dyDescent="0.25">
      <c r="A3112" s="3" t="s">
        <v>3359</v>
      </c>
      <c r="B3112" s="42" t="s">
        <v>3</v>
      </c>
      <c r="C3112" s="3">
        <v>18</v>
      </c>
      <c r="D3112" s="3">
        <v>1</v>
      </c>
      <c r="G3112" s="53">
        <v>44075</v>
      </c>
      <c r="H3112" s="42" t="s">
        <v>238</v>
      </c>
    </row>
    <row r="3113" spans="1:8" x14ac:dyDescent="0.25">
      <c r="A3113" s="3" t="s">
        <v>3360</v>
      </c>
      <c r="B3113" s="42" t="s">
        <v>3</v>
      </c>
      <c r="C3113" s="3">
        <v>19</v>
      </c>
      <c r="D3113" s="3">
        <v>1</v>
      </c>
      <c r="G3113" s="53">
        <v>44075</v>
      </c>
      <c r="H3113" s="42" t="s">
        <v>238</v>
      </c>
    </row>
    <row r="3114" spans="1:8" x14ac:dyDescent="0.25">
      <c r="A3114" s="3" t="s">
        <v>3361</v>
      </c>
      <c r="B3114" s="42" t="s">
        <v>3</v>
      </c>
      <c r="C3114" s="3">
        <v>19</v>
      </c>
      <c r="D3114" s="3">
        <v>1</v>
      </c>
      <c r="G3114" s="53">
        <v>44075</v>
      </c>
      <c r="H3114" s="42" t="s">
        <v>238</v>
      </c>
    </row>
    <row r="3115" spans="1:8" x14ac:dyDescent="0.25">
      <c r="A3115" s="3" t="s">
        <v>3362</v>
      </c>
      <c r="B3115" s="42" t="s">
        <v>3</v>
      </c>
      <c r="C3115" s="3">
        <v>27</v>
      </c>
      <c r="D3115" s="3">
        <v>1</v>
      </c>
      <c r="G3115" s="53">
        <v>44075</v>
      </c>
      <c r="H3115" s="42" t="s">
        <v>238</v>
      </c>
    </row>
    <row r="3116" spans="1:8" x14ac:dyDescent="0.25">
      <c r="A3116" s="3" t="s">
        <v>3363</v>
      </c>
      <c r="B3116" s="42" t="s">
        <v>3</v>
      </c>
      <c r="C3116" s="3">
        <v>19</v>
      </c>
      <c r="D3116" s="3">
        <v>1</v>
      </c>
      <c r="G3116" s="53">
        <v>44075</v>
      </c>
      <c r="H3116" s="42" t="s">
        <v>238</v>
      </c>
    </row>
    <row r="3117" spans="1:8" x14ac:dyDescent="0.25">
      <c r="A3117" s="3" t="s">
        <v>3364</v>
      </c>
      <c r="B3117" s="42" t="s">
        <v>3</v>
      </c>
      <c r="C3117" s="3">
        <v>20</v>
      </c>
      <c r="D3117" s="3">
        <v>1</v>
      </c>
      <c r="G3117" s="53">
        <v>44075</v>
      </c>
      <c r="H3117" s="42" t="s">
        <v>238</v>
      </c>
    </row>
    <row r="3118" spans="1:8" x14ac:dyDescent="0.25">
      <c r="A3118" s="3" t="s">
        <v>3365</v>
      </c>
      <c r="B3118" s="42" t="s">
        <v>3</v>
      </c>
      <c r="C3118" s="3">
        <v>20</v>
      </c>
      <c r="D3118" s="3">
        <v>1</v>
      </c>
      <c r="G3118" s="53">
        <v>44075</v>
      </c>
      <c r="H3118" s="42" t="s">
        <v>238</v>
      </c>
    </row>
    <row r="3119" spans="1:8" x14ac:dyDescent="0.25">
      <c r="A3119" s="3" t="s">
        <v>3366</v>
      </c>
      <c r="B3119" s="42" t="s">
        <v>3</v>
      </c>
      <c r="C3119" s="3">
        <v>18</v>
      </c>
      <c r="D3119" s="3">
        <v>1</v>
      </c>
      <c r="G3119" s="53">
        <v>44075</v>
      </c>
      <c r="H3119" s="42" t="s">
        <v>238</v>
      </c>
    </row>
    <row r="3120" spans="1:8" x14ac:dyDescent="0.25">
      <c r="A3120" s="3" t="s">
        <v>3367</v>
      </c>
      <c r="B3120" s="42" t="s">
        <v>3</v>
      </c>
      <c r="C3120" s="3">
        <v>19</v>
      </c>
      <c r="D3120" s="3">
        <v>1</v>
      </c>
      <c r="G3120" s="53">
        <v>44075</v>
      </c>
      <c r="H3120" s="42" t="s">
        <v>238</v>
      </c>
    </row>
    <row r="3121" spans="1:8" x14ac:dyDescent="0.25">
      <c r="A3121" s="3" t="s">
        <v>3368</v>
      </c>
      <c r="B3121" s="42" t="s">
        <v>3</v>
      </c>
      <c r="C3121" s="3">
        <v>19</v>
      </c>
      <c r="D3121" s="3">
        <v>1</v>
      </c>
      <c r="G3121" s="53">
        <v>44075</v>
      </c>
      <c r="H3121" s="42" t="s">
        <v>238</v>
      </c>
    </row>
    <row r="3122" spans="1:8" x14ac:dyDescent="0.25">
      <c r="A3122" s="3" t="s">
        <v>3369</v>
      </c>
      <c r="B3122" s="42" t="s">
        <v>3</v>
      </c>
      <c r="C3122" s="3">
        <v>18</v>
      </c>
      <c r="D3122" s="3">
        <v>1</v>
      </c>
      <c r="G3122" s="53">
        <v>44075</v>
      </c>
      <c r="H3122" s="42" t="s">
        <v>238</v>
      </c>
    </row>
    <row r="3123" spans="1:8" x14ac:dyDescent="0.25">
      <c r="A3123" s="3" t="s">
        <v>3370</v>
      </c>
      <c r="B3123" s="42" t="s">
        <v>3</v>
      </c>
      <c r="C3123" s="3">
        <v>19</v>
      </c>
      <c r="D3123" s="3">
        <v>1</v>
      </c>
      <c r="G3123" s="53">
        <v>44075</v>
      </c>
      <c r="H3123" s="42" t="s">
        <v>238</v>
      </c>
    </row>
    <row r="3124" spans="1:8" x14ac:dyDescent="0.25">
      <c r="A3124" s="3" t="s">
        <v>3371</v>
      </c>
      <c r="B3124" s="42" t="s">
        <v>3</v>
      </c>
      <c r="C3124" s="3">
        <v>18</v>
      </c>
      <c r="D3124" s="3">
        <v>1</v>
      </c>
      <c r="G3124" s="53">
        <v>44075</v>
      </c>
      <c r="H3124" s="42" t="s">
        <v>238</v>
      </c>
    </row>
    <row r="3125" spans="1:8" x14ac:dyDescent="0.25">
      <c r="A3125" s="3" t="s">
        <v>3372</v>
      </c>
      <c r="B3125" s="42" t="s">
        <v>3</v>
      </c>
      <c r="C3125" s="3">
        <v>18</v>
      </c>
      <c r="D3125" s="3">
        <v>1</v>
      </c>
      <c r="G3125" s="53">
        <v>44075</v>
      </c>
      <c r="H3125" s="42" t="s">
        <v>238</v>
      </c>
    </row>
    <row r="3126" spans="1:8" x14ac:dyDescent="0.25">
      <c r="A3126" s="3" t="s">
        <v>3373</v>
      </c>
      <c r="B3126" s="42" t="s">
        <v>3</v>
      </c>
      <c r="C3126" s="3">
        <v>27</v>
      </c>
      <c r="D3126" s="3">
        <v>1</v>
      </c>
      <c r="G3126" s="53">
        <v>44075</v>
      </c>
      <c r="H3126" s="42" t="s">
        <v>238</v>
      </c>
    </row>
    <row r="3127" spans="1:8" x14ac:dyDescent="0.25">
      <c r="A3127" s="3" t="s">
        <v>3374</v>
      </c>
      <c r="B3127" s="42" t="s">
        <v>3</v>
      </c>
      <c r="C3127" s="3">
        <v>19</v>
      </c>
      <c r="D3127" s="3">
        <v>1</v>
      </c>
      <c r="G3127" s="53">
        <v>44075</v>
      </c>
      <c r="H3127" s="42" t="s">
        <v>238</v>
      </c>
    </row>
    <row r="3128" spans="1:8" x14ac:dyDescent="0.25">
      <c r="A3128" s="3" t="s">
        <v>3375</v>
      </c>
      <c r="B3128" s="42" t="s">
        <v>3</v>
      </c>
      <c r="C3128" s="3">
        <v>18</v>
      </c>
      <c r="D3128" s="3">
        <v>1</v>
      </c>
      <c r="G3128" s="53">
        <v>44075</v>
      </c>
      <c r="H3128" s="42" t="s">
        <v>238</v>
      </c>
    </row>
    <row r="3129" spans="1:8" x14ac:dyDescent="0.25">
      <c r="A3129" s="3" t="s">
        <v>3376</v>
      </c>
      <c r="B3129" s="42" t="s">
        <v>3</v>
      </c>
      <c r="C3129" s="3">
        <v>19</v>
      </c>
      <c r="D3129" s="3">
        <v>1</v>
      </c>
      <c r="G3129" s="53">
        <v>44075</v>
      </c>
      <c r="H3129" s="42" t="s">
        <v>238</v>
      </c>
    </row>
    <row r="3130" spans="1:8" x14ac:dyDescent="0.25">
      <c r="A3130" s="3" t="s">
        <v>3377</v>
      </c>
      <c r="B3130" s="42" t="s">
        <v>3</v>
      </c>
      <c r="C3130" s="3">
        <v>18</v>
      </c>
      <c r="D3130" s="3">
        <v>1</v>
      </c>
      <c r="G3130" s="53">
        <v>44075</v>
      </c>
      <c r="H3130" s="42" t="s">
        <v>238</v>
      </c>
    </row>
    <row r="3131" spans="1:8" x14ac:dyDescent="0.25">
      <c r="A3131" s="3" t="s">
        <v>3378</v>
      </c>
      <c r="B3131" s="42" t="s">
        <v>3</v>
      </c>
      <c r="C3131" s="3">
        <v>19</v>
      </c>
      <c r="D3131" s="3">
        <v>1</v>
      </c>
      <c r="G3131" s="53">
        <v>44075</v>
      </c>
      <c r="H3131" s="42" t="s">
        <v>238</v>
      </c>
    </row>
    <row r="3132" spans="1:8" x14ac:dyDescent="0.25">
      <c r="A3132" s="3" t="s">
        <v>3379</v>
      </c>
      <c r="B3132" s="42" t="s">
        <v>3</v>
      </c>
      <c r="C3132" s="3">
        <v>18</v>
      </c>
      <c r="D3132" s="3">
        <v>1</v>
      </c>
      <c r="G3132" s="53">
        <v>44075</v>
      </c>
      <c r="H3132" s="42" t="s">
        <v>238</v>
      </c>
    </row>
    <row r="3133" spans="1:8" x14ac:dyDescent="0.25">
      <c r="A3133" s="3" t="s">
        <v>3380</v>
      </c>
      <c r="B3133" s="42" t="s">
        <v>3</v>
      </c>
      <c r="C3133" s="3">
        <v>18</v>
      </c>
      <c r="D3133" s="3">
        <v>1</v>
      </c>
      <c r="G3133" s="53">
        <v>44075</v>
      </c>
      <c r="H3133" s="42" t="s">
        <v>238</v>
      </c>
    </row>
    <row r="3134" spans="1:8" x14ac:dyDescent="0.25">
      <c r="A3134" s="3" t="s">
        <v>3381</v>
      </c>
      <c r="B3134" s="42" t="s">
        <v>3</v>
      </c>
      <c r="C3134" s="3">
        <v>19</v>
      </c>
      <c r="D3134" s="3">
        <v>1</v>
      </c>
      <c r="G3134" s="53">
        <v>44075</v>
      </c>
      <c r="H3134" s="42" t="s">
        <v>238</v>
      </c>
    </row>
    <row r="3135" spans="1:8" x14ac:dyDescent="0.25">
      <c r="A3135" s="3" t="s">
        <v>3382</v>
      </c>
      <c r="B3135" s="42" t="s">
        <v>3</v>
      </c>
      <c r="C3135" s="3">
        <v>18</v>
      </c>
      <c r="D3135" s="3">
        <v>1</v>
      </c>
      <c r="G3135" s="53">
        <v>44075</v>
      </c>
      <c r="H3135" s="42" t="s">
        <v>238</v>
      </c>
    </row>
    <row r="3136" spans="1:8" x14ac:dyDescent="0.25">
      <c r="A3136" s="3" t="s">
        <v>3383</v>
      </c>
      <c r="B3136" s="42" t="s">
        <v>3</v>
      </c>
      <c r="C3136" s="3">
        <v>21</v>
      </c>
      <c r="D3136" s="3">
        <v>1</v>
      </c>
      <c r="G3136" s="53">
        <v>44075</v>
      </c>
      <c r="H3136" s="42" t="s">
        <v>238</v>
      </c>
    </row>
    <row r="3137" spans="1:8" x14ac:dyDescent="0.25">
      <c r="A3137" s="3" t="s">
        <v>3384</v>
      </c>
      <c r="B3137" s="42" t="s">
        <v>3</v>
      </c>
      <c r="C3137" s="3">
        <v>18</v>
      </c>
      <c r="D3137" s="3">
        <v>1</v>
      </c>
      <c r="G3137" s="53">
        <v>44075</v>
      </c>
      <c r="H3137" s="42" t="s">
        <v>238</v>
      </c>
    </row>
    <row r="3138" spans="1:8" x14ac:dyDescent="0.25">
      <c r="A3138" s="3" t="s">
        <v>3385</v>
      </c>
      <c r="B3138" s="42" t="s">
        <v>3</v>
      </c>
      <c r="C3138" s="3">
        <v>21</v>
      </c>
      <c r="D3138" s="3">
        <v>1</v>
      </c>
      <c r="G3138" s="53">
        <v>44075</v>
      </c>
      <c r="H3138" s="42" t="s">
        <v>238</v>
      </c>
    </row>
    <row r="3139" spans="1:8" x14ac:dyDescent="0.25">
      <c r="A3139" s="3" t="s">
        <v>3386</v>
      </c>
      <c r="B3139" s="42" t="s">
        <v>3</v>
      </c>
      <c r="C3139" s="3">
        <v>25</v>
      </c>
      <c r="D3139" s="3">
        <v>1</v>
      </c>
      <c r="G3139" s="53">
        <v>44075</v>
      </c>
      <c r="H3139" s="42" t="s">
        <v>238</v>
      </c>
    </row>
    <row r="3140" spans="1:8" x14ac:dyDescent="0.25">
      <c r="A3140" s="3" t="s">
        <v>3387</v>
      </c>
      <c r="B3140" s="42" t="s">
        <v>3</v>
      </c>
      <c r="C3140" s="3">
        <v>22</v>
      </c>
      <c r="D3140" s="3">
        <v>1</v>
      </c>
      <c r="G3140" s="53">
        <v>44075</v>
      </c>
      <c r="H3140" s="42" t="s">
        <v>238</v>
      </c>
    </row>
    <row r="3141" spans="1:8" x14ac:dyDescent="0.25">
      <c r="A3141" s="3" t="s">
        <v>3388</v>
      </c>
      <c r="B3141" s="42" t="s">
        <v>3</v>
      </c>
      <c r="C3141" s="3">
        <v>18</v>
      </c>
      <c r="D3141" s="3">
        <v>1</v>
      </c>
      <c r="G3141" s="53">
        <v>44075</v>
      </c>
      <c r="H3141" s="42" t="s">
        <v>238</v>
      </c>
    </row>
    <row r="3142" spans="1:8" x14ac:dyDescent="0.25">
      <c r="A3142" s="3" t="s">
        <v>3389</v>
      </c>
      <c r="B3142" s="42" t="s">
        <v>3</v>
      </c>
      <c r="C3142" s="3">
        <v>18</v>
      </c>
      <c r="D3142" s="3">
        <v>1</v>
      </c>
      <c r="G3142" s="53">
        <v>44075</v>
      </c>
      <c r="H3142" s="42" t="s">
        <v>238</v>
      </c>
    </row>
    <row r="3143" spans="1:8" x14ac:dyDescent="0.25">
      <c r="A3143" s="3" t="s">
        <v>3390</v>
      </c>
      <c r="B3143" s="42" t="s">
        <v>3</v>
      </c>
      <c r="C3143" s="3">
        <v>21</v>
      </c>
      <c r="D3143" s="3">
        <v>1</v>
      </c>
      <c r="G3143" s="53">
        <v>44075</v>
      </c>
      <c r="H3143" s="42" t="s">
        <v>238</v>
      </c>
    </row>
    <row r="3144" spans="1:8" x14ac:dyDescent="0.25">
      <c r="A3144" s="3" t="s">
        <v>3391</v>
      </c>
      <c r="B3144" s="42" t="s">
        <v>3</v>
      </c>
      <c r="C3144" s="3">
        <v>18</v>
      </c>
      <c r="D3144" s="3">
        <v>1</v>
      </c>
      <c r="G3144" s="53">
        <v>44075</v>
      </c>
      <c r="H3144" s="42" t="s">
        <v>238</v>
      </c>
    </row>
    <row r="3145" spans="1:8" x14ac:dyDescent="0.25">
      <c r="A3145" s="3" t="s">
        <v>3392</v>
      </c>
      <c r="B3145" s="42" t="s">
        <v>3</v>
      </c>
      <c r="C3145" s="3">
        <v>18</v>
      </c>
      <c r="D3145" s="3">
        <v>1</v>
      </c>
      <c r="G3145" s="53">
        <v>44075</v>
      </c>
      <c r="H3145" s="42" t="s">
        <v>238</v>
      </c>
    </row>
    <row r="3146" spans="1:8" x14ac:dyDescent="0.25">
      <c r="A3146" s="3" t="s">
        <v>3393</v>
      </c>
      <c r="B3146" s="42" t="s">
        <v>3</v>
      </c>
      <c r="C3146" s="3">
        <v>18</v>
      </c>
      <c r="D3146" s="3">
        <v>1</v>
      </c>
      <c r="G3146" s="53">
        <v>44075</v>
      </c>
      <c r="H3146" s="42" t="s">
        <v>238</v>
      </c>
    </row>
    <row r="3147" spans="1:8" x14ac:dyDescent="0.25">
      <c r="A3147" s="3" t="s">
        <v>3394</v>
      </c>
      <c r="B3147" s="42" t="s">
        <v>3</v>
      </c>
      <c r="C3147" s="3">
        <v>19</v>
      </c>
      <c r="D3147" s="3">
        <v>1</v>
      </c>
      <c r="G3147" s="53">
        <v>44075</v>
      </c>
      <c r="H3147" s="42" t="s">
        <v>238</v>
      </c>
    </row>
    <row r="3148" spans="1:8" x14ac:dyDescent="0.25">
      <c r="A3148" s="3" t="s">
        <v>3395</v>
      </c>
      <c r="B3148" s="42" t="s">
        <v>3</v>
      </c>
      <c r="C3148" s="3">
        <v>18</v>
      </c>
      <c r="D3148" s="3">
        <v>1</v>
      </c>
      <c r="G3148" s="53">
        <v>44075</v>
      </c>
      <c r="H3148" s="42" t="s">
        <v>238</v>
      </c>
    </row>
    <row r="3149" spans="1:8" x14ac:dyDescent="0.25">
      <c r="A3149" s="3" t="s">
        <v>3396</v>
      </c>
      <c r="B3149" s="42" t="s">
        <v>3</v>
      </c>
      <c r="C3149" s="3">
        <v>18</v>
      </c>
      <c r="D3149" s="3">
        <v>1</v>
      </c>
      <c r="G3149" s="53">
        <v>44075</v>
      </c>
      <c r="H3149" s="42" t="s">
        <v>238</v>
      </c>
    </row>
    <row r="3150" spans="1:8" x14ac:dyDescent="0.25">
      <c r="A3150" s="3" t="s">
        <v>3397</v>
      </c>
      <c r="B3150" s="42" t="s">
        <v>3</v>
      </c>
      <c r="C3150" s="3">
        <v>18</v>
      </c>
      <c r="D3150" s="3">
        <v>1</v>
      </c>
      <c r="G3150" s="53">
        <v>44075</v>
      </c>
      <c r="H3150" s="42" t="s">
        <v>238</v>
      </c>
    </row>
    <row r="3151" spans="1:8" x14ac:dyDescent="0.25">
      <c r="A3151" s="3" t="s">
        <v>3398</v>
      </c>
      <c r="B3151" s="42" t="s">
        <v>3</v>
      </c>
      <c r="C3151" s="3">
        <v>20</v>
      </c>
      <c r="D3151" s="3">
        <v>1</v>
      </c>
      <c r="G3151" s="53">
        <v>44075</v>
      </c>
      <c r="H3151" s="42" t="s">
        <v>238</v>
      </c>
    </row>
    <row r="3152" spans="1:8" x14ac:dyDescent="0.25">
      <c r="A3152" s="3" t="s">
        <v>3399</v>
      </c>
      <c r="B3152" s="42" t="s">
        <v>3</v>
      </c>
      <c r="C3152" s="3">
        <v>18</v>
      </c>
      <c r="D3152" s="3">
        <v>1</v>
      </c>
      <c r="G3152" s="53">
        <v>44075</v>
      </c>
      <c r="H3152" s="42" t="s">
        <v>238</v>
      </c>
    </row>
    <row r="3153" spans="1:8" x14ac:dyDescent="0.25">
      <c r="A3153" s="3" t="s">
        <v>3400</v>
      </c>
      <c r="B3153" s="42" t="s">
        <v>3</v>
      </c>
      <c r="C3153" s="3">
        <v>18</v>
      </c>
      <c r="D3153" s="3">
        <v>1</v>
      </c>
      <c r="G3153" s="53">
        <v>44075</v>
      </c>
      <c r="H3153" s="42" t="s">
        <v>238</v>
      </c>
    </row>
    <row r="3154" spans="1:8" x14ac:dyDescent="0.25">
      <c r="A3154" s="3" t="s">
        <v>3401</v>
      </c>
      <c r="B3154" s="42" t="s">
        <v>120</v>
      </c>
      <c r="C3154" s="3">
        <v>24</v>
      </c>
      <c r="D3154" s="3">
        <v>1</v>
      </c>
      <c r="E3154" s="42" t="s">
        <v>160</v>
      </c>
      <c r="G3154" s="53">
        <v>44075</v>
      </c>
      <c r="H3154" s="42" t="s">
        <v>238</v>
      </c>
    </row>
    <row r="3155" spans="1:8" x14ac:dyDescent="0.25">
      <c r="A3155" s="3" t="s">
        <v>3402</v>
      </c>
      <c r="B3155" s="42" t="s">
        <v>3</v>
      </c>
      <c r="C3155" s="3">
        <v>26</v>
      </c>
      <c r="D3155" s="3">
        <v>1</v>
      </c>
      <c r="G3155" s="53">
        <v>44075</v>
      </c>
      <c r="H3155" s="42" t="s">
        <v>238</v>
      </c>
    </row>
    <row r="3156" spans="1:8" x14ac:dyDescent="0.25">
      <c r="A3156" s="3" t="s">
        <v>3403</v>
      </c>
      <c r="B3156" s="42" t="s">
        <v>120</v>
      </c>
      <c r="C3156" s="3">
        <v>19</v>
      </c>
      <c r="D3156" s="3">
        <v>1</v>
      </c>
      <c r="E3156" s="42" t="s">
        <v>160</v>
      </c>
      <c r="G3156" s="53">
        <v>44075</v>
      </c>
      <c r="H3156" s="42" t="s">
        <v>238</v>
      </c>
    </row>
    <row r="3157" spans="1:8" x14ac:dyDescent="0.25">
      <c r="A3157" s="3" t="s">
        <v>3404</v>
      </c>
      <c r="B3157" s="42" t="s">
        <v>3</v>
      </c>
      <c r="C3157" s="3">
        <v>20</v>
      </c>
      <c r="D3157" s="3">
        <v>1</v>
      </c>
      <c r="G3157" s="53">
        <v>44075</v>
      </c>
      <c r="H3157" s="42" t="s">
        <v>238</v>
      </c>
    </row>
    <row r="3158" spans="1:8" x14ac:dyDescent="0.25">
      <c r="A3158" s="3" t="s">
        <v>3405</v>
      </c>
      <c r="B3158" s="42" t="s">
        <v>3</v>
      </c>
      <c r="C3158" s="3">
        <v>18</v>
      </c>
      <c r="D3158" s="3">
        <v>1</v>
      </c>
      <c r="G3158" s="53">
        <v>44075</v>
      </c>
      <c r="H3158" s="42" t="s">
        <v>238</v>
      </c>
    </row>
    <row r="3159" spans="1:8" x14ac:dyDescent="0.25">
      <c r="A3159" s="3" t="s">
        <v>3406</v>
      </c>
      <c r="B3159" s="42" t="s">
        <v>3</v>
      </c>
      <c r="C3159" s="3">
        <v>19</v>
      </c>
      <c r="D3159" s="3">
        <v>1</v>
      </c>
      <c r="G3159" s="53">
        <v>44075</v>
      </c>
      <c r="H3159" s="42" t="s">
        <v>238</v>
      </c>
    </row>
    <row r="3160" spans="1:8" x14ac:dyDescent="0.25">
      <c r="A3160" s="3" t="s">
        <v>3407</v>
      </c>
      <c r="B3160" s="42" t="s">
        <v>3</v>
      </c>
      <c r="C3160" s="3">
        <v>18</v>
      </c>
      <c r="D3160" s="3">
        <v>1</v>
      </c>
      <c r="G3160" s="53">
        <v>44075</v>
      </c>
      <c r="H3160" s="42" t="s">
        <v>238</v>
      </c>
    </row>
    <row r="3161" spans="1:8" x14ac:dyDescent="0.25">
      <c r="A3161" s="3" t="s">
        <v>3408</v>
      </c>
      <c r="B3161" s="42" t="s">
        <v>3</v>
      </c>
      <c r="C3161" s="3">
        <v>19</v>
      </c>
      <c r="D3161" s="3">
        <v>1</v>
      </c>
      <c r="G3161" s="53">
        <v>44075</v>
      </c>
      <c r="H3161" s="42" t="s">
        <v>238</v>
      </c>
    </row>
    <row r="3162" spans="1:8" x14ac:dyDescent="0.25">
      <c r="A3162" s="3" t="s">
        <v>3409</v>
      </c>
      <c r="B3162" s="42" t="s">
        <v>3</v>
      </c>
      <c r="C3162" s="3">
        <v>19</v>
      </c>
      <c r="D3162" s="3">
        <v>1</v>
      </c>
      <c r="G3162" s="53">
        <v>44075</v>
      </c>
      <c r="H3162" s="42" t="s">
        <v>238</v>
      </c>
    </row>
    <row r="3163" spans="1:8" x14ac:dyDescent="0.25">
      <c r="A3163" s="3" t="s">
        <v>3410</v>
      </c>
      <c r="B3163" s="42" t="s">
        <v>3</v>
      </c>
      <c r="C3163" s="3">
        <v>18</v>
      </c>
      <c r="D3163" s="3">
        <v>1</v>
      </c>
      <c r="G3163" s="53">
        <v>44075</v>
      </c>
      <c r="H3163" s="42" t="s">
        <v>238</v>
      </c>
    </row>
    <row r="3164" spans="1:8" x14ac:dyDescent="0.25">
      <c r="A3164" s="3" t="s">
        <v>3411</v>
      </c>
      <c r="B3164" s="42" t="s">
        <v>3</v>
      </c>
      <c r="C3164" s="3">
        <v>18</v>
      </c>
      <c r="D3164" s="3">
        <v>1</v>
      </c>
      <c r="G3164" s="53">
        <v>44075</v>
      </c>
      <c r="H3164" s="42" t="s">
        <v>238</v>
      </c>
    </row>
    <row r="3165" spans="1:8" x14ac:dyDescent="0.25">
      <c r="A3165" s="3" t="s">
        <v>3412</v>
      </c>
      <c r="B3165" s="42" t="s">
        <v>3</v>
      </c>
      <c r="C3165" s="3">
        <v>19</v>
      </c>
      <c r="D3165" s="3">
        <v>1</v>
      </c>
      <c r="G3165" s="53">
        <v>44075</v>
      </c>
      <c r="H3165" s="42" t="s">
        <v>238</v>
      </c>
    </row>
    <row r="3166" spans="1:8" x14ac:dyDescent="0.25">
      <c r="A3166" s="3" t="s">
        <v>3413</v>
      </c>
      <c r="B3166" s="42" t="s">
        <v>3</v>
      </c>
      <c r="C3166" s="3">
        <v>22</v>
      </c>
      <c r="D3166" s="3">
        <v>1</v>
      </c>
      <c r="G3166" s="53">
        <v>44075</v>
      </c>
      <c r="H3166" s="42" t="s">
        <v>238</v>
      </c>
    </row>
    <row r="3167" spans="1:8" x14ac:dyDescent="0.25">
      <c r="A3167" s="3" t="s">
        <v>3414</v>
      </c>
      <c r="B3167" s="42" t="s">
        <v>3</v>
      </c>
      <c r="C3167" s="3">
        <v>18</v>
      </c>
      <c r="D3167" s="3">
        <v>1</v>
      </c>
      <c r="G3167" s="53">
        <v>44075</v>
      </c>
      <c r="H3167" s="42" t="s">
        <v>238</v>
      </c>
    </row>
    <row r="3168" spans="1:8" x14ac:dyDescent="0.25">
      <c r="A3168" s="3" t="s">
        <v>3415</v>
      </c>
      <c r="B3168" s="42" t="s">
        <v>3</v>
      </c>
      <c r="C3168" s="3">
        <v>19</v>
      </c>
      <c r="D3168" s="3">
        <v>1</v>
      </c>
      <c r="G3168" s="53">
        <v>44075</v>
      </c>
      <c r="H3168" s="42" t="s">
        <v>238</v>
      </c>
    </row>
    <row r="3169" spans="1:8" x14ac:dyDescent="0.25">
      <c r="A3169" s="3" t="s">
        <v>3416</v>
      </c>
      <c r="B3169" s="42" t="s">
        <v>3</v>
      </c>
      <c r="C3169" s="3">
        <v>20</v>
      </c>
      <c r="D3169" s="3">
        <v>1</v>
      </c>
      <c r="G3169" s="53">
        <v>44075</v>
      </c>
      <c r="H3169" s="42" t="s">
        <v>238</v>
      </c>
    </row>
    <row r="3170" spans="1:8" x14ac:dyDescent="0.25">
      <c r="A3170" s="3" t="s">
        <v>3417</v>
      </c>
      <c r="B3170" s="42" t="s">
        <v>3</v>
      </c>
      <c r="C3170" s="3">
        <v>19</v>
      </c>
      <c r="D3170" s="3">
        <v>1</v>
      </c>
      <c r="G3170" s="53">
        <v>44075</v>
      </c>
      <c r="H3170" s="42" t="s">
        <v>238</v>
      </c>
    </row>
    <row r="3171" spans="1:8" x14ac:dyDescent="0.25">
      <c r="A3171" s="3" t="s">
        <v>3418</v>
      </c>
      <c r="B3171" s="42" t="s">
        <v>3</v>
      </c>
      <c r="C3171" s="3">
        <v>18</v>
      </c>
      <c r="D3171" s="3">
        <v>1</v>
      </c>
      <c r="G3171" s="53">
        <v>44075</v>
      </c>
      <c r="H3171" s="42" t="s">
        <v>238</v>
      </c>
    </row>
    <row r="3172" spans="1:8" x14ac:dyDescent="0.25">
      <c r="A3172" s="3" t="s">
        <v>3419</v>
      </c>
      <c r="B3172" s="42" t="s">
        <v>3</v>
      </c>
      <c r="C3172" s="3">
        <v>18</v>
      </c>
      <c r="D3172" s="3">
        <v>1</v>
      </c>
      <c r="G3172" s="53">
        <v>44075</v>
      </c>
      <c r="H3172" s="42" t="s">
        <v>238</v>
      </c>
    </row>
    <row r="3173" spans="1:8" x14ac:dyDescent="0.25">
      <c r="A3173" s="3" t="s">
        <v>3420</v>
      </c>
      <c r="B3173" s="42" t="s">
        <v>3</v>
      </c>
      <c r="C3173" s="3">
        <v>22</v>
      </c>
      <c r="D3173" s="3">
        <v>1</v>
      </c>
      <c r="G3173" s="53">
        <v>44075</v>
      </c>
      <c r="H3173" s="42" t="s">
        <v>238</v>
      </c>
    </row>
    <row r="3174" spans="1:8" x14ac:dyDescent="0.25">
      <c r="A3174" s="3" t="s">
        <v>3421</v>
      </c>
      <c r="B3174" s="42" t="s">
        <v>3</v>
      </c>
      <c r="C3174" s="3">
        <v>19</v>
      </c>
      <c r="D3174" s="3">
        <v>1</v>
      </c>
      <c r="G3174" s="53">
        <v>44075</v>
      </c>
      <c r="H3174" s="42" t="s">
        <v>238</v>
      </c>
    </row>
    <row r="3175" spans="1:8" x14ac:dyDescent="0.25">
      <c r="A3175" s="3" t="s">
        <v>3422</v>
      </c>
      <c r="B3175" s="42" t="s">
        <v>3</v>
      </c>
      <c r="C3175" s="3">
        <v>18</v>
      </c>
      <c r="D3175" s="3">
        <v>1</v>
      </c>
      <c r="G3175" s="53">
        <v>44075</v>
      </c>
      <c r="H3175" s="42" t="s">
        <v>238</v>
      </c>
    </row>
    <row r="3176" spans="1:8" x14ac:dyDescent="0.25">
      <c r="A3176" s="3" t="s">
        <v>3423</v>
      </c>
      <c r="B3176" s="42" t="s">
        <v>3</v>
      </c>
      <c r="C3176" s="3">
        <v>18</v>
      </c>
      <c r="D3176" s="3">
        <v>1</v>
      </c>
      <c r="G3176" s="53">
        <v>44075</v>
      </c>
      <c r="H3176" s="42" t="s">
        <v>238</v>
      </c>
    </row>
    <row r="3177" spans="1:8" x14ac:dyDescent="0.25">
      <c r="A3177" s="3" t="s">
        <v>3424</v>
      </c>
      <c r="B3177" s="42" t="s">
        <v>3</v>
      </c>
      <c r="C3177" s="3">
        <v>18</v>
      </c>
      <c r="D3177" s="3">
        <v>1</v>
      </c>
      <c r="G3177" s="53">
        <v>44075</v>
      </c>
      <c r="H3177" s="42" t="s">
        <v>238</v>
      </c>
    </row>
    <row r="3178" spans="1:8" x14ac:dyDescent="0.25">
      <c r="A3178" s="3" t="s">
        <v>3425</v>
      </c>
      <c r="B3178" s="42" t="s">
        <v>3</v>
      </c>
      <c r="C3178" s="3">
        <v>18</v>
      </c>
      <c r="D3178" s="3">
        <v>1</v>
      </c>
      <c r="G3178" s="53">
        <v>44075</v>
      </c>
      <c r="H3178" s="42" t="s">
        <v>238</v>
      </c>
    </row>
    <row r="3179" spans="1:8" x14ac:dyDescent="0.25">
      <c r="A3179" s="3" t="s">
        <v>3426</v>
      </c>
      <c r="B3179" s="42" t="s">
        <v>3</v>
      </c>
      <c r="C3179" s="3">
        <v>18</v>
      </c>
      <c r="D3179" s="3">
        <v>1</v>
      </c>
      <c r="G3179" s="53">
        <v>44075</v>
      </c>
      <c r="H3179" s="42" t="s">
        <v>238</v>
      </c>
    </row>
    <row r="3180" spans="1:8" x14ac:dyDescent="0.25">
      <c r="A3180" s="3" t="s">
        <v>3427</v>
      </c>
      <c r="B3180" s="42" t="s">
        <v>3</v>
      </c>
      <c r="C3180" s="3">
        <v>18</v>
      </c>
      <c r="D3180" s="3">
        <v>1</v>
      </c>
      <c r="G3180" s="53">
        <v>44075</v>
      </c>
      <c r="H3180" s="42" t="s">
        <v>238</v>
      </c>
    </row>
    <row r="3181" spans="1:8" x14ac:dyDescent="0.25">
      <c r="A3181" s="3" t="s">
        <v>3428</v>
      </c>
      <c r="B3181" s="42" t="s">
        <v>3</v>
      </c>
      <c r="C3181" s="3">
        <v>18</v>
      </c>
      <c r="D3181" s="3">
        <v>1</v>
      </c>
      <c r="G3181" s="53">
        <v>44075</v>
      </c>
      <c r="H3181" s="42" t="s">
        <v>238</v>
      </c>
    </row>
    <row r="3182" spans="1:8" x14ac:dyDescent="0.25">
      <c r="A3182" s="3" t="s">
        <v>3429</v>
      </c>
      <c r="B3182" s="42" t="s">
        <v>3</v>
      </c>
      <c r="C3182" s="3">
        <v>19</v>
      </c>
      <c r="D3182" s="3">
        <v>1</v>
      </c>
      <c r="G3182" s="53">
        <v>44075</v>
      </c>
      <c r="H3182" s="42" t="s">
        <v>238</v>
      </c>
    </row>
    <row r="3183" spans="1:8" x14ac:dyDescent="0.25">
      <c r="A3183" s="3" t="s">
        <v>3430</v>
      </c>
      <c r="B3183" s="42" t="s">
        <v>3</v>
      </c>
      <c r="C3183" s="3">
        <v>18</v>
      </c>
      <c r="D3183" s="3">
        <v>1</v>
      </c>
      <c r="G3183" s="53">
        <v>44075</v>
      </c>
      <c r="H3183" s="42" t="s">
        <v>238</v>
      </c>
    </row>
    <row r="3184" spans="1:8" x14ac:dyDescent="0.25">
      <c r="A3184" s="3" t="s">
        <v>3431</v>
      </c>
      <c r="B3184" s="42" t="s">
        <v>3</v>
      </c>
      <c r="C3184" s="3">
        <v>23</v>
      </c>
      <c r="D3184" s="3">
        <v>1</v>
      </c>
      <c r="G3184" s="53">
        <v>44075</v>
      </c>
      <c r="H3184" s="42" t="s">
        <v>238</v>
      </c>
    </row>
    <row r="3185" spans="1:8" x14ac:dyDescent="0.25">
      <c r="A3185" s="3" t="s">
        <v>3432</v>
      </c>
      <c r="B3185" s="42" t="s">
        <v>3</v>
      </c>
      <c r="C3185" s="3">
        <v>18</v>
      </c>
      <c r="D3185" s="3">
        <v>1</v>
      </c>
      <c r="G3185" s="53">
        <v>44075</v>
      </c>
      <c r="H3185" s="42" t="s">
        <v>238</v>
      </c>
    </row>
    <row r="3186" spans="1:8" x14ac:dyDescent="0.25">
      <c r="A3186" s="3" t="s">
        <v>3433</v>
      </c>
      <c r="B3186" s="42" t="s">
        <v>3</v>
      </c>
      <c r="C3186" s="3">
        <v>18</v>
      </c>
      <c r="D3186" s="3">
        <v>1</v>
      </c>
      <c r="G3186" s="53">
        <v>44075</v>
      </c>
      <c r="H3186" s="42" t="s">
        <v>238</v>
      </c>
    </row>
    <row r="3187" spans="1:8" x14ac:dyDescent="0.25">
      <c r="A3187" s="3" t="s">
        <v>3434</v>
      </c>
      <c r="B3187" s="42" t="s">
        <v>3</v>
      </c>
      <c r="C3187" s="3">
        <v>18</v>
      </c>
      <c r="D3187" s="3">
        <v>1</v>
      </c>
      <c r="G3187" s="53">
        <v>44075</v>
      </c>
      <c r="H3187" s="42" t="s">
        <v>238</v>
      </c>
    </row>
    <row r="3188" spans="1:8" x14ac:dyDescent="0.25">
      <c r="A3188" s="3" t="s">
        <v>3435</v>
      </c>
      <c r="B3188" s="42" t="s">
        <v>3</v>
      </c>
      <c r="C3188" s="3">
        <v>18</v>
      </c>
      <c r="D3188" s="3">
        <v>1</v>
      </c>
      <c r="G3188" s="53">
        <v>44075</v>
      </c>
      <c r="H3188" s="42" t="s">
        <v>238</v>
      </c>
    </row>
    <row r="3189" spans="1:8" x14ac:dyDescent="0.25">
      <c r="A3189" s="3" t="s">
        <v>3436</v>
      </c>
      <c r="B3189" s="42" t="s">
        <v>3</v>
      </c>
      <c r="C3189" s="3">
        <v>19</v>
      </c>
      <c r="D3189" s="3">
        <v>1</v>
      </c>
      <c r="G3189" s="53">
        <v>44075</v>
      </c>
      <c r="H3189" s="42" t="s">
        <v>238</v>
      </c>
    </row>
    <row r="3190" spans="1:8" x14ac:dyDescent="0.25">
      <c r="A3190" s="3" t="s">
        <v>3437</v>
      </c>
      <c r="B3190" s="42" t="s">
        <v>3</v>
      </c>
      <c r="C3190" s="3">
        <v>18</v>
      </c>
      <c r="D3190" s="3">
        <v>1</v>
      </c>
      <c r="G3190" s="53">
        <v>44075</v>
      </c>
      <c r="H3190" s="42" t="s">
        <v>238</v>
      </c>
    </row>
    <row r="3191" spans="1:8" x14ac:dyDescent="0.25">
      <c r="A3191" s="3" t="s">
        <v>3438</v>
      </c>
      <c r="B3191" s="42" t="s">
        <v>3</v>
      </c>
      <c r="C3191" s="3">
        <v>18</v>
      </c>
      <c r="D3191" s="3">
        <v>1</v>
      </c>
      <c r="G3191" s="53">
        <v>44075</v>
      </c>
      <c r="H3191" s="42" t="s">
        <v>238</v>
      </c>
    </row>
    <row r="3192" spans="1:8" x14ac:dyDescent="0.25">
      <c r="A3192" s="3" t="s">
        <v>3439</v>
      </c>
      <c r="B3192" s="42" t="s">
        <v>3</v>
      </c>
      <c r="C3192" s="3">
        <v>20</v>
      </c>
      <c r="D3192" s="3">
        <v>1</v>
      </c>
      <c r="G3192" s="53">
        <v>44075</v>
      </c>
      <c r="H3192" s="42" t="s">
        <v>238</v>
      </c>
    </row>
    <row r="3193" spans="1:8" x14ac:dyDescent="0.25">
      <c r="A3193" s="3" t="s">
        <v>3440</v>
      </c>
      <c r="B3193" s="42" t="s">
        <v>3</v>
      </c>
      <c r="C3193" s="3">
        <v>20</v>
      </c>
      <c r="D3193" s="3">
        <v>1</v>
      </c>
      <c r="G3193" s="53">
        <v>44075</v>
      </c>
      <c r="H3193" s="42" t="s">
        <v>238</v>
      </c>
    </row>
    <row r="3194" spans="1:8" x14ac:dyDescent="0.25">
      <c r="A3194" s="3" t="s">
        <v>3441</v>
      </c>
      <c r="B3194" s="42" t="s">
        <v>3</v>
      </c>
      <c r="C3194" s="3">
        <v>19</v>
      </c>
      <c r="D3194" s="3">
        <v>1</v>
      </c>
      <c r="G3194" s="53">
        <v>44075</v>
      </c>
      <c r="H3194" s="42" t="s">
        <v>238</v>
      </c>
    </row>
    <row r="3195" spans="1:8" x14ac:dyDescent="0.25">
      <c r="A3195" s="3" t="s">
        <v>3442</v>
      </c>
      <c r="B3195" s="42" t="s">
        <v>3</v>
      </c>
      <c r="C3195" s="3">
        <v>23</v>
      </c>
      <c r="D3195" s="3">
        <v>1</v>
      </c>
      <c r="G3195" s="53">
        <v>44075</v>
      </c>
      <c r="H3195" s="42" t="s">
        <v>238</v>
      </c>
    </row>
    <row r="3196" spans="1:8" x14ac:dyDescent="0.25">
      <c r="A3196" s="3" t="s">
        <v>3443</v>
      </c>
      <c r="B3196" s="42" t="s">
        <v>3</v>
      </c>
      <c r="C3196" s="3">
        <v>19</v>
      </c>
      <c r="D3196" s="3">
        <v>1</v>
      </c>
      <c r="G3196" s="53">
        <v>44075</v>
      </c>
      <c r="H3196" s="42" t="s">
        <v>238</v>
      </c>
    </row>
    <row r="3197" spans="1:8" x14ac:dyDescent="0.25">
      <c r="A3197" s="3" t="s">
        <v>3444</v>
      </c>
      <c r="B3197" s="42" t="s">
        <v>3</v>
      </c>
      <c r="C3197" s="3">
        <v>19</v>
      </c>
      <c r="D3197" s="3">
        <v>1</v>
      </c>
      <c r="G3197" s="53">
        <v>44075</v>
      </c>
      <c r="H3197" s="42" t="s">
        <v>238</v>
      </c>
    </row>
    <row r="3198" spans="1:8" x14ac:dyDescent="0.25">
      <c r="A3198" s="3" t="s">
        <v>3445</v>
      </c>
      <c r="B3198" s="42" t="s">
        <v>3</v>
      </c>
      <c r="C3198" s="3">
        <v>21</v>
      </c>
      <c r="D3198" s="3">
        <v>1</v>
      </c>
      <c r="G3198" s="53">
        <v>44075</v>
      </c>
      <c r="H3198" s="42" t="s">
        <v>238</v>
      </c>
    </row>
    <row r="3199" spans="1:8" x14ac:dyDescent="0.25">
      <c r="A3199" s="3" t="s">
        <v>3446</v>
      </c>
      <c r="B3199" s="42" t="s">
        <v>3</v>
      </c>
      <c r="C3199" s="3">
        <v>18</v>
      </c>
      <c r="D3199" s="3">
        <v>1</v>
      </c>
      <c r="G3199" s="53">
        <v>44075</v>
      </c>
      <c r="H3199" s="42" t="s">
        <v>238</v>
      </c>
    </row>
    <row r="3200" spans="1:8" x14ac:dyDescent="0.25">
      <c r="A3200" s="3" t="s">
        <v>3447</v>
      </c>
      <c r="B3200" s="42" t="s">
        <v>3</v>
      </c>
      <c r="C3200" s="3">
        <v>18</v>
      </c>
      <c r="D3200" s="3">
        <v>1</v>
      </c>
      <c r="G3200" s="53">
        <v>44075</v>
      </c>
      <c r="H3200" s="42" t="s">
        <v>238</v>
      </c>
    </row>
    <row r="3201" spans="1:8" x14ac:dyDescent="0.25">
      <c r="A3201" s="3" t="s">
        <v>3448</v>
      </c>
      <c r="B3201" s="42" t="s">
        <v>3</v>
      </c>
      <c r="C3201" s="3">
        <v>20</v>
      </c>
      <c r="D3201" s="3">
        <v>1</v>
      </c>
      <c r="G3201" s="53">
        <v>44075</v>
      </c>
      <c r="H3201" s="42" t="s">
        <v>238</v>
      </c>
    </row>
    <row r="3202" spans="1:8" x14ac:dyDescent="0.25">
      <c r="A3202" s="3" t="s">
        <v>3449</v>
      </c>
      <c r="B3202" s="42" t="s">
        <v>3</v>
      </c>
      <c r="C3202" s="3">
        <v>18</v>
      </c>
      <c r="D3202" s="3">
        <v>1</v>
      </c>
      <c r="G3202" s="53">
        <v>44075</v>
      </c>
      <c r="H3202" s="42" t="s">
        <v>238</v>
      </c>
    </row>
    <row r="3203" spans="1:8" x14ac:dyDescent="0.25">
      <c r="A3203" s="3" t="s">
        <v>3450</v>
      </c>
      <c r="B3203" s="42" t="s">
        <v>3</v>
      </c>
      <c r="C3203" s="3">
        <v>18</v>
      </c>
      <c r="D3203" s="3">
        <v>1</v>
      </c>
      <c r="G3203" s="53">
        <v>44075</v>
      </c>
      <c r="H3203" s="42" t="s">
        <v>238</v>
      </c>
    </row>
    <row r="3204" spans="1:8" x14ac:dyDescent="0.25">
      <c r="A3204" s="3" t="s">
        <v>3451</v>
      </c>
      <c r="B3204" s="42" t="s">
        <v>3</v>
      </c>
      <c r="C3204" s="3">
        <v>18</v>
      </c>
      <c r="D3204" s="3">
        <v>1</v>
      </c>
      <c r="G3204" s="53">
        <v>44075</v>
      </c>
      <c r="H3204" s="42" t="s">
        <v>238</v>
      </c>
    </row>
    <row r="3205" spans="1:8" x14ac:dyDescent="0.25">
      <c r="A3205" s="3" t="s">
        <v>3452</v>
      </c>
      <c r="B3205" s="42" t="s">
        <v>3</v>
      </c>
      <c r="C3205" s="3">
        <v>18</v>
      </c>
      <c r="D3205" s="3">
        <v>1</v>
      </c>
      <c r="G3205" s="53">
        <v>44075</v>
      </c>
      <c r="H3205" s="42" t="s">
        <v>238</v>
      </c>
    </row>
    <row r="3206" spans="1:8" x14ac:dyDescent="0.25">
      <c r="A3206" s="3" t="s">
        <v>3453</v>
      </c>
      <c r="B3206" s="42" t="s">
        <v>3</v>
      </c>
      <c r="C3206" s="3">
        <v>18</v>
      </c>
      <c r="D3206" s="3">
        <v>1</v>
      </c>
      <c r="G3206" s="53">
        <v>44075</v>
      </c>
      <c r="H3206" s="42" t="s">
        <v>238</v>
      </c>
    </row>
    <row r="3207" spans="1:8" x14ac:dyDescent="0.25">
      <c r="A3207" s="3" t="s">
        <v>3454</v>
      </c>
      <c r="B3207" s="42" t="s">
        <v>3</v>
      </c>
      <c r="C3207" s="3">
        <v>19</v>
      </c>
      <c r="D3207" s="3">
        <v>1</v>
      </c>
      <c r="G3207" s="53">
        <v>44075</v>
      </c>
      <c r="H3207" s="42" t="s">
        <v>238</v>
      </c>
    </row>
    <row r="3208" spans="1:8" x14ac:dyDescent="0.25">
      <c r="A3208" s="3" t="s">
        <v>3455</v>
      </c>
      <c r="B3208" s="42" t="s">
        <v>3</v>
      </c>
      <c r="C3208" s="3">
        <v>18</v>
      </c>
      <c r="D3208" s="3">
        <v>1</v>
      </c>
      <c r="G3208" s="53">
        <v>44075</v>
      </c>
      <c r="H3208" s="42" t="s">
        <v>238</v>
      </c>
    </row>
    <row r="3209" spans="1:8" x14ac:dyDescent="0.25">
      <c r="A3209" s="3" t="s">
        <v>3456</v>
      </c>
      <c r="B3209" s="42" t="s">
        <v>3</v>
      </c>
      <c r="C3209" s="3">
        <v>18</v>
      </c>
      <c r="D3209" s="3">
        <v>1</v>
      </c>
      <c r="G3209" s="53">
        <v>44075</v>
      </c>
      <c r="H3209" s="42" t="s">
        <v>238</v>
      </c>
    </row>
    <row r="3210" spans="1:8" x14ac:dyDescent="0.25">
      <c r="A3210" s="3" t="s">
        <v>3457</v>
      </c>
      <c r="B3210" s="42" t="s">
        <v>3</v>
      </c>
      <c r="C3210" s="3">
        <v>18</v>
      </c>
      <c r="D3210" s="3">
        <v>1</v>
      </c>
      <c r="G3210" s="53">
        <v>44075</v>
      </c>
      <c r="H3210" s="42" t="s">
        <v>238</v>
      </c>
    </row>
    <row r="3211" spans="1:8" x14ac:dyDescent="0.25">
      <c r="A3211" s="3" t="s">
        <v>3458</v>
      </c>
      <c r="B3211" s="42" t="s">
        <v>3</v>
      </c>
      <c r="C3211" s="3">
        <v>23</v>
      </c>
      <c r="D3211" s="3">
        <v>1</v>
      </c>
      <c r="G3211" s="53">
        <v>44075</v>
      </c>
      <c r="H3211" s="42" t="s">
        <v>238</v>
      </c>
    </row>
    <row r="3212" spans="1:8" x14ac:dyDescent="0.25">
      <c r="A3212" s="3" t="s">
        <v>3459</v>
      </c>
      <c r="B3212" s="42" t="s">
        <v>3</v>
      </c>
      <c r="C3212" s="3">
        <v>18</v>
      </c>
      <c r="D3212" s="3">
        <v>1</v>
      </c>
      <c r="G3212" s="53">
        <v>44075</v>
      </c>
      <c r="H3212" s="42" t="s">
        <v>238</v>
      </c>
    </row>
    <row r="3213" spans="1:8" x14ac:dyDescent="0.25">
      <c r="A3213" s="3" t="s">
        <v>3460</v>
      </c>
      <c r="B3213" s="42" t="s">
        <v>3</v>
      </c>
      <c r="C3213" s="3">
        <v>28</v>
      </c>
      <c r="D3213" s="3">
        <v>1</v>
      </c>
      <c r="G3213" s="53">
        <v>44075</v>
      </c>
      <c r="H3213" s="42" t="s">
        <v>238</v>
      </c>
    </row>
    <row r="3214" spans="1:8" x14ac:dyDescent="0.25">
      <c r="A3214" s="3" t="s">
        <v>3461</v>
      </c>
      <c r="B3214" s="42" t="s">
        <v>3</v>
      </c>
      <c r="C3214" s="3">
        <v>18</v>
      </c>
      <c r="D3214" s="3">
        <v>1</v>
      </c>
      <c r="G3214" s="53">
        <v>44075</v>
      </c>
      <c r="H3214" s="42" t="s">
        <v>238</v>
      </c>
    </row>
    <row r="3215" spans="1:8" x14ac:dyDescent="0.25">
      <c r="A3215" s="3" t="s">
        <v>3462</v>
      </c>
      <c r="B3215" s="42" t="s">
        <v>3</v>
      </c>
      <c r="C3215" s="3">
        <v>18</v>
      </c>
      <c r="D3215" s="3">
        <v>1</v>
      </c>
      <c r="G3215" s="53">
        <v>44075</v>
      </c>
      <c r="H3215" s="42" t="s">
        <v>238</v>
      </c>
    </row>
    <row r="3216" spans="1:8" x14ac:dyDescent="0.25">
      <c r="A3216" s="3" t="s">
        <v>3463</v>
      </c>
      <c r="B3216" s="42" t="s">
        <v>3</v>
      </c>
      <c r="C3216" s="3">
        <v>18</v>
      </c>
      <c r="D3216" s="3">
        <v>1</v>
      </c>
      <c r="G3216" s="53">
        <v>44075</v>
      </c>
      <c r="H3216" s="42" t="s">
        <v>238</v>
      </c>
    </row>
    <row r="3217" spans="1:8" x14ac:dyDescent="0.25">
      <c r="A3217" s="3" t="s">
        <v>3464</v>
      </c>
      <c r="B3217" s="42" t="s">
        <v>3</v>
      </c>
      <c r="C3217" s="3">
        <v>21</v>
      </c>
      <c r="D3217" s="3">
        <v>1</v>
      </c>
      <c r="G3217" s="53">
        <v>44075</v>
      </c>
      <c r="H3217" s="42" t="s">
        <v>238</v>
      </c>
    </row>
    <row r="3218" spans="1:8" x14ac:dyDescent="0.25">
      <c r="A3218" s="3" t="s">
        <v>3465</v>
      </c>
      <c r="B3218" s="42" t="s">
        <v>3</v>
      </c>
      <c r="C3218" s="3">
        <v>18</v>
      </c>
      <c r="D3218" s="3">
        <v>1</v>
      </c>
      <c r="G3218" s="53">
        <v>44075</v>
      </c>
      <c r="H3218" s="42" t="s">
        <v>238</v>
      </c>
    </row>
    <row r="3219" spans="1:8" x14ac:dyDescent="0.25">
      <c r="A3219" s="3" t="s">
        <v>3466</v>
      </c>
      <c r="B3219" s="42" t="s">
        <v>3</v>
      </c>
      <c r="C3219" s="3">
        <v>18</v>
      </c>
      <c r="D3219" s="3">
        <v>1</v>
      </c>
      <c r="G3219" s="53">
        <v>44075</v>
      </c>
      <c r="H3219" s="42" t="s">
        <v>238</v>
      </c>
    </row>
    <row r="3220" spans="1:8" x14ac:dyDescent="0.25">
      <c r="A3220" s="3" t="s">
        <v>3467</v>
      </c>
      <c r="B3220" s="42" t="s">
        <v>3</v>
      </c>
      <c r="C3220" s="3">
        <v>18</v>
      </c>
      <c r="D3220" s="3">
        <v>1</v>
      </c>
      <c r="G3220" s="53">
        <v>44075</v>
      </c>
      <c r="H3220" s="42" t="s">
        <v>238</v>
      </c>
    </row>
    <row r="3221" spans="1:8" x14ac:dyDescent="0.25">
      <c r="A3221" s="3" t="s">
        <v>3468</v>
      </c>
      <c r="B3221" s="42" t="s">
        <v>3</v>
      </c>
      <c r="C3221" s="3">
        <v>18</v>
      </c>
      <c r="D3221" s="3">
        <v>1</v>
      </c>
      <c r="G3221" s="53">
        <v>44075</v>
      </c>
      <c r="H3221" s="42" t="s">
        <v>238</v>
      </c>
    </row>
    <row r="3222" spans="1:8" x14ac:dyDescent="0.25">
      <c r="A3222" s="3" t="s">
        <v>3469</v>
      </c>
      <c r="B3222" s="42" t="s">
        <v>3</v>
      </c>
      <c r="C3222" s="3">
        <v>18</v>
      </c>
      <c r="D3222" s="3">
        <v>1</v>
      </c>
      <c r="G3222" s="53">
        <v>44075</v>
      </c>
      <c r="H3222" s="42" t="s">
        <v>238</v>
      </c>
    </row>
    <row r="3223" spans="1:8" x14ac:dyDescent="0.25">
      <c r="A3223" s="3" t="s">
        <v>3470</v>
      </c>
      <c r="B3223" s="42" t="s">
        <v>3</v>
      </c>
      <c r="C3223" s="3">
        <v>19</v>
      </c>
      <c r="D3223" s="3">
        <v>1</v>
      </c>
      <c r="G3223" s="53">
        <v>44075</v>
      </c>
      <c r="H3223" s="42" t="s">
        <v>238</v>
      </c>
    </row>
    <row r="3224" spans="1:8" x14ac:dyDescent="0.25">
      <c r="A3224" s="3" t="s">
        <v>3471</v>
      </c>
      <c r="B3224" s="42" t="s">
        <v>3</v>
      </c>
      <c r="C3224" s="3">
        <v>18</v>
      </c>
      <c r="D3224" s="3">
        <v>1</v>
      </c>
      <c r="G3224" s="53">
        <v>44075</v>
      </c>
      <c r="H3224" s="42" t="s">
        <v>238</v>
      </c>
    </row>
    <row r="3225" spans="1:8" x14ac:dyDescent="0.25">
      <c r="A3225" s="3" t="s">
        <v>3472</v>
      </c>
      <c r="B3225" s="42" t="s">
        <v>3</v>
      </c>
      <c r="C3225" s="3">
        <v>19</v>
      </c>
      <c r="D3225" s="3">
        <v>1</v>
      </c>
      <c r="G3225" s="53">
        <v>44075</v>
      </c>
      <c r="H3225" s="42" t="s">
        <v>238</v>
      </c>
    </row>
    <row r="3226" spans="1:8" x14ac:dyDescent="0.25">
      <c r="A3226" s="3" t="s">
        <v>3473</v>
      </c>
      <c r="B3226" s="42" t="s">
        <v>3</v>
      </c>
      <c r="C3226" s="3">
        <v>18</v>
      </c>
      <c r="D3226" s="3">
        <v>1</v>
      </c>
      <c r="G3226" s="53">
        <v>44075</v>
      </c>
      <c r="H3226" s="42" t="s">
        <v>238</v>
      </c>
    </row>
    <row r="3227" spans="1:8" x14ac:dyDescent="0.25">
      <c r="A3227" s="3" t="s">
        <v>3474</v>
      </c>
      <c r="B3227" s="42" t="s">
        <v>3</v>
      </c>
      <c r="C3227" s="3">
        <v>18</v>
      </c>
      <c r="D3227" s="3">
        <v>1</v>
      </c>
      <c r="G3227" s="53">
        <v>44075</v>
      </c>
      <c r="H3227" s="42" t="s">
        <v>238</v>
      </c>
    </row>
    <row r="3228" spans="1:8" x14ac:dyDescent="0.25">
      <c r="A3228" s="3" t="s">
        <v>3475</v>
      </c>
      <c r="B3228" s="42" t="s">
        <v>3</v>
      </c>
      <c r="C3228" s="3">
        <v>18</v>
      </c>
      <c r="D3228" s="3">
        <v>1</v>
      </c>
      <c r="G3228" s="53">
        <v>44075</v>
      </c>
      <c r="H3228" s="42" t="s">
        <v>238</v>
      </c>
    </row>
    <row r="3229" spans="1:8" x14ac:dyDescent="0.25">
      <c r="A3229" s="3" t="s">
        <v>3476</v>
      </c>
      <c r="B3229" s="42" t="s">
        <v>3</v>
      </c>
      <c r="C3229" s="3">
        <v>19</v>
      </c>
      <c r="D3229" s="3">
        <v>1</v>
      </c>
      <c r="G3229" s="53">
        <v>44075</v>
      </c>
      <c r="H3229" s="42" t="s">
        <v>238</v>
      </c>
    </row>
    <row r="3230" spans="1:8" x14ac:dyDescent="0.25">
      <c r="A3230" s="3" t="s">
        <v>3477</v>
      </c>
      <c r="B3230" s="42" t="s">
        <v>3</v>
      </c>
      <c r="C3230" s="3">
        <v>20</v>
      </c>
      <c r="D3230" s="3">
        <v>1</v>
      </c>
      <c r="G3230" s="53">
        <v>44075</v>
      </c>
      <c r="H3230" s="42" t="s">
        <v>238</v>
      </c>
    </row>
    <row r="3231" spans="1:8" x14ac:dyDescent="0.25">
      <c r="A3231" s="3" t="s">
        <v>3478</v>
      </c>
      <c r="B3231" s="42" t="s">
        <v>3</v>
      </c>
      <c r="C3231" s="3">
        <v>18</v>
      </c>
      <c r="D3231" s="3">
        <v>1</v>
      </c>
      <c r="G3231" s="53">
        <v>44075</v>
      </c>
      <c r="H3231" s="42" t="s">
        <v>238</v>
      </c>
    </row>
    <row r="3232" spans="1:8" x14ac:dyDescent="0.25">
      <c r="A3232" s="3" t="s">
        <v>3479</v>
      </c>
      <c r="B3232" s="42" t="s">
        <v>3</v>
      </c>
      <c r="C3232" s="3">
        <v>18</v>
      </c>
      <c r="D3232" s="3">
        <v>1</v>
      </c>
      <c r="G3232" s="53">
        <v>44075</v>
      </c>
      <c r="H3232" s="42" t="s">
        <v>238</v>
      </c>
    </row>
    <row r="3233" spans="1:8" x14ac:dyDescent="0.25">
      <c r="A3233" s="3" t="s">
        <v>3480</v>
      </c>
      <c r="B3233" s="42" t="s">
        <v>3</v>
      </c>
      <c r="C3233" s="3">
        <v>18</v>
      </c>
      <c r="D3233" s="3">
        <v>1</v>
      </c>
      <c r="G3233" s="53">
        <v>44075</v>
      </c>
      <c r="H3233" s="42" t="s">
        <v>238</v>
      </c>
    </row>
    <row r="3234" spans="1:8" x14ac:dyDescent="0.25">
      <c r="A3234" s="3" t="s">
        <v>3481</v>
      </c>
      <c r="B3234" s="42" t="s">
        <v>3</v>
      </c>
      <c r="C3234" s="3">
        <v>18</v>
      </c>
      <c r="D3234" s="3">
        <v>1</v>
      </c>
      <c r="G3234" s="53">
        <v>44075</v>
      </c>
      <c r="H3234" s="42" t="s">
        <v>238</v>
      </c>
    </row>
    <row r="3235" spans="1:8" x14ac:dyDescent="0.25">
      <c r="A3235" s="3" t="s">
        <v>3482</v>
      </c>
      <c r="B3235" s="42" t="s">
        <v>3</v>
      </c>
      <c r="C3235" s="3">
        <v>25</v>
      </c>
      <c r="D3235" s="3">
        <v>1</v>
      </c>
      <c r="G3235" s="53">
        <v>44075</v>
      </c>
      <c r="H3235" s="42" t="s">
        <v>238</v>
      </c>
    </row>
    <row r="3236" spans="1:8" x14ac:dyDescent="0.25">
      <c r="A3236" s="3" t="s">
        <v>3483</v>
      </c>
      <c r="B3236" s="42" t="s">
        <v>3</v>
      </c>
      <c r="C3236" s="3">
        <v>23</v>
      </c>
      <c r="D3236" s="3">
        <v>1</v>
      </c>
      <c r="G3236" s="53">
        <v>44075</v>
      </c>
      <c r="H3236" s="42" t="s">
        <v>238</v>
      </c>
    </row>
    <row r="3237" spans="1:8" x14ac:dyDescent="0.25">
      <c r="A3237" s="3" t="s">
        <v>3484</v>
      </c>
      <c r="B3237" s="42" t="s">
        <v>3</v>
      </c>
      <c r="C3237" s="3">
        <v>18</v>
      </c>
      <c r="D3237" s="3">
        <v>1</v>
      </c>
      <c r="G3237" s="53">
        <v>44075</v>
      </c>
      <c r="H3237" s="42" t="s">
        <v>238</v>
      </c>
    </row>
    <row r="3238" spans="1:8" x14ac:dyDescent="0.25">
      <c r="A3238" s="3" t="s">
        <v>3485</v>
      </c>
      <c r="B3238" s="42" t="s">
        <v>3</v>
      </c>
      <c r="C3238" s="3">
        <v>18</v>
      </c>
      <c r="D3238" s="3">
        <v>1</v>
      </c>
      <c r="G3238" s="53">
        <v>44075</v>
      </c>
      <c r="H3238" s="42" t="s">
        <v>238</v>
      </c>
    </row>
    <row r="3239" spans="1:8" x14ac:dyDescent="0.25">
      <c r="A3239" s="3" t="s">
        <v>3486</v>
      </c>
      <c r="B3239" s="42" t="s">
        <v>3</v>
      </c>
      <c r="C3239" s="3">
        <v>18</v>
      </c>
      <c r="D3239" s="3">
        <v>1</v>
      </c>
      <c r="G3239" s="53">
        <v>44075</v>
      </c>
      <c r="H3239" s="42" t="s">
        <v>238</v>
      </c>
    </row>
    <row r="3240" spans="1:8" x14ac:dyDescent="0.25">
      <c r="A3240" s="3" t="s">
        <v>3487</v>
      </c>
      <c r="B3240" s="42" t="s">
        <v>3</v>
      </c>
      <c r="C3240" s="3">
        <v>18</v>
      </c>
      <c r="D3240" s="3">
        <v>1</v>
      </c>
      <c r="G3240" s="53">
        <v>44075</v>
      </c>
      <c r="H3240" s="42" t="s">
        <v>238</v>
      </c>
    </row>
    <row r="3241" spans="1:8" x14ac:dyDescent="0.25">
      <c r="A3241" s="3" t="s">
        <v>3488</v>
      </c>
      <c r="B3241" s="42" t="s">
        <v>3</v>
      </c>
      <c r="C3241" s="3">
        <v>18</v>
      </c>
      <c r="D3241" s="3">
        <v>1</v>
      </c>
      <c r="G3241" s="53">
        <v>44075</v>
      </c>
      <c r="H3241" s="42" t="s">
        <v>238</v>
      </c>
    </row>
    <row r="3242" spans="1:8" x14ac:dyDescent="0.25">
      <c r="A3242" s="3" t="s">
        <v>3489</v>
      </c>
      <c r="B3242" s="42" t="s">
        <v>3</v>
      </c>
      <c r="C3242" s="3">
        <v>18</v>
      </c>
      <c r="D3242" s="3">
        <v>1</v>
      </c>
      <c r="G3242" s="53">
        <v>44075</v>
      </c>
      <c r="H3242" s="42" t="s">
        <v>238</v>
      </c>
    </row>
    <row r="3243" spans="1:8" x14ac:dyDescent="0.25">
      <c r="A3243" s="3" t="s">
        <v>3490</v>
      </c>
      <c r="B3243" s="42" t="s">
        <v>3</v>
      </c>
      <c r="C3243" s="3">
        <v>26</v>
      </c>
      <c r="D3243" s="3">
        <v>1</v>
      </c>
      <c r="G3243" s="53">
        <v>44075</v>
      </c>
      <c r="H3243" s="42" t="s">
        <v>238</v>
      </c>
    </row>
    <row r="3244" spans="1:8" x14ac:dyDescent="0.25">
      <c r="A3244" s="3" t="s">
        <v>3491</v>
      </c>
      <c r="B3244" s="42" t="s">
        <v>3</v>
      </c>
      <c r="C3244" s="3">
        <v>18</v>
      </c>
      <c r="D3244" s="3">
        <v>1</v>
      </c>
      <c r="G3244" s="53">
        <v>44075</v>
      </c>
      <c r="H3244" s="42" t="s">
        <v>238</v>
      </c>
    </row>
    <row r="3245" spans="1:8" x14ac:dyDescent="0.25">
      <c r="A3245" s="3" t="s">
        <v>3492</v>
      </c>
      <c r="B3245" s="42" t="s">
        <v>3</v>
      </c>
      <c r="C3245" s="3">
        <v>18</v>
      </c>
      <c r="D3245" s="3">
        <v>1</v>
      </c>
      <c r="G3245" s="53">
        <v>44075</v>
      </c>
      <c r="H3245" s="42" t="s">
        <v>238</v>
      </c>
    </row>
    <row r="3246" spans="1:8" x14ac:dyDescent="0.25">
      <c r="A3246" s="3" t="s">
        <v>3493</v>
      </c>
      <c r="B3246" s="42" t="s">
        <v>3</v>
      </c>
      <c r="C3246" s="3">
        <v>18</v>
      </c>
      <c r="D3246" s="3">
        <v>1</v>
      </c>
      <c r="G3246" s="53">
        <v>44075</v>
      </c>
      <c r="H3246" s="42" t="s">
        <v>238</v>
      </c>
    </row>
    <row r="3247" spans="1:8" x14ac:dyDescent="0.25">
      <c r="A3247" s="3" t="s">
        <v>3494</v>
      </c>
      <c r="B3247" s="42" t="s">
        <v>3</v>
      </c>
      <c r="C3247" s="3">
        <v>18</v>
      </c>
      <c r="D3247" s="3">
        <v>1</v>
      </c>
      <c r="G3247" s="53">
        <v>44075</v>
      </c>
      <c r="H3247" s="42" t="s">
        <v>238</v>
      </c>
    </row>
    <row r="3248" spans="1:8" x14ac:dyDescent="0.25">
      <c r="A3248" s="3" t="s">
        <v>3495</v>
      </c>
      <c r="B3248" s="42" t="s">
        <v>3</v>
      </c>
      <c r="C3248" s="3">
        <v>20</v>
      </c>
      <c r="D3248" s="3">
        <v>1</v>
      </c>
      <c r="G3248" s="53">
        <v>44075</v>
      </c>
      <c r="H3248" s="42" t="s">
        <v>238</v>
      </c>
    </row>
    <row r="3249" spans="1:8" x14ac:dyDescent="0.25">
      <c r="A3249" s="3" t="s">
        <v>3496</v>
      </c>
      <c r="B3249" s="42" t="s">
        <v>3</v>
      </c>
      <c r="C3249" s="3">
        <v>20</v>
      </c>
      <c r="D3249" s="3">
        <v>1</v>
      </c>
      <c r="G3249" s="53">
        <v>44075</v>
      </c>
      <c r="H3249" s="42" t="s">
        <v>238</v>
      </c>
    </row>
    <row r="3250" spans="1:8" x14ac:dyDescent="0.25">
      <c r="A3250" s="3" t="s">
        <v>3497</v>
      </c>
      <c r="B3250" s="42" t="s">
        <v>3</v>
      </c>
      <c r="C3250" s="3">
        <v>18</v>
      </c>
      <c r="D3250" s="3">
        <v>1</v>
      </c>
      <c r="G3250" s="53">
        <v>44075</v>
      </c>
      <c r="H3250" s="42" t="s">
        <v>238</v>
      </c>
    </row>
    <row r="3251" spans="1:8" x14ac:dyDescent="0.25">
      <c r="A3251" s="3" t="s">
        <v>3498</v>
      </c>
      <c r="B3251" s="42" t="s">
        <v>3</v>
      </c>
      <c r="C3251" s="3">
        <v>18</v>
      </c>
      <c r="D3251" s="3">
        <v>1</v>
      </c>
      <c r="G3251" s="53">
        <v>44075</v>
      </c>
      <c r="H3251" s="42" t="s">
        <v>238</v>
      </c>
    </row>
    <row r="3252" spans="1:8" x14ac:dyDescent="0.25">
      <c r="A3252" s="3" t="s">
        <v>3499</v>
      </c>
      <c r="B3252" s="42" t="s">
        <v>3</v>
      </c>
      <c r="C3252" s="3">
        <v>19</v>
      </c>
      <c r="D3252" s="3">
        <v>1</v>
      </c>
      <c r="G3252" s="53">
        <v>44075</v>
      </c>
      <c r="H3252" s="42" t="s">
        <v>238</v>
      </c>
    </row>
    <row r="3253" spans="1:8" x14ac:dyDescent="0.25">
      <c r="A3253" s="3" t="s">
        <v>3500</v>
      </c>
      <c r="B3253" s="42" t="s">
        <v>3</v>
      </c>
      <c r="C3253" s="3">
        <v>18</v>
      </c>
      <c r="D3253" s="3">
        <v>1</v>
      </c>
      <c r="G3253" s="53">
        <v>44075</v>
      </c>
      <c r="H3253" s="42" t="s">
        <v>238</v>
      </c>
    </row>
    <row r="3254" spans="1:8" x14ac:dyDescent="0.25">
      <c r="A3254" s="3" t="s">
        <v>3501</v>
      </c>
      <c r="B3254" s="42" t="s">
        <v>3</v>
      </c>
      <c r="C3254" s="3">
        <v>18</v>
      </c>
      <c r="D3254" s="3">
        <v>1</v>
      </c>
      <c r="G3254" s="53">
        <v>44075</v>
      </c>
      <c r="H3254" s="42" t="s">
        <v>238</v>
      </c>
    </row>
    <row r="3255" spans="1:8" x14ac:dyDescent="0.25">
      <c r="A3255" s="3" t="s">
        <v>3502</v>
      </c>
      <c r="B3255" s="42" t="s">
        <v>3</v>
      </c>
      <c r="C3255" s="3">
        <v>18</v>
      </c>
      <c r="D3255" s="3">
        <v>1</v>
      </c>
      <c r="G3255" s="53">
        <v>44075</v>
      </c>
      <c r="H3255" s="42" t="s">
        <v>238</v>
      </c>
    </row>
    <row r="3256" spans="1:8" x14ac:dyDescent="0.25">
      <c r="A3256" s="3" t="s">
        <v>3503</v>
      </c>
      <c r="B3256" s="42" t="s">
        <v>3</v>
      </c>
      <c r="C3256" s="3">
        <v>18</v>
      </c>
      <c r="D3256" s="3">
        <v>1</v>
      </c>
      <c r="G3256" s="53">
        <v>44075</v>
      </c>
      <c r="H3256" s="42" t="s">
        <v>238</v>
      </c>
    </row>
    <row r="3257" spans="1:8" x14ac:dyDescent="0.25">
      <c r="A3257" s="3" t="s">
        <v>3504</v>
      </c>
      <c r="B3257" s="42" t="s">
        <v>3</v>
      </c>
      <c r="C3257" s="3">
        <v>18</v>
      </c>
      <c r="D3257" s="3">
        <v>1</v>
      </c>
      <c r="G3257" s="53">
        <v>44075</v>
      </c>
      <c r="H3257" s="42" t="s">
        <v>238</v>
      </c>
    </row>
    <row r="3258" spans="1:8" x14ac:dyDescent="0.25">
      <c r="A3258" s="3" t="s">
        <v>3505</v>
      </c>
      <c r="B3258" s="42" t="s">
        <v>3</v>
      </c>
      <c r="C3258" s="3">
        <v>18</v>
      </c>
      <c r="D3258" s="3">
        <v>1</v>
      </c>
      <c r="G3258" s="53">
        <v>44075</v>
      </c>
      <c r="H3258" s="42" t="s">
        <v>238</v>
      </c>
    </row>
    <row r="3259" spans="1:8" x14ac:dyDescent="0.25">
      <c r="A3259" s="3" t="s">
        <v>3506</v>
      </c>
      <c r="B3259" s="42" t="s">
        <v>3</v>
      </c>
      <c r="C3259" s="3">
        <v>19</v>
      </c>
      <c r="D3259" s="3">
        <v>1</v>
      </c>
      <c r="G3259" s="53">
        <v>44075</v>
      </c>
      <c r="H3259" s="42" t="s">
        <v>238</v>
      </c>
    </row>
    <row r="3260" spans="1:8" x14ac:dyDescent="0.25">
      <c r="A3260" s="3" t="s">
        <v>3507</v>
      </c>
      <c r="B3260" s="42" t="s">
        <v>3</v>
      </c>
      <c r="C3260" s="3">
        <v>18</v>
      </c>
      <c r="D3260" s="3">
        <v>1</v>
      </c>
      <c r="G3260" s="53">
        <v>44075</v>
      </c>
      <c r="H3260" s="42" t="s">
        <v>238</v>
      </c>
    </row>
    <row r="3261" spans="1:8" x14ac:dyDescent="0.25">
      <c r="A3261" s="3" t="s">
        <v>3508</v>
      </c>
      <c r="B3261" s="42" t="s">
        <v>3</v>
      </c>
      <c r="C3261" s="3">
        <v>19</v>
      </c>
      <c r="D3261" s="3">
        <v>1</v>
      </c>
      <c r="G3261" s="53">
        <v>44075</v>
      </c>
      <c r="H3261" s="42" t="s">
        <v>238</v>
      </c>
    </row>
    <row r="3262" spans="1:8" x14ac:dyDescent="0.25">
      <c r="A3262" s="3" t="s">
        <v>3509</v>
      </c>
      <c r="B3262" s="42" t="s">
        <v>3</v>
      </c>
      <c r="C3262" s="3">
        <v>19</v>
      </c>
      <c r="D3262" s="3">
        <v>1</v>
      </c>
      <c r="G3262" s="53">
        <v>44075</v>
      </c>
      <c r="H3262" s="42" t="s">
        <v>238</v>
      </c>
    </row>
    <row r="3263" spans="1:8" x14ac:dyDescent="0.25">
      <c r="A3263" s="3" t="s">
        <v>3510</v>
      </c>
      <c r="B3263" s="42" t="s">
        <v>3</v>
      </c>
      <c r="C3263" s="3">
        <v>19</v>
      </c>
      <c r="D3263" s="3">
        <v>1</v>
      </c>
      <c r="G3263" s="53">
        <v>44075</v>
      </c>
      <c r="H3263" s="42" t="s">
        <v>238</v>
      </c>
    </row>
    <row r="3264" spans="1:8" x14ac:dyDescent="0.25">
      <c r="A3264" s="3" t="s">
        <v>3511</v>
      </c>
      <c r="B3264" s="42" t="s">
        <v>3</v>
      </c>
      <c r="C3264" s="3">
        <v>20</v>
      </c>
      <c r="D3264" s="3">
        <v>1</v>
      </c>
      <c r="G3264" s="53">
        <v>44075</v>
      </c>
      <c r="H3264" s="42" t="s">
        <v>238</v>
      </c>
    </row>
    <row r="3265" spans="1:8" x14ac:dyDescent="0.25">
      <c r="A3265" s="3" t="s">
        <v>3512</v>
      </c>
      <c r="B3265" s="42" t="s">
        <v>3</v>
      </c>
      <c r="C3265" s="3">
        <v>18</v>
      </c>
      <c r="D3265" s="3">
        <v>1</v>
      </c>
      <c r="G3265" s="53">
        <v>44075</v>
      </c>
      <c r="H3265" s="42" t="s">
        <v>238</v>
      </c>
    </row>
    <row r="3266" spans="1:8" x14ac:dyDescent="0.25">
      <c r="A3266" s="3" t="s">
        <v>3513</v>
      </c>
      <c r="B3266" s="42" t="s">
        <v>3</v>
      </c>
      <c r="C3266" s="3">
        <v>19</v>
      </c>
      <c r="D3266" s="3">
        <v>1</v>
      </c>
      <c r="G3266" s="53">
        <v>44075</v>
      </c>
      <c r="H3266" s="42" t="s">
        <v>238</v>
      </c>
    </row>
    <row r="3267" spans="1:8" x14ac:dyDescent="0.25">
      <c r="A3267" s="3" t="s">
        <v>3514</v>
      </c>
      <c r="B3267" s="42" t="s">
        <v>3</v>
      </c>
      <c r="C3267" s="3">
        <v>18</v>
      </c>
      <c r="D3267" s="3">
        <v>1</v>
      </c>
      <c r="G3267" s="53">
        <v>44075</v>
      </c>
      <c r="H3267" s="42" t="s">
        <v>238</v>
      </c>
    </row>
    <row r="3268" spans="1:8" x14ac:dyDescent="0.25">
      <c r="A3268" s="3" t="s">
        <v>3515</v>
      </c>
      <c r="B3268" s="42" t="s">
        <v>3</v>
      </c>
      <c r="C3268" s="3">
        <v>18</v>
      </c>
      <c r="D3268" s="3">
        <v>1</v>
      </c>
      <c r="G3268" s="53">
        <v>44075</v>
      </c>
      <c r="H3268" s="42" t="s">
        <v>238</v>
      </c>
    </row>
    <row r="3269" spans="1:8" x14ac:dyDescent="0.25">
      <c r="A3269" s="3" t="s">
        <v>3516</v>
      </c>
      <c r="B3269" s="42" t="s">
        <v>3</v>
      </c>
      <c r="C3269" s="3">
        <v>18</v>
      </c>
      <c r="D3269" s="3">
        <v>1</v>
      </c>
      <c r="G3269" s="53">
        <v>44075</v>
      </c>
      <c r="H3269" s="42" t="s">
        <v>238</v>
      </c>
    </row>
    <row r="3270" spans="1:8" x14ac:dyDescent="0.25">
      <c r="A3270" s="3" t="s">
        <v>3517</v>
      </c>
      <c r="B3270" s="42" t="s">
        <v>3</v>
      </c>
      <c r="C3270" s="3">
        <v>18</v>
      </c>
      <c r="D3270" s="3">
        <v>1</v>
      </c>
      <c r="G3270" s="53">
        <v>44075</v>
      </c>
      <c r="H3270" s="42" t="s">
        <v>238</v>
      </c>
    </row>
    <row r="3271" spans="1:8" x14ac:dyDescent="0.25">
      <c r="A3271" s="3" t="s">
        <v>3518</v>
      </c>
      <c r="B3271" s="42" t="s">
        <v>3</v>
      </c>
      <c r="C3271" s="3">
        <v>18</v>
      </c>
      <c r="D3271" s="3">
        <v>1</v>
      </c>
      <c r="G3271" s="53">
        <v>44075</v>
      </c>
      <c r="H3271" s="42" t="s">
        <v>238</v>
      </c>
    </row>
    <row r="3272" spans="1:8" x14ac:dyDescent="0.25">
      <c r="A3272" s="3" t="s">
        <v>3519</v>
      </c>
      <c r="B3272" s="42" t="s">
        <v>3</v>
      </c>
      <c r="C3272" s="3">
        <v>20</v>
      </c>
      <c r="D3272" s="3">
        <v>1</v>
      </c>
      <c r="G3272" s="53">
        <v>44075</v>
      </c>
      <c r="H3272" s="42" t="s">
        <v>238</v>
      </c>
    </row>
    <row r="3273" spans="1:8" x14ac:dyDescent="0.25">
      <c r="A3273" s="3" t="s">
        <v>3520</v>
      </c>
      <c r="B3273" s="42" t="s">
        <v>3</v>
      </c>
      <c r="C3273" s="3">
        <v>18</v>
      </c>
      <c r="D3273" s="3">
        <v>1</v>
      </c>
      <c r="G3273" s="53">
        <v>44075</v>
      </c>
      <c r="H3273" s="42" t="s">
        <v>238</v>
      </c>
    </row>
    <row r="3274" spans="1:8" x14ac:dyDescent="0.25">
      <c r="A3274" s="3" t="s">
        <v>3521</v>
      </c>
      <c r="B3274" s="42" t="s">
        <v>3</v>
      </c>
      <c r="C3274" s="3">
        <v>25</v>
      </c>
      <c r="D3274" s="3">
        <v>1</v>
      </c>
      <c r="G3274" s="53">
        <v>44075</v>
      </c>
      <c r="H3274" s="42" t="s">
        <v>238</v>
      </c>
    </row>
    <row r="3275" spans="1:8" x14ac:dyDescent="0.25">
      <c r="A3275" s="3" t="s">
        <v>3522</v>
      </c>
      <c r="B3275" s="42" t="s">
        <v>3</v>
      </c>
      <c r="C3275" s="3">
        <v>18</v>
      </c>
      <c r="D3275" s="3">
        <v>1</v>
      </c>
      <c r="G3275" s="53">
        <v>44075</v>
      </c>
      <c r="H3275" s="42" t="s">
        <v>238</v>
      </c>
    </row>
    <row r="3276" spans="1:8" x14ac:dyDescent="0.25">
      <c r="A3276" s="3" t="s">
        <v>3523</v>
      </c>
      <c r="B3276" s="42" t="s">
        <v>3</v>
      </c>
      <c r="C3276" s="3">
        <v>18</v>
      </c>
      <c r="D3276" s="3">
        <v>1</v>
      </c>
      <c r="G3276" s="53">
        <v>44075</v>
      </c>
      <c r="H3276" s="42" t="s">
        <v>238</v>
      </c>
    </row>
    <row r="3277" spans="1:8" x14ac:dyDescent="0.25">
      <c r="A3277" s="3" t="s">
        <v>3524</v>
      </c>
      <c r="B3277" s="42" t="s">
        <v>3</v>
      </c>
      <c r="C3277" s="3">
        <v>22</v>
      </c>
      <c r="D3277" s="3">
        <v>1</v>
      </c>
      <c r="G3277" s="53">
        <v>44075</v>
      </c>
      <c r="H3277" s="42" t="s">
        <v>238</v>
      </c>
    </row>
    <row r="3278" spans="1:8" x14ac:dyDescent="0.25">
      <c r="A3278" s="3" t="s">
        <v>3525</v>
      </c>
      <c r="B3278" s="42" t="s">
        <v>3</v>
      </c>
      <c r="C3278" s="3">
        <v>21</v>
      </c>
      <c r="D3278" s="3">
        <v>1</v>
      </c>
      <c r="G3278" s="53">
        <v>44075</v>
      </c>
      <c r="H3278" s="42" t="s">
        <v>238</v>
      </c>
    </row>
    <row r="3279" spans="1:8" x14ac:dyDescent="0.25">
      <c r="A3279" s="3" t="s">
        <v>3526</v>
      </c>
      <c r="B3279" s="42" t="s">
        <v>3</v>
      </c>
      <c r="C3279" s="3">
        <v>18</v>
      </c>
      <c r="D3279" s="3">
        <v>1</v>
      </c>
      <c r="G3279" s="53">
        <v>44075</v>
      </c>
      <c r="H3279" s="42" t="s">
        <v>238</v>
      </c>
    </row>
    <row r="3280" spans="1:8" x14ac:dyDescent="0.25">
      <c r="A3280" s="3" t="s">
        <v>3527</v>
      </c>
      <c r="B3280" s="42" t="s">
        <v>3</v>
      </c>
      <c r="C3280" s="3">
        <v>18</v>
      </c>
      <c r="D3280" s="3">
        <v>1</v>
      </c>
      <c r="G3280" s="53">
        <v>44075</v>
      </c>
      <c r="H3280" s="42" t="s">
        <v>238</v>
      </c>
    </row>
    <row r="3281" spans="1:8" x14ac:dyDescent="0.25">
      <c r="A3281" s="3" t="s">
        <v>3528</v>
      </c>
      <c r="B3281" s="42" t="s">
        <v>3</v>
      </c>
      <c r="C3281" s="3">
        <v>18</v>
      </c>
      <c r="D3281" s="3">
        <v>1</v>
      </c>
      <c r="G3281" s="53">
        <v>44075</v>
      </c>
      <c r="H3281" s="42" t="s">
        <v>238</v>
      </c>
    </row>
    <row r="3282" spans="1:8" x14ac:dyDescent="0.25">
      <c r="A3282" s="3" t="s">
        <v>3529</v>
      </c>
      <c r="B3282" s="42" t="s">
        <v>3</v>
      </c>
      <c r="C3282" s="3">
        <v>18</v>
      </c>
      <c r="D3282" s="3">
        <v>1</v>
      </c>
      <c r="G3282" s="53">
        <v>44075</v>
      </c>
      <c r="H3282" s="42" t="s">
        <v>238</v>
      </c>
    </row>
    <row r="3283" spans="1:8" x14ac:dyDescent="0.25">
      <c r="A3283" s="3" t="s">
        <v>3530</v>
      </c>
      <c r="B3283" s="42" t="s">
        <v>3</v>
      </c>
      <c r="C3283" s="3">
        <v>18</v>
      </c>
      <c r="D3283" s="3">
        <v>1</v>
      </c>
      <c r="G3283" s="53">
        <v>44075</v>
      </c>
      <c r="H3283" s="42" t="s">
        <v>238</v>
      </c>
    </row>
    <row r="3284" spans="1:8" x14ac:dyDescent="0.25">
      <c r="A3284" s="3" t="s">
        <v>3531</v>
      </c>
      <c r="B3284" s="42" t="s">
        <v>3</v>
      </c>
      <c r="C3284" s="3">
        <v>19</v>
      </c>
      <c r="D3284" s="3">
        <v>1</v>
      </c>
      <c r="G3284" s="53">
        <v>44075</v>
      </c>
      <c r="H3284" s="42" t="s">
        <v>238</v>
      </c>
    </row>
    <row r="3285" spans="1:8" x14ac:dyDescent="0.25">
      <c r="A3285" s="3" t="s">
        <v>3532</v>
      </c>
      <c r="B3285" s="42" t="s">
        <v>3</v>
      </c>
      <c r="C3285" s="3">
        <v>18</v>
      </c>
      <c r="D3285" s="3">
        <v>1</v>
      </c>
      <c r="G3285" s="53">
        <v>44075</v>
      </c>
      <c r="H3285" s="42" t="s">
        <v>238</v>
      </c>
    </row>
    <row r="3286" spans="1:8" x14ac:dyDescent="0.25">
      <c r="A3286" s="3" t="s">
        <v>3533</v>
      </c>
      <c r="B3286" s="42" t="s">
        <v>3</v>
      </c>
      <c r="C3286" s="3">
        <v>19</v>
      </c>
      <c r="D3286" s="3">
        <v>1</v>
      </c>
      <c r="G3286" s="53">
        <v>44075</v>
      </c>
      <c r="H3286" s="42" t="s">
        <v>238</v>
      </c>
    </row>
    <row r="3287" spans="1:8" x14ac:dyDescent="0.25">
      <c r="A3287" s="3" t="s">
        <v>3534</v>
      </c>
      <c r="B3287" s="42" t="s">
        <v>3</v>
      </c>
      <c r="C3287" s="3">
        <v>18</v>
      </c>
      <c r="D3287" s="3">
        <v>1</v>
      </c>
      <c r="G3287" s="53">
        <v>44075</v>
      </c>
      <c r="H3287" s="42" t="s">
        <v>238</v>
      </c>
    </row>
    <row r="3288" spans="1:8" x14ac:dyDescent="0.25">
      <c r="A3288" s="3" t="s">
        <v>3535</v>
      </c>
      <c r="B3288" s="42" t="s">
        <v>3</v>
      </c>
      <c r="C3288" s="3">
        <v>20</v>
      </c>
      <c r="D3288" s="3">
        <v>1</v>
      </c>
      <c r="G3288" s="53">
        <v>44075</v>
      </c>
      <c r="H3288" s="42" t="s">
        <v>238</v>
      </c>
    </row>
    <row r="3289" spans="1:8" x14ac:dyDescent="0.25">
      <c r="A3289" s="3" t="s">
        <v>3536</v>
      </c>
      <c r="B3289" s="42" t="s">
        <v>3</v>
      </c>
      <c r="C3289" s="3">
        <v>18</v>
      </c>
      <c r="D3289" s="3">
        <v>1</v>
      </c>
      <c r="G3289" s="53">
        <v>44075</v>
      </c>
      <c r="H3289" s="42" t="s">
        <v>238</v>
      </c>
    </row>
    <row r="3290" spans="1:8" x14ac:dyDescent="0.25">
      <c r="A3290" s="3" t="s">
        <v>3537</v>
      </c>
      <c r="B3290" s="42" t="s">
        <v>3</v>
      </c>
      <c r="C3290" s="3">
        <v>18</v>
      </c>
      <c r="D3290" s="3">
        <v>1</v>
      </c>
      <c r="G3290" s="53">
        <v>44075</v>
      </c>
      <c r="H3290" s="42" t="s">
        <v>238</v>
      </c>
    </row>
    <row r="3291" spans="1:8" x14ac:dyDescent="0.25">
      <c r="A3291" s="3" t="s">
        <v>3538</v>
      </c>
      <c r="B3291" s="42" t="s">
        <v>3</v>
      </c>
      <c r="C3291" s="3">
        <v>18</v>
      </c>
      <c r="D3291" s="3">
        <v>1</v>
      </c>
      <c r="G3291" s="53">
        <v>44075</v>
      </c>
      <c r="H3291" s="42" t="s">
        <v>238</v>
      </c>
    </row>
    <row r="3292" spans="1:8" x14ac:dyDescent="0.25">
      <c r="A3292" s="3" t="s">
        <v>3539</v>
      </c>
      <c r="B3292" s="42" t="s">
        <v>3</v>
      </c>
      <c r="C3292" s="3">
        <v>18</v>
      </c>
      <c r="D3292" s="3">
        <v>1</v>
      </c>
      <c r="G3292" s="53">
        <v>44075</v>
      </c>
      <c r="H3292" s="42" t="s">
        <v>238</v>
      </c>
    </row>
    <row r="3293" spans="1:8" x14ac:dyDescent="0.25">
      <c r="A3293" s="3" t="s">
        <v>3540</v>
      </c>
      <c r="B3293" s="42" t="s">
        <v>3</v>
      </c>
      <c r="C3293" s="3">
        <v>19</v>
      </c>
      <c r="D3293" s="3">
        <v>1</v>
      </c>
      <c r="G3293" s="53">
        <v>44075</v>
      </c>
      <c r="H3293" s="42" t="s">
        <v>238</v>
      </c>
    </row>
    <row r="3294" spans="1:8" x14ac:dyDescent="0.25">
      <c r="A3294" s="3" t="s">
        <v>3541</v>
      </c>
      <c r="B3294" s="42" t="s">
        <v>3</v>
      </c>
      <c r="C3294" s="3">
        <v>28</v>
      </c>
      <c r="D3294" s="3">
        <v>1</v>
      </c>
      <c r="G3294" s="53">
        <v>44075</v>
      </c>
      <c r="H3294" s="42" t="s">
        <v>238</v>
      </c>
    </row>
    <row r="3295" spans="1:8" x14ac:dyDescent="0.25">
      <c r="A3295" s="3" t="s">
        <v>3542</v>
      </c>
      <c r="B3295" s="42" t="s">
        <v>3</v>
      </c>
      <c r="C3295" s="3">
        <v>19</v>
      </c>
      <c r="D3295" s="3">
        <v>1</v>
      </c>
      <c r="G3295" s="53">
        <v>44075</v>
      </c>
      <c r="H3295" s="42" t="s">
        <v>238</v>
      </c>
    </row>
    <row r="3296" spans="1:8" x14ac:dyDescent="0.25">
      <c r="A3296" s="3" t="s">
        <v>3543</v>
      </c>
      <c r="B3296" s="42" t="s">
        <v>3</v>
      </c>
      <c r="C3296" s="3">
        <v>24</v>
      </c>
      <c r="D3296" s="3">
        <v>1</v>
      </c>
      <c r="G3296" s="53">
        <v>44075</v>
      </c>
      <c r="H3296" s="42" t="s">
        <v>238</v>
      </c>
    </row>
    <row r="3297" spans="1:8" x14ac:dyDescent="0.25">
      <c r="A3297" s="3" t="s">
        <v>3544</v>
      </c>
      <c r="B3297" s="42" t="s">
        <v>3</v>
      </c>
      <c r="C3297" s="3">
        <v>18</v>
      </c>
      <c r="D3297" s="3">
        <v>1</v>
      </c>
      <c r="G3297" s="53">
        <v>44075</v>
      </c>
      <c r="H3297" s="42" t="s">
        <v>238</v>
      </c>
    </row>
    <row r="3298" spans="1:8" x14ac:dyDescent="0.25">
      <c r="A3298" s="3" t="s">
        <v>3545</v>
      </c>
      <c r="B3298" s="42" t="s">
        <v>3</v>
      </c>
      <c r="C3298" s="3">
        <v>18</v>
      </c>
      <c r="D3298" s="3">
        <v>1</v>
      </c>
      <c r="G3298" s="53">
        <v>44075</v>
      </c>
      <c r="H3298" s="42" t="s">
        <v>238</v>
      </c>
    </row>
    <row r="3299" spans="1:8" x14ac:dyDescent="0.25">
      <c r="A3299" s="3" t="s">
        <v>3546</v>
      </c>
      <c r="B3299" s="42" t="s">
        <v>3</v>
      </c>
      <c r="C3299" s="3">
        <v>18</v>
      </c>
      <c r="D3299" s="3">
        <v>1</v>
      </c>
      <c r="G3299" s="53">
        <v>44075</v>
      </c>
      <c r="H3299" s="42" t="s">
        <v>238</v>
      </c>
    </row>
    <row r="3300" spans="1:8" x14ac:dyDescent="0.25">
      <c r="A3300" s="3" t="s">
        <v>3547</v>
      </c>
      <c r="B3300" s="42" t="s">
        <v>3</v>
      </c>
      <c r="C3300" s="3">
        <v>19</v>
      </c>
      <c r="D3300" s="3">
        <v>1</v>
      </c>
      <c r="G3300" s="53">
        <v>44075</v>
      </c>
      <c r="H3300" s="42" t="s">
        <v>238</v>
      </c>
    </row>
    <row r="3301" spans="1:8" x14ac:dyDescent="0.25">
      <c r="A3301" s="3" t="s">
        <v>3548</v>
      </c>
      <c r="B3301" s="42" t="s">
        <v>3</v>
      </c>
      <c r="C3301" s="3">
        <v>19</v>
      </c>
      <c r="D3301" s="3">
        <v>1</v>
      </c>
      <c r="G3301" s="53">
        <v>44075</v>
      </c>
      <c r="H3301" s="42" t="s">
        <v>238</v>
      </c>
    </row>
    <row r="3302" spans="1:8" x14ac:dyDescent="0.25">
      <c r="A3302" s="3" t="s">
        <v>3549</v>
      </c>
      <c r="B3302" s="42" t="s">
        <v>3</v>
      </c>
      <c r="C3302" s="3">
        <v>20</v>
      </c>
      <c r="D3302" s="3">
        <v>1</v>
      </c>
      <c r="G3302" s="53">
        <v>44075</v>
      </c>
      <c r="H3302" s="42" t="s">
        <v>238</v>
      </c>
    </row>
    <row r="3303" spans="1:8" x14ac:dyDescent="0.25">
      <c r="A3303" s="3" t="s">
        <v>3550</v>
      </c>
      <c r="B3303" s="42" t="s">
        <v>3</v>
      </c>
      <c r="C3303" s="3">
        <v>20</v>
      </c>
      <c r="D3303" s="3">
        <v>1</v>
      </c>
      <c r="G3303" s="53">
        <v>44075</v>
      </c>
      <c r="H3303" s="42" t="s">
        <v>238</v>
      </c>
    </row>
    <row r="3304" spans="1:8" x14ac:dyDescent="0.25">
      <c r="A3304" s="3" t="s">
        <v>3551</v>
      </c>
      <c r="B3304" s="42" t="s">
        <v>3</v>
      </c>
      <c r="C3304" s="3">
        <v>19</v>
      </c>
      <c r="D3304" s="3">
        <v>1</v>
      </c>
      <c r="G3304" s="53">
        <v>44075</v>
      </c>
      <c r="H3304" s="42" t="s">
        <v>238</v>
      </c>
    </row>
    <row r="3305" spans="1:8" x14ac:dyDescent="0.25">
      <c r="A3305" s="3" t="s">
        <v>3552</v>
      </c>
      <c r="B3305" s="42" t="s">
        <v>3</v>
      </c>
      <c r="C3305" s="3">
        <v>18</v>
      </c>
      <c r="D3305" s="3">
        <v>1</v>
      </c>
      <c r="G3305" s="53">
        <v>44075</v>
      </c>
      <c r="H3305" s="42" t="s">
        <v>238</v>
      </c>
    </row>
    <row r="3306" spans="1:8" x14ac:dyDescent="0.25">
      <c r="A3306" s="3" t="s">
        <v>3553</v>
      </c>
      <c r="B3306" s="42" t="s">
        <v>3</v>
      </c>
      <c r="C3306" s="3">
        <v>19</v>
      </c>
      <c r="D3306" s="3">
        <v>1</v>
      </c>
      <c r="G3306" s="53">
        <v>44075</v>
      </c>
      <c r="H3306" s="42" t="s">
        <v>238</v>
      </c>
    </row>
    <row r="3307" spans="1:8" x14ac:dyDescent="0.25">
      <c r="A3307" s="3" t="s">
        <v>3554</v>
      </c>
      <c r="B3307" s="42" t="s">
        <v>3</v>
      </c>
      <c r="C3307" s="3">
        <v>20</v>
      </c>
      <c r="D3307" s="3">
        <v>1</v>
      </c>
      <c r="G3307" s="53">
        <v>44075</v>
      </c>
      <c r="H3307" s="42" t="s">
        <v>238</v>
      </c>
    </row>
    <row r="3308" spans="1:8" x14ac:dyDescent="0.25">
      <c r="A3308" s="3" t="s">
        <v>3555</v>
      </c>
      <c r="B3308" s="42" t="s">
        <v>3</v>
      </c>
      <c r="C3308" s="3">
        <v>19</v>
      </c>
      <c r="D3308" s="3">
        <v>1</v>
      </c>
      <c r="G3308" s="53">
        <v>44075</v>
      </c>
      <c r="H3308" s="42" t="s">
        <v>238</v>
      </c>
    </row>
    <row r="3309" spans="1:8" x14ac:dyDescent="0.25">
      <c r="A3309" s="3" t="s">
        <v>3556</v>
      </c>
      <c r="B3309" s="42" t="s">
        <v>3</v>
      </c>
      <c r="C3309" s="3">
        <v>19</v>
      </c>
      <c r="D3309" s="3">
        <v>1</v>
      </c>
      <c r="G3309" s="53">
        <v>44075</v>
      </c>
      <c r="H3309" s="42" t="s">
        <v>238</v>
      </c>
    </row>
    <row r="3310" spans="1:8" x14ac:dyDescent="0.25">
      <c r="A3310" s="3" t="s">
        <v>3557</v>
      </c>
      <c r="B3310" s="42" t="s">
        <v>3</v>
      </c>
      <c r="C3310" s="3">
        <v>19</v>
      </c>
      <c r="D3310" s="3">
        <v>1</v>
      </c>
      <c r="G3310" s="53">
        <v>44075</v>
      </c>
      <c r="H3310" s="42" t="s">
        <v>238</v>
      </c>
    </row>
    <row r="3311" spans="1:8" x14ac:dyDescent="0.25">
      <c r="A3311" s="3" t="s">
        <v>3558</v>
      </c>
      <c r="B3311" s="42" t="s">
        <v>3</v>
      </c>
      <c r="C3311" s="3">
        <v>19</v>
      </c>
      <c r="D3311" s="3">
        <v>1</v>
      </c>
      <c r="G3311" s="53">
        <v>44075</v>
      </c>
      <c r="H3311" s="42" t="s">
        <v>238</v>
      </c>
    </row>
    <row r="3312" spans="1:8" x14ac:dyDescent="0.25">
      <c r="A3312" s="3" t="s">
        <v>3559</v>
      </c>
      <c r="B3312" s="42" t="s">
        <v>3</v>
      </c>
      <c r="C3312" s="3">
        <v>20</v>
      </c>
      <c r="D3312" s="3">
        <v>1</v>
      </c>
      <c r="G3312" s="53">
        <v>44075</v>
      </c>
      <c r="H3312" s="42" t="s">
        <v>238</v>
      </c>
    </row>
    <row r="3313" spans="1:8" x14ac:dyDescent="0.25">
      <c r="A3313" s="3" t="s">
        <v>3560</v>
      </c>
      <c r="B3313" s="42" t="s">
        <v>3</v>
      </c>
      <c r="C3313" s="3">
        <v>23</v>
      </c>
      <c r="D3313" s="3">
        <v>1</v>
      </c>
      <c r="G3313" s="53">
        <v>44075</v>
      </c>
      <c r="H3313" s="42" t="s">
        <v>238</v>
      </c>
    </row>
    <row r="3314" spans="1:8" x14ac:dyDescent="0.25">
      <c r="A3314" s="3" t="s">
        <v>3561</v>
      </c>
      <c r="B3314" s="42" t="s">
        <v>3</v>
      </c>
      <c r="C3314" s="3">
        <v>18</v>
      </c>
      <c r="D3314" s="3">
        <v>1</v>
      </c>
      <c r="G3314" s="53">
        <v>44075</v>
      </c>
      <c r="H3314" s="42" t="s">
        <v>238</v>
      </c>
    </row>
    <row r="3315" spans="1:8" x14ac:dyDescent="0.25">
      <c r="A3315" s="3" t="s">
        <v>3562</v>
      </c>
      <c r="B3315" s="42" t="s">
        <v>3</v>
      </c>
      <c r="C3315" s="3">
        <v>18</v>
      </c>
      <c r="D3315" s="3">
        <v>1</v>
      </c>
      <c r="G3315" s="53">
        <v>44075</v>
      </c>
      <c r="H3315" s="42" t="s">
        <v>238</v>
      </c>
    </row>
    <row r="3316" spans="1:8" x14ac:dyDescent="0.25">
      <c r="A3316" s="3" t="s">
        <v>3563</v>
      </c>
      <c r="B3316" s="42" t="s">
        <v>3</v>
      </c>
      <c r="C3316" s="3">
        <v>18</v>
      </c>
      <c r="D3316" s="3">
        <v>1</v>
      </c>
      <c r="G3316" s="53">
        <v>44075</v>
      </c>
      <c r="H3316" s="42" t="s">
        <v>238</v>
      </c>
    </row>
    <row r="3317" spans="1:8" x14ac:dyDescent="0.25">
      <c r="A3317" s="3" t="s">
        <v>3564</v>
      </c>
      <c r="B3317" s="42" t="s">
        <v>3</v>
      </c>
      <c r="C3317" s="3">
        <v>18</v>
      </c>
      <c r="D3317" s="3">
        <v>1</v>
      </c>
      <c r="G3317" s="53">
        <v>44076</v>
      </c>
      <c r="H3317" s="42" t="s">
        <v>238</v>
      </c>
    </row>
    <row r="3318" spans="1:8" x14ac:dyDescent="0.25">
      <c r="A3318" s="3" t="s">
        <v>3565</v>
      </c>
      <c r="B3318" s="42" t="s">
        <v>3</v>
      </c>
      <c r="C3318" s="3">
        <v>18</v>
      </c>
      <c r="D3318" s="3">
        <v>1</v>
      </c>
      <c r="G3318" s="53">
        <v>44076</v>
      </c>
      <c r="H3318" s="42" t="s">
        <v>238</v>
      </c>
    </row>
    <row r="3319" spans="1:8" x14ac:dyDescent="0.25">
      <c r="A3319" s="3" t="s">
        <v>3566</v>
      </c>
      <c r="B3319" s="42" t="s">
        <v>3</v>
      </c>
      <c r="C3319" s="3">
        <v>18</v>
      </c>
      <c r="D3319" s="3">
        <v>1</v>
      </c>
      <c r="G3319" s="53">
        <v>44076</v>
      </c>
      <c r="H3319" s="42" t="s">
        <v>238</v>
      </c>
    </row>
    <row r="3320" spans="1:8" x14ac:dyDescent="0.25">
      <c r="A3320" s="3" t="s">
        <v>3567</v>
      </c>
      <c r="B3320" s="42" t="s">
        <v>3</v>
      </c>
      <c r="C3320" s="3">
        <v>25</v>
      </c>
      <c r="D3320" s="3">
        <v>1</v>
      </c>
      <c r="G3320" s="53">
        <v>44076</v>
      </c>
      <c r="H3320" s="42" t="s">
        <v>238</v>
      </c>
    </row>
    <row r="3321" spans="1:8" x14ac:dyDescent="0.25">
      <c r="A3321" s="3" t="s">
        <v>3568</v>
      </c>
      <c r="B3321" s="42" t="s">
        <v>3</v>
      </c>
      <c r="C3321" s="3">
        <v>19</v>
      </c>
      <c r="D3321" s="3">
        <v>1</v>
      </c>
      <c r="G3321" s="53">
        <v>44076</v>
      </c>
      <c r="H3321" s="42" t="s">
        <v>238</v>
      </c>
    </row>
    <row r="3322" spans="1:8" x14ac:dyDescent="0.25">
      <c r="A3322" s="3" t="s">
        <v>3569</v>
      </c>
      <c r="B3322" s="42" t="s">
        <v>3</v>
      </c>
      <c r="C3322" s="3">
        <v>21</v>
      </c>
      <c r="D3322" s="3">
        <v>1</v>
      </c>
      <c r="G3322" s="53">
        <v>44076</v>
      </c>
      <c r="H3322" s="42" t="s">
        <v>238</v>
      </c>
    </row>
    <row r="3323" spans="1:8" x14ac:dyDescent="0.25">
      <c r="A3323" s="3" t="s">
        <v>3570</v>
      </c>
      <c r="B3323" s="42" t="s">
        <v>3</v>
      </c>
      <c r="C3323" s="3">
        <v>18</v>
      </c>
      <c r="D3323" s="3">
        <v>1</v>
      </c>
      <c r="G3323" s="53">
        <v>44076</v>
      </c>
      <c r="H3323" s="42" t="s">
        <v>238</v>
      </c>
    </row>
    <row r="3324" spans="1:8" x14ac:dyDescent="0.25">
      <c r="A3324" s="3" t="s">
        <v>3571</v>
      </c>
      <c r="B3324" s="42" t="s">
        <v>3</v>
      </c>
      <c r="C3324" s="3">
        <v>18</v>
      </c>
      <c r="D3324" s="3">
        <v>1</v>
      </c>
      <c r="G3324" s="53">
        <v>44076</v>
      </c>
      <c r="H3324" s="42" t="s">
        <v>238</v>
      </c>
    </row>
    <row r="3325" spans="1:8" x14ac:dyDescent="0.25">
      <c r="A3325" s="3" t="s">
        <v>3572</v>
      </c>
      <c r="B3325" s="42" t="s">
        <v>3</v>
      </c>
      <c r="C3325" s="3">
        <v>18</v>
      </c>
      <c r="D3325" s="3">
        <v>1</v>
      </c>
      <c r="G3325" s="53">
        <v>44076</v>
      </c>
      <c r="H3325" s="42" t="s">
        <v>238</v>
      </c>
    </row>
    <row r="3326" spans="1:8" x14ac:dyDescent="0.25">
      <c r="A3326" s="3" t="s">
        <v>3573</v>
      </c>
      <c r="B3326" s="42" t="s">
        <v>3</v>
      </c>
      <c r="C3326" s="3">
        <v>18</v>
      </c>
      <c r="D3326" s="3">
        <v>1</v>
      </c>
      <c r="G3326" s="53">
        <v>44076</v>
      </c>
      <c r="H3326" s="42" t="s">
        <v>238</v>
      </c>
    </row>
    <row r="3327" spans="1:8" x14ac:dyDescent="0.25">
      <c r="A3327" s="3" t="s">
        <v>3574</v>
      </c>
      <c r="B3327" s="42" t="s">
        <v>3</v>
      </c>
      <c r="C3327" s="3">
        <v>20</v>
      </c>
      <c r="D3327" s="3">
        <v>1</v>
      </c>
      <c r="G3327" s="53">
        <v>44076</v>
      </c>
      <c r="H3327" s="42" t="s">
        <v>238</v>
      </c>
    </row>
    <row r="3328" spans="1:8" x14ac:dyDescent="0.25">
      <c r="A3328" s="3" t="s">
        <v>3575</v>
      </c>
      <c r="B3328" s="42" t="s">
        <v>3</v>
      </c>
      <c r="C3328" s="3">
        <v>22</v>
      </c>
      <c r="D3328" s="3">
        <v>1</v>
      </c>
      <c r="G3328" s="53">
        <v>44076</v>
      </c>
      <c r="H3328" s="42" t="s">
        <v>238</v>
      </c>
    </row>
    <row r="3329" spans="1:8" x14ac:dyDescent="0.25">
      <c r="A3329" s="3" t="s">
        <v>3576</v>
      </c>
      <c r="B3329" s="42" t="s">
        <v>3</v>
      </c>
      <c r="C3329" s="3">
        <v>19</v>
      </c>
      <c r="D3329" s="3">
        <v>1</v>
      </c>
      <c r="G3329" s="53">
        <v>44076</v>
      </c>
      <c r="H3329" s="42" t="s">
        <v>238</v>
      </c>
    </row>
    <row r="3330" spans="1:8" x14ac:dyDescent="0.25">
      <c r="A3330" s="3" t="s">
        <v>3577</v>
      </c>
      <c r="B3330" s="42" t="s">
        <v>3</v>
      </c>
      <c r="C3330" s="3">
        <v>19</v>
      </c>
      <c r="D3330" s="3">
        <v>1</v>
      </c>
      <c r="G3330" s="53">
        <v>44076</v>
      </c>
      <c r="H3330" s="42" t="s">
        <v>238</v>
      </c>
    </row>
    <row r="3331" spans="1:8" x14ac:dyDescent="0.25">
      <c r="A3331" s="3" t="s">
        <v>3578</v>
      </c>
      <c r="B3331" s="42" t="s">
        <v>3</v>
      </c>
      <c r="C3331" s="3">
        <v>18</v>
      </c>
      <c r="D3331" s="3">
        <v>1</v>
      </c>
      <c r="G3331" s="53">
        <v>44076</v>
      </c>
      <c r="H3331" s="42" t="s">
        <v>238</v>
      </c>
    </row>
    <row r="3332" spans="1:8" x14ac:dyDescent="0.25">
      <c r="A3332" s="3" t="s">
        <v>3579</v>
      </c>
      <c r="B3332" s="42" t="s">
        <v>3</v>
      </c>
      <c r="C3332" s="3">
        <v>18</v>
      </c>
      <c r="D3332" s="3">
        <v>1</v>
      </c>
      <c r="G3332" s="53">
        <v>44076</v>
      </c>
      <c r="H3332" s="42" t="s">
        <v>238</v>
      </c>
    </row>
    <row r="3333" spans="1:8" x14ac:dyDescent="0.25">
      <c r="A3333" s="3" t="s">
        <v>3580</v>
      </c>
      <c r="B3333" s="42" t="s">
        <v>3</v>
      </c>
      <c r="C3333" s="3">
        <v>19</v>
      </c>
      <c r="D3333" s="3">
        <v>1</v>
      </c>
      <c r="G3333" s="53">
        <v>44076</v>
      </c>
      <c r="H3333" s="42" t="s">
        <v>238</v>
      </c>
    </row>
    <row r="3334" spans="1:8" x14ac:dyDescent="0.25">
      <c r="A3334" s="3" t="s">
        <v>3581</v>
      </c>
      <c r="B3334" s="42" t="s">
        <v>3</v>
      </c>
      <c r="C3334" s="3">
        <v>18</v>
      </c>
      <c r="D3334" s="3">
        <v>1</v>
      </c>
      <c r="G3334" s="53">
        <v>44076</v>
      </c>
      <c r="H3334" s="42" t="s">
        <v>238</v>
      </c>
    </row>
    <row r="3335" spans="1:8" x14ac:dyDescent="0.25">
      <c r="A3335" s="3" t="s">
        <v>3582</v>
      </c>
      <c r="B3335" s="42" t="s">
        <v>3</v>
      </c>
      <c r="C3335" s="3">
        <v>18</v>
      </c>
      <c r="D3335" s="3">
        <v>1</v>
      </c>
      <c r="G3335" s="53">
        <v>44076</v>
      </c>
      <c r="H3335" s="42" t="s">
        <v>238</v>
      </c>
    </row>
    <row r="3336" spans="1:8" x14ac:dyDescent="0.25">
      <c r="A3336" s="3" t="s">
        <v>3583</v>
      </c>
      <c r="B3336" s="42" t="s">
        <v>3</v>
      </c>
      <c r="C3336" s="3">
        <v>18</v>
      </c>
      <c r="D3336" s="3">
        <v>1</v>
      </c>
      <c r="G3336" s="53">
        <v>44076</v>
      </c>
      <c r="H3336" s="42" t="s">
        <v>238</v>
      </c>
    </row>
    <row r="3337" spans="1:8" x14ac:dyDescent="0.25">
      <c r="A3337" s="3" t="s">
        <v>3584</v>
      </c>
      <c r="B3337" s="42" t="s">
        <v>3</v>
      </c>
      <c r="C3337" s="3">
        <v>20</v>
      </c>
      <c r="D3337" s="3">
        <v>1</v>
      </c>
      <c r="G3337" s="53">
        <v>44076</v>
      </c>
      <c r="H3337" s="42" t="s">
        <v>238</v>
      </c>
    </row>
    <row r="3338" spans="1:8" x14ac:dyDescent="0.25">
      <c r="A3338" s="3" t="s">
        <v>3585</v>
      </c>
      <c r="B3338" s="42" t="s">
        <v>3</v>
      </c>
      <c r="C3338" s="3">
        <v>18</v>
      </c>
      <c r="D3338" s="3">
        <v>1</v>
      </c>
      <c r="G3338" s="53">
        <v>44076</v>
      </c>
      <c r="H3338" s="42" t="s">
        <v>238</v>
      </c>
    </row>
    <row r="3339" spans="1:8" x14ac:dyDescent="0.25">
      <c r="A3339" s="3" t="s">
        <v>3586</v>
      </c>
      <c r="B3339" s="42" t="s">
        <v>3</v>
      </c>
      <c r="C3339" s="3">
        <v>21</v>
      </c>
      <c r="D3339" s="3">
        <v>1</v>
      </c>
      <c r="G3339" s="53">
        <v>44076</v>
      </c>
      <c r="H3339" s="42" t="s">
        <v>238</v>
      </c>
    </row>
    <row r="3340" spans="1:8" x14ac:dyDescent="0.25">
      <c r="A3340" s="3" t="s">
        <v>3587</v>
      </c>
      <c r="B3340" s="42" t="s">
        <v>3</v>
      </c>
      <c r="C3340" s="3">
        <v>19</v>
      </c>
      <c r="D3340" s="3">
        <v>1</v>
      </c>
      <c r="G3340" s="53">
        <v>44076</v>
      </c>
      <c r="H3340" s="42" t="s">
        <v>238</v>
      </c>
    </row>
    <row r="3341" spans="1:8" x14ac:dyDescent="0.25">
      <c r="A3341" s="3" t="s">
        <v>3588</v>
      </c>
      <c r="B3341" s="42" t="s">
        <v>3</v>
      </c>
      <c r="C3341" s="3">
        <v>18</v>
      </c>
      <c r="D3341" s="3">
        <v>2</v>
      </c>
      <c r="G3341" s="53">
        <v>44076</v>
      </c>
      <c r="H3341" s="42" t="s">
        <v>238</v>
      </c>
    </row>
    <row r="3342" spans="1:8" x14ac:dyDescent="0.25">
      <c r="A3342" s="3" t="s">
        <v>3589</v>
      </c>
      <c r="B3342" s="42" t="s">
        <v>3</v>
      </c>
      <c r="C3342" s="3">
        <v>18</v>
      </c>
      <c r="D3342" s="3">
        <v>2</v>
      </c>
      <c r="G3342" s="53">
        <v>44076</v>
      </c>
      <c r="H3342" s="42" t="s">
        <v>238</v>
      </c>
    </row>
    <row r="3343" spans="1:8" x14ac:dyDescent="0.25">
      <c r="A3343" s="3" t="s">
        <v>3590</v>
      </c>
      <c r="B3343" s="42" t="s">
        <v>3</v>
      </c>
      <c r="C3343" s="3">
        <v>18</v>
      </c>
      <c r="D3343" s="3">
        <v>2</v>
      </c>
      <c r="G3343" s="53">
        <v>44076</v>
      </c>
      <c r="H3343" s="42" t="s">
        <v>238</v>
      </c>
    </row>
    <row r="3344" spans="1:8" x14ac:dyDescent="0.25">
      <c r="A3344" s="3" t="s">
        <v>3591</v>
      </c>
      <c r="B3344" s="42" t="s">
        <v>3</v>
      </c>
      <c r="C3344" s="3">
        <v>18</v>
      </c>
      <c r="D3344" s="3">
        <v>2</v>
      </c>
      <c r="G3344" s="53">
        <v>44076</v>
      </c>
      <c r="H3344" s="42" t="s">
        <v>238</v>
      </c>
    </row>
    <row r="3345" spans="1:8" x14ac:dyDescent="0.25">
      <c r="A3345" s="3" t="s">
        <v>3592</v>
      </c>
      <c r="B3345" s="42" t="s">
        <v>3</v>
      </c>
      <c r="C3345" s="3">
        <v>18</v>
      </c>
      <c r="D3345" s="3">
        <v>2</v>
      </c>
      <c r="G3345" s="53">
        <v>44076</v>
      </c>
      <c r="H3345" s="42" t="s">
        <v>238</v>
      </c>
    </row>
    <row r="3346" spans="1:8" x14ac:dyDescent="0.25">
      <c r="A3346" s="3" t="s">
        <v>3593</v>
      </c>
      <c r="B3346" s="42" t="s">
        <v>120</v>
      </c>
      <c r="C3346" s="3">
        <v>18</v>
      </c>
      <c r="D3346" s="3">
        <v>2</v>
      </c>
      <c r="E3346" s="42" t="s">
        <v>160</v>
      </c>
      <c r="G3346" s="53">
        <v>44076</v>
      </c>
      <c r="H3346" s="42" t="s">
        <v>238</v>
      </c>
    </row>
    <row r="3347" spans="1:8" x14ac:dyDescent="0.25">
      <c r="A3347" s="3" t="s">
        <v>3594</v>
      </c>
      <c r="B3347" s="42" t="s">
        <v>3</v>
      </c>
      <c r="C3347" s="3">
        <v>19</v>
      </c>
      <c r="D3347" s="3">
        <v>2</v>
      </c>
      <c r="G3347" s="53">
        <v>44076</v>
      </c>
      <c r="H3347" s="42" t="s">
        <v>238</v>
      </c>
    </row>
    <row r="3348" spans="1:8" x14ac:dyDescent="0.25">
      <c r="A3348" s="3" t="s">
        <v>3595</v>
      </c>
      <c r="B3348" s="42" t="s">
        <v>3</v>
      </c>
      <c r="C3348" s="3">
        <v>19</v>
      </c>
      <c r="D3348" s="3">
        <v>2</v>
      </c>
      <c r="G3348" s="53">
        <v>44076</v>
      </c>
      <c r="H3348" s="42" t="s">
        <v>238</v>
      </c>
    </row>
    <row r="3349" spans="1:8" x14ac:dyDescent="0.25">
      <c r="A3349" s="3" t="s">
        <v>3596</v>
      </c>
      <c r="B3349" s="42" t="s">
        <v>3</v>
      </c>
      <c r="C3349" s="3">
        <v>23</v>
      </c>
      <c r="D3349" s="3">
        <v>2</v>
      </c>
      <c r="G3349" s="53">
        <v>44076</v>
      </c>
      <c r="H3349" s="42" t="s">
        <v>238</v>
      </c>
    </row>
    <row r="3350" spans="1:8" x14ac:dyDescent="0.25">
      <c r="A3350" s="3" t="s">
        <v>3597</v>
      </c>
      <c r="B3350" s="42" t="s">
        <v>3</v>
      </c>
      <c r="C3350" s="3">
        <v>18</v>
      </c>
      <c r="D3350" s="3">
        <v>2</v>
      </c>
      <c r="G3350" s="53">
        <v>44076</v>
      </c>
      <c r="H3350" s="42" t="s">
        <v>238</v>
      </c>
    </row>
    <row r="3351" spans="1:8" x14ac:dyDescent="0.25">
      <c r="A3351" s="3" t="s">
        <v>3598</v>
      </c>
      <c r="B3351" s="42" t="s">
        <v>3</v>
      </c>
      <c r="C3351" s="3">
        <v>18</v>
      </c>
      <c r="D3351" s="3">
        <v>2</v>
      </c>
      <c r="G3351" s="53">
        <v>44076</v>
      </c>
      <c r="H3351" s="42" t="s">
        <v>238</v>
      </c>
    </row>
    <row r="3352" spans="1:8" x14ac:dyDescent="0.25">
      <c r="A3352" s="3" t="s">
        <v>3599</v>
      </c>
      <c r="B3352" s="42" t="s">
        <v>3</v>
      </c>
      <c r="C3352" s="3">
        <v>18</v>
      </c>
      <c r="D3352" s="3">
        <v>2</v>
      </c>
      <c r="G3352" s="53">
        <v>44076</v>
      </c>
      <c r="H3352" s="42" t="s">
        <v>238</v>
      </c>
    </row>
    <row r="3353" spans="1:8" x14ac:dyDescent="0.25">
      <c r="A3353" s="3" t="s">
        <v>3600</v>
      </c>
      <c r="B3353" s="42" t="s">
        <v>3</v>
      </c>
      <c r="C3353" s="3">
        <v>18</v>
      </c>
      <c r="D3353" s="3">
        <v>2</v>
      </c>
      <c r="G3353" s="53">
        <v>44076</v>
      </c>
      <c r="H3353" s="42" t="s">
        <v>238</v>
      </c>
    </row>
    <row r="3354" spans="1:8" x14ac:dyDescent="0.25">
      <c r="A3354" s="3" t="s">
        <v>3601</v>
      </c>
      <c r="B3354" s="42" t="s">
        <v>3</v>
      </c>
      <c r="C3354" s="3">
        <v>18</v>
      </c>
      <c r="D3354" s="3">
        <v>2</v>
      </c>
      <c r="G3354" s="53">
        <v>44076</v>
      </c>
      <c r="H3354" s="42" t="s">
        <v>238</v>
      </c>
    </row>
    <row r="3355" spans="1:8" x14ac:dyDescent="0.25">
      <c r="A3355" s="3" t="s">
        <v>3602</v>
      </c>
      <c r="B3355" s="42" t="s">
        <v>3</v>
      </c>
      <c r="C3355" s="3">
        <v>18</v>
      </c>
      <c r="D3355" s="3">
        <v>2</v>
      </c>
      <c r="G3355" s="53">
        <v>44076</v>
      </c>
      <c r="H3355" s="42" t="s">
        <v>238</v>
      </c>
    </row>
    <row r="3356" spans="1:8" x14ac:dyDescent="0.25">
      <c r="A3356" s="3" t="s">
        <v>3603</v>
      </c>
      <c r="B3356" s="42" t="s">
        <v>3</v>
      </c>
      <c r="C3356" s="3">
        <v>19</v>
      </c>
      <c r="D3356" s="3">
        <v>2</v>
      </c>
      <c r="G3356" s="53">
        <v>44076</v>
      </c>
      <c r="H3356" s="42" t="s">
        <v>238</v>
      </c>
    </row>
    <row r="3357" spans="1:8" x14ac:dyDescent="0.25">
      <c r="A3357" s="3" t="s">
        <v>3604</v>
      </c>
      <c r="B3357" s="42" t="s">
        <v>3</v>
      </c>
      <c r="C3357" s="3">
        <v>18</v>
      </c>
      <c r="D3357" s="3">
        <v>2</v>
      </c>
      <c r="G3357" s="53">
        <v>44076</v>
      </c>
      <c r="H3357" s="42" t="s">
        <v>238</v>
      </c>
    </row>
    <row r="3358" spans="1:8" x14ac:dyDescent="0.25">
      <c r="A3358" s="3" t="s">
        <v>3605</v>
      </c>
      <c r="B3358" s="42" t="s">
        <v>3</v>
      </c>
      <c r="C3358" s="3">
        <v>19</v>
      </c>
      <c r="D3358" s="3">
        <v>2</v>
      </c>
      <c r="G3358" s="53">
        <v>44076</v>
      </c>
      <c r="H3358" s="42" t="s">
        <v>238</v>
      </c>
    </row>
    <row r="3359" spans="1:8" x14ac:dyDescent="0.25">
      <c r="A3359" s="3" t="s">
        <v>3606</v>
      </c>
      <c r="B3359" s="42" t="s">
        <v>3</v>
      </c>
      <c r="C3359" s="3">
        <v>18</v>
      </c>
      <c r="D3359" s="3">
        <v>1</v>
      </c>
      <c r="G3359" s="53">
        <v>44076</v>
      </c>
      <c r="H3359" s="42" t="s">
        <v>238</v>
      </c>
    </row>
    <row r="3360" spans="1:8" x14ac:dyDescent="0.25">
      <c r="A3360" s="3" t="s">
        <v>3607</v>
      </c>
      <c r="B3360" s="42" t="s">
        <v>3</v>
      </c>
      <c r="C3360" s="3">
        <v>18</v>
      </c>
      <c r="D3360" s="3">
        <v>2</v>
      </c>
      <c r="G3360" s="53">
        <v>44076</v>
      </c>
      <c r="H3360" s="42" t="s">
        <v>238</v>
      </c>
    </row>
    <row r="3361" spans="1:8" x14ac:dyDescent="0.25">
      <c r="A3361" s="3" t="s">
        <v>3608</v>
      </c>
      <c r="B3361" s="42" t="s">
        <v>3</v>
      </c>
      <c r="C3361" s="3">
        <v>18</v>
      </c>
      <c r="D3361" s="3">
        <v>1</v>
      </c>
      <c r="G3361" s="53">
        <v>44076</v>
      </c>
      <c r="H3361" s="42" t="s">
        <v>238</v>
      </c>
    </row>
    <row r="3362" spans="1:8" x14ac:dyDescent="0.25">
      <c r="A3362" s="3" t="s">
        <v>3609</v>
      </c>
      <c r="B3362" s="42" t="s">
        <v>3</v>
      </c>
      <c r="C3362" s="3">
        <v>18</v>
      </c>
      <c r="D3362" s="3">
        <v>2</v>
      </c>
      <c r="G3362" s="53">
        <v>44076</v>
      </c>
      <c r="H3362" s="42" t="s">
        <v>238</v>
      </c>
    </row>
    <row r="3363" spans="1:8" x14ac:dyDescent="0.25">
      <c r="A3363" s="3" t="s">
        <v>3610</v>
      </c>
      <c r="B3363" s="42" t="s">
        <v>3</v>
      </c>
      <c r="C3363" s="3">
        <v>18</v>
      </c>
      <c r="D3363" s="3">
        <v>2</v>
      </c>
      <c r="G3363" s="53">
        <v>44076</v>
      </c>
      <c r="H3363" s="42" t="s">
        <v>238</v>
      </c>
    </row>
    <row r="3364" spans="1:8" x14ac:dyDescent="0.25">
      <c r="A3364" s="3" t="s">
        <v>3611</v>
      </c>
      <c r="B3364" s="42" t="s">
        <v>3</v>
      </c>
      <c r="C3364" s="3">
        <v>18</v>
      </c>
      <c r="D3364" s="3">
        <v>2</v>
      </c>
      <c r="G3364" s="53">
        <v>44076</v>
      </c>
      <c r="H3364" s="42" t="s">
        <v>238</v>
      </c>
    </row>
    <row r="3365" spans="1:8" x14ac:dyDescent="0.25">
      <c r="A3365" s="3" t="s">
        <v>3612</v>
      </c>
      <c r="B3365" s="42" t="s">
        <v>3</v>
      </c>
      <c r="C3365" s="3">
        <v>18</v>
      </c>
      <c r="D3365" s="3">
        <v>2</v>
      </c>
      <c r="G3365" s="53">
        <v>44076</v>
      </c>
      <c r="H3365" s="42" t="s">
        <v>238</v>
      </c>
    </row>
    <row r="3366" spans="1:8" x14ac:dyDescent="0.25">
      <c r="A3366" s="3" t="s">
        <v>3613</v>
      </c>
      <c r="B3366" s="42" t="s">
        <v>3</v>
      </c>
      <c r="C3366" s="3">
        <v>21</v>
      </c>
      <c r="D3366" s="3">
        <v>1</v>
      </c>
      <c r="G3366" s="53">
        <v>44076</v>
      </c>
      <c r="H3366" s="42" t="s">
        <v>238</v>
      </c>
    </row>
    <row r="3367" spans="1:8" x14ac:dyDescent="0.25">
      <c r="A3367" s="3" t="s">
        <v>3614</v>
      </c>
      <c r="B3367" s="42" t="s">
        <v>3</v>
      </c>
      <c r="C3367" s="3">
        <v>18</v>
      </c>
      <c r="D3367" s="3">
        <v>2</v>
      </c>
      <c r="G3367" s="53">
        <v>44076</v>
      </c>
      <c r="H3367" s="42" t="s">
        <v>238</v>
      </c>
    </row>
    <row r="3368" spans="1:8" x14ac:dyDescent="0.25">
      <c r="A3368" s="3" t="s">
        <v>3615</v>
      </c>
      <c r="B3368" s="42" t="s">
        <v>3</v>
      </c>
      <c r="C3368" s="3">
        <v>18</v>
      </c>
      <c r="D3368" s="3">
        <v>2</v>
      </c>
      <c r="G3368" s="53">
        <v>44076</v>
      </c>
      <c r="H3368" s="42" t="s">
        <v>238</v>
      </c>
    </row>
    <row r="3369" spans="1:8" x14ac:dyDescent="0.25">
      <c r="A3369" s="3" t="s">
        <v>3616</v>
      </c>
      <c r="B3369" s="42" t="s">
        <v>120</v>
      </c>
      <c r="C3369" s="3">
        <v>18</v>
      </c>
      <c r="D3369" s="3">
        <v>1</v>
      </c>
      <c r="E3369" s="42" t="s">
        <v>160</v>
      </c>
      <c r="G3369" s="53">
        <v>44076</v>
      </c>
      <c r="H3369" s="42" t="s">
        <v>238</v>
      </c>
    </row>
    <row r="3370" spans="1:8" x14ac:dyDescent="0.25">
      <c r="A3370" s="3" t="s">
        <v>3617</v>
      </c>
      <c r="B3370" s="42" t="s">
        <v>120</v>
      </c>
      <c r="C3370" s="3">
        <v>18</v>
      </c>
      <c r="D3370" s="3">
        <v>2</v>
      </c>
      <c r="E3370" s="42" t="s">
        <v>160</v>
      </c>
      <c r="G3370" s="53">
        <v>44076</v>
      </c>
      <c r="H3370" s="42" t="s">
        <v>238</v>
      </c>
    </row>
    <row r="3371" spans="1:8" x14ac:dyDescent="0.25">
      <c r="A3371" s="3" t="s">
        <v>3618</v>
      </c>
      <c r="B3371" s="42" t="s">
        <v>3</v>
      </c>
      <c r="C3371" s="3">
        <v>19</v>
      </c>
      <c r="D3371" s="3">
        <v>1</v>
      </c>
      <c r="G3371" s="53">
        <v>44076</v>
      </c>
      <c r="H3371" s="42" t="s">
        <v>238</v>
      </c>
    </row>
    <row r="3372" spans="1:8" x14ac:dyDescent="0.25">
      <c r="A3372" s="3" t="s">
        <v>3619</v>
      </c>
      <c r="B3372" s="42" t="s">
        <v>3</v>
      </c>
      <c r="C3372" s="3">
        <v>19</v>
      </c>
      <c r="D3372" s="3">
        <v>2</v>
      </c>
      <c r="G3372" s="53">
        <v>44076</v>
      </c>
      <c r="H3372" s="42" t="s">
        <v>238</v>
      </c>
    </row>
    <row r="3373" spans="1:8" x14ac:dyDescent="0.25">
      <c r="A3373" s="3" t="s">
        <v>3620</v>
      </c>
      <c r="B3373" s="42" t="s">
        <v>3</v>
      </c>
      <c r="C3373" s="3">
        <v>18</v>
      </c>
      <c r="D3373" s="3">
        <v>2</v>
      </c>
      <c r="G3373" s="53">
        <v>44076</v>
      </c>
      <c r="H3373" s="42" t="s">
        <v>238</v>
      </c>
    </row>
    <row r="3374" spans="1:8" x14ac:dyDescent="0.25">
      <c r="A3374" s="3" t="s">
        <v>3621</v>
      </c>
      <c r="B3374" s="42" t="s">
        <v>3</v>
      </c>
      <c r="C3374" s="3">
        <v>19</v>
      </c>
      <c r="D3374" s="3">
        <v>1</v>
      </c>
      <c r="G3374" s="53">
        <v>44076</v>
      </c>
      <c r="H3374" s="42" t="s">
        <v>238</v>
      </c>
    </row>
    <row r="3375" spans="1:8" x14ac:dyDescent="0.25">
      <c r="A3375" s="3" t="s">
        <v>3622</v>
      </c>
      <c r="B3375" s="42" t="s">
        <v>120</v>
      </c>
      <c r="C3375" s="3">
        <v>18</v>
      </c>
      <c r="D3375" s="3">
        <v>2</v>
      </c>
      <c r="E3375" s="42" t="s">
        <v>160</v>
      </c>
      <c r="G3375" s="53">
        <v>44076</v>
      </c>
      <c r="H3375" s="42" t="s">
        <v>238</v>
      </c>
    </row>
    <row r="3376" spans="1:8" x14ac:dyDescent="0.25">
      <c r="A3376" s="3" t="s">
        <v>3623</v>
      </c>
      <c r="B3376" s="42" t="s">
        <v>3</v>
      </c>
      <c r="C3376" s="3">
        <v>22</v>
      </c>
      <c r="D3376" s="3">
        <v>1</v>
      </c>
      <c r="G3376" s="53">
        <v>44076</v>
      </c>
      <c r="H3376" s="42" t="s">
        <v>238</v>
      </c>
    </row>
    <row r="3377" spans="1:8" x14ac:dyDescent="0.25">
      <c r="A3377" s="3" t="s">
        <v>3624</v>
      </c>
      <c r="B3377" s="42" t="s">
        <v>3</v>
      </c>
      <c r="C3377" s="3">
        <v>18</v>
      </c>
      <c r="D3377" s="3">
        <v>2</v>
      </c>
      <c r="G3377" s="53">
        <v>44076</v>
      </c>
      <c r="H3377" s="42" t="s">
        <v>238</v>
      </c>
    </row>
    <row r="3378" spans="1:8" x14ac:dyDescent="0.25">
      <c r="A3378" s="3" t="s">
        <v>3625</v>
      </c>
      <c r="B3378" s="42" t="s">
        <v>3</v>
      </c>
      <c r="C3378" s="3">
        <v>18</v>
      </c>
      <c r="D3378" s="3">
        <v>2</v>
      </c>
      <c r="G3378" s="53">
        <v>44076</v>
      </c>
      <c r="H3378" s="42" t="s">
        <v>238</v>
      </c>
    </row>
    <row r="3379" spans="1:8" x14ac:dyDescent="0.25">
      <c r="A3379" s="3" t="s">
        <v>3626</v>
      </c>
      <c r="B3379" s="42" t="s">
        <v>3</v>
      </c>
      <c r="C3379" s="3">
        <v>18</v>
      </c>
      <c r="D3379" s="3">
        <v>2</v>
      </c>
      <c r="G3379" s="53">
        <v>44076</v>
      </c>
      <c r="H3379" s="42" t="s">
        <v>238</v>
      </c>
    </row>
    <row r="3380" spans="1:8" x14ac:dyDescent="0.25">
      <c r="A3380" s="3" t="s">
        <v>3627</v>
      </c>
      <c r="B3380" s="42" t="s">
        <v>3</v>
      </c>
      <c r="C3380" s="3">
        <v>19</v>
      </c>
      <c r="D3380" s="3">
        <v>1</v>
      </c>
      <c r="G3380" s="53">
        <v>44076</v>
      </c>
      <c r="H3380" s="42" t="s">
        <v>238</v>
      </c>
    </row>
    <row r="3381" spans="1:8" x14ac:dyDescent="0.25">
      <c r="A3381" s="3" t="s">
        <v>3628</v>
      </c>
      <c r="B3381" s="42" t="s">
        <v>3</v>
      </c>
      <c r="C3381" s="3">
        <v>24</v>
      </c>
      <c r="D3381" s="3">
        <v>1</v>
      </c>
      <c r="G3381" s="53">
        <v>44076</v>
      </c>
      <c r="H3381" s="42" t="s">
        <v>238</v>
      </c>
    </row>
    <row r="3382" spans="1:8" x14ac:dyDescent="0.25">
      <c r="A3382" s="3" t="s">
        <v>3629</v>
      </c>
      <c r="B3382" s="42" t="s">
        <v>3</v>
      </c>
      <c r="C3382" s="3">
        <v>18</v>
      </c>
      <c r="D3382" s="3">
        <v>1</v>
      </c>
      <c r="G3382" s="53">
        <v>44076</v>
      </c>
      <c r="H3382" s="42" t="s">
        <v>238</v>
      </c>
    </row>
    <row r="3383" spans="1:8" x14ac:dyDescent="0.25">
      <c r="A3383" s="3" t="s">
        <v>3630</v>
      </c>
      <c r="B3383" s="42" t="s">
        <v>3</v>
      </c>
      <c r="C3383" s="3">
        <v>18</v>
      </c>
      <c r="D3383" s="3">
        <v>1</v>
      </c>
      <c r="G3383" s="53">
        <v>44076</v>
      </c>
      <c r="H3383" s="42" t="s">
        <v>238</v>
      </c>
    </row>
    <row r="3384" spans="1:8" x14ac:dyDescent="0.25">
      <c r="A3384" s="3" t="s">
        <v>3631</v>
      </c>
      <c r="B3384" s="42" t="s">
        <v>3</v>
      </c>
      <c r="C3384" s="3">
        <v>18</v>
      </c>
      <c r="D3384" s="3">
        <v>1</v>
      </c>
      <c r="G3384" s="53">
        <v>44076</v>
      </c>
      <c r="H3384" s="42" t="s">
        <v>238</v>
      </c>
    </row>
    <row r="3385" spans="1:8" x14ac:dyDescent="0.25">
      <c r="A3385" s="3" t="s">
        <v>3632</v>
      </c>
      <c r="B3385" s="42" t="s">
        <v>3</v>
      </c>
      <c r="C3385" s="3">
        <v>18</v>
      </c>
      <c r="D3385" s="3">
        <v>1</v>
      </c>
      <c r="G3385" s="53">
        <v>44076</v>
      </c>
      <c r="H3385" s="42" t="s">
        <v>238</v>
      </c>
    </row>
    <row r="3386" spans="1:8" x14ac:dyDescent="0.25">
      <c r="A3386" s="3" t="s">
        <v>3633</v>
      </c>
      <c r="B3386" s="42" t="s">
        <v>3</v>
      </c>
      <c r="C3386" s="3">
        <v>19</v>
      </c>
      <c r="D3386" s="3">
        <v>1</v>
      </c>
      <c r="G3386" s="53">
        <v>44076</v>
      </c>
      <c r="H3386" s="42" t="s">
        <v>238</v>
      </c>
    </row>
    <row r="3387" spans="1:8" x14ac:dyDescent="0.25">
      <c r="A3387" s="3" t="s">
        <v>3634</v>
      </c>
      <c r="B3387" s="42" t="s">
        <v>3</v>
      </c>
      <c r="C3387" s="3">
        <v>18</v>
      </c>
      <c r="D3387" s="3">
        <v>1</v>
      </c>
      <c r="G3387" s="53">
        <v>44076</v>
      </c>
      <c r="H3387" s="42" t="s">
        <v>238</v>
      </c>
    </row>
    <row r="3388" spans="1:8" x14ac:dyDescent="0.25">
      <c r="A3388" s="3" t="s">
        <v>3635</v>
      </c>
      <c r="B3388" s="42" t="s">
        <v>3</v>
      </c>
      <c r="C3388" s="3">
        <v>21</v>
      </c>
      <c r="D3388" s="3">
        <v>1</v>
      </c>
      <c r="G3388" s="53">
        <v>44076</v>
      </c>
      <c r="H3388" s="42" t="s">
        <v>238</v>
      </c>
    </row>
    <row r="3389" spans="1:8" x14ac:dyDescent="0.25">
      <c r="A3389" s="3" t="s">
        <v>3636</v>
      </c>
      <c r="B3389" s="42" t="s">
        <v>3</v>
      </c>
      <c r="C3389" s="3">
        <v>18</v>
      </c>
      <c r="D3389" s="3">
        <v>1</v>
      </c>
      <c r="G3389" s="53">
        <v>44076</v>
      </c>
      <c r="H3389" s="42" t="s">
        <v>238</v>
      </c>
    </row>
    <row r="3390" spans="1:8" x14ac:dyDescent="0.25">
      <c r="A3390" s="3" t="s">
        <v>3637</v>
      </c>
      <c r="B3390" s="42" t="s">
        <v>3</v>
      </c>
      <c r="C3390" s="3">
        <v>19</v>
      </c>
      <c r="D3390" s="3">
        <v>1</v>
      </c>
      <c r="G3390" s="53">
        <v>44076</v>
      </c>
      <c r="H3390" s="42" t="s">
        <v>238</v>
      </c>
    </row>
    <row r="3391" spans="1:8" x14ac:dyDescent="0.25">
      <c r="A3391" s="3" t="s">
        <v>3638</v>
      </c>
      <c r="B3391" s="42" t="s">
        <v>3</v>
      </c>
      <c r="C3391" s="3">
        <v>20</v>
      </c>
      <c r="D3391" s="3">
        <v>1</v>
      </c>
      <c r="G3391" s="53">
        <v>44076</v>
      </c>
      <c r="H3391" s="42" t="s">
        <v>238</v>
      </c>
    </row>
    <row r="3392" spans="1:8" x14ac:dyDescent="0.25">
      <c r="A3392" s="3" t="s">
        <v>3639</v>
      </c>
      <c r="B3392" s="42" t="s">
        <v>3</v>
      </c>
      <c r="C3392" s="3">
        <v>23</v>
      </c>
      <c r="D3392" s="3">
        <v>1</v>
      </c>
      <c r="G3392" s="53">
        <v>44076</v>
      </c>
      <c r="H3392" s="42" t="s">
        <v>238</v>
      </c>
    </row>
    <row r="3393" spans="1:8" x14ac:dyDescent="0.25">
      <c r="A3393" s="3" t="s">
        <v>3640</v>
      </c>
      <c r="B3393" s="42" t="s">
        <v>3</v>
      </c>
      <c r="C3393" s="3">
        <v>18</v>
      </c>
      <c r="D3393" s="3">
        <v>1</v>
      </c>
      <c r="G3393" s="53">
        <v>44076</v>
      </c>
      <c r="H3393" s="42" t="s">
        <v>238</v>
      </c>
    </row>
    <row r="3394" spans="1:8" x14ac:dyDescent="0.25">
      <c r="A3394" s="3" t="s">
        <v>3641</v>
      </c>
      <c r="B3394" s="42" t="s">
        <v>3</v>
      </c>
      <c r="C3394" s="3">
        <v>19</v>
      </c>
      <c r="D3394" s="3">
        <v>1</v>
      </c>
      <c r="G3394" s="53">
        <v>44076</v>
      </c>
      <c r="H3394" s="42" t="s">
        <v>238</v>
      </c>
    </row>
    <row r="3395" spans="1:8" x14ac:dyDescent="0.25">
      <c r="A3395" s="3" t="s">
        <v>3642</v>
      </c>
      <c r="B3395" s="42" t="s">
        <v>3</v>
      </c>
      <c r="C3395" s="3">
        <v>18</v>
      </c>
      <c r="D3395" s="3">
        <v>1</v>
      </c>
      <c r="G3395" s="53">
        <v>44076</v>
      </c>
      <c r="H3395" s="42" t="s">
        <v>238</v>
      </c>
    </row>
    <row r="3396" spans="1:8" x14ac:dyDescent="0.25">
      <c r="A3396" s="3" t="s">
        <v>3643</v>
      </c>
      <c r="B3396" s="42" t="s">
        <v>3</v>
      </c>
      <c r="C3396" s="3">
        <v>18</v>
      </c>
      <c r="D3396" s="3">
        <v>1</v>
      </c>
      <c r="G3396" s="53">
        <v>44076</v>
      </c>
      <c r="H3396" s="42" t="s">
        <v>238</v>
      </c>
    </row>
    <row r="3397" spans="1:8" x14ac:dyDescent="0.25">
      <c r="A3397" s="3" t="s">
        <v>3644</v>
      </c>
      <c r="B3397" s="42" t="s">
        <v>3</v>
      </c>
      <c r="C3397" s="3">
        <v>18</v>
      </c>
      <c r="D3397" s="3">
        <v>1</v>
      </c>
      <c r="G3397" s="53">
        <v>44076</v>
      </c>
      <c r="H3397" s="42" t="s">
        <v>238</v>
      </c>
    </row>
    <row r="3398" spans="1:8" x14ac:dyDescent="0.25">
      <c r="A3398" s="3" t="s">
        <v>3645</v>
      </c>
      <c r="B3398" s="42" t="s">
        <v>3</v>
      </c>
      <c r="C3398" s="3">
        <v>18</v>
      </c>
      <c r="D3398" s="3">
        <v>1</v>
      </c>
      <c r="G3398" s="53">
        <v>44076</v>
      </c>
      <c r="H3398" s="42" t="s">
        <v>238</v>
      </c>
    </row>
    <row r="3399" spans="1:8" x14ac:dyDescent="0.25">
      <c r="A3399" s="3" t="s">
        <v>3646</v>
      </c>
      <c r="B3399" s="42" t="s">
        <v>3</v>
      </c>
      <c r="C3399" s="3">
        <v>18</v>
      </c>
      <c r="D3399" s="3">
        <v>1</v>
      </c>
      <c r="G3399" s="53">
        <v>44076</v>
      </c>
      <c r="H3399" s="42" t="s">
        <v>238</v>
      </c>
    </row>
    <row r="3400" spans="1:8" x14ac:dyDescent="0.25">
      <c r="A3400" s="3" t="s">
        <v>3647</v>
      </c>
      <c r="B3400" s="42" t="s">
        <v>3</v>
      </c>
      <c r="C3400" s="3">
        <v>18</v>
      </c>
      <c r="D3400" s="3">
        <v>1</v>
      </c>
      <c r="G3400" s="53">
        <v>44076</v>
      </c>
      <c r="H3400" s="42" t="s">
        <v>238</v>
      </c>
    </row>
    <row r="3401" spans="1:8" x14ac:dyDescent="0.25">
      <c r="A3401" s="3" t="s">
        <v>3648</v>
      </c>
      <c r="B3401" s="42" t="s">
        <v>3</v>
      </c>
      <c r="C3401" s="3">
        <v>18</v>
      </c>
      <c r="D3401" s="3">
        <v>2</v>
      </c>
      <c r="G3401" s="53">
        <v>44076</v>
      </c>
      <c r="H3401" s="42" t="s">
        <v>238</v>
      </c>
    </row>
    <row r="3402" spans="1:8" x14ac:dyDescent="0.25">
      <c r="A3402" s="3" t="s">
        <v>3649</v>
      </c>
      <c r="B3402" s="42" t="s">
        <v>3</v>
      </c>
      <c r="C3402" s="3">
        <v>18</v>
      </c>
      <c r="D3402" s="3">
        <v>2</v>
      </c>
      <c r="G3402" s="53">
        <v>44076</v>
      </c>
      <c r="H3402" s="42" t="s">
        <v>238</v>
      </c>
    </row>
    <row r="3403" spans="1:8" x14ac:dyDescent="0.25">
      <c r="A3403" s="3" t="s">
        <v>3650</v>
      </c>
      <c r="B3403" s="42" t="s">
        <v>3</v>
      </c>
      <c r="C3403" s="3">
        <v>19</v>
      </c>
      <c r="D3403" s="3">
        <v>2</v>
      </c>
      <c r="G3403" s="53">
        <v>44076</v>
      </c>
      <c r="H3403" s="42" t="s">
        <v>238</v>
      </c>
    </row>
    <row r="3404" spans="1:8" x14ac:dyDescent="0.25">
      <c r="A3404" s="3" t="s">
        <v>3651</v>
      </c>
      <c r="B3404" s="42" t="s">
        <v>3</v>
      </c>
      <c r="C3404" s="3">
        <v>18</v>
      </c>
      <c r="D3404" s="3">
        <v>2</v>
      </c>
      <c r="G3404" s="53">
        <v>44076</v>
      </c>
      <c r="H3404" s="42" t="s">
        <v>238</v>
      </c>
    </row>
    <row r="3405" spans="1:8" x14ac:dyDescent="0.25">
      <c r="A3405" s="3" t="s">
        <v>3652</v>
      </c>
      <c r="B3405" s="42" t="s">
        <v>3</v>
      </c>
      <c r="C3405" s="3">
        <v>18</v>
      </c>
      <c r="D3405" s="3">
        <v>1</v>
      </c>
      <c r="G3405" s="53">
        <v>44076</v>
      </c>
      <c r="H3405" s="42" t="s">
        <v>238</v>
      </c>
    </row>
    <row r="3406" spans="1:8" x14ac:dyDescent="0.25">
      <c r="A3406" s="3" t="s">
        <v>3653</v>
      </c>
      <c r="B3406" s="42" t="s">
        <v>3</v>
      </c>
      <c r="C3406" s="3">
        <v>18</v>
      </c>
      <c r="D3406" s="3">
        <v>2</v>
      </c>
      <c r="G3406" s="53">
        <v>44076</v>
      </c>
      <c r="H3406" s="42" t="s">
        <v>238</v>
      </c>
    </row>
    <row r="3407" spans="1:8" x14ac:dyDescent="0.25">
      <c r="A3407" s="3" t="s">
        <v>3654</v>
      </c>
      <c r="B3407" s="42" t="s">
        <v>3</v>
      </c>
      <c r="C3407" s="3">
        <v>18</v>
      </c>
      <c r="D3407" s="3">
        <v>2</v>
      </c>
      <c r="G3407" s="53">
        <v>44076</v>
      </c>
      <c r="H3407" s="42" t="s">
        <v>238</v>
      </c>
    </row>
    <row r="3408" spans="1:8" x14ac:dyDescent="0.25">
      <c r="A3408" s="3" t="s">
        <v>3655</v>
      </c>
      <c r="B3408" s="42" t="s">
        <v>3</v>
      </c>
      <c r="C3408" s="3">
        <v>18</v>
      </c>
      <c r="D3408" s="3">
        <v>2</v>
      </c>
      <c r="G3408" s="53">
        <v>44076</v>
      </c>
      <c r="H3408" s="42" t="s">
        <v>238</v>
      </c>
    </row>
    <row r="3409" spans="1:8" x14ac:dyDescent="0.25">
      <c r="A3409" s="3" t="s">
        <v>3656</v>
      </c>
      <c r="B3409" s="42" t="s">
        <v>3</v>
      </c>
      <c r="C3409" s="3">
        <v>18</v>
      </c>
      <c r="D3409" s="3">
        <v>2</v>
      </c>
      <c r="G3409" s="53">
        <v>44076</v>
      </c>
      <c r="H3409" s="42" t="s">
        <v>238</v>
      </c>
    </row>
    <row r="3410" spans="1:8" x14ac:dyDescent="0.25">
      <c r="A3410" s="3" t="s">
        <v>3657</v>
      </c>
      <c r="B3410" s="42" t="s">
        <v>3</v>
      </c>
      <c r="C3410" s="3">
        <v>19</v>
      </c>
      <c r="D3410" s="3">
        <v>1</v>
      </c>
      <c r="G3410" s="53">
        <v>44076</v>
      </c>
      <c r="H3410" s="42" t="s">
        <v>238</v>
      </c>
    </row>
    <row r="3411" spans="1:8" x14ac:dyDescent="0.25">
      <c r="A3411" s="3" t="s">
        <v>3658</v>
      </c>
      <c r="B3411" s="42" t="s">
        <v>3</v>
      </c>
      <c r="C3411" s="3">
        <v>18</v>
      </c>
      <c r="D3411" s="3">
        <v>2</v>
      </c>
      <c r="G3411" s="53">
        <v>44076</v>
      </c>
      <c r="H3411" s="42" t="s">
        <v>238</v>
      </c>
    </row>
    <row r="3412" spans="1:8" x14ac:dyDescent="0.25">
      <c r="A3412" s="3" t="s">
        <v>3659</v>
      </c>
      <c r="B3412" s="42" t="s">
        <v>3</v>
      </c>
      <c r="C3412" s="3">
        <v>18</v>
      </c>
      <c r="D3412" s="3">
        <v>2</v>
      </c>
      <c r="G3412" s="53">
        <v>44076</v>
      </c>
      <c r="H3412" s="42" t="s">
        <v>238</v>
      </c>
    </row>
    <row r="3413" spans="1:8" x14ac:dyDescent="0.25">
      <c r="A3413" s="3" t="s">
        <v>3660</v>
      </c>
      <c r="B3413" s="42" t="s">
        <v>3</v>
      </c>
      <c r="C3413" s="3">
        <v>18</v>
      </c>
      <c r="D3413" s="3">
        <v>2</v>
      </c>
      <c r="G3413" s="53">
        <v>44076</v>
      </c>
      <c r="H3413" s="42" t="s">
        <v>238</v>
      </c>
    </row>
    <row r="3414" spans="1:8" x14ac:dyDescent="0.25">
      <c r="A3414" s="3" t="s">
        <v>3661</v>
      </c>
      <c r="B3414" s="42" t="s">
        <v>3</v>
      </c>
      <c r="C3414" s="3">
        <v>19</v>
      </c>
      <c r="D3414" s="3">
        <v>2</v>
      </c>
      <c r="G3414" s="53">
        <v>44076</v>
      </c>
      <c r="H3414" s="42" t="s">
        <v>238</v>
      </c>
    </row>
    <row r="3415" spans="1:8" x14ac:dyDescent="0.25">
      <c r="A3415" s="3" t="s">
        <v>3662</v>
      </c>
      <c r="B3415" s="42" t="s">
        <v>3</v>
      </c>
      <c r="C3415" s="3">
        <v>18</v>
      </c>
      <c r="D3415" s="3">
        <v>2</v>
      </c>
      <c r="G3415" s="53">
        <v>44076</v>
      </c>
      <c r="H3415" s="42" t="s">
        <v>238</v>
      </c>
    </row>
    <row r="3416" spans="1:8" x14ac:dyDescent="0.25">
      <c r="A3416" s="3" t="s">
        <v>3663</v>
      </c>
      <c r="B3416" s="42" t="s">
        <v>3</v>
      </c>
      <c r="C3416" s="3">
        <v>18</v>
      </c>
      <c r="D3416" s="3">
        <v>2</v>
      </c>
      <c r="G3416" s="53">
        <v>44076</v>
      </c>
      <c r="H3416" s="42" t="s">
        <v>238</v>
      </c>
    </row>
    <row r="3417" spans="1:8" x14ac:dyDescent="0.25">
      <c r="A3417" s="3" t="s">
        <v>3664</v>
      </c>
      <c r="B3417" s="42" t="s">
        <v>3</v>
      </c>
      <c r="C3417" s="3">
        <v>18</v>
      </c>
      <c r="D3417" s="3">
        <v>2</v>
      </c>
      <c r="G3417" s="53">
        <v>44076</v>
      </c>
      <c r="H3417" s="42" t="s">
        <v>238</v>
      </c>
    </row>
    <row r="3418" spans="1:8" x14ac:dyDescent="0.25">
      <c r="A3418" s="3" t="s">
        <v>3665</v>
      </c>
      <c r="B3418" s="42" t="s">
        <v>3</v>
      </c>
      <c r="C3418" s="3">
        <v>21</v>
      </c>
      <c r="D3418" s="3">
        <v>2</v>
      </c>
      <c r="G3418" s="53">
        <v>44076</v>
      </c>
      <c r="H3418" s="42" t="s">
        <v>238</v>
      </c>
    </row>
    <row r="3419" spans="1:8" x14ac:dyDescent="0.25">
      <c r="A3419" s="3" t="s">
        <v>3666</v>
      </c>
      <c r="B3419" s="42" t="s">
        <v>3</v>
      </c>
      <c r="C3419" s="3">
        <v>19</v>
      </c>
      <c r="D3419" s="3">
        <v>2</v>
      </c>
      <c r="G3419" s="53">
        <v>44076</v>
      </c>
      <c r="H3419" s="42" t="s">
        <v>238</v>
      </c>
    </row>
    <row r="3420" spans="1:8" x14ac:dyDescent="0.25">
      <c r="A3420" s="3" t="s">
        <v>3667</v>
      </c>
      <c r="B3420" s="42" t="s">
        <v>3</v>
      </c>
      <c r="C3420" s="3">
        <v>18</v>
      </c>
      <c r="D3420" s="3">
        <v>1</v>
      </c>
      <c r="G3420" s="53">
        <v>44076</v>
      </c>
      <c r="H3420" s="42" t="s">
        <v>238</v>
      </c>
    </row>
    <row r="3421" spans="1:8" x14ac:dyDescent="0.25">
      <c r="A3421" s="3" t="s">
        <v>3668</v>
      </c>
      <c r="B3421" s="42" t="s">
        <v>3</v>
      </c>
      <c r="C3421" s="3">
        <v>18</v>
      </c>
      <c r="D3421" s="3">
        <v>1</v>
      </c>
      <c r="G3421" s="53">
        <v>44076</v>
      </c>
      <c r="H3421" s="42" t="s">
        <v>238</v>
      </c>
    </row>
    <row r="3422" spans="1:8" x14ac:dyDescent="0.25">
      <c r="A3422" s="3" t="s">
        <v>3669</v>
      </c>
      <c r="B3422" s="42" t="s">
        <v>3</v>
      </c>
      <c r="C3422" s="3">
        <v>18</v>
      </c>
      <c r="D3422" s="3">
        <v>1</v>
      </c>
      <c r="G3422" s="53">
        <v>44076</v>
      </c>
      <c r="H3422" s="42" t="s">
        <v>238</v>
      </c>
    </row>
    <row r="3423" spans="1:8" x14ac:dyDescent="0.25">
      <c r="A3423" s="3" t="s">
        <v>3670</v>
      </c>
      <c r="B3423" s="42" t="s">
        <v>3</v>
      </c>
      <c r="C3423" s="3">
        <v>18</v>
      </c>
      <c r="D3423" s="3">
        <v>1</v>
      </c>
      <c r="G3423" s="53">
        <v>44076</v>
      </c>
      <c r="H3423" s="42" t="s">
        <v>238</v>
      </c>
    </row>
    <row r="3424" spans="1:8" x14ac:dyDescent="0.25">
      <c r="A3424" s="3" t="s">
        <v>3671</v>
      </c>
      <c r="B3424" s="42" t="s">
        <v>3</v>
      </c>
      <c r="C3424" s="3">
        <v>18</v>
      </c>
      <c r="D3424" s="3">
        <v>1</v>
      </c>
      <c r="G3424" s="53">
        <v>44076</v>
      </c>
      <c r="H3424" s="42" t="s">
        <v>238</v>
      </c>
    </row>
    <row r="3425" spans="1:8" x14ac:dyDescent="0.25">
      <c r="A3425" s="3" t="s">
        <v>3672</v>
      </c>
      <c r="B3425" s="42" t="s">
        <v>3</v>
      </c>
      <c r="C3425" s="3">
        <v>21</v>
      </c>
      <c r="D3425" s="3">
        <v>1</v>
      </c>
      <c r="G3425" s="53">
        <v>44076</v>
      </c>
      <c r="H3425" s="42" t="s">
        <v>238</v>
      </c>
    </row>
    <row r="3426" spans="1:8" x14ac:dyDescent="0.25">
      <c r="A3426" s="3" t="s">
        <v>3673</v>
      </c>
      <c r="B3426" s="42" t="s">
        <v>3</v>
      </c>
      <c r="C3426" s="3">
        <v>19</v>
      </c>
      <c r="D3426" s="3">
        <v>1</v>
      </c>
      <c r="G3426" s="53">
        <v>44076</v>
      </c>
      <c r="H3426" s="42" t="s">
        <v>238</v>
      </c>
    </row>
    <row r="3427" spans="1:8" x14ac:dyDescent="0.25">
      <c r="A3427" s="3" t="s">
        <v>3674</v>
      </c>
      <c r="B3427" s="42" t="s">
        <v>3</v>
      </c>
      <c r="C3427" s="3">
        <v>18</v>
      </c>
      <c r="D3427" s="3">
        <v>1</v>
      </c>
      <c r="G3427" s="53">
        <v>44076</v>
      </c>
      <c r="H3427" s="42" t="s">
        <v>238</v>
      </c>
    </row>
    <row r="3428" spans="1:8" x14ac:dyDescent="0.25">
      <c r="A3428" s="3" t="s">
        <v>3675</v>
      </c>
      <c r="B3428" s="42" t="s">
        <v>3</v>
      </c>
      <c r="C3428" s="3">
        <v>18</v>
      </c>
      <c r="D3428" s="3">
        <v>1</v>
      </c>
      <c r="G3428" s="53">
        <v>44076</v>
      </c>
      <c r="H3428" s="42" t="s">
        <v>238</v>
      </c>
    </row>
    <row r="3429" spans="1:8" x14ac:dyDescent="0.25">
      <c r="A3429" s="3" t="s">
        <v>3676</v>
      </c>
      <c r="B3429" s="42" t="s">
        <v>3</v>
      </c>
      <c r="C3429" s="3">
        <v>18</v>
      </c>
      <c r="D3429" s="3">
        <v>1</v>
      </c>
      <c r="G3429" s="53">
        <v>44076</v>
      </c>
      <c r="H3429" s="42" t="s">
        <v>238</v>
      </c>
    </row>
    <row r="3430" spans="1:8" x14ac:dyDescent="0.25">
      <c r="A3430" s="3" t="s">
        <v>3677</v>
      </c>
      <c r="B3430" s="42" t="s">
        <v>3</v>
      </c>
      <c r="C3430" s="3">
        <v>18</v>
      </c>
      <c r="D3430" s="3">
        <v>1</v>
      </c>
      <c r="G3430" s="53">
        <v>44076</v>
      </c>
      <c r="H3430" s="42" t="s">
        <v>238</v>
      </c>
    </row>
    <row r="3431" spans="1:8" x14ac:dyDescent="0.25">
      <c r="A3431" s="3" t="s">
        <v>3678</v>
      </c>
      <c r="B3431" s="42" t="s">
        <v>3</v>
      </c>
      <c r="C3431" s="3">
        <v>24</v>
      </c>
      <c r="D3431" s="3">
        <v>1</v>
      </c>
      <c r="G3431" s="53">
        <v>44076</v>
      </c>
      <c r="H3431" s="42" t="s">
        <v>238</v>
      </c>
    </row>
    <row r="3432" spans="1:8" x14ac:dyDescent="0.25">
      <c r="A3432" s="3" t="s">
        <v>3679</v>
      </c>
      <c r="B3432" s="42" t="s">
        <v>3</v>
      </c>
      <c r="C3432" s="3">
        <v>19</v>
      </c>
      <c r="D3432" s="3">
        <v>1</v>
      </c>
      <c r="G3432" s="53">
        <v>44076</v>
      </c>
      <c r="H3432" s="42" t="s">
        <v>238</v>
      </c>
    </row>
    <row r="3433" spans="1:8" x14ac:dyDescent="0.25">
      <c r="A3433" s="3" t="s">
        <v>3680</v>
      </c>
      <c r="B3433" s="42" t="s">
        <v>3</v>
      </c>
      <c r="C3433" s="3">
        <v>18</v>
      </c>
      <c r="D3433" s="3">
        <v>1</v>
      </c>
      <c r="G3433" s="53">
        <v>44076</v>
      </c>
      <c r="H3433" s="42" t="s">
        <v>238</v>
      </c>
    </row>
    <row r="3434" spans="1:8" x14ac:dyDescent="0.25">
      <c r="A3434" s="3" t="s">
        <v>3681</v>
      </c>
      <c r="B3434" s="42" t="s">
        <v>3</v>
      </c>
      <c r="C3434" s="3">
        <v>18</v>
      </c>
      <c r="D3434" s="3">
        <v>1</v>
      </c>
      <c r="G3434" s="53">
        <v>44076</v>
      </c>
      <c r="H3434" s="42" t="s">
        <v>238</v>
      </c>
    </row>
    <row r="3435" spans="1:8" x14ac:dyDescent="0.25">
      <c r="A3435" s="3" t="s">
        <v>3682</v>
      </c>
      <c r="B3435" s="42" t="s">
        <v>3</v>
      </c>
      <c r="C3435" s="3">
        <v>18</v>
      </c>
      <c r="D3435" s="3">
        <v>1</v>
      </c>
      <c r="G3435" s="53">
        <v>44076</v>
      </c>
      <c r="H3435" s="42" t="s">
        <v>238</v>
      </c>
    </row>
    <row r="3436" spans="1:8" x14ac:dyDescent="0.25">
      <c r="A3436" s="3" t="s">
        <v>3683</v>
      </c>
      <c r="B3436" s="42" t="s">
        <v>3</v>
      </c>
      <c r="C3436" s="3">
        <v>21</v>
      </c>
      <c r="D3436" s="3">
        <v>1</v>
      </c>
      <c r="G3436" s="53">
        <v>44076</v>
      </c>
      <c r="H3436" s="42" t="s">
        <v>238</v>
      </c>
    </row>
    <row r="3437" spans="1:8" x14ac:dyDescent="0.25">
      <c r="A3437" s="3" t="s">
        <v>3684</v>
      </c>
      <c r="B3437" s="42" t="s">
        <v>3</v>
      </c>
      <c r="C3437" s="3">
        <v>19</v>
      </c>
      <c r="D3437" s="3">
        <v>1</v>
      </c>
      <c r="G3437" s="53">
        <v>44076</v>
      </c>
      <c r="H3437" s="42" t="s">
        <v>238</v>
      </c>
    </row>
    <row r="3438" spans="1:8" x14ac:dyDescent="0.25">
      <c r="A3438" s="3" t="s">
        <v>3685</v>
      </c>
      <c r="B3438" s="42" t="s">
        <v>3</v>
      </c>
      <c r="C3438" s="3">
        <v>18</v>
      </c>
      <c r="D3438" s="3">
        <v>1</v>
      </c>
      <c r="G3438" s="53">
        <v>44076</v>
      </c>
      <c r="H3438" s="42" t="s">
        <v>238</v>
      </c>
    </row>
    <row r="3439" spans="1:8" x14ac:dyDescent="0.25">
      <c r="A3439" s="3" t="s">
        <v>3686</v>
      </c>
      <c r="B3439" s="42" t="s">
        <v>3</v>
      </c>
      <c r="C3439" s="3">
        <v>18</v>
      </c>
      <c r="D3439" s="3">
        <v>1</v>
      </c>
      <c r="G3439" s="53">
        <v>44076</v>
      </c>
      <c r="H3439" s="42" t="s">
        <v>238</v>
      </c>
    </row>
    <row r="3440" spans="1:8" x14ac:dyDescent="0.25">
      <c r="A3440" s="3" t="s">
        <v>3687</v>
      </c>
      <c r="B3440" s="42" t="s">
        <v>3</v>
      </c>
      <c r="C3440" s="3">
        <v>21</v>
      </c>
      <c r="D3440" s="3">
        <v>1</v>
      </c>
      <c r="G3440" s="53">
        <v>44076</v>
      </c>
      <c r="H3440" s="42" t="s">
        <v>238</v>
      </c>
    </row>
    <row r="3441" spans="1:8" x14ac:dyDescent="0.25">
      <c r="A3441" s="3" t="s">
        <v>3688</v>
      </c>
      <c r="B3441" s="42" t="s">
        <v>3</v>
      </c>
      <c r="C3441" s="3">
        <v>19</v>
      </c>
      <c r="D3441" s="3">
        <v>1</v>
      </c>
      <c r="G3441" s="53">
        <v>44076</v>
      </c>
      <c r="H3441" s="42" t="s">
        <v>238</v>
      </c>
    </row>
    <row r="3442" spans="1:8" x14ac:dyDescent="0.25">
      <c r="A3442" s="3" t="s">
        <v>3689</v>
      </c>
      <c r="B3442" s="42" t="s">
        <v>3</v>
      </c>
      <c r="C3442" s="3">
        <v>18</v>
      </c>
      <c r="D3442" s="3">
        <v>1</v>
      </c>
      <c r="G3442" s="53">
        <v>44076</v>
      </c>
      <c r="H3442" s="42" t="s">
        <v>238</v>
      </c>
    </row>
    <row r="3443" spans="1:8" x14ac:dyDescent="0.25">
      <c r="A3443" s="3" t="s">
        <v>3690</v>
      </c>
      <c r="B3443" s="42" t="s">
        <v>3</v>
      </c>
      <c r="C3443" s="3">
        <v>19</v>
      </c>
      <c r="D3443" s="3">
        <v>1</v>
      </c>
      <c r="G3443" s="53">
        <v>44076</v>
      </c>
      <c r="H3443" s="42" t="s">
        <v>238</v>
      </c>
    </row>
    <row r="3444" spans="1:8" x14ac:dyDescent="0.25">
      <c r="A3444" s="3" t="s">
        <v>3691</v>
      </c>
      <c r="B3444" s="42" t="s">
        <v>3</v>
      </c>
      <c r="C3444" s="3">
        <v>21</v>
      </c>
      <c r="D3444" s="3">
        <v>1</v>
      </c>
      <c r="G3444" s="53">
        <v>44076</v>
      </c>
      <c r="H3444" s="42" t="s">
        <v>238</v>
      </c>
    </row>
    <row r="3445" spans="1:8" x14ac:dyDescent="0.25">
      <c r="A3445" s="3" t="s">
        <v>3692</v>
      </c>
      <c r="B3445" s="42" t="s">
        <v>3</v>
      </c>
      <c r="C3445" s="3">
        <v>18</v>
      </c>
      <c r="D3445" s="3">
        <v>1</v>
      </c>
      <c r="G3445" s="53">
        <v>44076</v>
      </c>
      <c r="H3445" s="42" t="s">
        <v>238</v>
      </c>
    </row>
    <row r="3446" spans="1:8" x14ac:dyDescent="0.25">
      <c r="A3446" s="3" t="s">
        <v>3693</v>
      </c>
      <c r="B3446" s="42" t="s">
        <v>3</v>
      </c>
      <c r="C3446" s="3">
        <v>19</v>
      </c>
      <c r="D3446" s="3">
        <v>1</v>
      </c>
      <c r="G3446" s="53">
        <v>44076</v>
      </c>
      <c r="H3446" s="42" t="s">
        <v>238</v>
      </c>
    </row>
    <row r="3447" spans="1:8" x14ac:dyDescent="0.25">
      <c r="A3447" s="3" t="s">
        <v>3694</v>
      </c>
      <c r="B3447" s="42" t="s">
        <v>3</v>
      </c>
      <c r="C3447" s="3">
        <v>19</v>
      </c>
      <c r="D3447" s="3">
        <v>1</v>
      </c>
      <c r="G3447" s="53">
        <v>44076</v>
      </c>
      <c r="H3447" s="42" t="s">
        <v>238</v>
      </c>
    </row>
    <row r="3448" spans="1:8" x14ac:dyDescent="0.25">
      <c r="A3448" s="3" t="s">
        <v>3695</v>
      </c>
      <c r="B3448" s="42" t="s">
        <v>3</v>
      </c>
      <c r="C3448" s="3">
        <v>18</v>
      </c>
      <c r="D3448" s="3">
        <v>1</v>
      </c>
      <c r="G3448" s="53">
        <v>44076</v>
      </c>
      <c r="H3448" s="42" t="s">
        <v>238</v>
      </c>
    </row>
    <row r="3449" spans="1:8" x14ac:dyDescent="0.25">
      <c r="A3449" s="3" t="s">
        <v>3696</v>
      </c>
      <c r="B3449" s="42" t="s">
        <v>3</v>
      </c>
      <c r="C3449" s="3">
        <v>19</v>
      </c>
      <c r="D3449" s="3">
        <v>1</v>
      </c>
      <c r="G3449" s="53">
        <v>44076</v>
      </c>
      <c r="H3449" s="42" t="s">
        <v>238</v>
      </c>
    </row>
    <row r="3450" spans="1:8" x14ac:dyDescent="0.25">
      <c r="A3450" s="3" t="s">
        <v>3697</v>
      </c>
      <c r="B3450" s="42" t="s">
        <v>3</v>
      </c>
      <c r="C3450" s="3">
        <v>19</v>
      </c>
      <c r="D3450" s="3">
        <v>1</v>
      </c>
      <c r="G3450" s="53">
        <v>44076</v>
      </c>
      <c r="H3450" s="42" t="s">
        <v>238</v>
      </c>
    </row>
    <row r="3451" spans="1:8" x14ac:dyDescent="0.25">
      <c r="A3451" s="3" t="s">
        <v>3698</v>
      </c>
      <c r="B3451" s="42" t="s">
        <v>3</v>
      </c>
      <c r="C3451" s="3">
        <v>19</v>
      </c>
      <c r="D3451" s="3">
        <v>1</v>
      </c>
      <c r="G3451" s="53">
        <v>44076</v>
      </c>
      <c r="H3451" s="42" t="s">
        <v>238</v>
      </c>
    </row>
    <row r="3452" spans="1:8" x14ac:dyDescent="0.25">
      <c r="A3452" s="3" t="s">
        <v>3699</v>
      </c>
      <c r="B3452" s="42" t="s">
        <v>3</v>
      </c>
      <c r="C3452" s="3">
        <v>18</v>
      </c>
      <c r="D3452" s="3">
        <v>1</v>
      </c>
      <c r="G3452" s="53">
        <v>44076</v>
      </c>
      <c r="H3452" s="42" t="s">
        <v>238</v>
      </c>
    </row>
    <row r="3453" spans="1:8" x14ac:dyDescent="0.25">
      <c r="A3453" s="3" t="s">
        <v>3700</v>
      </c>
      <c r="B3453" s="42" t="s">
        <v>3</v>
      </c>
      <c r="C3453" s="3">
        <v>19</v>
      </c>
      <c r="D3453" s="3">
        <v>1</v>
      </c>
      <c r="G3453" s="53">
        <v>44076</v>
      </c>
      <c r="H3453" s="42" t="s">
        <v>238</v>
      </c>
    </row>
    <row r="3454" spans="1:8" x14ac:dyDescent="0.25">
      <c r="A3454" s="3" t="s">
        <v>3701</v>
      </c>
      <c r="B3454" s="42" t="s">
        <v>3</v>
      </c>
      <c r="C3454" s="3">
        <v>20</v>
      </c>
      <c r="D3454" s="3">
        <v>1</v>
      </c>
      <c r="G3454" s="53">
        <v>44076</v>
      </c>
      <c r="H3454" s="42" t="s">
        <v>238</v>
      </c>
    </row>
    <row r="3455" spans="1:8" x14ac:dyDescent="0.25">
      <c r="A3455" s="3" t="s">
        <v>3702</v>
      </c>
      <c r="B3455" s="42" t="s">
        <v>3</v>
      </c>
      <c r="C3455" s="3">
        <v>18</v>
      </c>
      <c r="D3455" s="3">
        <v>1</v>
      </c>
      <c r="G3455" s="53">
        <v>44076</v>
      </c>
      <c r="H3455" s="42" t="s">
        <v>238</v>
      </c>
    </row>
    <row r="3456" spans="1:8" x14ac:dyDescent="0.25">
      <c r="A3456" s="3" t="s">
        <v>3703</v>
      </c>
      <c r="B3456" s="42" t="s">
        <v>3</v>
      </c>
      <c r="C3456" s="3">
        <v>20</v>
      </c>
      <c r="D3456" s="3">
        <v>1</v>
      </c>
      <c r="G3456" s="53">
        <v>44076</v>
      </c>
      <c r="H3456" s="42" t="s">
        <v>238</v>
      </c>
    </row>
    <row r="3457" spans="1:8" x14ac:dyDescent="0.25">
      <c r="A3457" s="3" t="s">
        <v>3704</v>
      </c>
      <c r="B3457" s="42" t="s">
        <v>3</v>
      </c>
      <c r="C3457" s="3">
        <v>18</v>
      </c>
      <c r="D3457" s="3">
        <v>1</v>
      </c>
      <c r="G3457" s="53">
        <v>44076</v>
      </c>
      <c r="H3457" s="42" t="s">
        <v>238</v>
      </c>
    </row>
    <row r="3458" spans="1:8" x14ac:dyDescent="0.25">
      <c r="A3458" s="3" t="s">
        <v>3705</v>
      </c>
      <c r="B3458" s="42" t="s">
        <v>3</v>
      </c>
      <c r="C3458" s="3">
        <v>18</v>
      </c>
      <c r="D3458" s="3">
        <v>1</v>
      </c>
      <c r="G3458" s="53">
        <v>44076</v>
      </c>
      <c r="H3458" s="42" t="s">
        <v>238</v>
      </c>
    </row>
    <row r="3459" spans="1:8" x14ac:dyDescent="0.25">
      <c r="A3459" s="3" t="s">
        <v>3706</v>
      </c>
      <c r="B3459" s="42" t="s">
        <v>3</v>
      </c>
      <c r="C3459" s="3">
        <v>18</v>
      </c>
      <c r="D3459" s="3">
        <v>1</v>
      </c>
      <c r="G3459" s="53">
        <v>44076</v>
      </c>
      <c r="H3459" s="42" t="s">
        <v>238</v>
      </c>
    </row>
    <row r="3460" spans="1:8" x14ac:dyDescent="0.25">
      <c r="A3460" s="3" t="s">
        <v>3707</v>
      </c>
      <c r="B3460" s="42" t="s">
        <v>3</v>
      </c>
      <c r="C3460" s="3">
        <v>20</v>
      </c>
      <c r="D3460" s="3">
        <v>1</v>
      </c>
      <c r="G3460" s="53">
        <v>44076</v>
      </c>
      <c r="H3460" s="42" t="s">
        <v>238</v>
      </c>
    </row>
    <row r="3461" spans="1:8" x14ac:dyDescent="0.25">
      <c r="A3461" s="3" t="s">
        <v>3708</v>
      </c>
      <c r="B3461" s="42" t="s">
        <v>3</v>
      </c>
      <c r="C3461" s="3">
        <v>18</v>
      </c>
      <c r="D3461" s="3">
        <v>1</v>
      </c>
      <c r="G3461" s="53">
        <v>44076</v>
      </c>
      <c r="H3461" s="42" t="s">
        <v>238</v>
      </c>
    </row>
    <row r="3462" spans="1:8" x14ac:dyDescent="0.25">
      <c r="A3462" s="3" t="s">
        <v>3709</v>
      </c>
      <c r="B3462" s="42" t="s">
        <v>3</v>
      </c>
      <c r="C3462" s="3">
        <v>20</v>
      </c>
      <c r="D3462" s="3">
        <v>2</v>
      </c>
      <c r="G3462" s="53">
        <v>44076</v>
      </c>
      <c r="H3462" s="42" t="s">
        <v>238</v>
      </c>
    </row>
    <row r="3463" spans="1:8" x14ac:dyDescent="0.25">
      <c r="A3463" s="3" t="s">
        <v>3710</v>
      </c>
      <c r="B3463" s="42" t="s">
        <v>3</v>
      </c>
      <c r="C3463" s="3">
        <v>19</v>
      </c>
      <c r="D3463" s="3">
        <v>2</v>
      </c>
      <c r="G3463" s="53">
        <v>44076</v>
      </c>
      <c r="H3463" s="42" t="s">
        <v>238</v>
      </c>
    </row>
    <row r="3464" spans="1:8" x14ac:dyDescent="0.25">
      <c r="A3464" s="3" t="s">
        <v>3711</v>
      </c>
      <c r="B3464" s="42" t="s">
        <v>3</v>
      </c>
      <c r="C3464" s="3">
        <v>18</v>
      </c>
      <c r="D3464" s="3">
        <v>2</v>
      </c>
      <c r="G3464" s="53">
        <v>44076</v>
      </c>
      <c r="H3464" s="42" t="s">
        <v>238</v>
      </c>
    </row>
    <row r="3465" spans="1:8" x14ac:dyDescent="0.25">
      <c r="A3465" s="3" t="s">
        <v>3712</v>
      </c>
      <c r="B3465" s="42" t="s">
        <v>3</v>
      </c>
      <c r="C3465" s="3">
        <v>21</v>
      </c>
      <c r="D3465" s="3">
        <v>2</v>
      </c>
      <c r="G3465" s="53">
        <v>44076</v>
      </c>
      <c r="H3465" s="42" t="s">
        <v>238</v>
      </c>
    </row>
    <row r="3466" spans="1:8" x14ac:dyDescent="0.25">
      <c r="A3466" s="3" t="s">
        <v>3713</v>
      </c>
      <c r="B3466" s="42" t="s">
        <v>3</v>
      </c>
      <c r="C3466" s="3">
        <v>21</v>
      </c>
      <c r="D3466" s="3">
        <v>2</v>
      </c>
      <c r="G3466" s="53">
        <v>44076</v>
      </c>
      <c r="H3466" s="42" t="s">
        <v>238</v>
      </c>
    </row>
    <row r="3467" spans="1:8" x14ac:dyDescent="0.25">
      <c r="A3467" s="3" t="s">
        <v>3714</v>
      </c>
      <c r="B3467" s="42" t="s">
        <v>3</v>
      </c>
      <c r="C3467" s="3">
        <v>19</v>
      </c>
      <c r="D3467" s="3">
        <v>2</v>
      </c>
      <c r="G3467" s="53">
        <v>44076</v>
      </c>
      <c r="H3467" s="42" t="s">
        <v>238</v>
      </c>
    </row>
    <row r="3468" spans="1:8" x14ac:dyDescent="0.25">
      <c r="A3468" s="3" t="s">
        <v>3715</v>
      </c>
      <c r="B3468" s="42" t="s">
        <v>3</v>
      </c>
      <c r="C3468" s="3">
        <v>18</v>
      </c>
      <c r="D3468" s="3">
        <v>2</v>
      </c>
      <c r="G3468" s="53">
        <v>44076</v>
      </c>
      <c r="H3468" s="42" t="s">
        <v>238</v>
      </c>
    </row>
    <row r="3469" spans="1:8" x14ac:dyDescent="0.25">
      <c r="A3469" s="3" t="s">
        <v>3716</v>
      </c>
      <c r="B3469" s="42" t="s">
        <v>3</v>
      </c>
      <c r="C3469" s="3">
        <v>18</v>
      </c>
      <c r="D3469" s="3">
        <v>2</v>
      </c>
      <c r="G3469" s="53">
        <v>44076</v>
      </c>
      <c r="H3469" s="42" t="s">
        <v>238</v>
      </c>
    </row>
    <row r="3470" spans="1:8" x14ac:dyDescent="0.25">
      <c r="A3470" s="3" t="s">
        <v>3717</v>
      </c>
      <c r="B3470" s="42" t="s">
        <v>3</v>
      </c>
      <c r="C3470" s="3">
        <v>18</v>
      </c>
      <c r="D3470" s="3">
        <v>2</v>
      </c>
      <c r="G3470" s="53">
        <v>44076</v>
      </c>
      <c r="H3470" s="42" t="s">
        <v>238</v>
      </c>
    </row>
    <row r="3471" spans="1:8" x14ac:dyDescent="0.25">
      <c r="A3471" s="3" t="s">
        <v>3718</v>
      </c>
      <c r="B3471" s="42" t="s">
        <v>3</v>
      </c>
      <c r="C3471" s="3">
        <v>18</v>
      </c>
      <c r="D3471" s="3">
        <v>1</v>
      </c>
      <c r="G3471" s="53">
        <v>44081</v>
      </c>
      <c r="H3471" s="42" t="s">
        <v>238</v>
      </c>
    </row>
    <row r="3472" spans="1:8" x14ac:dyDescent="0.25">
      <c r="A3472" s="3" t="s">
        <v>3719</v>
      </c>
      <c r="B3472" s="42" t="s">
        <v>3</v>
      </c>
      <c r="C3472" s="3">
        <v>18</v>
      </c>
      <c r="D3472" s="3">
        <v>1</v>
      </c>
      <c r="G3472" s="53">
        <v>44081</v>
      </c>
      <c r="H3472" s="42" t="s">
        <v>238</v>
      </c>
    </row>
    <row r="3473" spans="1:8" x14ac:dyDescent="0.25">
      <c r="A3473" s="3" t="s">
        <v>3720</v>
      </c>
      <c r="B3473" s="42" t="s">
        <v>3</v>
      </c>
      <c r="C3473" s="3">
        <v>18</v>
      </c>
      <c r="D3473" s="3">
        <v>1</v>
      </c>
      <c r="G3473" s="53">
        <v>44081</v>
      </c>
      <c r="H3473" s="42"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3E090-7BA0-4105-B688-3BC0ECFDF670}">
  <sheetPr codeName="Sheet3"/>
  <dimension ref="A1:E39"/>
  <sheetViews>
    <sheetView tabSelected="1" workbookViewId="0">
      <selection activeCell="B5" sqref="B5"/>
    </sheetView>
  </sheetViews>
  <sheetFormatPr defaultRowHeight="15" x14ac:dyDescent="0.25"/>
  <cols>
    <col min="1" max="1" width="39.85546875" bestFit="1" customWidth="1"/>
    <col min="2" max="2" width="48.140625" style="1" customWidth="1"/>
    <col min="3" max="3" width="23.140625" style="1" customWidth="1"/>
    <col min="4" max="4" width="116.7109375" bestFit="1" customWidth="1"/>
  </cols>
  <sheetData>
    <row r="1" spans="1:4" x14ac:dyDescent="0.25">
      <c r="A1" s="11" t="s">
        <v>21</v>
      </c>
      <c r="B1" s="15" t="s">
        <v>22</v>
      </c>
      <c r="C1" s="15" t="s">
        <v>137</v>
      </c>
      <c r="D1" s="11" t="s">
        <v>20</v>
      </c>
    </row>
    <row r="2" spans="1:4" x14ac:dyDescent="0.25">
      <c r="A2" t="s">
        <v>140</v>
      </c>
      <c r="B2" s="1" t="s">
        <v>49</v>
      </c>
      <c r="C2" s="1" t="s">
        <v>138</v>
      </c>
      <c r="D2" t="s">
        <v>56</v>
      </c>
    </row>
    <row r="3" spans="1:4" x14ac:dyDescent="0.25">
      <c r="A3" t="s">
        <v>141</v>
      </c>
      <c r="B3" s="1" t="s">
        <v>49</v>
      </c>
      <c r="C3" s="1" t="s">
        <v>139</v>
      </c>
      <c r="D3" t="s">
        <v>184</v>
      </c>
    </row>
    <row r="4" spans="1:4" x14ac:dyDescent="0.25">
      <c r="A4" s="12" t="s">
        <v>55</v>
      </c>
      <c r="B4" s="16" t="s">
        <v>3789</v>
      </c>
      <c r="C4" s="29" t="s">
        <v>138</v>
      </c>
      <c r="D4" s="12" t="s">
        <v>182</v>
      </c>
    </row>
    <row r="5" spans="1:4" x14ac:dyDescent="0.25">
      <c r="A5" t="s">
        <v>50</v>
      </c>
      <c r="B5" s="1" t="s">
        <v>51</v>
      </c>
      <c r="C5" s="1" t="s">
        <v>139</v>
      </c>
      <c r="D5" t="s">
        <v>183</v>
      </c>
    </row>
    <row r="6" spans="1:4" x14ac:dyDescent="0.25">
      <c r="A6" t="s">
        <v>54</v>
      </c>
      <c r="B6" s="1" t="s">
        <v>52</v>
      </c>
      <c r="C6" s="1" t="s">
        <v>139</v>
      </c>
      <c r="D6" t="s">
        <v>183</v>
      </c>
    </row>
    <row r="7" spans="1:4" x14ac:dyDescent="0.25">
      <c r="A7" t="s">
        <v>3721</v>
      </c>
      <c r="B7" s="1" t="s">
        <v>23</v>
      </c>
      <c r="C7" s="1" t="s">
        <v>138</v>
      </c>
    </row>
    <row r="8" spans="1:4" x14ac:dyDescent="0.25">
      <c r="A8" s="60" t="s">
        <v>20</v>
      </c>
      <c r="B8" s="61" t="s">
        <v>181</v>
      </c>
      <c r="C8" s="62" t="s">
        <v>139</v>
      </c>
      <c r="D8" s="60" t="s">
        <v>3779</v>
      </c>
    </row>
    <row r="9" spans="1:4" x14ac:dyDescent="0.25">
      <c r="A9" t="s">
        <v>148</v>
      </c>
      <c r="B9" s="1" t="s">
        <v>3729</v>
      </c>
      <c r="C9" s="1" t="s">
        <v>150</v>
      </c>
      <c r="D9" t="s">
        <v>151</v>
      </c>
    </row>
    <row r="10" spans="1:4" x14ac:dyDescent="0.25">
      <c r="A10" t="s">
        <v>44</v>
      </c>
      <c r="B10" s="1" t="s">
        <v>3754</v>
      </c>
      <c r="C10" s="1" t="s">
        <v>152</v>
      </c>
      <c r="D10" t="s">
        <v>153</v>
      </c>
    </row>
    <row r="11" spans="1:4" x14ac:dyDescent="0.25">
      <c r="A11" t="s">
        <v>226</v>
      </c>
      <c r="B11" s="1" t="s">
        <v>144</v>
      </c>
      <c r="C11" s="1" t="s">
        <v>138</v>
      </c>
      <c r="D11" t="s">
        <v>227</v>
      </c>
    </row>
    <row r="12" spans="1:4" x14ac:dyDescent="0.25">
      <c r="A12" t="s">
        <v>3743</v>
      </c>
      <c r="B12" s="1" t="s">
        <v>3736</v>
      </c>
      <c r="C12" s="1" t="s">
        <v>138</v>
      </c>
      <c r="D12" t="s">
        <v>3744</v>
      </c>
    </row>
    <row r="13" spans="1:4" x14ac:dyDescent="0.25">
      <c r="A13" t="s">
        <v>225</v>
      </c>
      <c r="B13" s="1">
        <v>3</v>
      </c>
      <c r="C13" s="1" t="s">
        <v>138</v>
      </c>
      <c r="D13" t="s">
        <v>228</v>
      </c>
    </row>
    <row r="14" spans="1:4" x14ac:dyDescent="0.25">
      <c r="A14" t="s">
        <v>3732</v>
      </c>
      <c r="B14" s="1" t="s">
        <v>3759</v>
      </c>
      <c r="D14" t="s">
        <v>3733</v>
      </c>
    </row>
    <row r="15" spans="1:4" x14ac:dyDescent="0.25">
      <c r="A15" s="14" t="s">
        <v>24</v>
      </c>
      <c r="B15" s="17" t="s">
        <v>3752</v>
      </c>
      <c r="C15" s="17"/>
      <c r="D15" s="14" t="s">
        <v>57</v>
      </c>
    </row>
    <row r="16" spans="1:4" x14ac:dyDescent="0.25">
      <c r="A16" s="14" t="s">
        <v>25</v>
      </c>
      <c r="B16" s="18">
        <v>44247</v>
      </c>
      <c r="C16" s="18"/>
      <c r="D16" s="14" t="s">
        <v>60</v>
      </c>
    </row>
    <row r="17" spans="1:5" x14ac:dyDescent="0.25">
      <c r="A17" s="14" t="s">
        <v>185</v>
      </c>
      <c r="B17" s="18"/>
      <c r="C17" s="18"/>
      <c r="D17" s="14" t="s">
        <v>186</v>
      </c>
    </row>
    <row r="18" spans="1:5" x14ac:dyDescent="0.25">
      <c r="A18" s="14" t="s">
        <v>3731</v>
      </c>
      <c r="B18" s="18" t="s">
        <v>3723</v>
      </c>
      <c r="C18" s="18"/>
      <c r="D18" s="14" t="s">
        <v>3724</v>
      </c>
    </row>
    <row r="19" spans="1:5" x14ac:dyDescent="0.25">
      <c r="A19" s="14" t="s">
        <v>3749</v>
      </c>
      <c r="B19" s="18" t="s">
        <v>3741</v>
      </c>
      <c r="C19" s="18"/>
      <c r="D19" s="14" t="s">
        <v>3742</v>
      </c>
    </row>
    <row r="20" spans="1:5" x14ac:dyDescent="0.25">
      <c r="A20" t="s">
        <v>3780</v>
      </c>
      <c r="B20" s="1" t="s">
        <v>3788</v>
      </c>
      <c r="D20" t="s">
        <v>3781</v>
      </c>
    </row>
    <row r="21" spans="1:5" x14ac:dyDescent="0.25">
      <c r="A21" t="s">
        <v>58</v>
      </c>
      <c r="B21" s="1" t="s">
        <v>41</v>
      </c>
      <c r="D21" t="s">
        <v>59</v>
      </c>
    </row>
    <row r="22" spans="1:5" x14ac:dyDescent="0.25">
      <c r="A22" t="s">
        <v>62</v>
      </c>
      <c r="B22" s="1" t="s">
        <v>3730</v>
      </c>
      <c r="D22" t="s">
        <v>61</v>
      </c>
    </row>
    <row r="23" spans="1:5" x14ac:dyDescent="0.25">
      <c r="A23" t="s">
        <v>63</v>
      </c>
      <c r="B23" s="13" t="s">
        <v>3725</v>
      </c>
      <c r="C23" s="22"/>
      <c r="D23" s="13" t="s">
        <v>3725</v>
      </c>
      <c r="E23" s="13" t="s">
        <v>3727</v>
      </c>
    </row>
    <row r="24" spans="1:5" x14ac:dyDescent="0.25">
      <c r="A24" t="s">
        <v>64</v>
      </c>
      <c r="B24" s="13" t="s">
        <v>3726</v>
      </c>
      <c r="C24" s="22"/>
      <c r="D24" s="13" t="s">
        <v>3726</v>
      </c>
      <c r="E24" s="13" t="s">
        <v>3728</v>
      </c>
    </row>
    <row r="25" spans="1:5" x14ac:dyDescent="0.25">
      <c r="A25" t="s">
        <v>158</v>
      </c>
      <c r="B25" s="1" t="b">
        <v>1</v>
      </c>
      <c r="C25" s="22"/>
      <c r="D25" t="s">
        <v>162</v>
      </c>
      <c r="E25" s="13"/>
    </row>
    <row r="26" spans="1:5" x14ac:dyDescent="0.25">
      <c r="A26" t="s">
        <v>159</v>
      </c>
      <c r="B26" s="1" t="b">
        <v>1</v>
      </c>
      <c r="C26" s="22"/>
      <c r="D26" t="s">
        <v>161</v>
      </c>
      <c r="E26" s="13"/>
    </row>
    <row r="27" spans="1:5" x14ac:dyDescent="0.25">
      <c r="A27" t="s">
        <v>65</v>
      </c>
      <c r="B27" s="1" t="s">
        <v>3754</v>
      </c>
      <c r="D27" t="s">
        <v>68</v>
      </c>
    </row>
    <row r="28" spans="1:5" x14ac:dyDescent="0.25">
      <c r="A28" t="s">
        <v>149</v>
      </c>
      <c r="B28" s="1" t="s">
        <v>3729</v>
      </c>
      <c r="D28" t="s">
        <v>68</v>
      </c>
    </row>
    <row r="29" spans="1:5" x14ac:dyDescent="0.25">
      <c r="A29" t="s">
        <v>66</v>
      </c>
      <c r="B29" s="1" t="s">
        <v>3758</v>
      </c>
      <c r="D29" t="s">
        <v>67</v>
      </c>
    </row>
    <row r="30" spans="1:5" x14ac:dyDescent="0.25">
      <c r="A30" s="12" t="s">
        <v>69</v>
      </c>
      <c r="B30" s="30" t="s">
        <v>4622</v>
      </c>
      <c r="C30" s="16"/>
      <c r="D30" s="12" t="s">
        <v>72</v>
      </c>
      <c r="E30" s="56" t="s">
        <v>142</v>
      </c>
    </row>
    <row r="31" spans="1:5" x14ac:dyDescent="0.25">
      <c r="A31" t="s">
        <v>113</v>
      </c>
      <c r="B31" s="1" t="b">
        <v>1</v>
      </c>
      <c r="D31" t="s">
        <v>163</v>
      </c>
    </row>
    <row r="32" spans="1:5" x14ac:dyDescent="0.25">
      <c r="A32" t="s">
        <v>3777</v>
      </c>
      <c r="B32" s="1">
        <v>17</v>
      </c>
      <c r="D32" t="s">
        <v>3778</v>
      </c>
    </row>
    <row r="33" spans="1:4" x14ac:dyDescent="0.25">
      <c r="A33" t="s">
        <v>3746</v>
      </c>
      <c r="B33" s="1" t="b">
        <v>1</v>
      </c>
      <c r="D33" t="s">
        <v>3747</v>
      </c>
    </row>
    <row r="34" spans="1:4" x14ac:dyDescent="0.25">
      <c r="A34" t="s">
        <v>115</v>
      </c>
      <c r="B34" s="2" t="s">
        <v>114</v>
      </c>
      <c r="C34" s="2"/>
    </row>
    <row r="35" spans="1:4" x14ac:dyDescent="0.25">
      <c r="A35" t="s">
        <v>200</v>
      </c>
      <c r="B35" s="1" t="s">
        <v>224</v>
      </c>
      <c r="C35" s="1" t="s">
        <v>201</v>
      </c>
      <c r="D35" t="s">
        <v>207</v>
      </c>
    </row>
    <row r="36" spans="1:4" x14ac:dyDescent="0.25">
      <c r="A36" t="s">
        <v>202</v>
      </c>
      <c r="B36" s="1">
        <v>4</v>
      </c>
      <c r="D36" t="s">
        <v>206</v>
      </c>
    </row>
    <row r="37" spans="1:4" x14ac:dyDescent="0.25">
      <c r="A37" t="s">
        <v>203</v>
      </c>
      <c r="B37" s="1" t="s">
        <v>204</v>
      </c>
      <c r="D37" t="s">
        <v>208</v>
      </c>
    </row>
    <row r="38" spans="1:4" x14ac:dyDescent="0.25">
      <c r="A38" t="s">
        <v>205</v>
      </c>
      <c r="B38" s="36" t="s">
        <v>220</v>
      </c>
      <c r="D38" t="s">
        <v>209</v>
      </c>
    </row>
    <row r="39" spans="1:4" x14ac:dyDescent="0.25">
      <c r="A39" t="s">
        <v>210</v>
      </c>
      <c r="B39" s="1" t="s">
        <v>52</v>
      </c>
      <c r="D39" t="s">
        <v>211</v>
      </c>
    </row>
  </sheetData>
  <sheetProtection algorithmName="SHA-512" hashValue="ONS5Xdke7pUAMHtFrGoxSNKK14jtqyN/nJOMTWOtlC4LEcWGSYTuq7SXnOF+VyvaLWjSkxqhhWYW+vUb96XPPg==" saltValue="89XboqE0xDlZuK/Cfz7ueA==" spinCount="100000" sheet="1" objects="1" scenarios="1"/>
  <protectedRanges>
    <protectedRange sqref="B35:B39" name="Range6"/>
    <protectedRange sqref="B30:B31" name="Range5"/>
    <protectedRange sqref="B25:B26" name="Range4"/>
    <protectedRange sqref="B23:E24" name="Range3"/>
    <protectedRange sqref="B15:B20" name="Range2"/>
    <protectedRange sqref="B4" name="Range1"/>
    <protectedRange sqref="E30" name="Range7"/>
  </protectedRanges>
  <hyperlinks>
    <hyperlink ref="E23" r:id="rId1" xr:uid="{9119C3F0-842A-4DD2-BC9F-919D982A0E95}"/>
    <hyperlink ref="E24" r:id="rId2" xr:uid="{0EC08D8F-FC29-4227-9E6E-E09017A5483E}"/>
  </hyperlinks>
  <pageMargins left="0.7" right="0.7" top="0.75" bottom="0.75" header="0.3" footer="0.3"/>
  <pageSetup orientation="portrait" horizontalDpi="0" verticalDpi="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AFB3B-0D6F-4A0A-81AD-B5C8D9B2568B}">
  <sheetPr codeName="Sheet4"/>
  <dimension ref="A1:S1001"/>
  <sheetViews>
    <sheetView workbookViewId="0">
      <selection activeCell="R3" sqref="R3"/>
    </sheetView>
  </sheetViews>
  <sheetFormatPr defaultColWidth="9" defaultRowHeight="15" x14ac:dyDescent="0.25"/>
  <cols>
    <col min="1" max="1" width="9" customWidth="1"/>
    <col min="2" max="2" width="8.28515625" customWidth="1"/>
    <col min="3" max="3" width="12.85546875" bestFit="1" customWidth="1"/>
    <col min="4" max="4" width="13" bestFit="1" customWidth="1"/>
    <col min="5" max="5" width="23.140625" bestFit="1" customWidth="1"/>
    <col min="6" max="6" width="12.28515625" bestFit="1" customWidth="1"/>
    <col min="7" max="7" width="11.140625" bestFit="1" customWidth="1"/>
    <col min="8" max="8" width="14.28515625" customWidth="1"/>
    <col min="9" max="9" width="12.28515625" bestFit="1" customWidth="1"/>
    <col min="10" max="10" width="12.85546875" bestFit="1" customWidth="1"/>
    <col min="11" max="11" width="15" bestFit="1" customWidth="1"/>
    <col min="12" max="12" width="19" bestFit="1" customWidth="1"/>
    <col min="13" max="13" width="11.85546875" bestFit="1" customWidth="1"/>
    <col min="14" max="14" width="11.5703125" bestFit="1" customWidth="1"/>
    <col min="15" max="15" width="13.85546875" style="7" bestFit="1" customWidth="1"/>
    <col min="16" max="16" width="14" style="7" bestFit="1" customWidth="1"/>
    <col min="17" max="17" width="18" style="7" bestFit="1" customWidth="1"/>
    <col min="18" max="18" width="27.28515625" customWidth="1"/>
    <col min="19" max="19" width="13" bestFit="1" customWidth="1"/>
  </cols>
  <sheetData>
    <row r="1" spans="1:19" ht="60" x14ac:dyDescent="0.25">
      <c r="A1" s="5" t="s">
        <v>5</v>
      </c>
      <c r="B1" s="5" t="s">
        <v>6</v>
      </c>
      <c r="C1" s="5" t="s">
        <v>7</v>
      </c>
      <c r="D1" s="5" t="s">
        <v>8</v>
      </c>
      <c r="E1" s="5" t="s">
        <v>9</v>
      </c>
      <c r="F1" s="5" t="s">
        <v>10</v>
      </c>
      <c r="G1" s="5" t="s">
        <v>11</v>
      </c>
      <c r="H1" s="5" t="s">
        <v>12</v>
      </c>
      <c r="I1" s="5" t="s">
        <v>13</v>
      </c>
      <c r="J1" s="5" t="s">
        <v>14</v>
      </c>
      <c r="K1" s="6" t="s">
        <v>15</v>
      </c>
      <c r="L1" s="6" t="s">
        <v>16</v>
      </c>
      <c r="M1" s="5" t="s">
        <v>17</v>
      </c>
      <c r="N1" s="5" t="s">
        <v>18</v>
      </c>
      <c r="O1" s="8" t="s">
        <v>19</v>
      </c>
      <c r="P1" s="8" t="s">
        <v>3755</v>
      </c>
      <c r="Q1" s="8" t="s">
        <v>3756</v>
      </c>
      <c r="R1" s="5" t="s">
        <v>20</v>
      </c>
      <c r="S1" s="10" t="s">
        <v>44</v>
      </c>
    </row>
    <row r="2" spans="1:19" x14ac:dyDescent="0.25">
      <c r="D2" t="str">
        <f>GetSampleId((ROW()))</f>
        <v>C2-1581-V01</v>
      </c>
      <c r="E2" t="str">
        <f>GetAliquotId((ROW()))</f>
        <v>C2-1581-V01-210219-PAX</v>
      </c>
      <c r="F2" t="str">
        <f t="shared" ref="F2" si="0">IF(LEN(TRIM(E2))=0, "", "Human")</f>
        <v>Human</v>
      </c>
      <c r="G2" t="str">
        <f>IF(LEN(TRIM(E2))=0, "", GetSampleTissueBySpecimenPrep(H2))</f>
        <v>blood</v>
      </c>
      <c r="H2" t="str">
        <f>IF(LEN(TRIM(E2))=0, "", GetSpecimenPrepName())</f>
        <v>PaxGene</v>
      </c>
      <c r="I2" t="str">
        <f>IF(LEN(TRIM(E2))=0, "", GetSampleVolumeBySpecimenPrep(H2))</f>
        <v>10</v>
      </c>
      <c r="L2" t="str">
        <f>IF(LEN(TRIM(E2))=0,"",VLOOKUP("Manifest Id",config!A:B,2,FALSE))</f>
        <v>CHARM2-2021-02-19</v>
      </c>
      <c r="M2" t="str">
        <f>IF(LEN(TRIM(E2))=0, "",VLOOKUP("Project Name",config!A:B,2,FALSE))</f>
        <v>ECHO</v>
      </c>
      <c r="N2" t="str">
        <f>IF(LEN(TRIM(E2))=0, "",VLOOKUP("Center Name",config!A:B,2,FALSE))</f>
        <v>CHARM2</v>
      </c>
      <c r="O2" s="7">
        <f>IF(LEN(TRIM(E2))=0,"",VLOOKUP("Shipment Date",config!A:B,2,FALSE))</f>
        <v>44247</v>
      </c>
      <c r="P2" s="7" t="str">
        <f t="shared" ref="P2:P65" si="1">getColumnValueBySubjectID("Visit Date", RIGHT(LEFT(D2,7),4))</f>
        <v>2/19/2021</v>
      </c>
      <c r="Q2" s="7" t="str">
        <f>IF(LEN(TRIM(D2))=0,"",GetConfigParameterValue("Collection Site"))</f>
        <v>Camp Lejeune, NC</v>
      </c>
      <c r="R2" t="str">
        <f>IF(LEN(TRIM(E2))=0, "", GetManifestComments(H2))</f>
        <v>CHARM2 Shipment: 2021-03-01 MT SINAI MANIFEST.xlsx</v>
      </c>
      <c r="S2" t="str">
        <f>IF(LEN(TRIM(E2))=0,"",IF(ISERROR(VLOOKUP(E2,'Manifest MDB data'!A:A,1,FALSE)),"OK","EXISTS!!!"))</f>
        <v>EXISTS!!!</v>
      </c>
    </row>
    <row r="3" spans="1:19" x14ac:dyDescent="0.25">
      <c r="D3" t="str">
        <f t="shared" ref="D3:D66" si="2">GetSampleId((ROW()))</f>
        <v>C2-0220-V01</v>
      </c>
      <c r="E3" t="str">
        <f t="shared" ref="E3:E66" si="3">GetAliquotId((ROW()))</f>
        <v>C2-0220-V01-210222-PAX</v>
      </c>
      <c r="F3" t="str">
        <f t="shared" ref="F3:F66" si="4">IF(LEN(TRIM(E3))=0, "", "Human")</f>
        <v>Human</v>
      </c>
      <c r="G3" t="str">
        <f>IF(LEN(TRIM(E3))=0, "", GetSampleTissueBySpecimenPrep(H3))</f>
        <v>blood</v>
      </c>
      <c r="H3" t="str">
        <f>IF(LEN(TRIM(E3))=0, "", GetSpecimenPrepName())</f>
        <v>PaxGene</v>
      </c>
      <c r="I3" t="str">
        <f>IF(LEN(TRIM(E3))=0, "", GetSampleVolumeBySpecimenPrep(H3))</f>
        <v>10</v>
      </c>
      <c r="L3" t="str">
        <f>IF(LEN(TRIM(E3))=0,"",VLOOKUP("Manifest Id",config!A:B,2,FALSE))</f>
        <v>CHARM2-2021-02-19</v>
      </c>
      <c r="M3" t="str">
        <f>IF(LEN(TRIM(E3))=0, "",VLOOKUP("Project Name",config!A:B,2,FALSE))</f>
        <v>ECHO</v>
      </c>
      <c r="N3" t="str">
        <f>IF(LEN(TRIM(E3))=0, "",VLOOKUP("Center Name",config!A:B,2,FALSE))</f>
        <v>CHARM2</v>
      </c>
      <c r="O3" s="7">
        <f>IF(LEN(TRIM(E3))=0,"",VLOOKUP("Shipment Date",config!A:B,2,FALSE))</f>
        <v>44247</v>
      </c>
      <c r="P3" s="7" t="str">
        <f t="shared" si="1"/>
        <v>21-02-22</v>
      </c>
      <c r="Q3" s="7" t="str">
        <f>IF(LEN(TRIM(D3))=0,"",GetConfigParameterValue("Collection Site"))</f>
        <v>Camp Lejeune, NC</v>
      </c>
      <c r="R3" t="str">
        <f>IF(LEN(TRIM(E3))=0, "", GetManifestComments(H3))</f>
        <v>CHARM2 Shipment: 2021-03-01 MT SINAI MANIFEST.xlsx</v>
      </c>
      <c r="S3" t="str">
        <f>IF(LEN(TRIM(E3))=0,"",IF(ISERROR(VLOOKUP(E3,'Manifest MDB data'!A:A,1,FALSE)),"OK","EXISTS!!!"))</f>
        <v>EXISTS!!!</v>
      </c>
    </row>
    <row r="4" spans="1:19" x14ac:dyDescent="0.25">
      <c r="D4" t="str">
        <f t="shared" si="2"/>
        <v>C2-0378-V01</v>
      </c>
      <c r="E4" t="str">
        <f t="shared" si="3"/>
        <v>C2-0378-V01-210222-PAX</v>
      </c>
      <c r="F4" t="str">
        <f t="shared" si="4"/>
        <v>Human</v>
      </c>
      <c r="G4" t="str">
        <f>IF(LEN(TRIM(E4))=0, "", GetSampleTissueBySpecimenPrep(H4))</f>
        <v>blood</v>
      </c>
      <c r="H4" t="str">
        <f>IF(LEN(TRIM(E4))=0, "", GetSpecimenPrepName())</f>
        <v>PaxGene</v>
      </c>
      <c r="I4" t="str">
        <f>IF(LEN(TRIM(E4))=0, "", GetSampleVolumeBySpecimenPrep(H4))</f>
        <v>10</v>
      </c>
      <c r="L4" t="str">
        <f>IF(LEN(TRIM(E4))=0,"",VLOOKUP("Manifest Id",config!A:B,2,FALSE))</f>
        <v>CHARM2-2021-02-19</v>
      </c>
      <c r="M4" t="str">
        <f>IF(LEN(TRIM(E4))=0, "",VLOOKUP("Project Name",config!A:B,2,FALSE))</f>
        <v>ECHO</v>
      </c>
      <c r="N4" t="str">
        <f>IF(LEN(TRIM(E4))=0, "",VLOOKUP("Center Name",config!A:B,2,FALSE))</f>
        <v>CHARM2</v>
      </c>
      <c r="O4" s="7">
        <f>IF(LEN(TRIM(E4))=0,"",VLOOKUP("Shipment Date",config!A:B,2,FALSE))</f>
        <v>44247</v>
      </c>
      <c r="P4" s="7" t="str">
        <f t="shared" si="1"/>
        <v>21-02-22</v>
      </c>
      <c r="Q4" s="7" t="str">
        <f>IF(LEN(TRIM(D4))=0,"",GetConfigParameterValue("Collection Site"))</f>
        <v>Camp Lejeune, NC</v>
      </c>
      <c r="R4" t="str">
        <f>IF(LEN(TRIM(E4))=0, "", GetManifestComments(H4))</f>
        <v>CHARM2 Shipment: 2021-03-01 MT SINAI MANIFEST.xlsx</v>
      </c>
      <c r="S4" t="str">
        <f>IF(LEN(TRIM(E4))=0,"",IF(ISERROR(VLOOKUP(E4,'Manifest MDB data'!A:A,1,FALSE)),"OK","EXISTS!!!"))</f>
        <v>EXISTS!!!</v>
      </c>
    </row>
    <row r="5" spans="1:19" x14ac:dyDescent="0.25">
      <c r="D5" t="str">
        <f t="shared" si="2"/>
        <v>C2-0904-V01</v>
      </c>
      <c r="E5" t="str">
        <f t="shared" si="3"/>
        <v>C2-0904-V01-210222-PAX</v>
      </c>
      <c r="F5" t="str">
        <f t="shared" si="4"/>
        <v>Human</v>
      </c>
      <c r="G5" t="str">
        <f>IF(LEN(TRIM(E5))=0, "", GetSampleTissueBySpecimenPrep(H5))</f>
        <v>blood</v>
      </c>
      <c r="H5" t="str">
        <f>IF(LEN(TRIM(E5))=0, "", GetSpecimenPrepName())</f>
        <v>PaxGene</v>
      </c>
      <c r="I5" t="str">
        <f>IF(LEN(TRIM(E5))=0, "", GetSampleVolumeBySpecimenPrep(H5))</f>
        <v>10</v>
      </c>
      <c r="L5" t="str">
        <f>IF(LEN(TRIM(E5))=0,"",VLOOKUP("Manifest Id",config!A:B,2,FALSE))</f>
        <v>CHARM2-2021-02-19</v>
      </c>
      <c r="M5" t="str">
        <f>IF(LEN(TRIM(E5))=0, "",VLOOKUP("Project Name",config!A:B,2,FALSE))</f>
        <v>ECHO</v>
      </c>
      <c r="N5" t="str">
        <f>IF(LEN(TRIM(E5))=0, "",VLOOKUP("Center Name",config!A:B,2,FALSE))</f>
        <v>CHARM2</v>
      </c>
      <c r="O5" s="7">
        <f>IF(LEN(TRIM(E5))=0,"",VLOOKUP("Shipment Date",config!A:B,2,FALSE))</f>
        <v>44247</v>
      </c>
      <c r="P5" s="7" t="str">
        <f t="shared" si="1"/>
        <v>21-02-22</v>
      </c>
      <c r="Q5" s="7" t="str">
        <f>IF(LEN(TRIM(D5))=0,"",GetConfigParameterValue("Collection Site"))</f>
        <v>Camp Lejeune, NC</v>
      </c>
      <c r="R5" t="str">
        <f>IF(LEN(TRIM(E5))=0, "", GetManifestComments(H5))</f>
        <v>CHARM2 Shipment: 2021-03-01 MT SINAI MANIFEST.xlsx</v>
      </c>
      <c r="S5" t="str">
        <f>IF(LEN(TRIM(E5))=0,"",IF(ISERROR(VLOOKUP(E5,'Manifest MDB data'!A:A,1,FALSE)),"OK","EXISTS!!!"))</f>
        <v>EXISTS!!!</v>
      </c>
    </row>
    <row r="6" spans="1:19" x14ac:dyDescent="0.25">
      <c r="D6" t="str">
        <f t="shared" si="2"/>
        <v>C2-1527-V01</v>
      </c>
      <c r="E6" t="str">
        <f t="shared" si="3"/>
        <v>C2-1527-V01-210222-PAX</v>
      </c>
      <c r="F6" t="str">
        <f t="shared" si="4"/>
        <v>Human</v>
      </c>
      <c r="G6" t="str">
        <f>IF(LEN(TRIM(E6))=0, "", GetSampleTissueBySpecimenPrep(H6))</f>
        <v>blood</v>
      </c>
      <c r="H6" t="str">
        <f>IF(LEN(TRIM(E6))=0, "", GetSpecimenPrepName())</f>
        <v>PaxGene</v>
      </c>
      <c r="I6" t="str">
        <f>IF(LEN(TRIM(E6))=0, "", GetSampleVolumeBySpecimenPrep(H6))</f>
        <v>10</v>
      </c>
      <c r="L6" t="str">
        <f>IF(LEN(TRIM(E6))=0,"",VLOOKUP("Manifest Id",config!A:B,2,FALSE))</f>
        <v>CHARM2-2021-02-19</v>
      </c>
      <c r="M6" t="str">
        <f>IF(LEN(TRIM(E6))=0, "",VLOOKUP("Project Name",config!A:B,2,FALSE))</f>
        <v>ECHO</v>
      </c>
      <c r="N6" t="str">
        <f>IF(LEN(TRIM(E6))=0, "",VLOOKUP("Center Name",config!A:B,2,FALSE))</f>
        <v>CHARM2</v>
      </c>
      <c r="O6" s="7">
        <f>IF(LEN(TRIM(E6))=0,"",VLOOKUP("Shipment Date",config!A:B,2,FALSE))</f>
        <v>44247</v>
      </c>
      <c r="P6" s="7" t="str">
        <f t="shared" si="1"/>
        <v>21-02-22</v>
      </c>
      <c r="Q6" s="7" t="str">
        <f>IF(LEN(TRIM(D6))=0,"",GetConfigParameterValue("Collection Site"))</f>
        <v>Camp Lejeune, NC</v>
      </c>
      <c r="R6" t="str">
        <f>IF(LEN(TRIM(E6))=0, "", GetManifestComments(H6))</f>
        <v>CHARM2 Shipment: 2021-03-01 MT SINAI MANIFEST.xlsx</v>
      </c>
      <c r="S6" t="str">
        <f>IF(LEN(TRIM(E6))=0,"",IF(ISERROR(VLOOKUP(E6,'Manifest MDB data'!A:A,1,FALSE)),"OK","EXISTS!!!"))</f>
        <v>EXISTS!!!</v>
      </c>
    </row>
    <row r="7" spans="1:19" x14ac:dyDescent="0.25">
      <c r="D7" t="str">
        <f t="shared" si="2"/>
        <v>C2-0261-V01</v>
      </c>
      <c r="E7" t="str">
        <f t="shared" si="3"/>
        <v>C2-0261-V01-210224-PAX</v>
      </c>
      <c r="F7" t="str">
        <f t="shared" si="4"/>
        <v>Human</v>
      </c>
      <c r="G7" t="str">
        <f>IF(LEN(TRIM(E7))=0, "", GetSampleTissueBySpecimenPrep(H7))</f>
        <v>blood</v>
      </c>
      <c r="H7" t="str">
        <f>IF(LEN(TRIM(E7))=0, "", GetSpecimenPrepName())</f>
        <v>PaxGene</v>
      </c>
      <c r="I7" t="str">
        <f>IF(LEN(TRIM(E7))=0, "", GetSampleVolumeBySpecimenPrep(H7))</f>
        <v>10</v>
      </c>
      <c r="L7" t="str">
        <f>IF(LEN(TRIM(E7))=0,"",VLOOKUP("Manifest Id",config!A:B,2,FALSE))</f>
        <v>CHARM2-2021-02-19</v>
      </c>
      <c r="M7" t="str">
        <f>IF(LEN(TRIM(E7))=0, "",VLOOKUP("Project Name",config!A:B,2,FALSE))</f>
        <v>ECHO</v>
      </c>
      <c r="N7" t="str">
        <f>IF(LEN(TRIM(E7))=0, "",VLOOKUP("Center Name",config!A:B,2,FALSE))</f>
        <v>CHARM2</v>
      </c>
      <c r="O7" s="7">
        <f>IF(LEN(TRIM(E7))=0,"",VLOOKUP("Shipment Date",config!A:B,2,FALSE))</f>
        <v>44247</v>
      </c>
      <c r="P7" s="7" t="str">
        <f t="shared" si="1"/>
        <v>21-02-24</v>
      </c>
      <c r="Q7" s="7" t="str">
        <f>IF(LEN(TRIM(D7))=0,"",GetConfigParameterValue("Collection Site"))</f>
        <v>Camp Lejeune, NC</v>
      </c>
      <c r="R7" t="str">
        <f>IF(LEN(TRIM(E7))=0, "", GetManifestComments(H7))</f>
        <v>CHARM2 Shipment: 2021-03-01 MT SINAI MANIFEST.xlsx</v>
      </c>
      <c r="S7" t="str">
        <f>IF(LEN(TRIM(E7))=0,"",IF(ISERROR(VLOOKUP(E7,'Manifest MDB data'!A:A,1,FALSE)),"OK","EXISTS!!!"))</f>
        <v>EXISTS!!!</v>
      </c>
    </row>
    <row r="8" spans="1:19" x14ac:dyDescent="0.25">
      <c r="D8" t="str">
        <f t="shared" si="2"/>
        <v>C2-0332-V01</v>
      </c>
      <c r="E8" t="str">
        <f t="shared" si="3"/>
        <v>C2-0332-V01-210224-PAX</v>
      </c>
      <c r="F8" t="str">
        <f t="shared" si="4"/>
        <v>Human</v>
      </c>
      <c r="G8" t="str">
        <f>IF(LEN(TRIM(E8))=0, "", GetSampleTissueBySpecimenPrep(H8))</f>
        <v>blood</v>
      </c>
      <c r="H8" t="str">
        <f>IF(LEN(TRIM(E8))=0, "", GetSpecimenPrepName())</f>
        <v>PaxGene</v>
      </c>
      <c r="I8" t="str">
        <f>IF(LEN(TRIM(E8))=0, "", GetSampleVolumeBySpecimenPrep(H8))</f>
        <v>10</v>
      </c>
      <c r="L8" t="str">
        <f>IF(LEN(TRIM(E8))=0,"",VLOOKUP("Manifest Id",config!A:B,2,FALSE))</f>
        <v>CHARM2-2021-02-19</v>
      </c>
      <c r="M8" t="str">
        <f>IF(LEN(TRIM(E8))=0, "",VLOOKUP("Project Name",config!A:B,2,FALSE))</f>
        <v>ECHO</v>
      </c>
      <c r="N8" t="str">
        <f>IF(LEN(TRIM(E8))=0, "",VLOOKUP("Center Name",config!A:B,2,FALSE))</f>
        <v>CHARM2</v>
      </c>
      <c r="O8" s="7">
        <f>IF(LEN(TRIM(E8))=0,"",VLOOKUP("Shipment Date",config!A:B,2,FALSE))</f>
        <v>44247</v>
      </c>
      <c r="P8" s="7" t="str">
        <f t="shared" si="1"/>
        <v>21-02-24</v>
      </c>
      <c r="Q8" s="7" t="str">
        <f>IF(LEN(TRIM(D8))=0,"",GetConfigParameterValue("Collection Site"))</f>
        <v>Camp Lejeune, NC</v>
      </c>
      <c r="R8" t="str">
        <f>IF(LEN(TRIM(E8))=0, "", GetManifestComments(H8))</f>
        <v>CHARM2 Shipment: 2021-03-01 MT SINAI MANIFEST.xlsx</v>
      </c>
      <c r="S8" t="str">
        <f>IF(LEN(TRIM(E8))=0,"",IF(ISERROR(VLOOKUP(E8,'Manifest MDB data'!A:A,1,FALSE)),"OK","EXISTS!!!"))</f>
        <v>EXISTS!!!</v>
      </c>
    </row>
    <row r="9" spans="1:19" x14ac:dyDescent="0.25">
      <c r="D9" t="str">
        <f t="shared" si="2"/>
        <v>C2-0492-V01</v>
      </c>
      <c r="E9" t="str">
        <f t="shared" si="3"/>
        <v>C2-0492-V01-210224-PAX</v>
      </c>
      <c r="F9" t="str">
        <f t="shared" si="4"/>
        <v>Human</v>
      </c>
      <c r="G9" t="str">
        <f>IF(LEN(TRIM(E9))=0, "", GetSampleTissueBySpecimenPrep(H9))</f>
        <v>blood</v>
      </c>
      <c r="H9" t="str">
        <f>IF(LEN(TRIM(E9))=0, "", GetSpecimenPrepName())</f>
        <v>PaxGene</v>
      </c>
      <c r="I9" t="str">
        <f>IF(LEN(TRIM(E9))=0, "", GetSampleVolumeBySpecimenPrep(H9))</f>
        <v>10</v>
      </c>
      <c r="L9" t="str">
        <f>IF(LEN(TRIM(E9))=0,"",VLOOKUP("Manifest Id",config!A:B,2,FALSE))</f>
        <v>CHARM2-2021-02-19</v>
      </c>
      <c r="M9" t="str">
        <f>IF(LEN(TRIM(E9))=0, "",VLOOKUP("Project Name",config!A:B,2,FALSE))</f>
        <v>ECHO</v>
      </c>
      <c r="N9" t="str">
        <f>IF(LEN(TRIM(E9))=0, "",VLOOKUP("Center Name",config!A:B,2,FALSE))</f>
        <v>CHARM2</v>
      </c>
      <c r="O9" s="7">
        <f>IF(LEN(TRIM(E9))=0,"",VLOOKUP("Shipment Date",config!A:B,2,FALSE))</f>
        <v>44247</v>
      </c>
      <c r="P9" s="7" t="str">
        <f t="shared" si="1"/>
        <v>21-02-24</v>
      </c>
      <c r="Q9" s="7" t="str">
        <f>IF(LEN(TRIM(D9))=0,"",GetConfigParameterValue("Collection Site"))</f>
        <v>Camp Lejeune, NC</v>
      </c>
      <c r="R9" t="str">
        <f>IF(LEN(TRIM(E9))=0, "", GetManifestComments(H9))</f>
        <v>CHARM2 Shipment: 2021-03-01 MT SINAI MANIFEST.xlsx</v>
      </c>
      <c r="S9" t="str">
        <f>IF(LEN(TRIM(E9))=0,"",IF(ISERROR(VLOOKUP(E9,'Manifest MDB data'!A:A,1,FALSE)),"OK","EXISTS!!!"))</f>
        <v>EXISTS!!!</v>
      </c>
    </row>
    <row r="10" spans="1:19" x14ac:dyDescent="0.25">
      <c r="D10" t="str">
        <f t="shared" si="2"/>
        <v>C2-0567-V01</v>
      </c>
      <c r="E10" t="str">
        <f t="shared" si="3"/>
        <v>C2-0567-V01-210224-PAX</v>
      </c>
      <c r="F10" t="str">
        <f t="shared" si="4"/>
        <v>Human</v>
      </c>
      <c r="G10" t="str">
        <f>IF(LEN(TRIM(E10))=0, "", GetSampleTissueBySpecimenPrep(H10))</f>
        <v>blood</v>
      </c>
      <c r="H10" t="str">
        <f>IF(LEN(TRIM(E10))=0, "", GetSpecimenPrepName())</f>
        <v>PaxGene</v>
      </c>
      <c r="I10" t="str">
        <f>IF(LEN(TRIM(E10))=0, "", GetSampleVolumeBySpecimenPrep(H10))</f>
        <v>10</v>
      </c>
      <c r="L10" t="str">
        <f>IF(LEN(TRIM(E10))=0,"",VLOOKUP("Manifest Id",config!A:B,2,FALSE))</f>
        <v>CHARM2-2021-02-19</v>
      </c>
      <c r="M10" t="str">
        <f>IF(LEN(TRIM(E10))=0, "",VLOOKUP("Project Name",config!A:B,2,FALSE))</f>
        <v>ECHO</v>
      </c>
      <c r="N10" t="str">
        <f>IF(LEN(TRIM(E10))=0, "",VLOOKUP("Center Name",config!A:B,2,FALSE))</f>
        <v>CHARM2</v>
      </c>
      <c r="O10" s="7">
        <f>IF(LEN(TRIM(E10))=0,"",VLOOKUP("Shipment Date",config!A:B,2,FALSE))</f>
        <v>44247</v>
      </c>
      <c r="P10" s="7" t="str">
        <f t="shared" si="1"/>
        <v>21-02-24</v>
      </c>
      <c r="Q10" s="7" t="str">
        <f>IF(LEN(TRIM(D10))=0,"",GetConfigParameterValue("Collection Site"))</f>
        <v>Camp Lejeune, NC</v>
      </c>
      <c r="R10" t="str">
        <f>IF(LEN(TRIM(E10))=0, "", GetManifestComments(H10))</f>
        <v>CHARM2 Shipment: 2021-03-01 MT SINAI MANIFEST.xlsx</v>
      </c>
      <c r="S10" t="str">
        <f>IF(LEN(TRIM(E10))=0,"",IF(ISERROR(VLOOKUP(E10,'Manifest MDB data'!A:A,1,FALSE)),"OK","EXISTS!!!"))</f>
        <v>EXISTS!!!</v>
      </c>
    </row>
    <row r="11" spans="1:19" x14ac:dyDescent="0.25">
      <c r="D11" t="str">
        <f t="shared" si="2"/>
        <v>C2-0657-V01</v>
      </c>
      <c r="E11" t="str">
        <f t="shared" si="3"/>
        <v>C2-0657-V01-210224-PAX</v>
      </c>
      <c r="F11" t="str">
        <f t="shared" si="4"/>
        <v>Human</v>
      </c>
      <c r="G11" t="str">
        <f>IF(LEN(TRIM(E11))=0, "", GetSampleTissueBySpecimenPrep(H11))</f>
        <v>blood</v>
      </c>
      <c r="H11" t="str">
        <f>IF(LEN(TRIM(E11))=0, "", GetSpecimenPrepName())</f>
        <v>PaxGene</v>
      </c>
      <c r="I11" t="str">
        <f>IF(LEN(TRIM(E11))=0, "", GetSampleVolumeBySpecimenPrep(H11))</f>
        <v>10</v>
      </c>
      <c r="L11" t="str">
        <f>IF(LEN(TRIM(E11))=0,"",VLOOKUP("Manifest Id",config!A:B,2,FALSE))</f>
        <v>CHARM2-2021-02-19</v>
      </c>
      <c r="M11" t="str">
        <f>IF(LEN(TRIM(E11))=0, "",VLOOKUP("Project Name",config!A:B,2,FALSE))</f>
        <v>ECHO</v>
      </c>
      <c r="N11" t="str">
        <f>IF(LEN(TRIM(E11))=0, "",VLOOKUP("Center Name",config!A:B,2,FALSE))</f>
        <v>CHARM2</v>
      </c>
      <c r="O11" s="7">
        <f>IF(LEN(TRIM(E11))=0,"",VLOOKUP("Shipment Date",config!A:B,2,FALSE))</f>
        <v>44247</v>
      </c>
      <c r="P11" s="7" t="str">
        <f t="shared" si="1"/>
        <v>21-02-24</v>
      </c>
      <c r="Q11" s="7" t="str">
        <f>IF(LEN(TRIM(D11))=0,"",GetConfigParameterValue("Collection Site"))</f>
        <v>Camp Lejeune, NC</v>
      </c>
      <c r="R11" t="str">
        <f>IF(LEN(TRIM(E11))=0, "", GetManifestComments(H11))</f>
        <v>CHARM2 Shipment: 2021-03-01 MT SINAI MANIFEST.xlsx</v>
      </c>
      <c r="S11" t="str">
        <f>IF(LEN(TRIM(E11))=0,"",IF(ISERROR(VLOOKUP(E11,'Manifest MDB data'!A:A,1,FALSE)),"OK","EXISTS!!!"))</f>
        <v>EXISTS!!!</v>
      </c>
    </row>
    <row r="12" spans="1:19" x14ac:dyDescent="0.25">
      <c r="D12" t="str">
        <f t="shared" si="2"/>
        <v>C2-0733-V01</v>
      </c>
      <c r="E12" t="str">
        <f t="shared" si="3"/>
        <v>C2-0733-V01-210224-PAX</v>
      </c>
      <c r="F12" t="str">
        <f t="shared" si="4"/>
        <v>Human</v>
      </c>
      <c r="G12" t="str">
        <f>IF(LEN(TRIM(E12))=0, "", GetSampleTissueBySpecimenPrep(H12))</f>
        <v>blood</v>
      </c>
      <c r="H12" t="str">
        <f>IF(LEN(TRIM(E12))=0, "", GetSpecimenPrepName())</f>
        <v>PaxGene</v>
      </c>
      <c r="I12" t="str">
        <f>IF(LEN(TRIM(E12))=0, "", GetSampleVolumeBySpecimenPrep(H12))</f>
        <v>10</v>
      </c>
      <c r="L12" t="str">
        <f>IF(LEN(TRIM(E12))=0,"",VLOOKUP("Manifest Id",config!A:B,2,FALSE))</f>
        <v>CHARM2-2021-02-19</v>
      </c>
      <c r="M12" t="str">
        <f>IF(LEN(TRIM(E12))=0, "",VLOOKUP("Project Name",config!A:B,2,FALSE))</f>
        <v>ECHO</v>
      </c>
      <c r="N12" t="str">
        <f>IF(LEN(TRIM(E12))=0, "",VLOOKUP("Center Name",config!A:B,2,FALSE))</f>
        <v>CHARM2</v>
      </c>
      <c r="O12" s="7">
        <f>IF(LEN(TRIM(E12))=0,"",VLOOKUP("Shipment Date",config!A:B,2,FALSE))</f>
        <v>44247</v>
      </c>
      <c r="P12" s="7" t="str">
        <f t="shared" si="1"/>
        <v>21-02-24</v>
      </c>
      <c r="Q12" s="7" t="str">
        <f>IF(LEN(TRIM(D12))=0,"",GetConfigParameterValue("Collection Site"))</f>
        <v>Camp Lejeune, NC</v>
      </c>
      <c r="R12" t="str">
        <f>IF(LEN(TRIM(E12))=0, "", GetManifestComments(H12))</f>
        <v>CHARM2 Shipment: 2021-03-01 MT SINAI MANIFEST.xlsx</v>
      </c>
      <c r="S12" t="str">
        <f>IF(LEN(TRIM(E12))=0,"",IF(ISERROR(VLOOKUP(E12,'Manifest MDB data'!A:A,1,FALSE)),"OK","EXISTS!!!"))</f>
        <v>EXISTS!!!</v>
      </c>
    </row>
    <row r="13" spans="1:19" x14ac:dyDescent="0.25">
      <c r="D13" t="str">
        <f t="shared" si="2"/>
        <v>C2-0861-V01</v>
      </c>
      <c r="E13" t="str">
        <f t="shared" si="3"/>
        <v>C2-0861-V01-210224-PAX</v>
      </c>
      <c r="F13" t="str">
        <f t="shared" si="4"/>
        <v>Human</v>
      </c>
      <c r="G13" t="str">
        <f>IF(LEN(TRIM(E13))=0, "", GetSampleTissueBySpecimenPrep(H13))</f>
        <v>blood</v>
      </c>
      <c r="H13" t="str">
        <f>IF(LEN(TRIM(E13))=0, "", GetSpecimenPrepName())</f>
        <v>PaxGene</v>
      </c>
      <c r="I13" t="str">
        <f>IF(LEN(TRIM(E13))=0, "", GetSampleVolumeBySpecimenPrep(H13))</f>
        <v>10</v>
      </c>
      <c r="L13" t="str">
        <f>IF(LEN(TRIM(E13))=0,"",VLOOKUP("Manifest Id",config!A:B,2,FALSE))</f>
        <v>CHARM2-2021-02-19</v>
      </c>
      <c r="M13" t="str">
        <f>IF(LEN(TRIM(E13))=0, "",VLOOKUP("Project Name",config!A:B,2,FALSE))</f>
        <v>ECHO</v>
      </c>
      <c r="N13" t="str">
        <f>IF(LEN(TRIM(E13))=0, "",VLOOKUP("Center Name",config!A:B,2,FALSE))</f>
        <v>CHARM2</v>
      </c>
      <c r="O13" s="7">
        <f>IF(LEN(TRIM(E13))=0,"",VLOOKUP("Shipment Date",config!A:B,2,FALSE))</f>
        <v>44247</v>
      </c>
      <c r="P13" s="7" t="str">
        <f t="shared" si="1"/>
        <v>21-02-24</v>
      </c>
      <c r="Q13" s="7" t="str">
        <f>IF(LEN(TRIM(D13))=0,"",GetConfigParameterValue("Collection Site"))</f>
        <v>Camp Lejeune, NC</v>
      </c>
      <c r="R13" t="str">
        <f>IF(LEN(TRIM(E13))=0, "", GetManifestComments(H13))</f>
        <v>CHARM2 Shipment: 2021-03-01 MT SINAI MANIFEST.xlsx</v>
      </c>
      <c r="S13" t="str">
        <f>IF(LEN(TRIM(E13))=0,"",IF(ISERROR(VLOOKUP(E13,'Manifest MDB data'!A:A,1,FALSE)),"OK","EXISTS!!!"))</f>
        <v>EXISTS!!!</v>
      </c>
    </row>
    <row r="14" spans="1:19" x14ac:dyDescent="0.25">
      <c r="D14" t="str">
        <f t="shared" si="2"/>
        <v>C2-1181-V01</v>
      </c>
      <c r="E14" t="str">
        <f t="shared" si="3"/>
        <v>C2-1181-V01-210224-PAX</v>
      </c>
      <c r="F14" t="str">
        <f t="shared" si="4"/>
        <v>Human</v>
      </c>
      <c r="G14" t="str">
        <f>IF(LEN(TRIM(E14))=0, "", GetSampleTissueBySpecimenPrep(H14))</f>
        <v>blood</v>
      </c>
      <c r="H14" t="str">
        <f>IF(LEN(TRIM(E14))=0, "", GetSpecimenPrepName())</f>
        <v>PaxGene</v>
      </c>
      <c r="I14" t="str">
        <f>IF(LEN(TRIM(E14))=0, "", GetSampleVolumeBySpecimenPrep(H14))</f>
        <v>10</v>
      </c>
      <c r="L14" t="str">
        <f>IF(LEN(TRIM(E14))=0,"",VLOOKUP("Manifest Id",config!A:B,2,FALSE))</f>
        <v>CHARM2-2021-02-19</v>
      </c>
      <c r="M14" t="str">
        <f>IF(LEN(TRIM(E14))=0, "",VLOOKUP("Project Name",config!A:B,2,FALSE))</f>
        <v>ECHO</v>
      </c>
      <c r="N14" t="str">
        <f>IF(LEN(TRIM(E14))=0, "",VLOOKUP("Center Name",config!A:B,2,FALSE))</f>
        <v>CHARM2</v>
      </c>
      <c r="O14" s="7">
        <f>IF(LEN(TRIM(E14))=0,"",VLOOKUP("Shipment Date",config!A:B,2,FALSE))</f>
        <v>44247</v>
      </c>
      <c r="P14" s="7" t="str">
        <f t="shared" si="1"/>
        <v>21-02-24</v>
      </c>
      <c r="Q14" s="7" t="str">
        <f>IF(LEN(TRIM(D14))=0,"",GetConfigParameterValue("Collection Site"))</f>
        <v>Camp Lejeune, NC</v>
      </c>
      <c r="R14" t="str">
        <f>IF(LEN(TRIM(E14))=0, "", GetManifestComments(H14))</f>
        <v>CHARM2 Shipment: 2021-03-01 MT SINAI MANIFEST.xlsx</v>
      </c>
      <c r="S14" t="str">
        <f>IF(LEN(TRIM(E14))=0,"",IF(ISERROR(VLOOKUP(E14,'Manifest MDB data'!A:A,1,FALSE)),"OK","EXISTS!!!"))</f>
        <v>EXISTS!!!</v>
      </c>
    </row>
    <row r="15" spans="1:19" x14ac:dyDescent="0.25">
      <c r="D15" t="str">
        <f t="shared" si="2"/>
        <v>C2-1236-V01</v>
      </c>
      <c r="E15" t="str">
        <f t="shared" si="3"/>
        <v>C2-1236-V01-210224-PAX</v>
      </c>
      <c r="F15" t="str">
        <f t="shared" si="4"/>
        <v>Human</v>
      </c>
      <c r="G15" t="str">
        <f>IF(LEN(TRIM(E15))=0, "", GetSampleTissueBySpecimenPrep(H15))</f>
        <v>blood</v>
      </c>
      <c r="H15" t="str">
        <f>IF(LEN(TRIM(E15))=0, "", GetSpecimenPrepName())</f>
        <v>PaxGene</v>
      </c>
      <c r="I15" t="str">
        <f>IF(LEN(TRIM(E15))=0, "", GetSampleVolumeBySpecimenPrep(H15))</f>
        <v>10</v>
      </c>
      <c r="L15" t="str">
        <f>IF(LEN(TRIM(E15))=0,"",VLOOKUP("Manifest Id",config!A:B,2,FALSE))</f>
        <v>CHARM2-2021-02-19</v>
      </c>
      <c r="M15" t="str">
        <f>IF(LEN(TRIM(E15))=0, "",VLOOKUP("Project Name",config!A:B,2,FALSE))</f>
        <v>ECHO</v>
      </c>
      <c r="N15" t="str">
        <f>IF(LEN(TRIM(E15))=0, "",VLOOKUP("Center Name",config!A:B,2,FALSE))</f>
        <v>CHARM2</v>
      </c>
      <c r="O15" s="7">
        <f>IF(LEN(TRIM(E15))=0,"",VLOOKUP("Shipment Date",config!A:B,2,FALSE))</f>
        <v>44247</v>
      </c>
      <c r="P15" s="7" t="str">
        <f t="shared" si="1"/>
        <v>21-02-24</v>
      </c>
      <c r="Q15" s="7" t="str">
        <f>IF(LEN(TRIM(D15))=0,"",GetConfigParameterValue("Collection Site"))</f>
        <v>Camp Lejeune, NC</v>
      </c>
      <c r="R15" t="str">
        <f>IF(LEN(TRIM(E15))=0, "", GetManifestComments(H15))</f>
        <v>CHARM2 Shipment: 2021-03-01 MT SINAI MANIFEST.xlsx</v>
      </c>
      <c r="S15" t="str">
        <f>IF(LEN(TRIM(E15))=0,"",IF(ISERROR(VLOOKUP(E15,'Manifest MDB data'!A:A,1,FALSE)),"OK","EXISTS!!!"))</f>
        <v>EXISTS!!!</v>
      </c>
    </row>
    <row r="16" spans="1:19" x14ac:dyDescent="0.25">
      <c r="D16" t="str">
        <f t="shared" si="2"/>
        <v>C2-1357-V01</v>
      </c>
      <c r="E16" t="str">
        <f t="shared" si="3"/>
        <v>C2-1357-V01-210224-PAX</v>
      </c>
      <c r="F16" t="str">
        <f t="shared" si="4"/>
        <v>Human</v>
      </c>
      <c r="G16" t="str">
        <f>IF(LEN(TRIM(E16))=0, "", GetSampleTissueBySpecimenPrep(H16))</f>
        <v>blood</v>
      </c>
      <c r="H16" t="str">
        <f>IF(LEN(TRIM(E16))=0, "", GetSpecimenPrepName())</f>
        <v>PaxGene</v>
      </c>
      <c r="I16" t="str">
        <f>IF(LEN(TRIM(E16))=0, "", GetSampleVolumeBySpecimenPrep(H16))</f>
        <v>10</v>
      </c>
      <c r="L16" t="str">
        <f>IF(LEN(TRIM(E16))=0,"",VLOOKUP("Manifest Id",config!A:B,2,FALSE))</f>
        <v>CHARM2-2021-02-19</v>
      </c>
      <c r="M16" t="str">
        <f>IF(LEN(TRIM(E16))=0, "",VLOOKUP("Project Name",config!A:B,2,FALSE))</f>
        <v>ECHO</v>
      </c>
      <c r="N16" t="str">
        <f>IF(LEN(TRIM(E16))=0, "",VLOOKUP("Center Name",config!A:B,2,FALSE))</f>
        <v>CHARM2</v>
      </c>
      <c r="O16" s="7">
        <f>IF(LEN(TRIM(E16))=0,"",VLOOKUP("Shipment Date",config!A:B,2,FALSE))</f>
        <v>44247</v>
      </c>
      <c r="P16" s="7" t="str">
        <f t="shared" si="1"/>
        <v>21-02-24</v>
      </c>
      <c r="Q16" s="7" t="str">
        <f>IF(LEN(TRIM(D16))=0,"",GetConfigParameterValue("Collection Site"))</f>
        <v>Camp Lejeune, NC</v>
      </c>
      <c r="R16" t="str">
        <f>IF(LEN(TRIM(E16))=0, "", GetManifestComments(H16))</f>
        <v>CHARM2 Shipment: 2021-03-01 MT SINAI MANIFEST.xlsx</v>
      </c>
      <c r="S16" t="str">
        <f>IF(LEN(TRIM(E16))=0,"",IF(ISERROR(VLOOKUP(E16,'Manifest MDB data'!A:A,1,FALSE)),"OK","EXISTS!!!"))</f>
        <v>EXISTS!!!</v>
      </c>
    </row>
    <row r="17" spans="4:19" x14ac:dyDescent="0.25">
      <c r="D17" t="str">
        <f t="shared" si="2"/>
        <v>C2-1400-V01</v>
      </c>
      <c r="E17" t="str">
        <f t="shared" si="3"/>
        <v>C2-1400-V01-210224-PAX</v>
      </c>
      <c r="F17" t="str">
        <f t="shared" si="4"/>
        <v>Human</v>
      </c>
      <c r="G17" t="str">
        <f>IF(LEN(TRIM(E17))=0, "", GetSampleTissueBySpecimenPrep(H17))</f>
        <v>blood</v>
      </c>
      <c r="H17" t="str">
        <f>IF(LEN(TRIM(E17))=0, "", GetSpecimenPrepName())</f>
        <v>PaxGene</v>
      </c>
      <c r="I17" t="str">
        <f>IF(LEN(TRIM(E17))=0, "", GetSampleVolumeBySpecimenPrep(H17))</f>
        <v>10</v>
      </c>
      <c r="L17" t="str">
        <f>IF(LEN(TRIM(E17))=0,"",VLOOKUP("Manifest Id",config!A:B,2,FALSE))</f>
        <v>CHARM2-2021-02-19</v>
      </c>
      <c r="M17" t="str">
        <f>IF(LEN(TRIM(E17))=0, "",VLOOKUP("Project Name",config!A:B,2,FALSE))</f>
        <v>ECHO</v>
      </c>
      <c r="N17" t="str">
        <f>IF(LEN(TRIM(E17))=0, "",VLOOKUP("Center Name",config!A:B,2,FALSE))</f>
        <v>CHARM2</v>
      </c>
      <c r="O17" s="7">
        <f>IF(LEN(TRIM(E17))=0,"",VLOOKUP("Shipment Date",config!A:B,2,FALSE))</f>
        <v>44247</v>
      </c>
      <c r="P17" s="7" t="str">
        <f t="shared" si="1"/>
        <v>21-02-24</v>
      </c>
      <c r="Q17" s="7" t="str">
        <f>IF(LEN(TRIM(D17))=0,"",GetConfigParameterValue("Collection Site"))</f>
        <v>Camp Lejeune, NC</v>
      </c>
      <c r="R17" t="str">
        <f>IF(LEN(TRIM(E17))=0, "", GetManifestComments(H17))</f>
        <v>CHARM2 Shipment: 2021-03-01 MT SINAI MANIFEST.xlsx</v>
      </c>
      <c r="S17" t="str">
        <f>IF(LEN(TRIM(E17))=0,"",IF(ISERROR(VLOOKUP(E17,'Manifest MDB data'!A:A,1,FALSE)),"OK","EXISTS!!!"))</f>
        <v>EXISTS!!!</v>
      </c>
    </row>
    <row r="18" spans="4:19" x14ac:dyDescent="0.25">
      <c r="D18" t="str">
        <f t="shared" si="2"/>
        <v>C2-1540-V01</v>
      </c>
      <c r="E18" t="str">
        <f t="shared" si="3"/>
        <v>C2-1540-V01-210224-PAX</v>
      </c>
      <c r="F18" t="str">
        <f t="shared" si="4"/>
        <v>Human</v>
      </c>
      <c r="G18" t="str">
        <f>IF(LEN(TRIM(E18))=0, "", GetSampleTissueBySpecimenPrep(H18))</f>
        <v>blood</v>
      </c>
      <c r="H18" t="str">
        <f>IF(LEN(TRIM(E18))=0, "", GetSpecimenPrepName())</f>
        <v>PaxGene</v>
      </c>
      <c r="I18" t="str">
        <f>IF(LEN(TRIM(E18))=0, "", GetSampleVolumeBySpecimenPrep(H18))</f>
        <v>10</v>
      </c>
      <c r="L18" t="str">
        <f>IF(LEN(TRIM(E18))=0,"",VLOOKUP("Manifest Id",config!A:B,2,FALSE))</f>
        <v>CHARM2-2021-02-19</v>
      </c>
      <c r="M18" t="str">
        <f>IF(LEN(TRIM(E18))=0, "",VLOOKUP("Project Name",config!A:B,2,FALSE))</f>
        <v>ECHO</v>
      </c>
      <c r="N18" t="str">
        <f>IF(LEN(TRIM(E18))=0, "",VLOOKUP("Center Name",config!A:B,2,FALSE))</f>
        <v>CHARM2</v>
      </c>
      <c r="O18" s="7">
        <f>IF(LEN(TRIM(E18))=0,"",VLOOKUP("Shipment Date",config!A:B,2,FALSE))</f>
        <v>44247</v>
      </c>
      <c r="P18" s="7" t="str">
        <f t="shared" si="1"/>
        <v>21-02-24</v>
      </c>
      <c r="Q18" s="7" t="str">
        <f>IF(LEN(TRIM(D18))=0,"",GetConfigParameterValue("Collection Site"))</f>
        <v>Camp Lejeune, NC</v>
      </c>
      <c r="R18" t="str">
        <f>IF(LEN(TRIM(E18))=0, "", GetManifestComments(H18))</f>
        <v>CHARM2 Shipment: 2021-03-01 MT SINAI MANIFEST.xlsx</v>
      </c>
      <c r="S18" t="str">
        <f>IF(LEN(TRIM(E18))=0,"",IF(ISERROR(VLOOKUP(E18,'Manifest MDB data'!A:A,1,FALSE)),"OK","EXISTS!!!"))</f>
        <v>EXISTS!!!</v>
      </c>
    </row>
    <row r="19" spans="4:19" x14ac:dyDescent="0.25">
      <c r="D19" t="str">
        <f t="shared" si="2"/>
        <v>C2-1549-V01</v>
      </c>
      <c r="E19" t="str">
        <f t="shared" si="3"/>
        <v>C2-1549-V01-210224-PAX</v>
      </c>
      <c r="F19" t="str">
        <f t="shared" si="4"/>
        <v>Human</v>
      </c>
      <c r="G19" t="str">
        <f>IF(LEN(TRIM(E19))=0, "", GetSampleTissueBySpecimenPrep(H19))</f>
        <v>blood</v>
      </c>
      <c r="H19" t="str">
        <f>IF(LEN(TRIM(E19))=0, "", GetSpecimenPrepName())</f>
        <v>PaxGene</v>
      </c>
      <c r="I19" t="str">
        <f>IF(LEN(TRIM(E19))=0, "", GetSampleVolumeBySpecimenPrep(H19))</f>
        <v>10</v>
      </c>
      <c r="L19" t="str">
        <f>IF(LEN(TRIM(E19))=0,"",VLOOKUP("Manifest Id",config!A:B,2,FALSE))</f>
        <v>CHARM2-2021-02-19</v>
      </c>
      <c r="M19" t="str">
        <f>IF(LEN(TRIM(E19))=0, "",VLOOKUP("Project Name",config!A:B,2,FALSE))</f>
        <v>ECHO</v>
      </c>
      <c r="N19" t="str">
        <f>IF(LEN(TRIM(E19))=0, "",VLOOKUP("Center Name",config!A:B,2,FALSE))</f>
        <v>CHARM2</v>
      </c>
      <c r="O19" s="7">
        <f>IF(LEN(TRIM(E19))=0,"",VLOOKUP("Shipment Date",config!A:B,2,FALSE))</f>
        <v>44247</v>
      </c>
      <c r="P19" s="7" t="str">
        <f t="shared" si="1"/>
        <v>21-02-24</v>
      </c>
      <c r="Q19" s="7" t="str">
        <f>IF(LEN(TRIM(D19))=0,"",GetConfigParameterValue("Collection Site"))</f>
        <v>Camp Lejeune, NC</v>
      </c>
      <c r="R19" t="str">
        <f>IF(LEN(TRIM(E19))=0, "", GetManifestComments(H19))</f>
        <v>CHARM2 Shipment: 2021-03-01 MT SINAI MANIFEST.xlsx</v>
      </c>
      <c r="S19" t="str">
        <f>IF(LEN(TRIM(E19))=0,"",IF(ISERROR(VLOOKUP(E19,'Manifest MDB data'!A:A,1,FALSE)),"OK","EXISTS!!!"))</f>
        <v>EXISTS!!!</v>
      </c>
    </row>
    <row r="20" spans="4:19" x14ac:dyDescent="0.25">
      <c r="D20" t="str">
        <f t="shared" si="2"/>
        <v>C2-1579-V01</v>
      </c>
      <c r="E20" t="str">
        <f t="shared" si="3"/>
        <v>C2-1579-V01-210224-PAX</v>
      </c>
      <c r="F20" t="str">
        <f t="shared" si="4"/>
        <v>Human</v>
      </c>
      <c r="G20" t="str">
        <f>IF(LEN(TRIM(E20))=0, "", GetSampleTissueBySpecimenPrep(H20))</f>
        <v>blood</v>
      </c>
      <c r="H20" t="str">
        <f>IF(LEN(TRIM(E20))=0, "", GetSpecimenPrepName())</f>
        <v>PaxGene</v>
      </c>
      <c r="I20" t="str">
        <f>IF(LEN(TRIM(E20))=0, "", GetSampleVolumeBySpecimenPrep(H20))</f>
        <v>10</v>
      </c>
      <c r="L20" t="str">
        <f>IF(LEN(TRIM(E20))=0,"",VLOOKUP("Manifest Id",config!A:B,2,FALSE))</f>
        <v>CHARM2-2021-02-19</v>
      </c>
      <c r="M20" t="str">
        <f>IF(LEN(TRIM(E20))=0, "",VLOOKUP("Project Name",config!A:B,2,FALSE))</f>
        <v>ECHO</v>
      </c>
      <c r="N20" t="str">
        <f>IF(LEN(TRIM(E20))=0, "",VLOOKUP("Center Name",config!A:B,2,FALSE))</f>
        <v>CHARM2</v>
      </c>
      <c r="O20" s="7">
        <f>IF(LEN(TRIM(E20))=0,"",VLOOKUP("Shipment Date",config!A:B,2,FALSE))</f>
        <v>44247</v>
      </c>
      <c r="P20" s="7" t="str">
        <f t="shared" si="1"/>
        <v>21-02-24</v>
      </c>
      <c r="Q20" s="7" t="str">
        <f>IF(LEN(TRIM(D20))=0,"",GetConfigParameterValue("Collection Site"))</f>
        <v>Camp Lejeune, NC</v>
      </c>
      <c r="R20" t="str">
        <f>IF(LEN(TRIM(E20))=0, "", GetManifestComments(H20))</f>
        <v>CHARM2 Shipment: 2021-03-01 MT SINAI MANIFEST.xlsx</v>
      </c>
      <c r="S20" t="str">
        <f>IF(LEN(TRIM(E20))=0,"",IF(ISERROR(VLOOKUP(E20,'Manifest MDB data'!A:A,1,FALSE)),"OK","EXISTS!!!"))</f>
        <v>EXISTS!!!</v>
      </c>
    </row>
    <row r="21" spans="4:19" x14ac:dyDescent="0.25">
      <c r="D21" t="str">
        <f t="shared" si="2"/>
        <v>C2-1611-V01</v>
      </c>
      <c r="E21" t="str">
        <f t="shared" si="3"/>
        <v>C2-1611-V01-210224-PAX</v>
      </c>
      <c r="F21" t="str">
        <f t="shared" si="4"/>
        <v>Human</v>
      </c>
      <c r="G21" t="str">
        <f>IF(LEN(TRIM(E21))=0, "", GetSampleTissueBySpecimenPrep(H21))</f>
        <v>blood</v>
      </c>
      <c r="H21" t="str">
        <f>IF(LEN(TRIM(E21))=0, "", GetSpecimenPrepName())</f>
        <v>PaxGene</v>
      </c>
      <c r="I21" t="str">
        <f>IF(LEN(TRIM(E21))=0, "", GetSampleVolumeBySpecimenPrep(H21))</f>
        <v>10</v>
      </c>
      <c r="L21" t="str">
        <f>IF(LEN(TRIM(E21))=0,"",VLOOKUP("Manifest Id",config!A:B,2,FALSE))</f>
        <v>CHARM2-2021-02-19</v>
      </c>
      <c r="M21" t="str">
        <f>IF(LEN(TRIM(E21))=0, "",VLOOKUP("Project Name",config!A:B,2,FALSE))</f>
        <v>ECHO</v>
      </c>
      <c r="N21" t="str">
        <f>IF(LEN(TRIM(E21))=0, "",VLOOKUP("Center Name",config!A:B,2,FALSE))</f>
        <v>CHARM2</v>
      </c>
      <c r="O21" s="7">
        <f>IF(LEN(TRIM(E21))=0,"",VLOOKUP("Shipment Date",config!A:B,2,FALSE))</f>
        <v>44247</v>
      </c>
      <c r="P21" s="7" t="str">
        <f t="shared" si="1"/>
        <v>21-02-24</v>
      </c>
      <c r="Q21" s="7" t="str">
        <f>IF(LEN(TRIM(D21))=0,"",GetConfigParameterValue("Collection Site"))</f>
        <v>Camp Lejeune, NC</v>
      </c>
      <c r="R21" t="str">
        <f>IF(LEN(TRIM(E21))=0, "", GetManifestComments(H21))</f>
        <v>CHARM2 Shipment: 2021-03-01 MT SINAI MANIFEST.xlsx</v>
      </c>
      <c r="S21" t="str">
        <f>IF(LEN(TRIM(E21))=0,"",IF(ISERROR(VLOOKUP(E21,'Manifest MDB data'!A:A,1,FALSE)),"OK","EXISTS!!!"))</f>
        <v>EXISTS!!!</v>
      </c>
    </row>
    <row r="22" spans="4:19" x14ac:dyDescent="0.25">
      <c r="D22" t="str">
        <f t="shared" si="2"/>
        <v>C2-1654-V01</v>
      </c>
      <c r="E22" t="str">
        <f t="shared" si="3"/>
        <v>C2-1654-V01-210224-PAX</v>
      </c>
      <c r="F22" t="str">
        <f t="shared" si="4"/>
        <v>Human</v>
      </c>
      <c r="G22" t="str">
        <f>IF(LEN(TRIM(E22))=0, "", GetSampleTissueBySpecimenPrep(H22))</f>
        <v>blood</v>
      </c>
      <c r="H22" t="str">
        <f>IF(LEN(TRIM(E22))=0, "", GetSpecimenPrepName())</f>
        <v>PaxGene</v>
      </c>
      <c r="I22" t="str">
        <f>IF(LEN(TRIM(E22))=0, "", GetSampleVolumeBySpecimenPrep(H22))</f>
        <v>10</v>
      </c>
      <c r="L22" t="str">
        <f>IF(LEN(TRIM(E22))=0,"",VLOOKUP("Manifest Id",config!A:B,2,FALSE))</f>
        <v>CHARM2-2021-02-19</v>
      </c>
      <c r="M22" t="str">
        <f>IF(LEN(TRIM(E22))=0, "",VLOOKUP("Project Name",config!A:B,2,FALSE))</f>
        <v>ECHO</v>
      </c>
      <c r="N22" t="str">
        <f>IF(LEN(TRIM(E22))=0, "",VLOOKUP("Center Name",config!A:B,2,FALSE))</f>
        <v>CHARM2</v>
      </c>
      <c r="O22" s="7">
        <f>IF(LEN(TRIM(E22))=0,"",VLOOKUP("Shipment Date",config!A:B,2,FALSE))</f>
        <v>44247</v>
      </c>
      <c r="P22" s="7" t="str">
        <f t="shared" si="1"/>
        <v>21-02-24</v>
      </c>
      <c r="Q22" s="7" t="str">
        <f>IF(LEN(TRIM(D22))=0,"",GetConfigParameterValue("Collection Site"))</f>
        <v>Camp Lejeune, NC</v>
      </c>
      <c r="R22" t="str">
        <f>IF(LEN(TRIM(E22))=0, "", GetManifestComments(H22))</f>
        <v>CHARM2 Shipment: 2021-03-01 MT SINAI MANIFEST.xlsx</v>
      </c>
      <c r="S22" t="str">
        <f>IF(LEN(TRIM(E22))=0,"",IF(ISERROR(VLOOKUP(E22,'Manifest MDB data'!A:A,1,FALSE)),"OK","EXISTS!!!"))</f>
        <v>EXISTS!!!</v>
      </c>
    </row>
    <row r="23" spans="4:19" x14ac:dyDescent="0.25">
      <c r="D23" t="str">
        <f t="shared" si="2"/>
        <v>C2-1747-V01</v>
      </c>
      <c r="E23" t="str">
        <f t="shared" si="3"/>
        <v>C2-1747-V01-210224-PAX</v>
      </c>
      <c r="F23" t="str">
        <f t="shared" si="4"/>
        <v>Human</v>
      </c>
      <c r="G23" t="str">
        <f>IF(LEN(TRIM(E23))=0, "", GetSampleTissueBySpecimenPrep(H23))</f>
        <v>blood</v>
      </c>
      <c r="H23" t="str">
        <f>IF(LEN(TRIM(E23))=0, "", GetSpecimenPrepName())</f>
        <v>PaxGene</v>
      </c>
      <c r="I23" t="str">
        <f>IF(LEN(TRIM(E23))=0, "", GetSampleVolumeBySpecimenPrep(H23))</f>
        <v>10</v>
      </c>
      <c r="L23" t="str">
        <f>IF(LEN(TRIM(E23))=0,"",VLOOKUP("Manifest Id",config!A:B,2,FALSE))</f>
        <v>CHARM2-2021-02-19</v>
      </c>
      <c r="M23" t="str">
        <f>IF(LEN(TRIM(E23))=0, "",VLOOKUP("Project Name",config!A:B,2,FALSE))</f>
        <v>ECHO</v>
      </c>
      <c r="N23" t="str">
        <f>IF(LEN(TRIM(E23))=0, "",VLOOKUP("Center Name",config!A:B,2,FALSE))</f>
        <v>CHARM2</v>
      </c>
      <c r="O23" s="7">
        <f>IF(LEN(TRIM(E23))=0,"",VLOOKUP("Shipment Date",config!A:B,2,FALSE))</f>
        <v>44247</v>
      </c>
      <c r="P23" s="7" t="str">
        <f t="shared" si="1"/>
        <v>21-02-24</v>
      </c>
      <c r="Q23" s="7" t="str">
        <f>IF(LEN(TRIM(D23))=0,"",GetConfigParameterValue("Collection Site"))</f>
        <v>Camp Lejeune, NC</v>
      </c>
      <c r="R23" t="str">
        <f>IF(LEN(TRIM(E23))=0, "", GetManifestComments(H23))</f>
        <v>CHARM2 Shipment: 2021-03-01 MT SINAI MANIFEST.xlsx</v>
      </c>
      <c r="S23" t="str">
        <f>IF(LEN(TRIM(E23))=0,"",IF(ISERROR(VLOOKUP(E23,'Manifest MDB data'!A:A,1,FALSE)),"OK","EXISTS!!!"))</f>
        <v>EXISTS!!!</v>
      </c>
    </row>
    <row r="24" spans="4:19" x14ac:dyDescent="0.25">
      <c r="D24" t="str">
        <f t="shared" si="2"/>
        <v>C2-1784-V01</v>
      </c>
      <c r="E24" t="str">
        <f t="shared" si="3"/>
        <v>C2-1784-V01-210224-PAX</v>
      </c>
      <c r="F24" t="str">
        <f t="shared" si="4"/>
        <v>Human</v>
      </c>
      <c r="G24" t="str">
        <f>IF(LEN(TRIM(E24))=0, "", GetSampleTissueBySpecimenPrep(H24))</f>
        <v>blood</v>
      </c>
      <c r="H24" t="str">
        <f>IF(LEN(TRIM(E24))=0, "", GetSpecimenPrepName())</f>
        <v>PaxGene</v>
      </c>
      <c r="I24" t="str">
        <f>IF(LEN(TRIM(E24))=0, "", GetSampleVolumeBySpecimenPrep(H24))</f>
        <v>10</v>
      </c>
      <c r="L24" t="str">
        <f>IF(LEN(TRIM(E24))=0,"",VLOOKUP("Manifest Id",config!A:B,2,FALSE))</f>
        <v>CHARM2-2021-02-19</v>
      </c>
      <c r="M24" t="str">
        <f>IF(LEN(TRIM(E24))=0, "",VLOOKUP("Project Name",config!A:B,2,FALSE))</f>
        <v>ECHO</v>
      </c>
      <c r="N24" t="str">
        <f>IF(LEN(TRIM(E24))=0, "",VLOOKUP("Center Name",config!A:B,2,FALSE))</f>
        <v>CHARM2</v>
      </c>
      <c r="O24" s="7">
        <f>IF(LEN(TRIM(E24))=0,"",VLOOKUP("Shipment Date",config!A:B,2,FALSE))</f>
        <v>44247</v>
      </c>
      <c r="P24" s="7" t="str">
        <f t="shared" si="1"/>
        <v>21-02-24</v>
      </c>
      <c r="Q24" s="7" t="str">
        <f>IF(LEN(TRIM(D24))=0,"",GetConfigParameterValue("Collection Site"))</f>
        <v>Camp Lejeune, NC</v>
      </c>
      <c r="R24" t="str">
        <f>IF(LEN(TRIM(E24))=0, "", GetManifestComments(H24))</f>
        <v>CHARM2 Shipment: 2021-03-01 MT SINAI MANIFEST.xlsx</v>
      </c>
      <c r="S24" t="str">
        <f>IF(LEN(TRIM(E24))=0,"",IF(ISERROR(VLOOKUP(E24,'Manifest MDB data'!A:A,1,FALSE)),"OK","EXISTS!!!"))</f>
        <v>EXISTS!!!</v>
      </c>
    </row>
    <row r="25" spans="4:19" x14ac:dyDescent="0.25">
      <c r="D25" t="str">
        <f t="shared" si="2"/>
        <v>C2-1848-V01</v>
      </c>
      <c r="E25" t="str">
        <f t="shared" si="3"/>
        <v>C2-1848-V01-210224-PAX</v>
      </c>
      <c r="F25" t="str">
        <f t="shared" si="4"/>
        <v>Human</v>
      </c>
      <c r="G25" t="str">
        <f>IF(LEN(TRIM(E25))=0, "", GetSampleTissueBySpecimenPrep(H25))</f>
        <v>blood</v>
      </c>
      <c r="H25" t="str">
        <f>IF(LEN(TRIM(E25))=0, "", GetSpecimenPrepName())</f>
        <v>PaxGene</v>
      </c>
      <c r="I25" t="str">
        <f>IF(LEN(TRIM(E25))=0, "", GetSampleVolumeBySpecimenPrep(H25))</f>
        <v>10</v>
      </c>
      <c r="L25" t="str">
        <f>IF(LEN(TRIM(E25))=0,"",VLOOKUP("Manifest Id",config!A:B,2,FALSE))</f>
        <v>CHARM2-2021-02-19</v>
      </c>
      <c r="M25" t="str">
        <f>IF(LEN(TRIM(E25))=0, "",VLOOKUP("Project Name",config!A:B,2,FALSE))</f>
        <v>ECHO</v>
      </c>
      <c r="N25" t="str">
        <f>IF(LEN(TRIM(E25))=0, "",VLOOKUP("Center Name",config!A:B,2,FALSE))</f>
        <v>CHARM2</v>
      </c>
      <c r="O25" s="7">
        <f>IF(LEN(TRIM(E25))=0,"",VLOOKUP("Shipment Date",config!A:B,2,FALSE))</f>
        <v>44247</v>
      </c>
      <c r="P25" s="7" t="str">
        <f t="shared" si="1"/>
        <v>21-02-24</v>
      </c>
      <c r="Q25" s="7" t="str">
        <f>IF(LEN(TRIM(D25))=0,"",GetConfigParameterValue("Collection Site"))</f>
        <v>Camp Lejeune, NC</v>
      </c>
      <c r="R25" t="str">
        <f>IF(LEN(TRIM(E25))=0, "", GetManifestComments(H25))</f>
        <v>CHARM2 Shipment: 2021-03-01 MT SINAI MANIFEST.xlsx</v>
      </c>
      <c r="S25" t="str">
        <f>IF(LEN(TRIM(E25))=0,"",IF(ISERROR(VLOOKUP(E25,'Manifest MDB data'!A:A,1,FALSE)),"OK","EXISTS!!!"))</f>
        <v>EXISTS!!!</v>
      </c>
    </row>
    <row r="26" spans="4:19" x14ac:dyDescent="0.25">
      <c r="D26" t="str">
        <f t="shared" si="2"/>
        <v>C2-2067-V01</v>
      </c>
      <c r="E26" t="str">
        <f t="shared" si="3"/>
        <v>C2-2067-V01-210224-PAX</v>
      </c>
      <c r="F26" t="str">
        <f t="shared" si="4"/>
        <v>Human</v>
      </c>
      <c r="G26" t="str">
        <f>IF(LEN(TRIM(E26))=0, "", GetSampleTissueBySpecimenPrep(H26))</f>
        <v>blood</v>
      </c>
      <c r="H26" t="str">
        <f>IF(LEN(TRIM(E26))=0, "", GetSpecimenPrepName())</f>
        <v>PaxGene</v>
      </c>
      <c r="I26" t="str">
        <f>IF(LEN(TRIM(E26))=0, "", GetSampleVolumeBySpecimenPrep(H26))</f>
        <v>10</v>
      </c>
      <c r="L26" t="str">
        <f>IF(LEN(TRIM(E26))=0,"",VLOOKUP("Manifest Id",config!A:B,2,FALSE))</f>
        <v>CHARM2-2021-02-19</v>
      </c>
      <c r="M26" t="str">
        <f>IF(LEN(TRIM(E26))=0, "",VLOOKUP("Project Name",config!A:B,2,FALSE))</f>
        <v>ECHO</v>
      </c>
      <c r="N26" t="str">
        <f>IF(LEN(TRIM(E26))=0, "",VLOOKUP("Center Name",config!A:B,2,FALSE))</f>
        <v>CHARM2</v>
      </c>
      <c r="O26" s="7">
        <f>IF(LEN(TRIM(E26))=0,"",VLOOKUP("Shipment Date",config!A:B,2,FALSE))</f>
        <v>44247</v>
      </c>
      <c r="P26" s="7" t="str">
        <f t="shared" si="1"/>
        <v>21-02-24</v>
      </c>
      <c r="Q26" s="7" t="str">
        <f>IF(LEN(TRIM(D26))=0,"",GetConfigParameterValue("Collection Site"))</f>
        <v>Camp Lejeune, NC</v>
      </c>
      <c r="R26" t="str">
        <f>IF(LEN(TRIM(E26))=0, "", GetManifestComments(H26))</f>
        <v>CHARM2 Shipment: 2021-03-01 MT SINAI MANIFEST.xlsx</v>
      </c>
      <c r="S26" t="str">
        <f>IF(LEN(TRIM(E26))=0,"",IF(ISERROR(VLOOKUP(E26,'Manifest MDB data'!A:A,1,FALSE)),"OK","EXISTS!!!"))</f>
        <v>EXISTS!!!</v>
      </c>
    </row>
    <row r="27" spans="4:19" x14ac:dyDescent="0.25">
      <c r="D27" t="str">
        <f t="shared" si="2"/>
        <v>C2-0119-V01</v>
      </c>
      <c r="E27" t="str">
        <f t="shared" si="3"/>
        <v>C2-0119-V01-210225-PAX</v>
      </c>
      <c r="F27" t="str">
        <f t="shared" si="4"/>
        <v>Human</v>
      </c>
      <c r="G27" t="str">
        <f>IF(LEN(TRIM(E27))=0, "", GetSampleTissueBySpecimenPrep(H27))</f>
        <v>blood</v>
      </c>
      <c r="H27" t="str">
        <f>IF(LEN(TRIM(E27))=0, "", GetSpecimenPrepName())</f>
        <v>PaxGene</v>
      </c>
      <c r="I27" t="str">
        <f>IF(LEN(TRIM(E27))=0, "", GetSampleVolumeBySpecimenPrep(H27))</f>
        <v>10</v>
      </c>
      <c r="L27" t="str">
        <f>IF(LEN(TRIM(E27))=0,"",VLOOKUP("Manifest Id",config!A:B,2,FALSE))</f>
        <v>CHARM2-2021-02-19</v>
      </c>
      <c r="M27" t="str">
        <f>IF(LEN(TRIM(E27))=0, "",VLOOKUP("Project Name",config!A:B,2,FALSE))</f>
        <v>ECHO</v>
      </c>
      <c r="N27" t="str">
        <f>IF(LEN(TRIM(E27))=0, "",VLOOKUP("Center Name",config!A:B,2,FALSE))</f>
        <v>CHARM2</v>
      </c>
      <c r="O27" s="7">
        <f>IF(LEN(TRIM(E27))=0,"",VLOOKUP("Shipment Date",config!A:B,2,FALSE))</f>
        <v>44247</v>
      </c>
      <c r="P27" s="7" t="str">
        <f t="shared" si="1"/>
        <v>21-02-25</v>
      </c>
      <c r="Q27" s="7" t="str">
        <f>IF(LEN(TRIM(D27))=0,"",GetConfigParameterValue("Collection Site"))</f>
        <v>Camp Lejeune, NC</v>
      </c>
      <c r="R27" t="str">
        <f>IF(LEN(TRIM(E27))=0, "", GetManifestComments(H27))</f>
        <v>CHARM2 Shipment: 2021-03-01 MT SINAI MANIFEST.xlsx</v>
      </c>
      <c r="S27" t="str">
        <f>IF(LEN(TRIM(E27))=0,"",IF(ISERROR(VLOOKUP(E27,'Manifest MDB data'!A:A,1,FALSE)),"OK","EXISTS!!!"))</f>
        <v>EXISTS!!!</v>
      </c>
    </row>
    <row r="28" spans="4:19" x14ac:dyDescent="0.25">
      <c r="D28" t="str">
        <f t="shared" si="2"/>
        <v>C2-0211-V01</v>
      </c>
      <c r="E28" t="str">
        <f t="shared" si="3"/>
        <v>C2-0211-V01-210225-PAX</v>
      </c>
      <c r="F28" t="str">
        <f t="shared" si="4"/>
        <v>Human</v>
      </c>
      <c r="G28" t="str">
        <f>IF(LEN(TRIM(E28))=0, "", GetSampleTissueBySpecimenPrep(H28))</f>
        <v>blood</v>
      </c>
      <c r="H28" t="str">
        <f>IF(LEN(TRIM(E28))=0, "", GetSpecimenPrepName())</f>
        <v>PaxGene</v>
      </c>
      <c r="I28" t="str">
        <f>IF(LEN(TRIM(E28))=0, "", GetSampleVolumeBySpecimenPrep(H28))</f>
        <v>10</v>
      </c>
      <c r="L28" t="str">
        <f>IF(LEN(TRIM(E28))=0,"",VLOOKUP("Manifest Id",config!A:B,2,FALSE))</f>
        <v>CHARM2-2021-02-19</v>
      </c>
      <c r="M28" t="str">
        <f>IF(LEN(TRIM(E28))=0, "",VLOOKUP("Project Name",config!A:B,2,FALSE))</f>
        <v>ECHO</v>
      </c>
      <c r="N28" t="str">
        <f>IF(LEN(TRIM(E28))=0, "",VLOOKUP("Center Name",config!A:B,2,FALSE))</f>
        <v>CHARM2</v>
      </c>
      <c r="O28" s="7">
        <f>IF(LEN(TRIM(E28))=0,"",VLOOKUP("Shipment Date",config!A:B,2,FALSE))</f>
        <v>44247</v>
      </c>
      <c r="P28" s="7" t="str">
        <f t="shared" si="1"/>
        <v>21-02-25</v>
      </c>
      <c r="Q28" s="7" t="str">
        <f>IF(LEN(TRIM(D28))=0,"",GetConfigParameterValue("Collection Site"))</f>
        <v>Camp Lejeune, NC</v>
      </c>
      <c r="R28" t="str">
        <f>IF(LEN(TRIM(E28))=0, "", GetManifestComments(H28))</f>
        <v>CHARM2 Shipment: 2021-03-01 MT SINAI MANIFEST.xlsx</v>
      </c>
      <c r="S28" t="str">
        <f>IF(LEN(TRIM(E28))=0,"",IF(ISERROR(VLOOKUP(E28,'Manifest MDB data'!A:A,1,FALSE)),"OK","EXISTS!!!"))</f>
        <v>EXISTS!!!</v>
      </c>
    </row>
    <row r="29" spans="4:19" x14ac:dyDescent="0.25">
      <c r="D29" t="str">
        <f t="shared" si="2"/>
        <v>C2-0371-V01</v>
      </c>
      <c r="E29" t="str">
        <f t="shared" si="3"/>
        <v>C2-0371-V01-210225-PAX</v>
      </c>
      <c r="F29" t="str">
        <f t="shared" si="4"/>
        <v>Human</v>
      </c>
      <c r="G29" t="str">
        <f>IF(LEN(TRIM(E29))=0, "", GetSampleTissueBySpecimenPrep(H29))</f>
        <v>blood</v>
      </c>
      <c r="H29" t="str">
        <f>IF(LEN(TRIM(E29))=0, "", GetSpecimenPrepName())</f>
        <v>PaxGene</v>
      </c>
      <c r="I29" t="str">
        <f>IF(LEN(TRIM(E29))=0, "", GetSampleVolumeBySpecimenPrep(H29))</f>
        <v>10</v>
      </c>
      <c r="L29" t="str">
        <f>IF(LEN(TRIM(E29))=0,"",VLOOKUP("Manifest Id",config!A:B,2,FALSE))</f>
        <v>CHARM2-2021-02-19</v>
      </c>
      <c r="M29" t="str">
        <f>IF(LEN(TRIM(E29))=0, "",VLOOKUP("Project Name",config!A:B,2,FALSE))</f>
        <v>ECHO</v>
      </c>
      <c r="N29" t="str">
        <f>IF(LEN(TRIM(E29))=0, "",VLOOKUP("Center Name",config!A:B,2,FALSE))</f>
        <v>CHARM2</v>
      </c>
      <c r="O29" s="7">
        <f>IF(LEN(TRIM(E29))=0,"",VLOOKUP("Shipment Date",config!A:B,2,FALSE))</f>
        <v>44247</v>
      </c>
      <c r="P29" s="7" t="str">
        <f t="shared" si="1"/>
        <v>21-02-25</v>
      </c>
      <c r="Q29" s="7" t="str">
        <f>IF(LEN(TRIM(D29))=0,"",GetConfigParameterValue("Collection Site"))</f>
        <v>Camp Lejeune, NC</v>
      </c>
      <c r="R29" t="str">
        <f>IF(LEN(TRIM(E29))=0, "", GetManifestComments(H29))</f>
        <v>CHARM2 Shipment: 2021-03-01 MT SINAI MANIFEST.xlsx</v>
      </c>
      <c r="S29" t="str">
        <f>IF(LEN(TRIM(E29))=0,"",IF(ISERROR(VLOOKUP(E29,'Manifest MDB data'!A:A,1,FALSE)),"OK","EXISTS!!!"))</f>
        <v>EXISTS!!!</v>
      </c>
    </row>
    <row r="30" spans="4:19" x14ac:dyDescent="0.25">
      <c r="D30" t="str">
        <f t="shared" si="2"/>
        <v>C2-0397-V01</v>
      </c>
      <c r="E30" t="str">
        <f t="shared" si="3"/>
        <v>C2-0397-V01-210225-PAX</v>
      </c>
      <c r="F30" t="str">
        <f t="shared" si="4"/>
        <v>Human</v>
      </c>
      <c r="G30" t="str">
        <f>IF(LEN(TRIM(E30))=0, "", GetSampleTissueBySpecimenPrep(H30))</f>
        <v>blood</v>
      </c>
      <c r="H30" t="str">
        <f>IF(LEN(TRIM(E30))=0, "", GetSpecimenPrepName())</f>
        <v>PaxGene</v>
      </c>
      <c r="I30" t="str">
        <f>IF(LEN(TRIM(E30))=0, "", GetSampleVolumeBySpecimenPrep(H30))</f>
        <v>10</v>
      </c>
      <c r="L30" t="str">
        <f>IF(LEN(TRIM(E30))=0,"",VLOOKUP("Manifest Id",config!A:B,2,FALSE))</f>
        <v>CHARM2-2021-02-19</v>
      </c>
      <c r="M30" t="str">
        <f>IF(LEN(TRIM(E30))=0, "",VLOOKUP("Project Name",config!A:B,2,FALSE))</f>
        <v>ECHO</v>
      </c>
      <c r="N30" t="str">
        <f>IF(LEN(TRIM(E30))=0, "",VLOOKUP("Center Name",config!A:B,2,FALSE))</f>
        <v>CHARM2</v>
      </c>
      <c r="O30" s="7">
        <f>IF(LEN(TRIM(E30))=0,"",VLOOKUP("Shipment Date",config!A:B,2,FALSE))</f>
        <v>44247</v>
      </c>
      <c r="P30" s="7" t="str">
        <f t="shared" si="1"/>
        <v>21-02-25</v>
      </c>
      <c r="Q30" s="7" t="str">
        <f>IF(LEN(TRIM(D30))=0,"",GetConfigParameterValue("Collection Site"))</f>
        <v>Camp Lejeune, NC</v>
      </c>
      <c r="R30" t="str">
        <f>IF(LEN(TRIM(E30))=0, "", GetManifestComments(H30))</f>
        <v>CHARM2 Shipment: 2021-03-01 MT SINAI MANIFEST.xlsx</v>
      </c>
      <c r="S30" t="str">
        <f>IF(LEN(TRIM(E30))=0,"",IF(ISERROR(VLOOKUP(E30,'Manifest MDB data'!A:A,1,FALSE)),"OK","EXISTS!!!"))</f>
        <v>EXISTS!!!</v>
      </c>
    </row>
    <row r="31" spans="4:19" x14ac:dyDescent="0.25">
      <c r="D31" t="str">
        <f t="shared" si="2"/>
        <v>C2-0500-V01</v>
      </c>
      <c r="E31" t="str">
        <f t="shared" si="3"/>
        <v>C2-0500-V01-210225-PAX</v>
      </c>
      <c r="F31" t="str">
        <f t="shared" si="4"/>
        <v>Human</v>
      </c>
      <c r="G31" t="str">
        <f>IF(LEN(TRIM(E31))=0, "", GetSampleTissueBySpecimenPrep(H31))</f>
        <v>blood</v>
      </c>
      <c r="H31" t="str">
        <f>IF(LEN(TRIM(E31))=0, "", GetSpecimenPrepName())</f>
        <v>PaxGene</v>
      </c>
      <c r="I31" t="str">
        <f>IF(LEN(TRIM(E31))=0, "", GetSampleVolumeBySpecimenPrep(H31))</f>
        <v>10</v>
      </c>
      <c r="L31" t="str">
        <f>IF(LEN(TRIM(E31))=0,"",VLOOKUP("Manifest Id",config!A:B,2,FALSE))</f>
        <v>CHARM2-2021-02-19</v>
      </c>
      <c r="M31" t="str">
        <f>IF(LEN(TRIM(E31))=0, "",VLOOKUP("Project Name",config!A:B,2,FALSE))</f>
        <v>ECHO</v>
      </c>
      <c r="N31" t="str">
        <f>IF(LEN(TRIM(E31))=0, "",VLOOKUP("Center Name",config!A:B,2,FALSE))</f>
        <v>CHARM2</v>
      </c>
      <c r="O31" s="7">
        <f>IF(LEN(TRIM(E31))=0,"",VLOOKUP("Shipment Date",config!A:B,2,FALSE))</f>
        <v>44247</v>
      </c>
      <c r="P31" s="7" t="str">
        <f t="shared" si="1"/>
        <v>21-02-25</v>
      </c>
      <c r="Q31" s="7" t="str">
        <f>IF(LEN(TRIM(D31))=0,"",GetConfigParameterValue("Collection Site"))</f>
        <v>Camp Lejeune, NC</v>
      </c>
      <c r="R31" t="str">
        <f>IF(LEN(TRIM(E31))=0, "", GetManifestComments(H31))</f>
        <v>CHARM2 Shipment: 2021-03-01 MT SINAI MANIFEST.xlsx</v>
      </c>
      <c r="S31" t="str">
        <f>IF(LEN(TRIM(E31))=0,"",IF(ISERROR(VLOOKUP(E31,'Manifest MDB data'!A:A,1,FALSE)),"OK","EXISTS!!!"))</f>
        <v>EXISTS!!!</v>
      </c>
    </row>
    <row r="32" spans="4:19" x14ac:dyDescent="0.25">
      <c r="D32" t="str">
        <f t="shared" si="2"/>
        <v>C2-0551-V01</v>
      </c>
      <c r="E32" t="str">
        <f t="shared" si="3"/>
        <v>C2-0551-V01-210225-PAX</v>
      </c>
      <c r="F32" t="str">
        <f t="shared" si="4"/>
        <v>Human</v>
      </c>
      <c r="G32" t="str">
        <f>IF(LEN(TRIM(E32))=0, "", GetSampleTissueBySpecimenPrep(H32))</f>
        <v>blood</v>
      </c>
      <c r="H32" t="str">
        <f>IF(LEN(TRIM(E32))=0, "", GetSpecimenPrepName())</f>
        <v>PaxGene</v>
      </c>
      <c r="I32" t="str">
        <f>IF(LEN(TRIM(E32))=0, "", GetSampleVolumeBySpecimenPrep(H32))</f>
        <v>10</v>
      </c>
      <c r="L32" t="str">
        <f>IF(LEN(TRIM(E32))=0,"",VLOOKUP("Manifest Id",config!A:B,2,FALSE))</f>
        <v>CHARM2-2021-02-19</v>
      </c>
      <c r="M32" t="str">
        <f>IF(LEN(TRIM(E32))=0, "",VLOOKUP("Project Name",config!A:B,2,FALSE))</f>
        <v>ECHO</v>
      </c>
      <c r="N32" t="str">
        <f>IF(LEN(TRIM(E32))=0, "",VLOOKUP("Center Name",config!A:B,2,FALSE))</f>
        <v>CHARM2</v>
      </c>
      <c r="O32" s="7">
        <f>IF(LEN(TRIM(E32))=0,"",VLOOKUP("Shipment Date",config!A:B,2,FALSE))</f>
        <v>44247</v>
      </c>
      <c r="P32" s="7" t="str">
        <f t="shared" si="1"/>
        <v>21-02-25</v>
      </c>
      <c r="Q32" s="7" t="str">
        <f>IF(LEN(TRIM(D32))=0,"",GetConfigParameterValue("Collection Site"))</f>
        <v>Camp Lejeune, NC</v>
      </c>
      <c r="R32" t="str">
        <f>IF(LEN(TRIM(E32))=0, "", GetManifestComments(H32))</f>
        <v>CHARM2 Shipment: 2021-03-01 MT SINAI MANIFEST.xlsx</v>
      </c>
      <c r="S32" t="str">
        <f>IF(LEN(TRIM(E32))=0,"",IF(ISERROR(VLOOKUP(E32,'Manifest MDB data'!A:A,1,FALSE)),"OK","EXISTS!!!"))</f>
        <v>EXISTS!!!</v>
      </c>
    </row>
    <row r="33" spans="4:19" x14ac:dyDescent="0.25">
      <c r="D33" t="str">
        <f t="shared" si="2"/>
        <v>C2-0560-V01</v>
      </c>
      <c r="E33" t="str">
        <f t="shared" si="3"/>
        <v>C2-0560-V01-210225-PAX</v>
      </c>
      <c r="F33" t="str">
        <f t="shared" si="4"/>
        <v>Human</v>
      </c>
      <c r="G33" t="str">
        <f>IF(LEN(TRIM(E33))=0, "", GetSampleTissueBySpecimenPrep(H33))</f>
        <v>blood</v>
      </c>
      <c r="H33" t="str">
        <f>IF(LEN(TRIM(E33))=0, "", GetSpecimenPrepName())</f>
        <v>PaxGene</v>
      </c>
      <c r="I33" t="str">
        <f>IF(LEN(TRIM(E33))=0, "", GetSampleVolumeBySpecimenPrep(H33))</f>
        <v>10</v>
      </c>
      <c r="L33" t="str">
        <f>IF(LEN(TRIM(E33))=0,"",VLOOKUP("Manifest Id",config!A:B,2,FALSE))</f>
        <v>CHARM2-2021-02-19</v>
      </c>
      <c r="M33" t="str">
        <f>IF(LEN(TRIM(E33))=0, "",VLOOKUP("Project Name",config!A:B,2,FALSE))</f>
        <v>ECHO</v>
      </c>
      <c r="N33" t="str">
        <f>IF(LEN(TRIM(E33))=0, "",VLOOKUP("Center Name",config!A:B,2,FALSE))</f>
        <v>CHARM2</v>
      </c>
      <c r="O33" s="7">
        <f>IF(LEN(TRIM(E33))=0,"",VLOOKUP("Shipment Date",config!A:B,2,FALSE))</f>
        <v>44247</v>
      </c>
      <c r="P33" s="7" t="str">
        <f t="shared" si="1"/>
        <v>21-02-25</v>
      </c>
      <c r="Q33" s="7" t="str">
        <f>IF(LEN(TRIM(D33))=0,"",GetConfigParameterValue("Collection Site"))</f>
        <v>Camp Lejeune, NC</v>
      </c>
      <c r="R33" t="str">
        <f>IF(LEN(TRIM(E33))=0, "", GetManifestComments(H33))</f>
        <v>CHARM2 Shipment: 2021-03-01 MT SINAI MANIFEST.xlsx</v>
      </c>
      <c r="S33" t="str">
        <f>IF(LEN(TRIM(E33))=0,"",IF(ISERROR(VLOOKUP(E33,'Manifest MDB data'!A:A,1,FALSE)),"OK","EXISTS!!!"))</f>
        <v>EXISTS!!!</v>
      </c>
    </row>
    <row r="34" spans="4:19" x14ac:dyDescent="0.25">
      <c r="D34" t="str">
        <f t="shared" si="2"/>
        <v>C2-0594-V01</v>
      </c>
      <c r="E34" t="str">
        <f t="shared" si="3"/>
        <v>C2-0594-V01-210225-PAX</v>
      </c>
      <c r="F34" t="str">
        <f t="shared" si="4"/>
        <v>Human</v>
      </c>
      <c r="G34" t="str">
        <f>IF(LEN(TRIM(E34))=0, "", GetSampleTissueBySpecimenPrep(H34))</f>
        <v>blood</v>
      </c>
      <c r="H34" t="str">
        <f>IF(LEN(TRIM(E34))=0, "", GetSpecimenPrepName())</f>
        <v>PaxGene</v>
      </c>
      <c r="I34" t="str">
        <f>IF(LEN(TRIM(E34))=0, "", GetSampleVolumeBySpecimenPrep(H34))</f>
        <v>10</v>
      </c>
      <c r="L34" t="str">
        <f>IF(LEN(TRIM(E34))=0,"",VLOOKUP("Manifest Id",config!A:B,2,FALSE))</f>
        <v>CHARM2-2021-02-19</v>
      </c>
      <c r="M34" t="str">
        <f>IF(LEN(TRIM(E34))=0, "",VLOOKUP("Project Name",config!A:B,2,FALSE))</f>
        <v>ECHO</v>
      </c>
      <c r="N34" t="str">
        <f>IF(LEN(TRIM(E34))=0, "",VLOOKUP("Center Name",config!A:B,2,FALSE))</f>
        <v>CHARM2</v>
      </c>
      <c r="O34" s="7">
        <f>IF(LEN(TRIM(E34))=0,"",VLOOKUP("Shipment Date",config!A:B,2,FALSE))</f>
        <v>44247</v>
      </c>
      <c r="P34" s="7" t="str">
        <f t="shared" si="1"/>
        <v>21-02-25</v>
      </c>
      <c r="Q34" s="7" t="str">
        <f>IF(LEN(TRIM(D34))=0,"",GetConfigParameterValue("Collection Site"))</f>
        <v>Camp Lejeune, NC</v>
      </c>
      <c r="R34" t="str">
        <f>IF(LEN(TRIM(E34))=0, "", GetManifestComments(H34))</f>
        <v>CHARM2 Shipment: 2021-03-01 MT SINAI MANIFEST.xlsx</v>
      </c>
      <c r="S34" t="str">
        <f>IF(LEN(TRIM(E34))=0,"",IF(ISERROR(VLOOKUP(E34,'Manifest MDB data'!A:A,1,FALSE)),"OK","EXISTS!!!"))</f>
        <v>EXISTS!!!</v>
      </c>
    </row>
    <row r="35" spans="4:19" x14ac:dyDescent="0.25">
      <c r="D35" t="str">
        <f t="shared" si="2"/>
        <v>C2-0665-V01</v>
      </c>
      <c r="E35" t="str">
        <f t="shared" si="3"/>
        <v>C2-0665-V01-210225-PAX</v>
      </c>
      <c r="F35" t="str">
        <f t="shared" si="4"/>
        <v>Human</v>
      </c>
      <c r="G35" t="str">
        <f>IF(LEN(TRIM(E35))=0, "", GetSampleTissueBySpecimenPrep(H35))</f>
        <v>blood</v>
      </c>
      <c r="H35" t="str">
        <f>IF(LEN(TRIM(E35))=0, "", GetSpecimenPrepName())</f>
        <v>PaxGene</v>
      </c>
      <c r="I35" t="str">
        <f>IF(LEN(TRIM(E35))=0, "", GetSampleVolumeBySpecimenPrep(H35))</f>
        <v>10</v>
      </c>
      <c r="L35" t="str">
        <f>IF(LEN(TRIM(E35))=0,"",VLOOKUP("Manifest Id",config!A:B,2,FALSE))</f>
        <v>CHARM2-2021-02-19</v>
      </c>
      <c r="M35" t="str">
        <f>IF(LEN(TRIM(E35))=0, "",VLOOKUP("Project Name",config!A:B,2,FALSE))</f>
        <v>ECHO</v>
      </c>
      <c r="N35" t="str">
        <f>IF(LEN(TRIM(E35))=0, "",VLOOKUP("Center Name",config!A:B,2,FALSE))</f>
        <v>CHARM2</v>
      </c>
      <c r="O35" s="7">
        <f>IF(LEN(TRIM(E35))=0,"",VLOOKUP("Shipment Date",config!A:B,2,FALSE))</f>
        <v>44247</v>
      </c>
      <c r="P35" s="7" t="str">
        <f t="shared" si="1"/>
        <v>21-02-25</v>
      </c>
      <c r="Q35" s="7" t="str">
        <f>IF(LEN(TRIM(D35))=0,"",GetConfigParameterValue("Collection Site"))</f>
        <v>Camp Lejeune, NC</v>
      </c>
      <c r="R35" t="str">
        <f>IF(LEN(TRIM(E35))=0, "", GetManifestComments(H35))</f>
        <v>CHARM2 Shipment: 2021-03-01 MT SINAI MANIFEST.xlsx</v>
      </c>
      <c r="S35" t="str">
        <f>IF(LEN(TRIM(E35))=0,"",IF(ISERROR(VLOOKUP(E35,'Manifest MDB data'!A:A,1,FALSE)),"OK","EXISTS!!!"))</f>
        <v>EXISTS!!!</v>
      </c>
    </row>
    <row r="36" spans="4:19" x14ac:dyDescent="0.25">
      <c r="D36" t="str">
        <f t="shared" si="2"/>
        <v>C2-0801-V01</v>
      </c>
      <c r="E36" t="str">
        <f t="shared" si="3"/>
        <v>C2-0801-V01-210225-PAX</v>
      </c>
      <c r="F36" t="str">
        <f t="shared" si="4"/>
        <v>Human</v>
      </c>
      <c r="G36" t="str">
        <f>IF(LEN(TRIM(E36))=0, "", GetSampleTissueBySpecimenPrep(H36))</f>
        <v>blood</v>
      </c>
      <c r="H36" t="str">
        <f>IF(LEN(TRIM(E36))=0, "", GetSpecimenPrepName())</f>
        <v>PaxGene</v>
      </c>
      <c r="I36" t="str">
        <f>IF(LEN(TRIM(E36))=0, "", GetSampleVolumeBySpecimenPrep(H36))</f>
        <v>10</v>
      </c>
      <c r="L36" t="str">
        <f>IF(LEN(TRIM(E36))=0,"",VLOOKUP("Manifest Id",config!A:B,2,FALSE))</f>
        <v>CHARM2-2021-02-19</v>
      </c>
      <c r="M36" t="str">
        <f>IF(LEN(TRIM(E36))=0, "",VLOOKUP("Project Name",config!A:B,2,FALSE))</f>
        <v>ECHO</v>
      </c>
      <c r="N36" t="str">
        <f>IF(LEN(TRIM(E36))=0, "",VLOOKUP("Center Name",config!A:B,2,FALSE))</f>
        <v>CHARM2</v>
      </c>
      <c r="O36" s="7">
        <f>IF(LEN(TRIM(E36))=0,"",VLOOKUP("Shipment Date",config!A:B,2,FALSE))</f>
        <v>44247</v>
      </c>
      <c r="P36" s="7" t="str">
        <f t="shared" si="1"/>
        <v>21-02-25</v>
      </c>
      <c r="Q36" s="7" t="str">
        <f>IF(LEN(TRIM(D36))=0,"",GetConfigParameterValue("Collection Site"))</f>
        <v>Camp Lejeune, NC</v>
      </c>
      <c r="R36" t="str">
        <f>IF(LEN(TRIM(E36))=0, "", GetManifestComments(H36))</f>
        <v>CHARM2 Shipment: 2021-03-01 MT SINAI MANIFEST.xlsx</v>
      </c>
      <c r="S36" t="str">
        <f>IF(LEN(TRIM(E36))=0,"",IF(ISERROR(VLOOKUP(E36,'Manifest MDB data'!A:A,1,FALSE)),"OK","EXISTS!!!"))</f>
        <v>EXISTS!!!</v>
      </c>
    </row>
    <row r="37" spans="4:19" x14ac:dyDescent="0.25">
      <c r="D37" t="str">
        <f t="shared" si="2"/>
        <v>C2-0913-V01</v>
      </c>
      <c r="E37" t="str">
        <f t="shared" si="3"/>
        <v>C2-0913-V01-210225-PAX</v>
      </c>
      <c r="F37" t="str">
        <f t="shared" si="4"/>
        <v>Human</v>
      </c>
      <c r="G37" t="str">
        <f>IF(LEN(TRIM(E37))=0, "", GetSampleTissueBySpecimenPrep(H37))</f>
        <v>blood</v>
      </c>
      <c r="H37" t="str">
        <f>IF(LEN(TRIM(E37))=0, "", GetSpecimenPrepName())</f>
        <v>PaxGene</v>
      </c>
      <c r="I37" t="str">
        <f>IF(LEN(TRIM(E37))=0, "", GetSampleVolumeBySpecimenPrep(H37))</f>
        <v>10</v>
      </c>
      <c r="L37" t="str">
        <f>IF(LEN(TRIM(E37))=0,"",VLOOKUP("Manifest Id",config!A:B,2,FALSE))</f>
        <v>CHARM2-2021-02-19</v>
      </c>
      <c r="M37" t="str">
        <f>IF(LEN(TRIM(E37))=0, "",VLOOKUP("Project Name",config!A:B,2,FALSE))</f>
        <v>ECHO</v>
      </c>
      <c r="N37" t="str">
        <f>IF(LEN(TRIM(E37))=0, "",VLOOKUP("Center Name",config!A:B,2,FALSE))</f>
        <v>CHARM2</v>
      </c>
      <c r="O37" s="7">
        <f>IF(LEN(TRIM(E37))=0,"",VLOOKUP("Shipment Date",config!A:B,2,FALSE))</f>
        <v>44247</v>
      </c>
      <c r="P37" s="7" t="str">
        <f t="shared" si="1"/>
        <v>21-02-25</v>
      </c>
      <c r="Q37" s="7" t="str">
        <f>IF(LEN(TRIM(D37))=0,"",GetConfigParameterValue("Collection Site"))</f>
        <v>Camp Lejeune, NC</v>
      </c>
      <c r="R37" t="str">
        <f>IF(LEN(TRIM(E37))=0, "", GetManifestComments(H37))</f>
        <v>CHARM2 Shipment: 2021-03-01 MT SINAI MANIFEST.xlsx</v>
      </c>
      <c r="S37" t="str">
        <f>IF(LEN(TRIM(E37))=0,"",IF(ISERROR(VLOOKUP(E37,'Manifest MDB data'!A:A,1,FALSE)),"OK","EXISTS!!!"))</f>
        <v>EXISTS!!!</v>
      </c>
    </row>
    <row r="38" spans="4:19" x14ac:dyDescent="0.25">
      <c r="D38" t="str">
        <f t="shared" si="2"/>
        <v>C2-0936-V01</v>
      </c>
      <c r="E38" t="str">
        <f t="shared" si="3"/>
        <v>C2-0936-V01-210225-PAX</v>
      </c>
      <c r="F38" t="str">
        <f t="shared" si="4"/>
        <v>Human</v>
      </c>
      <c r="G38" t="str">
        <f>IF(LEN(TRIM(E38))=0, "", GetSampleTissueBySpecimenPrep(H38))</f>
        <v>blood</v>
      </c>
      <c r="H38" t="str">
        <f>IF(LEN(TRIM(E38))=0, "", GetSpecimenPrepName())</f>
        <v>PaxGene</v>
      </c>
      <c r="I38" t="str">
        <f>IF(LEN(TRIM(E38))=0, "", GetSampleVolumeBySpecimenPrep(H38))</f>
        <v>10</v>
      </c>
      <c r="L38" t="str">
        <f>IF(LEN(TRIM(E38))=0,"",VLOOKUP("Manifest Id",config!A:B,2,FALSE))</f>
        <v>CHARM2-2021-02-19</v>
      </c>
      <c r="M38" t="str">
        <f>IF(LEN(TRIM(E38))=0, "",VLOOKUP("Project Name",config!A:B,2,FALSE))</f>
        <v>ECHO</v>
      </c>
      <c r="N38" t="str">
        <f>IF(LEN(TRIM(E38))=0, "",VLOOKUP("Center Name",config!A:B,2,FALSE))</f>
        <v>CHARM2</v>
      </c>
      <c r="O38" s="7">
        <f>IF(LEN(TRIM(E38))=0,"",VLOOKUP("Shipment Date",config!A:B,2,FALSE))</f>
        <v>44247</v>
      </c>
      <c r="P38" s="7" t="str">
        <f t="shared" si="1"/>
        <v>21-02-25</v>
      </c>
      <c r="Q38" s="7" t="str">
        <f>IF(LEN(TRIM(D38))=0,"",GetConfigParameterValue("Collection Site"))</f>
        <v>Camp Lejeune, NC</v>
      </c>
      <c r="R38" t="str">
        <f>IF(LEN(TRIM(E38))=0, "", GetManifestComments(H38))</f>
        <v>CHARM2 Shipment: 2021-03-01 MT SINAI MANIFEST.xlsx</v>
      </c>
      <c r="S38" t="str">
        <f>IF(LEN(TRIM(E38))=0,"",IF(ISERROR(VLOOKUP(E38,'Manifest MDB data'!A:A,1,FALSE)),"OK","EXISTS!!!"))</f>
        <v>EXISTS!!!</v>
      </c>
    </row>
    <row r="39" spans="4:19" x14ac:dyDescent="0.25">
      <c r="D39" t="str">
        <f t="shared" si="2"/>
        <v>C2-0965-V01</v>
      </c>
      <c r="E39" t="str">
        <f t="shared" si="3"/>
        <v>C2-0965-V01-210225-PAX</v>
      </c>
      <c r="F39" t="str">
        <f t="shared" si="4"/>
        <v>Human</v>
      </c>
      <c r="G39" t="str">
        <f>IF(LEN(TRIM(E39))=0, "", GetSampleTissueBySpecimenPrep(H39))</f>
        <v>blood</v>
      </c>
      <c r="H39" t="str">
        <f>IF(LEN(TRIM(E39))=0, "", GetSpecimenPrepName())</f>
        <v>PaxGene</v>
      </c>
      <c r="I39" t="str">
        <f>IF(LEN(TRIM(E39))=0, "", GetSampleVolumeBySpecimenPrep(H39))</f>
        <v>10</v>
      </c>
      <c r="L39" t="str">
        <f>IF(LEN(TRIM(E39))=0,"",VLOOKUP("Manifest Id",config!A:B,2,FALSE))</f>
        <v>CHARM2-2021-02-19</v>
      </c>
      <c r="M39" t="str">
        <f>IF(LEN(TRIM(E39))=0, "",VLOOKUP("Project Name",config!A:B,2,FALSE))</f>
        <v>ECHO</v>
      </c>
      <c r="N39" t="str">
        <f>IF(LEN(TRIM(E39))=0, "",VLOOKUP("Center Name",config!A:B,2,FALSE))</f>
        <v>CHARM2</v>
      </c>
      <c r="O39" s="7">
        <f>IF(LEN(TRIM(E39))=0,"",VLOOKUP("Shipment Date",config!A:B,2,FALSE))</f>
        <v>44247</v>
      </c>
      <c r="P39" s="7" t="str">
        <f t="shared" si="1"/>
        <v>21-02-25</v>
      </c>
      <c r="Q39" s="7" t="str">
        <f>IF(LEN(TRIM(D39))=0,"",GetConfigParameterValue("Collection Site"))</f>
        <v>Camp Lejeune, NC</v>
      </c>
      <c r="R39" t="str">
        <f>IF(LEN(TRIM(E39))=0, "", GetManifestComments(H39))</f>
        <v>CHARM2 Shipment: 2021-03-01 MT SINAI MANIFEST.xlsx</v>
      </c>
      <c r="S39" t="str">
        <f>IF(LEN(TRIM(E39))=0,"",IF(ISERROR(VLOOKUP(E39,'Manifest MDB data'!A:A,1,FALSE)),"OK","EXISTS!!!"))</f>
        <v>EXISTS!!!</v>
      </c>
    </row>
    <row r="40" spans="4:19" x14ac:dyDescent="0.25">
      <c r="D40" t="str">
        <f t="shared" si="2"/>
        <v>C2-0976-V01</v>
      </c>
      <c r="E40" t="str">
        <f t="shared" si="3"/>
        <v>C2-0976-V01-210225-PAX</v>
      </c>
      <c r="F40" t="str">
        <f t="shared" si="4"/>
        <v>Human</v>
      </c>
      <c r="G40" t="str">
        <f>IF(LEN(TRIM(E40))=0, "", GetSampleTissueBySpecimenPrep(H40))</f>
        <v>blood</v>
      </c>
      <c r="H40" t="str">
        <f>IF(LEN(TRIM(E40))=0, "", GetSpecimenPrepName())</f>
        <v>PaxGene</v>
      </c>
      <c r="I40" t="str">
        <f>IF(LEN(TRIM(E40))=0, "", GetSampleVolumeBySpecimenPrep(H40))</f>
        <v>10</v>
      </c>
      <c r="L40" t="str">
        <f>IF(LEN(TRIM(E40))=0,"",VLOOKUP("Manifest Id",config!A:B,2,FALSE))</f>
        <v>CHARM2-2021-02-19</v>
      </c>
      <c r="M40" t="str">
        <f>IF(LEN(TRIM(E40))=0, "",VLOOKUP("Project Name",config!A:B,2,FALSE))</f>
        <v>ECHO</v>
      </c>
      <c r="N40" t="str">
        <f>IF(LEN(TRIM(E40))=0, "",VLOOKUP("Center Name",config!A:B,2,FALSE))</f>
        <v>CHARM2</v>
      </c>
      <c r="O40" s="7">
        <f>IF(LEN(TRIM(E40))=0,"",VLOOKUP("Shipment Date",config!A:B,2,FALSE))</f>
        <v>44247</v>
      </c>
      <c r="P40" s="7" t="str">
        <f t="shared" si="1"/>
        <v>21-02-25</v>
      </c>
      <c r="Q40" s="7" t="str">
        <f>IF(LEN(TRIM(D40))=0,"",GetConfigParameterValue("Collection Site"))</f>
        <v>Camp Lejeune, NC</v>
      </c>
      <c r="R40" t="str">
        <f>IF(LEN(TRIM(E40))=0, "", GetManifestComments(H40))</f>
        <v>CHARM2 Shipment: 2021-03-01 MT SINAI MANIFEST.xlsx</v>
      </c>
      <c r="S40" t="str">
        <f>IF(LEN(TRIM(E40))=0,"",IF(ISERROR(VLOOKUP(E40,'Manifest MDB data'!A:A,1,FALSE)),"OK","EXISTS!!!"))</f>
        <v>EXISTS!!!</v>
      </c>
    </row>
    <row r="41" spans="4:19" x14ac:dyDescent="0.25">
      <c r="D41" t="str">
        <f t="shared" si="2"/>
        <v>C2-1154-V01</v>
      </c>
      <c r="E41" t="str">
        <f t="shared" si="3"/>
        <v>C2-1154-V01-210225-PAX</v>
      </c>
      <c r="F41" t="str">
        <f t="shared" si="4"/>
        <v>Human</v>
      </c>
      <c r="G41" t="str">
        <f>IF(LEN(TRIM(E41))=0, "", GetSampleTissueBySpecimenPrep(H41))</f>
        <v>blood</v>
      </c>
      <c r="H41" t="str">
        <f>IF(LEN(TRIM(E41))=0, "", GetSpecimenPrepName())</f>
        <v>PaxGene</v>
      </c>
      <c r="I41" t="str">
        <f>IF(LEN(TRIM(E41))=0, "", GetSampleVolumeBySpecimenPrep(H41))</f>
        <v>10</v>
      </c>
      <c r="L41" t="str">
        <f>IF(LEN(TRIM(E41))=0,"",VLOOKUP("Manifest Id",config!A:B,2,FALSE))</f>
        <v>CHARM2-2021-02-19</v>
      </c>
      <c r="M41" t="str">
        <f>IF(LEN(TRIM(E41))=0, "",VLOOKUP("Project Name",config!A:B,2,FALSE))</f>
        <v>ECHO</v>
      </c>
      <c r="N41" t="str">
        <f>IF(LEN(TRIM(E41))=0, "",VLOOKUP("Center Name",config!A:B,2,FALSE))</f>
        <v>CHARM2</v>
      </c>
      <c r="O41" s="7">
        <f>IF(LEN(TRIM(E41))=0,"",VLOOKUP("Shipment Date",config!A:B,2,FALSE))</f>
        <v>44247</v>
      </c>
      <c r="P41" s="7" t="str">
        <f t="shared" si="1"/>
        <v>21-02-25</v>
      </c>
      <c r="Q41" s="7" t="str">
        <f>IF(LEN(TRIM(D41))=0,"",GetConfigParameterValue("Collection Site"))</f>
        <v>Camp Lejeune, NC</v>
      </c>
      <c r="R41" t="str">
        <f>IF(LEN(TRIM(E41))=0, "", GetManifestComments(H41))</f>
        <v>CHARM2 Shipment: 2021-03-01 MT SINAI MANIFEST.xlsx</v>
      </c>
      <c r="S41" t="str">
        <f>IF(LEN(TRIM(E41))=0,"",IF(ISERROR(VLOOKUP(E41,'Manifest MDB data'!A:A,1,FALSE)),"OK","EXISTS!!!"))</f>
        <v>EXISTS!!!</v>
      </c>
    </row>
    <row r="42" spans="4:19" x14ac:dyDescent="0.25">
      <c r="D42" t="str">
        <f t="shared" si="2"/>
        <v>C2-1166-V01</v>
      </c>
      <c r="E42" t="str">
        <f t="shared" si="3"/>
        <v>C2-1166-V01-210225-PAX</v>
      </c>
      <c r="F42" t="str">
        <f t="shared" si="4"/>
        <v>Human</v>
      </c>
      <c r="G42" t="str">
        <f>IF(LEN(TRIM(E42))=0, "", GetSampleTissueBySpecimenPrep(H42))</f>
        <v>blood</v>
      </c>
      <c r="H42" t="str">
        <f>IF(LEN(TRIM(E42))=0, "", GetSpecimenPrepName())</f>
        <v>PaxGene</v>
      </c>
      <c r="I42" t="str">
        <f>IF(LEN(TRIM(E42))=0, "", GetSampleVolumeBySpecimenPrep(H42))</f>
        <v>10</v>
      </c>
      <c r="L42" t="str">
        <f>IF(LEN(TRIM(E42))=0,"",VLOOKUP("Manifest Id",config!A:B,2,FALSE))</f>
        <v>CHARM2-2021-02-19</v>
      </c>
      <c r="M42" t="str">
        <f>IF(LEN(TRIM(E42))=0, "",VLOOKUP("Project Name",config!A:B,2,FALSE))</f>
        <v>ECHO</v>
      </c>
      <c r="N42" t="str">
        <f>IF(LEN(TRIM(E42))=0, "",VLOOKUP("Center Name",config!A:B,2,FALSE))</f>
        <v>CHARM2</v>
      </c>
      <c r="O42" s="7">
        <f>IF(LEN(TRIM(E42))=0,"",VLOOKUP("Shipment Date",config!A:B,2,FALSE))</f>
        <v>44247</v>
      </c>
      <c r="P42" s="7" t="str">
        <f t="shared" si="1"/>
        <v>21-02-25</v>
      </c>
      <c r="Q42" s="7" t="str">
        <f>IF(LEN(TRIM(D42))=0,"",GetConfigParameterValue("Collection Site"))</f>
        <v>Camp Lejeune, NC</v>
      </c>
      <c r="R42" t="str">
        <f>IF(LEN(TRIM(E42))=0, "", GetManifestComments(H42))</f>
        <v>CHARM2 Shipment: 2021-03-01 MT SINAI MANIFEST.xlsx</v>
      </c>
      <c r="S42" t="str">
        <f>IF(LEN(TRIM(E42))=0,"",IF(ISERROR(VLOOKUP(E42,'Manifest MDB data'!A:A,1,FALSE)),"OK","EXISTS!!!"))</f>
        <v>EXISTS!!!</v>
      </c>
    </row>
    <row r="43" spans="4:19" x14ac:dyDescent="0.25">
      <c r="D43" t="str">
        <f t="shared" si="2"/>
        <v>C2-1291-V01</v>
      </c>
      <c r="E43" t="str">
        <f t="shared" si="3"/>
        <v>C2-1291-V01-210225-PAX</v>
      </c>
      <c r="F43" t="str">
        <f t="shared" si="4"/>
        <v>Human</v>
      </c>
      <c r="G43" t="str">
        <f>IF(LEN(TRIM(E43))=0, "", GetSampleTissueBySpecimenPrep(H43))</f>
        <v>blood</v>
      </c>
      <c r="H43" t="str">
        <f>IF(LEN(TRIM(E43))=0, "", GetSpecimenPrepName())</f>
        <v>PaxGene</v>
      </c>
      <c r="I43" t="str">
        <f>IF(LEN(TRIM(E43))=0, "", GetSampleVolumeBySpecimenPrep(H43))</f>
        <v>10</v>
      </c>
      <c r="L43" t="str">
        <f>IF(LEN(TRIM(E43))=0,"",VLOOKUP("Manifest Id",config!A:B,2,FALSE))</f>
        <v>CHARM2-2021-02-19</v>
      </c>
      <c r="M43" t="str">
        <f>IF(LEN(TRIM(E43))=0, "",VLOOKUP("Project Name",config!A:B,2,FALSE))</f>
        <v>ECHO</v>
      </c>
      <c r="N43" t="str">
        <f>IF(LEN(TRIM(E43))=0, "",VLOOKUP("Center Name",config!A:B,2,FALSE))</f>
        <v>CHARM2</v>
      </c>
      <c r="O43" s="7">
        <f>IF(LEN(TRIM(E43))=0,"",VLOOKUP("Shipment Date",config!A:B,2,FALSE))</f>
        <v>44247</v>
      </c>
      <c r="P43" s="7" t="str">
        <f t="shared" si="1"/>
        <v>21-02-25</v>
      </c>
      <c r="Q43" s="7" t="str">
        <f>IF(LEN(TRIM(D43))=0,"",GetConfigParameterValue("Collection Site"))</f>
        <v>Camp Lejeune, NC</v>
      </c>
      <c r="R43" t="str">
        <f>IF(LEN(TRIM(E43))=0, "", GetManifestComments(H43))</f>
        <v>CHARM2 Shipment: 2021-03-01 MT SINAI MANIFEST.xlsx</v>
      </c>
      <c r="S43" t="str">
        <f>IF(LEN(TRIM(E43))=0,"",IF(ISERROR(VLOOKUP(E43,'Manifest MDB data'!A:A,1,FALSE)),"OK","EXISTS!!!"))</f>
        <v>EXISTS!!!</v>
      </c>
    </row>
    <row r="44" spans="4:19" x14ac:dyDescent="0.25">
      <c r="D44" t="str">
        <f t="shared" si="2"/>
        <v>C2-1303-V01</v>
      </c>
      <c r="E44" t="str">
        <f t="shared" si="3"/>
        <v>C2-1303-V01-210225-PAX</v>
      </c>
      <c r="F44" t="str">
        <f t="shared" si="4"/>
        <v>Human</v>
      </c>
      <c r="G44" t="str">
        <f>IF(LEN(TRIM(E44))=0, "", GetSampleTissueBySpecimenPrep(H44))</f>
        <v>blood</v>
      </c>
      <c r="H44" t="str">
        <f>IF(LEN(TRIM(E44))=0, "", GetSpecimenPrepName())</f>
        <v>PaxGene</v>
      </c>
      <c r="I44" t="str">
        <f>IF(LEN(TRIM(E44))=0, "", GetSampleVolumeBySpecimenPrep(H44))</f>
        <v>10</v>
      </c>
      <c r="L44" t="str">
        <f>IF(LEN(TRIM(E44))=0,"",VLOOKUP("Manifest Id",config!A:B,2,FALSE))</f>
        <v>CHARM2-2021-02-19</v>
      </c>
      <c r="M44" t="str">
        <f>IF(LEN(TRIM(E44))=0, "",VLOOKUP("Project Name",config!A:B,2,FALSE))</f>
        <v>ECHO</v>
      </c>
      <c r="N44" t="str">
        <f>IF(LEN(TRIM(E44))=0, "",VLOOKUP("Center Name",config!A:B,2,FALSE))</f>
        <v>CHARM2</v>
      </c>
      <c r="O44" s="7">
        <f>IF(LEN(TRIM(E44))=0,"",VLOOKUP("Shipment Date",config!A:B,2,FALSE))</f>
        <v>44247</v>
      </c>
      <c r="P44" s="7" t="str">
        <f t="shared" si="1"/>
        <v>21-02-25</v>
      </c>
      <c r="Q44" s="7" t="str">
        <f>IF(LEN(TRIM(D44))=0,"",GetConfigParameterValue("Collection Site"))</f>
        <v>Camp Lejeune, NC</v>
      </c>
      <c r="R44" t="str">
        <f>IF(LEN(TRIM(E44))=0, "", GetManifestComments(H44))</f>
        <v>CHARM2 Shipment: 2021-03-01 MT SINAI MANIFEST.xlsx</v>
      </c>
      <c r="S44" t="str">
        <f>IF(LEN(TRIM(E44))=0,"",IF(ISERROR(VLOOKUP(E44,'Manifest MDB data'!A:A,1,FALSE)),"OK","EXISTS!!!"))</f>
        <v>EXISTS!!!</v>
      </c>
    </row>
    <row r="45" spans="4:19" x14ac:dyDescent="0.25">
      <c r="D45" t="str">
        <f t="shared" si="2"/>
        <v>C2-1365-V01</v>
      </c>
      <c r="E45" t="str">
        <f t="shared" si="3"/>
        <v>C2-1365-V01-210225-PAX</v>
      </c>
      <c r="F45" t="str">
        <f t="shared" si="4"/>
        <v>Human</v>
      </c>
      <c r="G45" t="str">
        <f>IF(LEN(TRIM(E45))=0, "", GetSampleTissueBySpecimenPrep(H45))</f>
        <v>blood</v>
      </c>
      <c r="H45" t="str">
        <f>IF(LEN(TRIM(E45))=0, "", GetSpecimenPrepName())</f>
        <v>PaxGene</v>
      </c>
      <c r="I45" t="str">
        <f>IF(LEN(TRIM(E45))=0, "", GetSampleVolumeBySpecimenPrep(H45))</f>
        <v>10</v>
      </c>
      <c r="L45" t="str">
        <f>IF(LEN(TRIM(E45))=0,"",VLOOKUP("Manifest Id",config!A:B,2,FALSE))</f>
        <v>CHARM2-2021-02-19</v>
      </c>
      <c r="M45" t="str">
        <f>IF(LEN(TRIM(E45))=0, "",VLOOKUP("Project Name",config!A:B,2,FALSE))</f>
        <v>ECHO</v>
      </c>
      <c r="N45" t="str">
        <f>IF(LEN(TRIM(E45))=0, "",VLOOKUP("Center Name",config!A:B,2,FALSE))</f>
        <v>CHARM2</v>
      </c>
      <c r="O45" s="7">
        <f>IF(LEN(TRIM(E45))=0,"",VLOOKUP("Shipment Date",config!A:B,2,FALSE))</f>
        <v>44247</v>
      </c>
      <c r="P45" s="7" t="str">
        <f t="shared" si="1"/>
        <v>21-02-25</v>
      </c>
      <c r="Q45" s="7" t="str">
        <f>IF(LEN(TRIM(D45))=0,"",GetConfigParameterValue("Collection Site"))</f>
        <v>Camp Lejeune, NC</v>
      </c>
      <c r="R45" t="str">
        <f>IF(LEN(TRIM(E45))=0, "", GetManifestComments(H45))</f>
        <v>CHARM2 Shipment: 2021-03-01 MT SINAI MANIFEST.xlsx</v>
      </c>
      <c r="S45" t="str">
        <f>IF(LEN(TRIM(E45))=0,"",IF(ISERROR(VLOOKUP(E45,'Manifest MDB data'!A:A,1,FALSE)),"OK","EXISTS!!!"))</f>
        <v>EXISTS!!!</v>
      </c>
    </row>
    <row r="46" spans="4:19" x14ac:dyDescent="0.25">
      <c r="D46" t="str">
        <f t="shared" si="2"/>
        <v>C2-1475-V01</v>
      </c>
      <c r="E46" t="str">
        <f t="shared" si="3"/>
        <v>C2-1475-V01-210225-PAX</v>
      </c>
      <c r="F46" t="str">
        <f t="shared" si="4"/>
        <v>Human</v>
      </c>
      <c r="G46" t="str">
        <f>IF(LEN(TRIM(E46))=0, "", GetSampleTissueBySpecimenPrep(H46))</f>
        <v>blood</v>
      </c>
      <c r="H46" t="str">
        <f>IF(LEN(TRIM(E46))=0, "", GetSpecimenPrepName())</f>
        <v>PaxGene</v>
      </c>
      <c r="I46" t="str">
        <f>IF(LEN(TRIM(E46))=0, "", GetSampleVolumeBySpecimenPrep(H46))</f>
        <v>10</v>
      </c>
      <c r="L46" t="str">
        <f>IF(LEN(TRIM(E46))=0,"",VLOOKUP("Manifest Id",config!A:B,2,FALSE))</f>
        <v>CHARM2-2021-02-19</v>
      </c>
      <c r="M46" t="str">
        <f>IF(LEN(TRIM(E46))=0, "",VLOOKUP("Project Name",config!A:B,2,FALSE))</f>
        <v>ECHO</v>
      </c>
      <c r="N46" t="str">
        <f>IF(LEN(TRIM(E46))=0, "",VLOOKUP("Center Name",config!A:B,2,FALSE))</f>
        <v>CHARM2</v>
      </c>
      <c r="O46" s="7">
        <f>IF(LEN(TRIM(E46))=0,"",VLOOKUP("Shipment Date",config!A:B,2,FALSE))</f>
        <v>44247</v>
      </c>
      <c r="P46" s="7" t="str">
        <f t="shared" si="1"/>
        <v>21-02-25</v>
      </c>
      <c r="Q46" s="7" t="str">
        <f>IF(LEN(TRIM(D46))=0,"",GetConfigParameterValue("Collection Site"))</f>
        <v>Camp Lejeune, NC</v>
      </c>
      <c r="R46" t="str">
        <f>IF(LEN(TRIM(E46))=0, "", GetManifestComments(H46))</f>
        <v>CHARM2 Shipment: 2021-03-01 MT SINAI MANIFEST.xlsx</v>
      </c>
      <c r="S46" t="str">
        <f>IF(LEN(TRIM(E46))=0,"",IF(ISERROR(VLOOKUP(E46,'Manifest MDB data'!A:A,1,FALSE)),"OK","EXISTS!!!"))</f>
        <v>EXISTS!!!</v>
      </c>
    </row>
    <row r="47" spans="4:19" x14ac:dyDescent="0.25">
      <c r="D47" t="str">
        <f t="shared" si="2"/>
        <v>C2-1647-V01</v>
      </c>
      <c r="E47" t="str">
        <f t="shared" si="3"/>
        <v>C2-1647-V01-210225-PAX</v>
      </c>
      <c r="F47" t="str">
        <f t="shared" si="4"/>
        <v>Human</v>
      </c>
      <c r="G47" t="str">
        <f>IF(LEN(TRIM(E47))=0, "", GetSampleTissueBySpecimenPrep(H47))</f>
        <v>blood</v>
      </c>
      <c r="H47" t="str">
        <f>IF(LEN(TRIM(E47))=0, "", GetSpecimenPrepName())</f>
        <v>PaxGene</v>
      </c>
      <c r="I47" t="str">
        <f>IF(LEN(TRIM(E47))=0, "", GetSampleVolumeBySpecimenPrep(H47))</f>
        <v>10</v>
      </c>
      <c r="L47" t="str">
        <f>IF(LEN(TRIM(E47))=0,"",VLOOKUP("Manifest Id",config!A:B,2,FALSE))</f>
        <v>CHARM2-2021-02-19</v>
      </c>
      <c r="M47" t="str">
        <f>IF(LEN(TRIM(E47))=0, "",VLOOKUP("Project Name",config!A:B,2,FALSE))</f>
        <v>ECHO</v>
      </c>
      <c r="N47" t="str">
        <f>IF(LEN(TRIM(E47))=0, "",VLOOKUP("Center Name",config!A:B,2,FALSE))</f>
        <v>CHARM2</v>
      </c>
      <c r="O47" s="7">
        <f>IF(LEN(TRIM(E47))=0,"",VLOOKUP("Shipment Date",config!A:B,2,FALSE))</f>
        <v>44247</v>
      </c>
      <c r="P47" s="7" t="str">
        <f t="shared" si="1"/>
        <v>21-02-25</v>
      </c>
      <c r="Q47" s="7" t="str">
        <f>IF(LEN(TRIM(D47))=0,"",GetConfigParameterValue("Collection Site"))</f>
        <v>Camp Lejeune, NC</v>
      </c>
      <c r="R47" t="str">
        <f>IF(LEN(TRIM(E47))=0, "", GetManifestComments(H47))</f>
        <v>CHARM2 Shipment: 2021-03-01 MT SINAI MANIFEST.xlsx</v>
      </c>
      <c r="S47" t="str">
        <f>IF(LEN(TRIM(E47))=0,"",IF(ISERROR(VLOOKUP(E47,'Manifest MDB data'!A:A,1,FALSE)),"OK","EXISTS!!!"))</f>
        <v>EXISTS!!!</v>
      </c>
    </row>
    <row r="48" spans="4:19" x14ac:dyDescent="0.25">
      <c r="D48" t="str">
        <f t="shared" si="2"/>
        <v>C2-1745-V01</v>
      </c>
      <c r="E48" t="str">
        <f t="shared" si="3"/>
        <v>C2-1745-V01-210225-PAX</v>
      </c>
      <c r="F48" t="str">
        <f t="shared" si="4"/>
        <v>Human</v>
      </c>
      <c r="G48" t="str">
        <f>IF(LEN(TRIM(E48))=0, "", GetSampleTissueBySpecimenPrep(H48))</f>
        <v>blood</v>
      </c>
      <c r="H48" t="str">
        <f>IF(LEN(TRIM(E48))=0, "", GetSpecimenPrepName())</f>
        <v>PaxGene</v>
      </c>
      <c r="I48" t="str">
        <f>IF(LEN(TRIM(E48))=0, "", GetSampleVolumeBySpecimenPrep(H48))</f>
        <v>10</v>
      </c>
      <c r="L48" t="str">
        <f>IF(LEN(TRIM(E48))=0,"",VLOOKUP("Manifest Id",config!A:B,2,FALSE))</f>
        <v>CHARM2-2021-02-19</v>
      </c>
      <c r="M48" t="str">
        <f>IF(LEN(TRIM(E48))=0, "",VLOOKUP("Project Name",config!A:B,2,FALSE))</f>
        <v>ECHO</v>
      </c>
      <c r="N48" t="str">
        <f>IF(LEN(TRIM(E48))=0, "",VLOOKUP("Center Name",config!A:B,2,FALSE))</f>
        <v>CHARM2</v>
      </c>
      <c r="O48" s="7">
        <f>IF(LEN(TRIM(E48))=0,"",VLOOKUP("Shipment Date",config!A:B,2,FALSE))</f>
        <v>44247</v>
      </c>
      <c r="P48" s="7" t="str">
        <f t="shared" si="1"/>
        <v>21-02-25</v>
      </c>
      <c r="Q48" s="7" t="str">
        <f>IF(LEN(TRIM(D48))=0,"",GetConfigParameterValue("Collection Site"))</f>
        <v>Camp Lejeune, NC</v>
      </c>
      <c r="R48" t="str">
        <f>IF(LEN(TRIM(E48))=0, "", GetManifestComments(H48))</f>
        <v>CHARM2 Shipment: 2021-03-01 MT SINAI MANIFEST.xlsx</v>
      </c>
      <c r="S48" t="str">
        <f>IF(LEN(TRIM(E48))=0,"",IF(ISERROR(VLOOKUP(E48,'Manifest MDB data'!A:A,1,FALSE)),"OK","EXISTS!!!"))</f>
        <v>EXISTS!!!</v>
      </c>
    </row>
    <row r="49" spans="4:19" x14ac:dyDescent="0.25">
      <c r="D49" t="str">
        <f t="shared" si="2"/>
        <v>C2-1808-V01</v>
      </c>
      <c r="E49" t="str">
        <f t="shared" si="3"/>
        <v>C2-1808-V01-210225-PAX</v>
      </c>
      <c r="F49" t="str">
        <f t="shared" si="4"/>
        <v>Human</v>
      </c>
      <c r="G49" t="str">
        <f>IF(LEN(TRIM(E49))=0, "", GetSampleTissueBySpecimenPrep(H49))</f>
        <v>blood</v>
      </c>
      <c r="H49" t="str">
        <f>IF(LEN(TRIM(E49))=0, "", GetSpecimenPrepName())</f>
        <v>PaxGene</v>
      </c>
      <c r="I49" t="str">
        <f>IF(LEN(TRIM(E49))=0, "", GetSampleVolumeBySpecimenPrep(H49))</f>
        <v>10</v>
      </c>
      <c r="L49" t="str">
        <f>IF(LEN(TRIM(E49))=0,"",VLOOKUP("Manifest Id",config!A:B,2,FALSE))</f>
        <v>CHARM2-2021-02-19</v>
      </c>
      <c r="M49" t="str">
        <f>IF(LEN(TRIM(E49))=0, "",VLOOKUP("Project Name",config!A:B,2,FALSE))</f>
        <v>ECHO</v>
      </c>
      <c r="N49" t="str">
        <f>IF(LEN(TRIM(E49))=0, "",VLOOKUP("Center Name",config!A:B,2,FALSE))</f>
        <v>CHARM2</v>
      </c>
      <c r="O49" s="7">
        <f>IF(LEN(TRIM(E49))=0,"",VLOOKUP("Shipment Date",config!A:B,2,FALSE))</f>
        <v>44247</v>
      </c>
      <c r="P49" s="7" t="str">
        <f t="shared" si="1"/>
        <v>21-02-25</v>
      </c>
      <c r="Q49" s="7" t="str">
        <f>IF(LEN(TRIM(D49))=0,"",GetConfigParameterValue("Collection Site"))</f>
        <v>Camp Lejeune, NC</v>
      </c>
      <c r="R49" t="str">
        <f>IF(LEN(TRIM(E49))=0, "", GetManifestComments(H49))</f>
        <v>CHARM2 Shipment: 2021-03-01 MT SINAI MANIFEST.xlsx</v>
      </c>
      <c r="S49" t="str">
        <f>IF(LEN(TRIM(E49))=0,"",IF(ISERROR(VLOOKUP(E49,'Manifest MDB data'!A:A,1,FALSE)),"OK","EXISTS!!!"))</f>
        <v>EXISTS!!!</v>
      </c>
    </row>
    <row r="50" spans="4:19" x14ac:dyDescent="0.25">
      <c r="D50" t="str">
        <f t="shared" si="2"/>
        <v>C2-1995-V01</v>
      </c>
      <c r="E50" t="str">
        <f t="shared" si="3"/>
        <v>C2-1995-V01-210225-PAX</v>
      </c>
      <c r="F50" t="str">
        <f t="shared" si="4"/>
        <v>Human</v>
      </c>
      <c r="G50" t="str">
        <f>IF(LEN(TRIM(E50))=0, "", GetSampleTissueBySpecimenPrep(H50))</f>
        <v>blood</v>
      </c>
      <c r="H50" t="str">
        <f>IF(LEN(TRIM(E50))=0, "", GetSpecimenPrepName())</f>
        <v>PaxGene</v>
      </c>
      <c r="I50" t="str">
        <f>IF(LEN(TRIM(E50))=0, "", GetSampleVolumeBySpecimenPrep(H50))</f>
        <v>10</v>
      </c>
      <c r="L50" t="str">
        <f>IF(LEN(TRIM(E50))=0,"",VLOOKUP("Manifest Id",config!A:B,2,FALSE))</f>
        <v>CHARM2-2021-02-19</v>
      </c>
      <c r="M50" t="str">
        <f>IF(LEN(TRIM(E50))=0, "",VLOOKUP("Project Name",config!A:B,2,FALSE))</f>
        <v>ECHO</v>
      </c>
      <c r="N50" t="str">
        <f>IF(LEN(TRIM(E50))=0, "",VLOOKUP("Center Name",config!A:B,2,FALSE))</f>
        <v>CHARM2</v>
      </c>
      <c r="O50" s="7">
        <f>IF(LEN(TRIM(E50))=0,"",VLOOKUP("Shipment Date",config!A:B,2,FALSE))</f>
        <v>44247</v>
      </c>
      <c r="P50" s="7" t="str">
        <f t="shared" si="1"/>
        <v>21-02-25</v>
      </c>
      <c r="Q50" s="7" t="str">
        <f>IF(LEN(TRIM(D50))=0,"",GetConfigParameterValue("Collection Site"))</f>
        <v>Camp Lejeune, NC</v>
      </c>
      <c r="R50" t="str">
        <f>IF(LEN(TRIM(E50))=0, "", GetManifestComments(H50))</f>
        <v>CHARM2 Shipment: 2021-03-01 MT SINAI MANIFEST.xlsx</v>
      </c>
      <c r="S50" t="str">
        <f>IF(LEN(TRIM(E50))=0,"",IF(ISERROR(VLOOKUP(E50,'Manifest MDB data'!A:A,1,FALSE)),"OK","EXISTS!!!"))</f>
        <v>EXISTS!!!</v>
      </c>
    </row>
    <row r="51" spans="4:19" x14ac:dyDescent="0.25">
      <c r="D51" t="str">
        <f t="shared" si="2"/>
        <v>C2-0309-V01</v>
      </c>
      <c r="E51" t="str">
        <f t="shared" si="3"/>
        <v>C2-0309-V01-210226-PAX</v>
      </c>
      <c r="F51" t="str">
        <f t="shared" si="4"/>
        <v>Human</v>
      </c>
      <c r="G51" t="str">
        <f>IF(LEN(TRIM(E51))=0, "", GetSampleTissueBySpecimenPrep(H51))</f>
        <v>blood</v>
      </c>
      <c r="H51" t="str">
        <f>IF(LEN(TRIM(E51))=0, "", GetSpecimenPrepName())</f>
        <v>PaxGene</v>
      </c>
      <c r="I51" t="str">
        <f>IF(LEN(TRIM(E51))=0, "", GetSampleVolumeBySpecimenPrep(H51))</f>
        <v>10</v>
      </c>
      <c r="L51" t="str">
        <f>IF(LEN(TRIM(E51))=0,"",VLOOKUP("Manifest Id",config!A:B,2,FALSE))</f>
        <v>CHARM2-2021-02-19</v>
      </c>
      <c r="M51" t="str">
        <f>IF(LEN(TRIM(E51))=0, "",VLOOKUP("Project Name",config!A:B,2,FALSE))</f>
        <v>ECHO</v>
      </c>
      <c r="N51" t="str">
        <f>IF(LEN(TRIM(E51))=0, "",VLOOKUP("Center Name",config!A:B,2,FALSE))</f>
        <v>CHARM2</v>
      </c>
      <c r="O51" s="7">
        <f>IF(LEN(TRIM(E51))=0,"",VLOOKUP("Shipment Date",config!A:B,2,FALSE))</f>
        <v>44247</v>
      </c>
      <c r="P51" s="7" t="str">
        <f t="shared" si="1"/>
        <v>21-02-26</v>
      </c>
      <c r="Q51" s="7" t="str">
        <f>IF(LEN(TRIM(D51))=0,"",GetConfigParameterValue("Collection Site"))</f>
        <v>Camp Lejeune, NC</v>
      </c>
      <c r="R51" t="str">
        <f>IF(LEN(TRIM(E51))=0, "", GetManifestComments(H51))</f>
        <v>CHARM2 Shipment: 2021-03-01 MT SINAI MANIFEST.xlsx</v>
      </c>
      <c r="S51" t="str">
        <f>IF(LEN(TRIM(E51))=0,"",IF(ISERROR(VLOOKUP(E51,'Manifest MDB data'!A:A,1,FALSE)),"OK","EXISTS!!!"))</f>
        <v>EXISTS!!!</v>
      </c>
    </row>
    <row r="52" spans="4:19" x14ac:dyDescent="0.25">
      <c r="D52" t="str">
        <f t="shared" si="2"/>
        <v>C2-0311-V01</v>
      </c>
      <c r="E52" t="str">
        <f t="shared" si="3"/>
        <v>C2-0311-V01-210226-PAX</v>
      </c>
      <c r="F52" t="str">
        <f t="shared" si="4"/>
        <v>Human</v>
      </c>
      <c r="G52" t="str">
        <f>IF(LEN(TRIM(E52))=0, "", GetSampleTissueBySpecimenPrep(H52))</f>
        <v>blood</v>
      </c>
      <c r="H52" t="str">
        <f>IF(LEN(TRIM(E52))=0, "", GetSpecimenPrepName())</f>
        <v>PaxGene</v>
      </c>
      <c r="I52" t="str">
        <f>IF(LEN(TRIM(E52))=0, "", GetSampleVolumeBySpecimenPrep(H52))</f>
        <v>10</v>
      </c>
      <c r="L52" t="str">
        <f>IF(LEN(TRIM(E52))=0,"",VLOOKUP("Manifest Id",config!A:B,2,FALSE))</f>
        <v>CHARM2-2021-02-19</v>
      </c>
      <c r="M52" t="str">
        <f>IF(LEN(TRIM(E52))=0, "",VLOOKUP("Project Name",config!A:B,2,FALSE))</f>
        <v>ECHO</v>
      </c>
      <c r="N52" t="str">
        <f>IF(LEN(TRIM(E52))=0, "",VLOOKUP("Center Name",config!A:B,2,FALSE))</f>
        <v>CHARM2</v>
      </c>
      <c r="O52" s="7">
        <f>IF(LEN(TRIM(E52))=0,"",VLOOKUP("Shipment Date",config!A:B,2,FALSE))</f>
        <v>44247</v>
      </c>
      <c r="P52" s="7" t="str">
        <f t="shared" si="1"/>
        <v>21-02-26</v>
      </c>
      <c r="Q52" s="7" t="str">
        <f>IF(LEN(TRIM(D52))=0,"",GetConfigParameterValue("Collection Site"))</f>
        <v>Camp Lejeune, NC</v>
      </c>
      <c r="R52" t="str">
        <f>IF(LEN(TRIM(E52))=0, "", GetManifestComments(H52))</f>
        <v>CHARM2 Shipment: 2021-03-01 MT SINAI MANIFEST.xlsx</v>
      </c>
      <c r="S52" t="str">
        <f>IF(LEN(TRIM(E52))=0,"",IF(ISERROR(VLOOKUP(E52,'Manifest MDB data'!A:A,1,FALSE)),"OK","EXISTS!!!"))</f>
        <v>EXISTS!!!</v>
      </c>
    </row>
    <row r="53" spans="4:19" x14ac:dyDescent="0.25">
      <c r="D53" t="str">
        <f t="shared" si="2"/>
        <v>C2-0368-V01</v>
      </c>
      <c r="E53" t="str">
        <f t="shared" si="3"/>
        <v>C2-0368-V01-210226-PAX</v>
      </c>
      <c r="F53" t="str">
        <f t="shared" si="4"/>
        <v>Human</v>
      </c>
      <c r="G53" t="str">
        <f>IF(LEN(TRIM(E53))=0, "", GetSampleTissueBySpecimenPrep(H53))</f>
        <v>blood</v>
      </c>
      <c r="H53" t="str">
        <f>IF(LEN(TRIM(E53))=0, "", GetSpecimenPrepName())</f>
        <v>PaxGene</v>
      </c>
      <c r="I53" t="str">
        <f>IF(LEN(TRIM(E53))=0, "", GetSampleVolumeBySpecimenPrep(H53))</f>
        <v>10</v>
      </c>
      <c r="L53" t="str">
        <f>IF(LEN(TRIM(E53))=0,"",VLOOKUP("Manifest Id",config!A:B,2,FALSE))</f>
        <v>CHARM2-2021-02-19</v>
      </c>
      <c r="M53" t="str">
        <f>IF(LEN(TRIM(E53))=0, "",VLOOKUP("Project Name",config!A:B,2,FALSE))</f>
        <v>ECHO</v>
      </c>
      <c r="N53" t="str">
        <f>IF(LEN(TRIM(E53))=0, "",VLOOKUP("Center Name",config!A:B,2,FALSE))</f>
        <v>CHARM2</v>
      </c>
      <c r="O53" s="7">
        <f>IF(LEN(TRIM(E53))=0,"",VLOOKUP("Shipment Date",config!A:B,2,FALSE))</f>
        <v>44247</v>
      </c>
      <c r="P53" s="7" t="str">
        <f t="shared" si="1"/>
        <v>21-02-26</v>
      </c>
      <c r="Q53" s="7" t="str">
        <f>IF(LEN(TRIM(D53))=0,"",GetConfigParameterValue("Collection Site"))</f>
        <v>Camp Lejeune, NC</v>
      </c>
      <c r="R53" t="str">
        <f>IF(LEN(TRIM(E53))=0, "", GetManifestComments(H53))</f>
        <v>CHARM2 Shipment: 2021-03-01 MT SINAI MANIFEST.xlsx</v>
      </c>
      <c r="S53" t="str">
        <f>IF(LEN(TRIM(E53))=0,"",IF(ISERROR(VLOOKUP(E53,'Manifest MDB data'!A:A,1,FALSE)),"OK","EXISTS!!!"))</f>
        <v>EXISTS!!!</v>
      </c>
    </row>
    <row r="54" spans="4:19" x14ac:dyDescent="0.25">
      <c r="D54" t="str">
        <f t="shared" si="2"/>
        <v>C2-0369-V01</v>
      </c>
      <c r="E54" t="str">
        <f t="shared" si="3"/>
        <v>C2-0369-V01-210226-PAX</v>
      </c>
      <c r="F54" t="str">
        <f t="shared" si="4"/>
        <v>Human</v>
      </c>
      <c r="G54" t="str">
        <f>IF(LEN(TRIM(E54))=0, "", GetSampleTissueBySpecimenPrep(H54))</f>
        <v>blood</v>
      </c>
      <c r="H54" t="str">
        <f>IF(LEN(TRIM(E54))=0, "", GetSpecimenPrepName())</f>
        <v>PaxGene</v>
      </c>
      <c r="I54" t="str">
        <f>IF(LEN(TRIM(E54))=0, "", GetSampleVolumeBySpecimenPrep(H54))</f>
        <v>10</v>
      </c>
      <c r="L54" t="str">
        <f>IF(LEN(TRIM(E54))=0,"",VLOOKUP("Manifest Id",config!A:B,2,FALSE))</f>
        <v>CHARM2-2021-02-19</v>
      </c>
      <c r="M54" t="str">
        <f>IF(LEN(TRIM(E54))=0, "",VLOOKUP("Project Name",config!A:B,2,FALSE))</f>
        <v>ECHO</v>
      </c>
      <c r="N54" t="str">
        <f>IF(LEN(TRIM(E54))=0, "",VLOOKUP("Center Name",config!A:B,2,FALSE))</f>
        <v>CHARM2</v>
      </c>
      <c r="O54" s="7">
        <f>IF(LEN(TRIM(E54))=0,"",VLOOKUP("Shipment Date",config!A:B,2,FALSE))</f>
        <v>44247</v>
      </c>
      <c r="P54" s="7" t="str">
        <f t="shared" si="1"/>
        <v>21-02-26</v>
      </c>
      <c r="Q54" s="7" t="str">
        <f>IF(LEN(TRIM(D54))=0,"",GetConfigParameterValue("Collection Site"))</f>
        <v>Camp Lejeune, NC</v>
      </c>
      <c r="R54" t="str">
        <f>IF(LEN(TRIM(E54))=0, "", GetManifestComments(H54))</f>
        <v>CHARM2 Shipment: 2021-03-01 MT SINAI MANIFEST.xlsx</v>
      </c>
      <c r="S54" t="str">
        <f>IF(LEN(TRIM(E54))=0,"",IF(ISERROR(VLOOKUP(E54,'Manifest MDB data'!A:A,1,FALSE)),"OK","EXISTS!!!"))</f>
        <v>EXISTS!!!</v>
      </c>
    </row>
    <row r="55" spans="4:19" x14ac:dyDescent="0.25">
      <c r="D55" t="str">
        <f t="shared" si="2"/>
        <v/>
      </c>
      <c r="E55" t="str">
        <f t="shared" si="3"/>
        <v/>
      </c>
      <c r="F55" t="str">
        <f t="shared" si="4"/>
        <v/>
      </c>
      <c r="G55" t="str">
        <f>IF(LEN(TRIM(E55))=0, "", GetSampleTissueBySpecimenPrep(H55))</f>
        <v/>
      </c>
      <c r="H55" t="str">
        <f>IF(LEN(TRIM(E55))=0, "", GetSpecimenPrepName())</f>
        <v/>
      </c>
      <c r="I55" t="str">
        <f>IF(LEN(TRIM(E55))=0, "", GetSampleVolumeBySpecimenPrep(H55))</f>
        <v/>
      </c>
      <c r="L55" t="str">
        <f>IF(LEN(TRIM(E55))=0,"",VLOOKUP("Manifest Id",config!A:B,2,FALSE))</f>
        <v/>
      </c>
      <c r="M55" t="str">
        <f>IF(LEN(TRIM(E55))=0, "",VLOOKUP("Project Name",config!A:B,2,FALSE))</f>
        <v/>
      </c>
      <c r="N55" t="str">
        <f>IF(LEN(TRIM(E55))=0, "",VLOOKUP("Center Name",config!A:B,2,FALSE))</f>
        <v/>
      </c>
      <c r="O55" s="7" t="str">
        <f>IF(LEN(TRIM(E55))=0,"",VLOOKUP("Shipment Date",config!A:B,2,FALSE))</f>
        <v/>
      </c>
      <c r="P55" s="7" t="str">
        <f t="shared" si="1"/>
        <v/>
      </c>
      <c r="Q55" s="7" t="str">
        <f>IF(LEN(TRIM(D55))=0,"",GetConfigParameterValue("Collection Site"))</f>
        <v/>
      </c>
      <c r="R55" t="str">
        <f>IF(LEN(TRIM(E55))=0, "", GetManifestComments(H55))</f>
        <v/>
      </c>
      <c r="S55" t="str">
        <f>IF(LEN(TRIM(E55))=0,"",IF(ISERROR(VLOOKUP(E55,'Manifest MDB data'!A:A,1,FALSE)),"OK","EXISTS!!!"))</f>
        <v/>
      </c>
    </row>
    <row r="56" spans="4:19" x14ac:dyDescent="0.25">
      <c r="D56" t="str">
        <f t="shared" si="2"/>
        <v>C2-0401-V01</v>
      </c>
      <c r="E56" t="str">
        <f t="shared" si="3"/>
        <v>C2-0401-V01-210226-PAX</v>
      </c>
      <c r="F56" t="str">
        <f t="shared" si="4"/>
        <v>Human</v>
      </c>
      <c r="G56" t="str">
        <f>IF(LEN(TRIM(E56))=0, "", GetSampleTissueBySpecimenPrep(H56))</f>
        <v>blood</v>
      </c>
      <c r="H56" t="str">
        <f>IF(LEN(TRIM(E56))=0, "", GetSpecimenPrepName())</f>
        <v>PaxGene</v>
      </c>
      <c r="I56" t="str">
        <f>IF(LEN(TRIM(E56))=0, "", GetSampleVolumeBySpecimenPrep(H56))</f>
        <v>10</v>
      </c>
      <c r="L56" t="str">
        <f>IF(LEN(TRIM(E56))=0,"",VLOOKUP("Manifest Id",config!A:B,2,FALSE))</f>
        <v>CHARM2-2021-02-19</v>
      </c>
      <c r="M56" t="str">
        <f>IF(LEN(TRIM(E56))=0, "",VLOOKUP("Project Name",config!A:B,2,FALSE))</f>
        <v>ECHO</v>
      </c>
      <c r="N56" t="str">
        <f>IF(LEN(TRIM(E56))=0, "",VLOOKUP("Center Name",config!A:B,2,FALSE))</f>
        <v>CHARM2</v>
      </c>
      <c r="O56" s="7">
        <f>IF(LEN(TRIM(E56))=0,"",VLOOKUP("Shipment Date",config!A:B,2,FALSE))</f>
        <v>44247</v>
      </c>
      <c r="P56" s="7" t="str">
        <f t="shared" si="1"/>
        <v>21-02-26</v>
      </c>
      <c r="Q56" s="7" t="str">
        <f>IF(LEN(TRIM(D56))=0,"",GetConfigParameterValue("Collection Site"))</f>
        <v>Camp Lejeune, NC</v>
      </c>
      <c r="R56" t="str">
        <f>IF(LEN(TRIM(E56))=0, "", GetManifestComments(H56))</f>
        <v>CHARM2 Shipment: 2021-03-01 MT SINAI MANIFEST.xlsx</v>
      </c>
      <c r="S56" t="str">
        <f>IF(LEN(TRIM(E56))=0,"",IF(ISERROR(VLOOKUP(E56,'Manifest MDB data'!A:A,1,FALSE)),"OK","EXISTS!!!"))</f>
        <v>EXISTS!!!</v>
      </c>
    </row>
    <row r="57" spans="4:19" x14ac:dyDescent="0.25">
      <c r="D57" t="str">
        <f t="shared" si="2"/>
        <v>C2-0429-V01</v>
      </c>
      <c r="E57" t="str">
        <f t="shared" si="3"/>
        <v>C2-0429-V01-210226-PAX</v>
      </c>
      <c r="F57" t="str">
        <f t="shared" si="4"/>
        <v>Human</v>
      </c>
      <c r="G57" t="str">
        <f>IF(LEN(TRIM(E57))=0, "", GetSampleTissueBySpecimenPrep(H57))</f>
        <v>blood</v>
      </c>
      <c r="H57" t="str">
        <f>IF(LEN(TRIM(E57))=0, "", GetSpecimenPrepName())</f>
        <v>PaxGene</v>
      </c>
      <c r="I57" t="str">
        <f>IF(LEN(TRIM(E57))=0, "", GetSampleVolumeBySpecimenPrep(H57))</f>
        <v>10</v>
      </c>
      <c r="L57" t="str">
        <f>IF(LEN(TRIM(E57))=0,"",VLOOKUP("Manifest Id",config!A:B,2,FALSE))</f>
        <v>CHARM2-2021-02-19</v>
      </c>
      <c r="M57" t="str">
        <f>IF(LEN(TRIM(E57))=0, "",VLOOKUP("Project Name",config!A:B,2,FALSE))</f>
        <v>ECHO</v>
      </c>
      <c r="N57" t="str">
        <f>IF(LEN(TRIM(E57))=0, "",VLOOKUP("Center Name",config!A:B,2,FALSE))</f>
        <v>CHARM2</v>
      </c>
      <c r="O57" s="7">
        <f>IF(LEN(TRIM(E57))=0,"",VLOOKUP("Shipment Date",config!A:B,2,FALSE))</f>
        <v>44247</v>
      </c>
      <c r="P57" s="7" t="str">
        <f t="shared" si="1"/>
        <v>21-02-26</v>
      </c>
      <c r="Q57" s="7" t="str">
        <f>IF(LEN(TRIM(D57))=0,"",GetConfigParameterValue("Collection Site"))</f>
        <v>Camp Lejeune, NC</v>
      </c>
      <c r="R57" t="str">
        <f>IF(LEN(TRIM(E57))=0, "", GetManifestComments(H57))</f>
        <v>CHARM2 Shipment: 2021-03-01 MT SINAI MANIFEST.xlsx</v>
      </c>
      <c r="S57" t="str">
        <f>IF(LEN(TRIM(E57))=0,"",IF(ISERROR(VLOOKUP(E57,'Manifest MDB data'!A:A,1,FALSE)),"OK","EXISTS!!!"))</f>
        <v>EXISTS!!!</v>
      </c>
    </row>
    <row r="58" spans="4:19" x14ac:dyDescent="0.25">
      <c r="D58" t="str">
        <f t="shared" si="2"/>
        <v>C2-0505-V01</v>
      </c>
      <c r="E58" t="str">
        <f t="shared" si="3"/>
        <v>C2-0505-V01-210226-PAX</v>
      </c>
      <c r="F58" t="str">
        <f t="shared" si="4"/>
        <v>Human</v>
      </c>
      <c r="G58" t="str">
        <f>IF(LEN(TRIM(E58))=0, "", GetSampleTissueBySpecimenPrep(H58))</f>
        <v>blood</v>
      </c>
      <c r="H58" t="str">
        <f>IF(LEN(TRIM(E58))=0, "", GetSpecimenPrepName())</f>
        <v>PaxGene</v>
      </c>
      <c r="I58" t="str">
        <f>IF(LEN(TRIM(E58))=0, "", GetSampleVolumeBySpecimenPrep(H58))</f>
        <v>10</v>
      </c>
      <c r="L58" t="str">
        <f>IF(LEN(TRIM(E58))=0,"",VLOOKUP("Manifest Id",config!A:B,2,FALSE))</f>
        <v>CHARM2-2021-02-19</v>
      </c>
      <c r="M58" t="str">
        <f>IF(LEN(TRIM(E58))=0, "",VLOOKUP("Project Name",config!A:B,2,FALSE))</f>
        <v>ECHO</v>
      </c>
      <c r="N58" t="str">
        <f>IF(LEN(TRIM(E58))=0, "",VLOOKUP("Center Name",config!A:B,2,FALSE))</f>
        <v>CHARM2</v>
      </c>
      <c r="O58" s="7">
        <f>IF(LEN(TRIM(E58))=0,"",VLOOKUP("Shipment Date",config!A:B,2,FALSE))</f>
        <v>44247</v>
      </c>
      <c r="P58" s="7" t="str">
        <f t="shared" si="1"/>
        <v>21-02-26</v>
      </c>
      <c r="Q58" s="7" t="str">
        <f>IF(LEN(TRIM(D58))=0,"",GetConfigParameterValue("Collection Site"))</f>
        <v>Camp Lejeune, NC</v>
      </c>
      <c r="R58" t="str">
        <f>IF(LEN(TRIM(E58))=0, "", GetManifestComments(H58))</f>
        <v>CHARM2 Shipment: 2021-03-01 MT SINAI MANIFEST.xlsx</v>
      </c>
      <c r="S58" t="str">
        <f>IF(LEN(TRIM(E58))=0,"",IF(ISERROR(VLOOKUP(E58,'Manifest MDB data'!A:A,1,FALSE)),"OK","EXISTS!!!"))</f>
        <v>EXISTS!!!</v>
      </c>
    </row>
    <row r="59" spans="4:19" x14ac:dyDescent="0.25">
      <c r="D59" t="str">
        <f t="shared" si="2"/>
        <v>C2-0562-V01</v>
      </c>
      <c r="E59" t="str">
        <f t="shared" si="3"/>
        <v>C2-0562-V01-210226-PAX</v>
      </c>
      <c r="F59" t="str">
        <f t="shared" si="4"/>
        <v>Human</v>
      </c>
      <c r="G59" t="str">
        <f>IF(LEN(TRIM(E59))=0, "", GetSampleTissueBySpecimenPrep(H59))</f>
        <v>blood</v>
      </c>
      <c r="H59" t="str">
        <f>IF(LEN(TRIM(E59))=0, "", GetSpecimenPrepName())</f>
        <v>PaxGene</v>
      </c>
      <c r="I59" t="str">
        <f>IF(LEN(TRIM(E59))=0, "", GetSampleVolumeBySpecimenPrep(H59))</f>
        <v>10</v>
      </c>
      <c r="L59" t="str">
        <f>IF(LEN(TRIM(E59))=0,"",VLOOKUP("Manifest Id",config!A:B,2,FALSE))</f>
        <v>CHARM2-2021-02-19</v>
      </c>
      <c r="M59" t="str">
        <f>IF(LEN(TRIM(E59))=0, "",VLOOKUP("Project Name",config!A:B,2,FALSE))</f>
        <v>ECHO</v>
      </c>
      <c r="N59" t="str">
        <f>IF(LEN(TRIM(E59))=0, "",VLOOKUP("Center Name",config!A:B,2,FALSE))</f>
        <v>CHARM2</v>
      </c>
      <c r="O59" s="7">
        <f>IF(LEN(TRIM(E59))=0,"",VLOOKUP("Shipment Date",config!A:B,2,FALSE))</f>
        <v>44247</v>
      </c>
      <c r="P59" s="7" t="str">
        <f t="shared" si="1"/>
        <v>21-02-26</v>
      </c>
      <c r="Q59" s="7" t="str">
        <f>IF(LEN(TRIM(D59))=0,"",GetConfigParameterValue("Collection Site"))</f>
        <v>Camp Lejeune, NC</v>
      </c>
      <c r="R59" t="str">
        <f>IF(LEN(TRIM(E59))=0, "", GetManifestComments(H59))</f>
        <v>CHARM2 Shipment: 2021-03-01 MT SINAI MANIFEST.xlsx</v>
      </c>
      <c r="S59" t="str">
        <f>IF(LEN(TRIM(E59))=0,"",IF(ISERROR(VLOOKUP(E59,'Manifest MDB data'!A:A,1,FALSE)),"OK","EXISTS!!!"))</f>
        <v>EXISTS!!!</v>
      </c>
    </row>
    <row r="60" spans="4:19" x14ac:dyDescent="0.25">
      <c r="D60" t="str">
        <f t="shared" si="2"/>
        <v>C2-0572-V01</v>
      </c>
      <c r="E60" t="str">
        <f t="shared" si="3"/>
        <v>C2-0572-V01-210226-PAX</v>
      </c>
      <c r="F60" t="str">
        <f t="shared" si="4"/>
        <v>Human</v>
      </c>
      <c r="G60" t="str">
        <f>IF(LEN(TRIM(E60))=0, "", GetSampleTissueBySpecimenPrep(H60))</f>
        <v>blood</v>
      </c>
      <c r="H60" t="str">
        <f>IF(LEN(TRIM(E60))=0, "", GetSpecimenPrepName())</f>
        <v>PaxGene</v>
      </c>
      <c r="I60" t="str">
        <f>IF(LEN(TRIM(E60))=0, "", GetSampleVolumeBySpecimenPrep(H60))</f>
        <v>10</v>
      </c>
      <c r="L60" t="str">
        <f>IF(LEN(TRIM(E60))=0,"",VLOOKUP("Manifest Id",config!A:B,2,FALSE))</f>
        <v>CHARM2-2021-02-19</v>
      </c>
      <c r="M60" t="str">
        <f>IF(LEN(TRIM(E60))=0, "",VLOOKUP("Project Name",config!A:B,2,FALSE))</f>
        <v>ECHO</v>
      </c>
      <c r="N60" t="str">
        <f>IF(LEN(TRIM(E60))=0, "",VLOOKUP("Center Name",config!A:B,2,FALSE))</f>
        <v>CHARM2</v>
      </c>
      <c r="O60" s="7">
        <f>IF(LEN(TRIM(E60))=0,"",VLOOKUP("Shipment Date",config!A:B,2,FALSE))</f>
        <v>44247</v>
      </c>
      <c r="P60" s="7" t="str">
        <f t="shared" si="1"/>
        <v>21-02-26</v>
      </c>
      <c r="Q60" s="7" t="str">
        <f>IF(LEN(TRIM(D60))=0,"",GetConfigParameterValue("Collection Site"))</f>
        <v>Camp Lejeune, NC</v>
      </c>
      <c r="R60" t="str">
        <f>IF(LEN(TRIM(E60))=0, "", GetManifestComments(H60))</f>
        <v>CHARM2 Shipment: 2021-03-01 MT SINAI MANIFEST.xlsx</v>
      </c>
      <c r="S60" t="str">
        <f>IF(LEN(TRIM(E60))=0,"",IF(ISERROR(VLOOKUP(E60,'Manifest MDB data'!A:A,1,FALSE)),"OK","EXISTS!!!"))</f>
        <v>EXISTS!!!</v>
      </c>
    </row>
    <row r="61" spans="4:19" x14ac:dyDescent="0.25">
      <c r="D61" t="str">
        <f t="shared" si="2"/>
        <v>C2-0608-V01</v>
      </c>
      <c r="E61" t="str">
        <f t="shared" si="3"/>
        <v>C2-0608-V01-210226-PAX</v>
      </c>
      <c r="F61" t="str">
        <f t="shared" si="4"/>
        <v>Human</v>
      </c>
      <c r="G61" t="str">
        <f>IF(LEN(TRIM(E61))=0, "", GetSampleTissueBySpecimenPrep(H61))</f>
        <v>blood</v>
      </c>
      <c r="H61" t="str">
        <f>IF(LEN(TRIM(E61))=0, "", GetSpecimenPrepName())</f>
        <v>PaxGene</v>
      </c>
      <c r="I61" t="str">
        <f>IF(LEN(TRIM(E61))=0, "", GetSampleVolumeBySpecimenPrep(H61))</f>
        <v>10</v>
      </c>
      <c r="L61" t="str">
        <f>IF(LEN(TRIM(E61))=0,"",VLOOKUP("Manifest Id",config!A:B,2,FALSE))</f>
        <v>CHARM2-2021-02-19</v>
      </c>
      <c r="M61" t="str">
        <f>IF(LEN(TRIM(E61))=0, "",VLOOKUP("Project Name",config!A:B,2,FALSE))</f>
        <v>ECHO</v>
      </c>
      <c r="N61" t="str">
        <f>IF(LEN(TRIM(E61))=0, "",VLOOKUP("Center Name",config!A:B,2,FALSE))</f>
        <v>CHARM2</v>
      </c>
      <c r="O61" s="7">
        <f>IF(LEN(TRIM(E61))=0,"",VLOOKUP("Shipment Date",config!A:B,2,FALSE))</f>
        <v>44247</v>
      </c>
      <c r="P61" s="7" t="str">
        <f t="shared" si="1"/>
        <v>21-02-26</v>
      </c>
      <c r="Q61" s="7" t="str">
        <f>IF(LEN(TRIM(D61))=0,"",GetConfigParameterValue("Collection Site"))</f>
        <v>Camp Lejeune, NC</v>
      </c>
      <c r="R61" t="str">
        <f>IF(LEN(TRIM(E61))=0, "", GetManifestComments(H61))</f>
        <v>CHARM2 Shipment: 2021-03-01 MT SINAI MANIFEST.xlsx</v>
      </c>
      <c r="S61" t="str">
        <f>IF(LEN(TRIM(E61))=0,"",IF(ISERROR(VLOOKUP(E61,'Manifest MDB data'!A:A,1,FALSE)),"OK","EXISTS!!!"))</f>
        <v>EXISTS!!!</v>
      </c>
    </row>
    <row r="62" spans="4:19" x14ac:dyDescent="0.25">
      <c r="D62" t="str">
        <f t="shared" si="2"/>
        <v>C2-0634-V01</v>
      </c>
      <c r="E62" t="str">
        <f t="shared" si="3"/>
        <v>C2-0634-V01-210226-PAX</v>
      </c>
      <c r="F62" t="str">
        <f t="shared" si="4"/>
        <v>Human</v>
      </c>
      <c r="G62" t="str">
        <f>IF(LEN(TRIM(E62))=0, "", GetSampleTissueBySpecimenPrep(H62))</f>
        <v>blood</v>
      </c>
      <c r="H62" t="str">
        <f>IF(LEN(TRIM(E62))=0, "", GetSpecimenPrepName())</f>
        <v>PaxGene</v>
      </c>
      <c r="I62" t="str">
        <f>IF(LEN(TRIM(E62))=0, "", GetSampleVolumeBySpecimenPrep(H62))</f>
        <v>10</v>
      </c>
      <c r="L62" t="str">
        <f>IF(LEN(TRIM(E62))=0,"",VLOOKUP("Manifest Id",config!A:B,2,FALSE))</f>
        <v>CHARM2-2021-02-19</v>
      </c>
      <c r="M62" t="str">
        <f>IF(LEN(TRIM(E62))=0, "",VLOOKUP("Project Name",config!A:B,2,FALSE))</f>
        <v>ECHO</v>
      </c>
      <c r="N62" t="str">
        <f>IF(LEN(TRIM(E62))=0, "",VLOOKUP("Center Name",config!A:B,2,FALSE))</f>
        <v>CHARM2</v>
      </c>
      <c r="O62" s="7">
        <f>IF(LEN(TRIM(E62))=0,"",VLOOKUP("Shipment Date",config!A:B,2,FALSE))</f>
        <v>44247</v>
      </c>
      <c r="P62" s="7" t="str">
        <f t="shared" si="1"/>
        <v>21-02-26</v>
      </c>
      <c r="Q62" s="7" t="str">
        <f>IF(LEN(TRIM(D62))=0,"",GetConfigParameterValue("Collection Site"))</f>
        <v>Camp Lejeune, NC</v>
      </c>
      <c r="R62" t="str">
        <f>IF(LEN(TRIM(E62))=0, "", GetManifestComments(H62))</f>
        <v>CHARM2 Shipment: 2021-03-01 MT SINAI MANIFEST.xlsx</v>
      </c>
      <c r="S62" t="str">
        <f>IF(LEN(TRIM(E62))=0,"",IF(ISERROR(VLOOKUP(E62,'Manifest MDB data'!A:A,1,FALSE)),"OK","EXISTS!!!"))</f>
        <v>EXISTS!!!</v>
      </c>
    </row>
    <row r="63" spans="4:19" x14ac:dyDescent="0.25">
      <c r="D63" t="str">
        <f t="shared" si="2"/>
        <v>C2-0640-V01</v>
      </c>
      <c r="E63" t="str">
        <f t="shared" si="3"/>
        <v>C2-0640-V01-210226-PAX</v>
      </c>
      <c r="F63" t="str">
        <f t="shared" si="4"/>
        <v>Human</v>
      </c>
      <c r="G63" t="str">
        <f>IF(LEN(TRIM(E63))=0, "", GetSampleTissueBySpecimenPrep(H63))</f>
        <v>blood</v>
      </c>
      <c r="H63" t="str">
        <f>IF(LEN(TRIM(E63))=0, "", GetSpecimenPrepName())</f>
        <v>PaxGene</v>
      </c>
      <c r="I63" t="str">
        <f>IF(LEN(TRIM(E63))=0, "", GetSampleVolumeBySpecimenPrep(H63))</f>
        <v>10</v>
      </c>
      <c r="L63" t="str">
        <f>IF(LEN(TRIM(E63))=0,"",VLOOKUP("Manifest Id",config!A:B,2,FALSE))</f>
        <v>CHARM2-2021-02-19</v>
      </c>
      <c r="M63" t="str">
        <f>IF(LEN(TRIM(E63))=0, "",VLOOKUP("Project Name",config!A:B,2,FALSE))</f>
        <v>ECHO</v>
      </c>
      <c r="N63" t="str">
        <f>IF(LEN(TRIM(E63))=0, "",VLOOKUP("Center Name",config!A:B,2,FALSE))</f>
        <v>CHARM2</v>
      </c>
      <c r="O63" s="7">
        <f>IF(LEN(TRIM(E63))=0,"",VLOOKUP("Shipment Date",config!A:B,2,FALSE))</f>
        <v>44247</v>
      </c>
      <c r="P63" s="7" t="str">
        <f t="shared" si="1"/>
        <v>21-02-26</v>
      </c>
      <c r="Q63" s="7" t="str">
        <f>IF(LEN(TRIM(D63))=0,"",GetConfigParameterValue("Collection Site"))</f>
        <v>Camp Lejeune, NC</v>
      </c>
      <c r="R63" t="str">
        <f>IF(LEN(TRIM(E63))=0, "", GetManifestComments(H63))</f>
        <v>CHARM2 Shipment: 2021-03-01 MT SINAI MANIFEST.xlsx</v>
      </c>
      <c r="S63" t="str">
        <f>IF(LEN(TRIM(E63))=0,"",IF(ISERROR(VLOOKUP(E63,'Manifest MDB data'!A:A,1,FALSE)),"OK","EXISTS!!!"))</f>
        <v>EXISTS!!!</v>
      </c>
    </row>
    <row r="64" spans="4:19" x14ac:dyDescent="0.25">
      <c r="D64" t="str">
        <f t="shared" si="2"/>
        <v>C2-0648-V01</v>
      </c>
      <c r="E64" t="str">
        <f t="shared" si="3"/>
        <v>C2-0648-V01-210226-PAX</v>
      </c>
      <c r="F64" t="str">
        <f t="shared" si="4"/>
        <v>Human</v>
      </c>
      <c r="G64" t="str">
        <f>IF(LEN(TRIM(E64))=0, "", GetSampleTissueBySpecimenPrep(H64))</f>
        <v>blood</v>
      </c>
      <c r="H64" t="str">
        <f>IF(LEN(TRIM(E64))=0, "", GetSpecimenPrepName())</f>
        <v>PaxGene</v>
      </c>
      <c r="I64" t="str">
        <f>IF(LEN(TRIM(E64))=0, "", GetSampleVolumeBySpecimenPrep(H64))</f>
        <v>10</v>
      </c>
      <c r="L64" t="str">
        <f>IF(LEN(TRIM(E64))=0,"",VLOOKUP("Manifest Id",config!A:B,2,FALSE))</f>
        <v>CHARM2-2021-02-19</v>
      </c>
      <c r="M64" t="str">
        <f>IF(LEN(TRIM(E64))=0, "",VLOOKUP("Project Name",config!A:B,2,FALSE))</f>
        <v>ECHO</v>
      </c>
      <c r="N64" t="str">
        <f>IF(LEN(TRIM(E64))=0, "",VLOOKUP("Center Name",config!A:B,2,FALSE))</f>
        <v>CHARM2</v>
      </c>
      <c r="O64" s="7">
        <f>IF(LEN(TRIM(E64))=0,"",VLOOKUP("Shipment Date",config!A:B,2,FALSE))</f>
        <v>44247</v>
      </c>
      <c r="P64" s="7" t="str">
        <f t="shared" si="1"/>
        <v>21-02-26</v>
      </c>
      <c r="Q64" s="7" t="str">
        <f>IF(LEN(TRIM(D64))=0,"",GetConfigParameterValue("Collection Site"))</f>
        <v>Camp Lejeune, NC</v>
      </c>
      <c r="R64" t="str">
        <f>IF(LEN(TRIM(E64))=0, "", GetManifestComments(H64))</f>
        <v>CHARM2 Shipment: 2021-03-01 MT SINAI MANIFEST.xlsx</v>
      </c>
      <c r="S64" t="str">
        <f>IF(LEN(TRIM(E64))=0,"",IF(ISERROR(VLOOKUP(E64,'Manifest MDB data'!A:A,1,FALSE)),"OK","EXISTS!!!"))</f>
        <v>EXISTS!!!</v>
      </c>
    </row>
    <row r="65" spans="4:19" x14ac:dyDescent="0.25">
      <c r="D65" t="str">
        <f t="shared" si="2"/>
        <v>C2-0684-V01</v>
      </c>
      <c r="E65" t="str">
        <f t="shared" si="3"/>
        <v>C2-0684-V01-210226-PAX</v>
      </c>
      <c r="F65" t="str">
        <f t="shared" si="4"/>
        <v>Human</v>
      </c>
      <c r="G65" t="str">
        <f>IF(LEN(TRIM(E65))=0, "", GetSampleTissueBySpecimenPrep(H65))</f>
        <v>blood</v>
      </c>
      <c r="H65" t="str">
        <f>IF(LEN(TRIM(E65))=0, "", GetSpecimenPrepName())</f>
        <v>PaxGene</v>
      </c>
      <c r="I65" t="str">
        <f>IF(LEN(TRIM(E65))=0, "", GetSampleVolumeBySpecimenPrep(H65))</f>
        <v>10</v>
      </c>
      <c r="L65" t="str">
        <f>IF(LEN(TRIM(E65))=0,"",VLOOKUP("Manifest Id",config!A:B,2,FALSE))</f>
        <v>CHARM2-2021-02-19</v>
      </c>
      <c r="M65" t="str">
        <f>IF(LEN(TRIM(E65))=0, "",VLOOKUP("Project Name",config!A:B,2,FALSE))</f>
        <v>ECHO</v>
      </c>
      <c r="N65" t="str">
        <f>IF(LEN(TRIM(E65))=0, "",VLOOKUP("Center Name",config!A:B,2,FALSE))</f>
        <v>CHARM2</v>
      </c>
      <c r="O65" s="7">
        <f>IF(LEN(TRIM(E65))=0,"",VLOOKUP("Shipment Date",config!A:B,2,FALSE))</f>
        <v>44247</v>
      </c>
      <c r="P65" s="7" t="str">
        <f t="shared" si="1"/>
        <v>21-02-26</v>
      </c>
      <c r="Q65" s="7" t="str">
        <f>IF(LEN(TRIM(D65))=0,"",GetConfigParameterValue("Collection Site"))</f>
        <v>Camp Lejeune, NC</v>
      </c>
      <c r="R65" t="str">
        <f>IF(LEN(TRIM(E65))=0, "", GetManifestComments(H65))</f>
        <v>CHARM2 Shipment: 2021-03-01 MT SINAI MANIFEST.xlsx</v>
      </c>
      <c r="S65" t="str">
        <f>IF(LEN(TRIM(E65))=0,"",IF(ISERROR(VLOOKUP(E65,'Manifest MDB data'!A:A,1,FALSE)),"OK","EXISTS!!!"))</f>
        <v>EXISTS!!!</v>
      </c>
    </row>
    <row r="66" spans="4:19" x14ac:dyDescent="0.25">
      <c r="D66" t="str">
        <f t="shared" si="2"/>
        <v>C2-0693-V01</v>
      </c>
      <c r="E66" t="str">
        <f t="shared" si="3"/>
        <v>C2-0693-V01-210226-PAX</v>
      </c>
      <c r="F66" t="str">
        <f t="shared" si="4"/>
        <v>Human</v>
      </c>
      <c r="G66" t="str">
        <f>IF(LEN(TRIM(E66))=0, "", GetSampleTissueBySpecimenPrep(H66))</f>
        <v>blood</v>
      </c>
      <c r="H66" t="str">
        <f>IF(LEN(TRIM(E66))=0, "", GetSpecimenPrepName())</f>
        <v>PaxGene</v>
      </c>
      <c r="I66" t="str">
        <f>IF(LEN(TRIM(E66))=0, "", GetSampleVolumeBySpecimenPrep(H66))</f>
        <v>10</v>
      </c>
      <c r="L66" t="str">
        <f>IF(LEN(TRIM(E66))=0,"",VLOOKUP("Manifest Id",config!A:B,2,FALSE))</f>
        <v>CHARM2-2021-02-19</v>
      </c>
      <c r="M66" t="str">
        <f>IF(LEN(TRIM(E66))=0, "",VLOOKUP("Project Name",config!A:B,2,FALSE))</f>
        <v>ECHO</v>
      </c>
      <c r="N66" t="str">
        <f>IF(LEN(TRIM(E66))=0, "",VLOOKUP("Center Name",config!A:B,2,FALSE))</f>
        <v>CHARM2</v>
      </c>
      <c r="O66" s="7">
        <f>IF(LEN(TRIM(E66))=0,"",VLOOKUP("Shipment Date",config!A:B,2,FALSE))</f>
        <v>44247</v>
      </c>
      <c r="P66" s="7" t="str">
        <f t="shared" ref="P66:P129" si="5">getColumnValueBySubjectID("Visit Date", RIGHT(LEFT(D66,7),4))</f>
        <v>21-02-26</v>
      </c>
      <c r="Q66" s="7" t="str">
        <f>IF(LEN(TRIM(D66))=0,"",GetConfigParameterValue("Collection Site"))</f>
        <v>Camp Lejeune, NC</v>
      </c>
      <c r="R66" t="str">
        <f>IF(LEN(TRIM(E66))=0, "", GetManifestComments(H66))</f>
        <v>CHARM2 Shipment: 2021-03-01 MT SINAI MANIFEST.xlsx</v>
      </c>
      <c r="S66" t="str">
        <f>IF(LEN(TRIM(E66))=0,"",IF(ISERROR(VLOOKUP(E66,'Manifest MDB data'!A:A,1,FALSE)),"OK","EXISTS!!!"))</f>
        <v>EXISTS!!!</v>
      </c>
    </row>
    <row r="67" spans="4:19" x14ac:dyDescent="0.25">
      <c r="D67" t="str">
        <f t="shared" ref="D67:D130" si="6">GetSampleId((ROW()))</f>
        <v>C2-0798-V01</v>
      </c>
      <c r="E67" t="str">
        <f t="shared" ref="E67:E130" si="7">GetAliquotId((ROW()))</f>
        <v>C2-0798-V01-210226-PAX</v>
      </c>
      <c r="F67" t="str">
        <f t="shared" ref="F67:F130" si="8">IF(LEN(TRIM(E67))=0, "", "Human")</f>
        <v>Human</v>
      </c>
      <c r="G67" t="str">
        <f>IF(LEN(TRIM(E67))=0, "", GetSampleTissueBySpecimenPrep(H67))</f>
        <v>blood</v>
      </c>
      <c r="H67" t="str">
        <f>IF(LEN(TRIM(E67))=0, "", GetSpecimenPrepName())</f>
        <v>PaxGene</v>
      </c>
      <c r="I67" t="str">
        <f>IF(LEN(TRIM(E67))=0, "", GetSampleVolumeBySpecimenPrep(H67))</f>
        <v>10</v>
      </c>
      <c r="L67" t="str">
        <f>IF(LEN(TRIM(E67))=0,"",VLOOKUP("Manifest Id",config!A:B,2,FALSE))</f>
        <v>CHARM2-2021-02-19</v>
      </c>
      <c r="M67" t="str">
        <f>IF(LEN(TRIM(E67))=0, "",VLOOKUP("Project Name",config!A:B,2,FALSE))</f>
        <v>ECHO</v>
      </c>
      <c r="N67" t="str">
        <f>IF(LEN(TRIM(E67))=0, "",VLOOKUP("Center Name",config!A:B,2,FALSE))</f>
        <v>CHARM2</v>
      </c>
      <c r="O67" s="7">
        <f>IF(LEN(TRIM(E67))=0,"",VLOOKUP("Shipment Date",config!A:B,2,FALSE))</f>
        <v>44247</v>
      </c>
      <c r="P67" s="7" t="str">
        <f t="shared" si="5"/>
        <v>21-02-26</v>
      </c>
      <c r="Q67" s="7" t="str">
        <f>IF(LEN(TRIM(D67))=0,"",GetConfigParameterValue("Collection Site"))</f>
        <v>Camp Lejeune, NC</v>
      </c>
      <c r="R67" t="str">
        <f>IF(LEN(TRIM(E67))=0, "", GetManifestComments(H67))</f>
        <v>CHARM2 Shipment: 2021-03-01 MT SINAI MANIFEST.xlsx</v>
      </c>
      <c r="S67" t="str">
        <f>IF(LEN(TRIM(E67))=0,"",IF(ISERROR(VLOOKUP(E67,'Manifest MDB data'!A:A,1,FALSE)),"OK","EXISTS!!!"))</f>
        <v>EXISTS!!!</v>
      </c>
    </row>
    <row r="68" spans="4:19" x14ac:dyDescent="0.25">
      <c r="D68" t="str">
        <f t="shared" si="6"/>
        <v>C2-0919-V01</v>
      </c>
      <c r="E68" t="str">
        <f t="shared" si="7"/>
        <v>C2-0919-V01-210226-PAX</v>
      </c>
      <c r="F68" t="str">
        <f t="shared" si="8"/>
        <v>Human</v>
      </c>
      <c r="G68" t="str">
        <f>IF(LEN(TRIM(E68))=0, "", GetSampleTissueBySpecimenPrep(H68))</f>
        <v>blood</v>
      </c>
      <c r="H68" t="str">
        <f>IF(LEN(TRIM(E68))=0, "", GetSpecimenPrepName())</f>
        <v>PaxGene</v>
      </c>
      <c r="I68" t="str">
        <f>IF(LEN(TRIM(E68))=0, "", GetSampleVolumeBySpecimenPrep(H68))</f>
        <v>10</v>
      </c>
      <c r="L68" t="str">
        <f>IF(LEN(TRIM(E68))=0,"",VLOOKUP("Manifest Id",config!A:B,2,FALSE))</f>
        <v>CHARM2-2021-02-19</v>
      </c>
      <c r="M68" t="str">
        <f>IF(LEN(TRIM(E68))=0, "",VLOOKUP("Project Name",config!A:B,2,FALSE))</f>
        <v>ECHO</v>
      </c>
      <c r="N68" t="str">
        <f>IF(LEN(TRIM(E68))=0, "",VLOOKUP("Center Name",config!A:B,2,FALSE))</f>
        <v>CHARM2</v>
      </c>
      <c r="O68" s="7">
        <f>IF(LEN(TRIM(E68))=0,"",VLOOKUP("Shipment Date",config!A:B,2,FALSE))</f>
        <v>44247</v>
      </c>
      <c r="P68" s="7" t="str">
        <f t="shared" si="5"/>
        <v>21-02-26</v>
      </c>
      <c r="Q68" s="7" t="str">
        <f>IF(LEN(TRIM(D68))=0,"",GetConfigParameterValue("Collection Site"))</f>
        <v>Camp Lejeune, NC</v>
      </c>
      <c r="R68" t="str">
        <f>IF(LEN(TRIM(E68))=0, "", GetManifestComments(H68))</f>
        <v>CHARM2 Shipment: 2021-03-01 MT SINAI MANIFEST.xlsx</v>
      </c>
      <c r="S68" t="str">
        <f>IF(LEN(TRIM(E68))=0,"",IF(ISERROR(VLOOKUP(E68,'Manifest MDB data'!A:A,1,FALSE)),"OK","EXISTS!!!"))</f>
        <v>EXISTS!!!</v>
      </c>
    </row>
    <row r="69" spans="4:19" x14ac:dyDescent="0.25">
      <c r="D69" t="str">
        <f t="shared" si="6"/>
        <v>C2-1148-V01</v>
      </c>
      <c r="E69" t="str">
        <f t="shared" si="7"/>
        <v>C2-1148-V01-210226-PAX</v>
      </c>
      <c r="F69" t="str">
        <f t="shared" si="8"/>
        <v>Human</v>
      </c>
      <c r="G69" t="str">
        <f>IF(LEN(TRIM(E69))=0, "", GetSampleTissueBySpecimenPrep(H69))</f>
        <v>blood</v>
      </c>
      <c r="H69" t="str">
        <f>IF(LEN(TRIM(E69))=0, "", GetSpecimenPrepName())</f>
        <v>PaxGene</v>
      </c>
      <c r="I69" t="str">
        <f>IF(LEN(TRIM(E69))=0, "", GetSampleVolumeBySpecimenPrep(H69))</f>
        <v>10</v>
      </c>
      <c r="L69" t="str">
        <f>IF(LEN(TRIM(E69))=0,"",VLOOKUP("Manifest Id",config!A:B,2,FALSE))</f>
        <v>CHARM2-2021-02-19</v>
      </c>
      <c r="M69" t="str">
        <f>IF(LEN(TRIM(E69))=0, "",VLOOKUP("Project Name",config!A:B,2,FALSE))</f>
        <v>ECHO</v>
      </c>
      <c r="N69" t="str">
        <f>IF(LEN(TRIM(E69))=0, "",VLOOKUP("Center Name",config!A:B,2,FALSE))</f>
        <v>CHARM2</v>
      </c>
      <c r="O69" s="7">
        <f>IF(LEN(TRIM(E69))=0,"",VLOOKUP("Shipment Date",config!A:B,2,FALSE))</f>
        <v>44247</v>
      </c>
      <c r="P69" s="7" t="str">
        <f t="shared" si="5"/>
        <v>21-02-26</v>
      </c>
      <c r="Q69" s="7" t="str">
        <f>IF(LEN(TRIM(D69))=0,"",GetConfigParameterValue("Collection Site"))</f>
        <v>Camp Lejeune, NC</v>
      </c>
      <c r="R69" t="str">
        <f>IF(LEN(TRIM(E69))=0, "", GetManifestComments(H69))</f>
        <v>CHARM2 Shipment: 2021-03-01 MT SINAI MANIFEST.xlsx</v>
      </c>
      <c r="S69" t="str">
        <f>IF(LEN(TRIM(E69))=0,"",IF(ISERROR(VLOOKUP(E69,'Manifest MDB data'!A:A,1,FALSE)),"OK","EXISTS!!!"))</f>
        <v>EXISTS!!!</v>
      </c>
    </row>
    <row r="70" spans="4:19" x14ac:dyDescent="0.25">
      <c r="D70" t="str">
        <f t="shared" si="6"/>
        <v>C2-1338-V01</v>
      </c>
      <c r="E70" t="str">
        <f t="shared" si="7"/>
        <v>C2-1338-V01-210226-PAX</v>
      </c>
      <c r="F70" t="str">
        <f t="shared" si="8"/>
        <v>Human</v>
      </c>
      <c r="G70" t="str">
        <f>IF(LEN(TRIM(E70))=0, "", GetSampleTissueBySpecimenPrep(H70))</f>
        <v>blood</v>
      </c>
      <c r="H70" t="str">
        <f>IF(LEN(TRIM(E70))=0, "", GetSpecimenPrepName())</f>
        <v>PaxGene</v>
      </c>
      <c r="I70" t="str">
        <f>IF(LEN(TRIM(E70))=0, "", GetSampleVolumeBySpecimenPrep(H70))</f>
        <v>10</v>
      </c>
      <c r="L70" t="str">
        <f>IF(LEN(TRIM(E70))=0,"",VLOOKUP("Manifest Id",config!A:B,2,FALSE))</f>
        <v>CHARM2-2021-02-19</v>
      </c>
      <c r="M70" t="str">
        <f>IF(LEN(TRIM(E70))=0, "",VLOOKUP("Project Name",config!A:B,2,FALSE))</f>
        <v>ECHO</v>
      </c>
      <c r="N70" t="str">
        <f>IF(LEN(TRIM(E70))=0, "",VLOOKUP("Center Name",config!A:B,2,FALSE))</f>
        <v>CHARM2</v>
      </c>
      <c r="O70" s="7">
        <f>IF(LEN(TRIM(E70))=0,"",VLOOKUP("Shipment Date",config!A:B,2,FALSE))</f>
        <v>44247</v>
      </c>
      <c r="P70" s="7" t="str">
        <f t="shared" si="5"/>
        <v>21-02-26</v>
      </c>
      <c r="Q70" s="7" t="str">
        <f>IF(LEN(TRIM(D70))=0,"",GetConfigParameterValue("Collection Site"))</f>
        <v>Camp Lejeune, NC</v>
      </c>
      <c r="R70" t="str">
        <f>IF(LEN(TRIM(E70))=0, "", GetManifestComments(H70))</f>
        <v>CHARM2 Shipment: 2021-03-01 MT SINAI MANIFEST.xlsx</v>
      </c>
      <c r="S70" t="str">
        <f>IF(LEN(TRIM(E70))=0,"",IF(ISERROR(VLOOKUP(E70,'Manifest MDB data'!A:A,1,FALSE)),"OK","EXISTS!!!"))</f>
        <v>EXISTS!!!</v>
      </c>
    </row>
    <row r="71" spans="4:19" x14ac:dyDescent="0.25">
      <c r="D71" t="str">
        <f t="shared" si="6"/>
        <v>C2-1356-V01</v>
      </c>
      <c r="E71" t="str">
        <f t="shared" si="7"/>
        <v>C2-1356-V01-210226-PAX</v>
      </c>
      <c r="F71" t="str">
        <f t="shared" si="8"/>
        <v>Human</v>
      </c>
      <c r="G71" t="str">
        <f>IF(LEN(TRIM(E71))=0, "", GetSampleTissueBySpecimenPrep(H71))</f>
        <v>blood</v>
      </c>
      <c r="H71" t="str">
        <f>IF(LEN(TRIM(E71))=0, "", GetSpecimenPrepName())</f>
        <v>PaxGene</v>
      </c>
      <c r="I71" t="str">
        <f>IF(LEN(TRIM(E71))=0, "", GetSampleVolumeBySpecimenPrep(H71))</f>
        <v>10</v>
      </c>
      <c r="L71" t="str">
        <f>IF(LEN(TRIM(E71))=0,"",VLOOKUP("Manifest Id",config!A:B,2,FALSE))</f>
        <v>CHARM2-2021-02-19</v>
      </c>
      <c r="M71" t="str">
        <f>IF(LEN(TRIM(E71))=0, "",VLOOKUP("Project Name",config!A:B,2,FALSE))</f>
        <v>ECHO</v>
      </c>
      <c r="N71" t="str">
        <f>IF(LEN(TRIM(E71))=0, "",VLOOKUP("Center Name",config!A:B,2,FALSE))</f>
        <v>CHARM2</v>
      </c>
      <c r="O71" s="7">
        <f>IF(LEN(TRIM(E71))=0,"",VLOOKUP("Shipment Date",config!A:B,2,FALSE))</f>
        <v>44247</v>
      </c>
      <c r="P71" s="7" t="str">
        <f t="shared" si="5"/>
        <v>21-02-26</v>
      </c>
      <c r="Q71" s="7" t="str">
        <f>IF(LEN(TRIM(D71))=0,"",GetConfigParameterValue("Collection Site"))</f>
        <v>Camp Lejeune, NC</v>
      </c>
      <c r="R71" t="str">
        <f>IF(LEN(TRIM(E71))=0, "", GetManifestComments(H71))</f>
        <v>CHARM2 Shipment: 2021-03-01 MT SINAI MANIFEST.xlsx</v>
      </c>
      <c r="S71" t="str">
        <f>IF(LEN(TRIM(E71))=0,"",IF(ISERROR(VLOOKUP(E71,'Manifest MDB data'!A:A,1,FALSE)),"OK","EXISTS!!!"))</f>
        <v>EXISTS!!!</v>
      </c>
    </row>
    <row r="72" spans="4:19" x14ac:dyDescent="0.25">
      <c r="D72" t="str">
        <f t="shared" si="6"/>
        <v>C2-1462-V01</v>
      </c>
      <c r="E72" t="str">
        <f t="shared" si="7"/>
        <v>C2-1462-V01-210226-PAX</v>
      </c>
      <c r="F72" t="str">
        <f t="shared" si="8"/>
        <v>Human</v>
      </c>
      <c r="G72" t="str">
        <f>IF(LEN(TRIM(E72))=0, "", GetSampleTissueBySpecimenPrep(H72))</f>
        <v>blood</v>
      </c>
      <c r="H72" t="str">
        <f>IF(LEN(TRIM(E72))=0, "", GetSpecimenPrepName())</f>
        <v>PaxGene</v>
      </c>
      <c r="I72" t="str">
        <f>IF(LEN(TRIM(E72))=0, "", GetSampleVolumeBySpecimenPrep(H72))</f>
        <v>10</v>
      </c>
      <c r="L72" t="str">
        <f>IF(LEN(TRIM(E72))=0,"",VLOOKUP("Manifest Id",config!A:B,2,FALSE))</f>
        <v>CHARM2-2021-02-19</v>
      </c>
      <c r="M72" t="str">
        <f>IF(LEN(TRIM(E72))=0, "",VLOOKUP("Project Name",config!A:B,2,FALSE))</f>
        <v>ECHO</v>
      </c>
      <c r="N72" t="str">
        <f>IF(LEN(TRIM(E72))=0, "",VLOOKUP("Center Name",config!A:B,2,FALSE))</f>
        <v>CHARM2</v>
      </c>
      <c r="O72" s="7">
        <f>IF(LEN(TRIM(E72))=0,"",VLOOKUP("Shipment Date",config!A:B,2,FALSE))</f>
        <v>44247</v>
      </c>
      <c r="P72" s="7" t="str">
        <f t="shared" si="5"/>
        <v>21-02-26</v>
      </c>
      <c r="Q72" s="7" t="str">
        <f>IF(LEN(TRIM(D72))=0,"",GetConfigParameterValue("Collection Site"))</f>
        <v>Camp Lejeune, NC</v>
      </c>
      <c r="R72" t="str">
        <f>IF(LEN(TRIM(E72))=0, "", GetManifestComments(H72))</f>
        <v>CHARM2 Shipment: 2021-03-01 MT SINAI MANIFEST.xlsx</v>
      </c>
      <c r="S72" t="str">
        <f>IF(LEN(TRIM(E72))=0,"",IF(ISERROR(VLOOKUP(E72,'Manifest MDB data'!A:A,1,FALSE)),"OK","EXISTS!!!"))</f>
        <v>EXISTS!!!</v>
      </c>
    </row>
    <row r="73" spans="4:19" x14ac:dyDescent="0.25">
      <c r="D73" t="str">
        <f t="shared" si="6"/>
        <v>C2-1546-V01</v>
      </c>
      <c r="E73" t="str">
        <f t="shared" si="7"/>
        <v>C2-1546-V01-210226-PAX</v>
      </c>
      <c r="F73" t="str">
        <f t="shared" si="8"/>
        <v>Human</v>
      </c>
      <c r="G73" t="str">
        <f>IF(LEN(TRIM(E73))=0, "", GetSampleTissueBySpecimenPrep(H73))</f>
        <v>blood</v>
      </c>
      <c r="H73" t="str">
        <f>IF(LEN(TRIM(E73))=0, "", GetSpecimenPrepName())</f>
        <v>PaxGene</v>
      </c>
      <c r="I73" t="str">
        <f>IF(LEN(TRIM(E73))=0, "", GetSampleVolumeBySpecimenPrep(H73))</f>
        <v>10</v>
      </c>
      <c r="L73" t="str">
        <f>IF(LEN(TRIM(E73))=0,"",VLOOKUP("Manifest Id",config!A:B,2,FALSE))</f>
        <v>CHARM2-2021-02-19</v>
      </c>
      <c r="M73" t="str">
        <f>IF(LEN(TRIM(E73))=0, "",VLOOKUP("Project Name",config!A:B,2,FALSE))</f>
        <v>ECHO</v>
      </c>
      <c r="N73" t="str">
        <f>IF(LEN(TRIM(E73))=0, "",VLOOKUP("Center Name",config!A:B,2,FALSE))</f>
        <v>CHARM2</v>
      </c>
      <c r="O73" s="7">
        <f>IF(LEN(TRIM(E73))=0,"",VLOOKUP("Shipment Date",config!A:B,2,FALSE))</f>
        <v>44247</v>
      </c>
      <c r="P73" s="7" t="str">
        <f t="shared" si="5"/>
        <v>21-02-26</v>
      </c>
      <c r="Q73" s="7" t="str">
        <f>IF(LEN(TRIM(D73))=0,"",GetConfigParameterValue("Collection Site"))</f>
        <v>Camp Lejeune, NC</v>
      </c>
      <c r="R73" t="str">
        <f>IF(LEN(TRIM(E73))=0, "", GetManifestComments(H73))</f>
        <v>CHARM2 Shipment: 2021-03-01 MT SINAI MANIFEST.xlsx</v>
      </c>
      <c r="S73" t="str">
        <f>IF(LEN(TRIM(E73))=0,"",IF(ISERROR(VLOOKUP(E73,'Manifest MDB data'!A:A,1,FALSE)),"OK","EXISTS!!!"))</f>
        <v>EXISTS!!!</v>
      </c>
    </row>
    <row r="74" spans="4:19" x14ac:dyDescent="0.25">
      <c r="D74" t="str">
        <f t="shared" si="6"/>
        <v>C2-1600-V01</v>
      </c>
      <c r="E74" t="str">
        <f t="shared" si="7"/>
        <v>C2-1600-V01-210226-PAX</v>
      </c>
      <c r="F74" t="str">
        <f t="shared" si="8"/>
        <v>Human</v>
      </c>
      <c r="G74" t="str">
        <f>IF(LEN(TRIM(E74))=0, "", GetSampleTissueBySpecimenPrep(H74))</f>
        <v>blood</v>
      </c>
      <c r="H74" t="str">
        <f>IF(LEN(TRIM(E74))=0, "", GetSpecimenPrepName())</f>
        <v>PaxGene</v>
      </c>
      <c r="I74" t="str">
        <f>IF(LEN(TRIM(E74))=0, "", GetSampleVolumeBySpecimenPrep(H74))</f>
        <v>10</v>
      </c>
      <c r="L74" t="str">
        <f>IF(LEN(TRIM(E74))=0,"",VLOOKUP("Manifest Id",config!A:B,2,FALSE))</f>
        <v>CHARM2-2021-02-19</v>
      </c>
      <c r="M74" t="str">
        <f>IF(LEN(TRIM(E74))=0, "",VLOOKUP("Project Name",config!A:B,2,FALSE))</f>
        <v>ECHO</v>
      </c>
      <c r="N74" t="str">
        <f>IF(LEN(TRIM(E74))=0, "",VLOOKUP("Center Name",config!A:B,2,FALSE))</f>
        <v>CHARM2</v>
      </c>
      <c r="O74" s="7">
        <f>IF(LEN(TRIM(E74))=0,"",VLOOKUP("Shipment Date",config!A:B,2,FALSE))</f>
        <v>44247</v>
      </c>
      <c r="P74" s="7" t="str">
        <f t="shared" si="5"/>
        <v>21-02-26</v>
      </c>
      <c r="Q74" s="7" t="str">
        <f>IF(LEN(TRIM(D74))=0,"",GetConfigParameterValue("Collection Site"))</f>
        <v>Camp Lejeune, NC</v>
      </c>
      <c r="R74" t="str">
        <f>IF(LEN(TRIM(E74))=0, "", GetManifestComments(H74))</f>
        <v>CHARM2 Shipment: 2021-03-01 MT SINAI MANIFEST.xlsx</v>
      </c>
      <c r="S74" t="str">
        <f>IF(LEN(TRIM(E74))=0,"",IF(ISERROR(VLOOKUP(E74,'Manifest MDB data'!A:A,1,FALSE)),"OK","EXISTS!!!"))</f>
        <v>EXISTS!!!</v>
      </c>
    </row>
    <row r="75" spans="4:19" x14ac:dyDescent="0.25">
      <c r="D75" t="str">
        <f t="shared" si="6"/>
        <v>C2-1608-V01</v>
      </c>
      <c r="E75" t="str">
        <f t="shared" si="7"/>
        <v>C2-1608-V01-210226-PAX</v>
      </c>
      <c r="F75" t="str">
        <f t="shared" si="8"/>
        <v>Human</v>
      </c>
      <c r="G75" t="str">
        <f>IF(LEN(TRIM(E75))=0, "", GetSampleTissueBySpecimenPrep(H75))</f>
        <v>blood</v>
      </c>
      <c r="H75" t="str">
        <f>IF(LEN(TRIM(E75))=0, "", GetSpecimenPrepName())</f>
        <v>PaxGene</v>
      </c>
      <c r="I75" t="str">
        <f>IF(LEN(TRIM(E75))=0, "", GetSampleVolumeBySpecimenPrep(H75))</f>
        <v>10</v>
      </c>
      <c r="L75" t="str">
        <f>IF(LEN(TRIM(E75))=0,"",VLOOKUP("Manifest Id",config!A:B,2,FALSE))</f>
        <v>CHARM2-2021-02-19</v>
      </c>
      <c r="M75" t="str">
        <f>IF(LEN(TRIM(E75))=0, "",VLOOKUP("Project Name",config!A:B,2,FALSE))</f>
        <v>ECHO</v>
      </c>
      <c r="N75" t="str">
        <f>IF(LEN(TRIM(E75))=0, "",VLOOKUP("Center Name",config!A:B,2,FALSE))</f>
        <v>CHARM2</v>
      </c>
      <c r="O75" s="7">
        <f>IF(LEN(TRIM(E75))=0,"",VLOOKUP("Shipment Date",config!A:B,2,FALSE))</f>
        <v>44247</v>
      </c>
      <c r="P75" s="7" t="str">
        <f t="shared" si="5"/>
        <v>21-02-26</v>
      </c>
      <c r="Q75" s="7" t="str">
        <f>IF(LEN(TRIM(D75))=0,"",GetConfigParameterValue("Collection Site"))</f>
        <v>Camp Lejeune, NC</v>
      </c>
      <c r="R75" t="str">
        <f>IF(LEN(TRIM(E75))=0, "", GetManifestComments(H75))</f>
        <v>CHARM2 Shipment: 2021-03-01 MT SINAI MANIFEST.xlsx</v>
      </c>
      <c r="S75" t="str">
        <f>IF(LEN(TRIM(E75))=0,"",IF(ISERROR(VLOOKUP(E75,'Manifest MDB data'!A:A,1,FALSE)),"OK","EXISTS!!!"))</f>
        <v>EXISTS!!!</v>
      </c>
    </row>
    <row r="76" spans="4:19" x14ac:dyDescent="0.25">
      <c r="D76" t="str">
        <f t="shared" si="6"/>
        <v>C2-0374-V01</v>
      </c>
      <c r="E76" t="str">
        <f t="shared" si="7"/>
        <v>C2-0374-V01-210301-PAX</v>
      </c>
      <c r="F76" t="str">
        <f t="shared" si="8"/>
        <v>Human</v>
      </c>
      <c r="G76" t="str">
        <f>IF(LEN(TRIM(E76))=0, "", GetSampleTissueBySpecimenPrep(H76))</f>
        <v>blood</v>
      </c>
      <c r="H76" t="str">
        <f>IF(LEN(TRIM(E76))=0, "", GetSpecimenPrepName())</f>
        <v>PaxGene</v>
      </c>
      <c r="I76" t="str">
        <f>IF(LEN(TRIM(E76))=0, "", GetSampleVolumeBySpecimenPrep(H76))</f>
        <v>10</v>
      </c>
      <c r="L76" t="str">
        <f>IF(LEN(TRIM(E76))=0,"",VLOOKUP("Manifest Id",config!A:B,2,FALSE))</f>
        <v>CHARM2-2021-02-19</v>
      </c>
      <c r="M76" t="str">
        <f>IF(LEN(TRIM(E76))=0, "",VLOOKUP("Project Name",config!A:B,2,FALSE))</f>
        <v>ECHO</v>
      </c>
      <c r="N76" t="str">
        <f>IF(LEN(TRIM(E76))=0, "",VLOOKUP("Center Name",config!A:B,2,FALSE))</f>
        <v>CHARM2</v>
      </c>
      <c r="O76" s="7">
        <f>IF(LEN(TRIM(E76))=0,"",VLOOKUP("Shipment Date",config!A:B,2,FALSE))</f>
        <v>44247</v>
      </c>
      <c r="P76" s="7" t="str">
        <f t="shared" si="5"/>
        <v>21-03-01</v>
      </c>
      <c r="Q76" s="7" t="str">
        <f>IF(LEN(TRIM(D76))=0,"",GetConfigParameterValue("Collection Site"))</f>
        <v>Camp Lejeune, NC</v>
      </c>
      <c r="R76" t="str">
        <f>IF(LEN(TRIM(E76))=0, "", GetManifestComments(H76))</f>
        <v>CHARM2 Shipment: 2021-03-01 MT SINAI MANIFEST.xlsx</v>
      </c>
      <c r="S76" t="str">
        <f>IF(LEN(TRIM(E76))=0,"",IF(ISERROR(VLOOKUP(E76,'Manifest MDB data'!A:A,1,FALSE)),"OK","EXISTS!!!"))</f>
        <v>EXISTS!!!</v>
      </c>
    </row>
    <row r="77" spans="4:19" x14ac:dyDescent="0.25">
      <c r="D77" t="str">
        <f t="shared" si="6"/>
        <v>C2-0933-V01</v>
      </c>
      <c r="E77" t="str">
        <f t="shared" si="7"/>
        <v>C2-0933-V01-210301-PAX</v>
      </c>
      <c r="F77" t="str">
        <f t="shared" si="8"/>
        <v>Human</v>
      </c>
      <c r="G77" t="str">
        <f>IF(LEN(TRIM(E77))=0, "", GetSampleTissueBySpecimenPrep(H77))</f>
        <v>blood</v>
      </c>
      <c r="H77" t="str">
        <f>IF(LEN(TRIM(E77))=0, "", GetSpecimenPrepName())</f>
        <v>PaxGene</v>
      </c>
      <c r="I77" t="str">
        <f>IF(LEN(TRIM(E77))=0, "", GetSampleVolumeBySpecimenPrep(H77))</f>
        <v>10</v>
      </c>
      <c r="L77" t="str">
        <f>IF(LEN(TRIM(E77))=0,"",VLOOKUP("Manifest Id",config!A:B,2,FALSE))</f>
        <v>CHARM2-2021-02-19</v>
      </c>
      <c r="M77" t="str">
        <f>IF(LEN(TRIM(E77))=0, "",VLOOKUP("Project Name",config!A:B,2,FALSE))</f>
        <v>ECHO</v>
      </c>
      <c r="N77" t="str">
        <f>IF(LEN(TRIM(E77))=0, "",VLOOKUP("Center Name",config!A:B,2,FALSE))</f>
        <v>CHARM2</v>
      </c>
      <c r="O77" s="7">
        <f>IF(LEN(TRIM(E77))=0,"",VLOOKUP("Shipment Date",config!A:B,2,FALSE))</f>
        <v>44247</v>
      </c>
      <c r="P77" s="7" t="str">
        <f t="shared" si="5"/>
        <v>21-03-01</v>
      </c>
      <c r="Q77" s="7" t="str">
        <f>IF(LEN(TRIM(D77))=0,"",GetConfigParameterValue("Collection Site"))</f>
        <v>Camp Lejeune, NC</v>
      </c>
      <c r="R77" t="str">
        <f>IF(LEN(TRIM(E77))=0, "", GetManifestComments(H77))</f>
        <v>CHARM2 Shipment: 2021-03-01 MT SINAI MANIFEST.xlsx</v>
      </c>
      <c r="S77" t="str">
        <f>IF(LEN(TRIM(E77))=0,"",IF(ISERROR(VLOOKUP(E77,'Manifest MDB data'!A:A,1,FALSE)),"OK","EXISTS!!!"))</f>
        <v>EXISTS!!!</v>
      </c>
    </row>
    <row r="78" spans="4:19" x14ac:dyDescent="0.25">
      <c r="D78" t="str">
        <f t="shared" si="6"/>
        <v>C2-1038-V01</v>
      </c>
      <c r="E78" t="str">
        <f t="shared" si="7"/>
        <v>C2-1038-V01-210301-PAX</v>
      </c>
      <c r="F78" t="str">
        <f t="shared" si="8"/>
        <v>Human</v>
      </c>
      <c r="G78" t="str">
        <f>IF(LEN(TRIM(E78))=0, "", GetSampleTissueBySpecimenPrep(H78))</f>
        <v>blood</v>
      </c>
      <c r="H78" t="str">
        <f>IF(LEN(TRIM(E78))=0, "", GetSpecimenPrepName())</f>
        <v>PaxGene</v>
      </c>
      <c r="I78" t="str">
        <f>IF(LEN(TRIM(E78))=0, "", GetSampleVolumeBySpecimenPrep(H78))</f>
        <v>10</v>
      </c>
      <c r="L78" t="str">
        <f>IF(LEN(TRIM(E78))=0,"",VLOOKUP("Manifest Id",config!A:B,2,FALSE))</f>
        <v>CHARM2-2021-02-19</v>
      </c>
      <c r="M78" t="str">
        <f>IF(LEN(TRIM(E78))=0, "",VLOOKUP("Project Name",config!A:B,2,FALSE))</f>
        <v>ECHO</v>
      </c>
      <c r="N78" t="str">
        <f>IF(LEN(TRIM(E78))=0, "",VLOOKUP("Center Name",config!A:B,2,FALSE))</f>
        <v>CHARM2</v>
      </c>
      <c r="O78" s="7">
        <f>IF(LEN(TRIM(E78))=0,"",VLOOKUP("Shipment Date",config!A:B,2,FALSE))</f>
        <v>44247</v>
      </c>
      <c r="P78" s="7" t="str">
        <f t="shared" si="5"/>
        <v>21-03-01</v>
      </c>
      <c r="Q78" s="7" t="str">
        <f>IF(LEN(TRIM(D78))=0,"",GetConfigParameterValue("Collection Site"))</f>
        <v>Camp Lejeune, NC</v>
      </c>
      <c r="R78" t="str">
        <f>IF(LEN(TRIM(E78))=0, "", GetManifestComments(H78))</f>
        <v>CHARM2 Shipment: 2021-03-01 MT SINAI MANIFEST.xlsx</v>
      </c>
      <c r="S78" t="str">
        <f>IF(LEN(TRIM(E78))=0,"",IF(ISERROR(VLOOKUP(E78,'Manifest MDB data'!A:A,1,FALSE)),"OK","EXISTS!!!"))</f>
        <v>EXISTS!!!</v>
      </c>
    </row>
    <row r="79" spans="4:19" x14ac:dyDescent="0.25">
      <c r="D79" t="str">
        <f t="shared" si="6"/>
        <v>C2-1142-V01</v>
      </c>
      <c r="E79" t="str">
        <f t="shared" si="7"/>
        <v>C2-1142-V01-210301-PAX</v>
      </c>
      <c r="F79" t="str">
        <f t="shared" si="8"/>
        <v>Human</v>
      </c>
      <c r="G79" t="str">
        <f>IF(LEN(TRIM(E79))=0, "", GetSampleTissueBySpecimenPrep(H79))</f>
        <v>blood</v>
      </c>
      <c r="H79" t="str">
        <f>IF(LEN(TRIM(E79))=0, "", GetSpecimenPrepName())</f>
        <v>PaxGene</v>
      </c>
      <c r="I79" t="str">
        <f>IF(LEN(TRIM(E79))=0, "", GetSampleVolumeBySpecimenPrep(H79))</f>
        <v>10</v>
      </c>
      <c r="L79" t="str">
        <f>IF(LEN(TRIM(E79))=0,"",VLOOKUP("Manifest Id",config!A:B,2,FALSE))</f>
        <v>CHARM2-2021-02-19</v>
      </c>
      <c r="M79" t="str">
        <f>IF(LEN(TRIM(E79))=0, "",VLOOKUP("Project Name",config!A:B,2,FALSE))</f>
        <v>ECHO</v>
      </c>
      <c r="N79" t="str">
        <f>IF(LEN(TRIM(E79))=0, "",VLOOKUP("Center Name",config!A:B,2,FALSE))</f>
        <v>CHARM2</v>
      </c>
      <c r="O79" s="7">
        <f>IF(LEN(TRIM(E79))=0,"",VLOOKUP("Shipment Date",config!A:B,2,FALSE))</f>
        <v>44247</v>
      </c>
      <c r="P79" s="7" t="str">
        <f t="shared" si="5"/>
        <v>21-03-01</v>
      </c>
      <c r="Q79" s="7" t="str">
        <f>IF(LEN(TRIM(D79))=0,"",GetConfigParameterValue("Collection Site"))</f>
        <v>Camp Lejeune, NC</v>
      </c>
      <c r="R79" t="str">
        <f>IF(LEN(TRIM(E79))=0, "", GetManifestComments(H79))</f>
        <v>CHARM2 Shipment: 2021-03-01 MT SINAI MANIFEST.xlsx</v>
      </c>
      <c r="S79" t="str">
        <f>IF(LEN(TRIM(E79))=0,"",IF(ISERROR(VLOOKUP(E79,'Manifest MDB data'!A:A,1,FALSE)),"OK","EXISTS!!!"))</f>
        <v>EXISTS!!!</v>
      </c>
    </row>
    <row r="80" spans="4:19" x14ac:dyDescent="0.25">
      <c r="D80" t="str">
        <f t="shared" si="6"/>
        <v>C2-1653-V01</v>
      </c>
      <c r="E80" t="str">
        <f t="shared" si="7"/>
        <v>C2-1653-V01-210301-PAX</v>
      </c>
      <c r="F80" t="str">
        <f t="shared" si="8"/>
        <v>Human</v>
      </c>
      <c r="G80" t="str">
        <f>IF(LEN(TRIM(E80))=0, "", GetSampleTissueBySpecimenPrep(H80))</f>
        <v>blood</v>
      </c>
      <c r="H80" t="str">
        <f>IF(LEN(TRIM(E80))=0, "", GetSpecimenPrepName())</f>
        <v>PaxGene</v>
      </c>
      <c r="I80" t="str">
        <f>IF(LEN(TRIM(E80))=0, "", GetSampleVolumeBySpecimenPrep(H80))</f>
        <v>10</v>
      </c>
      <c r="L80" t="str">
        <f>IF(LEN(TRIM(E80))=0,"",VLOOKUP("Manifest Id",config!A:B,2,FALSE))</f>
        <v>CHARM2-2021-02-19</v>
      </c>
      <c r="M80" t="str">
        <f>IF(LEN(TRIM(E80))=0, "",VLOOKUP("Project Name",config!A:B,2,FALSE))</f>
        <v>ECHO</v>
      </c>
      <c r="N80" t="str">
        <f>IF(LEN(TRIM(E80))=0, "",VLOOKUP("Center Name",config!A:B,2,FALSE))</f>
        <v>CHARM2</v>
      </c>
      <c r="O80" s="7">
        <f>IF(LEN(TRIM(E80))=0,"",VLOOKUP("Shipment Date",config!A:B,2,FALSE))</f>
        <v>44247</v>
      </c>
      <c r="P80" s="7" t="str">
        <f t="shared" si="5"/>
        <v>21-03-01</v>
      </c>
      <c r="Q80" s="7" t="str">
        <f>IF(LEN(TRIM(D80))=0,"",GetConfigParameterValue("Collection Site"))</f>
        <v>Camp Lejeune, NC</v>
      </c>
      <c r="R80" t="str">
        <f>IF(LEN(TRIM(E80))=0, "", GetManifestComments(H80))</f>
        <v>CHARM2 Shipment: 2021-03-01 MT SINAI MANIFEST.xlsx</v>
      </c>
      <c r="S80" t="str">
        <f>IF(LEN(TRIM(E80))=0,"",IF(ISERROR(VLOOKUP(E80,'Manifest MDB data'!A:A,1,FALSE)),"OK","EXISTS!!!"))</f>
        <v>EXISTS!!!</v>
      </c>
    </row>
    <row r="81" spans="4:19" x14ac:dyDescent="0.25">
      <c r="D81" t="str">
        <f t="shared" si="6"/>
        <v>C2-1691-V01</v>
      </c>
      <c r="E81" t="str">
        <f t="shared" si="7"/>
        <v>C2-1691-V01-210301-PAX</v>
      </c>
      <c r="F81" t="str">
        <f t="shared" si="8"/>
        <v>Human</v>
      </c>
      <c r="G81" t="str">
        <f>IF(LEN(TRIM(E81))=0, "", GetSampleTissueBySpecimenPrep(H81))</f>
        <v>blood</v>
      </c>
      <c r="H81" t="str">
        <f>IF(LEN(TRIM(E81))=0, "", GetSpecimenPrepName())</f>
        <v>PaxGene</v>
      </c>
      <c r="I81" t="str">
        <f>IF(LEN(TRIM(E81))=0, "", GetSampleVolumeBySpecimenPrep(H81))</f>
        <v>10</v>
      </c>
      <c r="L81" t="str">
        <f>IF(LEN(TRIM(E81))=0,"",VLOOKUP("Manifest Id",config!A:B,2,FALSE))</f>
        <v>CHARM2-2021-02-19</v>
      </c>
      <c r="M81" t="str">
        <f>IF(LEN(TRIM(E81))=0, "",VLOOKUP("Project Name",config!A:B,2,FALSE))</f>
        <v>ECHO</v>
      </c>
      <c r="N81" t="str">
        <f>IF(LEN(TRIM(E81))=0, "",VLOOKUP("Center Name",config!A:B,2,FALSE))</f>
        <v>CHARM2</v>
      </c>
      <c r="O81" s="7">
        <f>IF(LEN(TRIM(E81))=0,"",VLOOKUP("Shipment Date",config!A:B,2,FALSE))</f>
        <v>44247</v>
      </c>
      <c r="P81" s="7" t="str">
        <f t="shared" si="5"/>
        <v>21-03-01</v>
      </c>
      <c r="Q81" s="7" t="str">
        <f>IF(LEN(TRIM(D81))=0,"",GetConfigParameterValue("Collection Site"))</f>
        <v>Camp Lejeune, NC</v>
      </c>
      <c r="R81" t="str">
        <f>IF(LEN(TRIM(E81))=0, "", GetManifestComments(H81))</f>
        <v>CHARM2 Shipment: 2021-03-01 MT SINAI MANIFEST.xlsx</v>
      </c>
      <c r="S81" t="str">
        <f>IF(LEN(TRIM(E81))=0,"",IF(ISERROR(VLOOKUP(E81,'Manifest MDB data'!A:A,1,FALSE)),"OK","EXISTS!!!"))</f>
        <v>EXISTS!!!</v>
      </c>
    </row>
    <row r="82" spans="4:19" x14ac:dyDescent="0.25">
      <c r="D82" t="str">
        <f t="shared" si="6"/>
        <v>C2-1746-V01</v>
      </c>
      <c r="E82" t="str">
        <f t="shared" si="7"/>
        <v>C2-1746-V01-210301-PAX</v>
      </c>
      <c r="F82" t="str">
        <f t="shared" si="8"/>
        <v>Human</v>
      </c>
      <c r="G82" t="str">
        <f>IF(LEN(TRIM(E82))=0, "", GetSampleTissueBySpecimenPrep(H82))</f>
        <v>blood</v>
      </c>
      <c r="H82" t="str">
        <f>IF(LEN(TRIM(E82))=0, "", GetSpecimenPrepName())</f>
        <v>PaxGene</v>
      </c>
      <c r="I82" t="str">
        <f>IF(LEN(TRIM(E82))=0, "", GetSampleVolumeBySpecimenPrep(H82))</f>
        <v>10</v>
      </c>
      <c r="L82" t="str">
        <f>IF(LEN(TRIM(E82))=0,"",VLOOKUP("Manifest Id",config!A:B,2,FALSE))</f>
        <v>CHARM2-2021-02-19</v>
      </c>
      <c r="M82" t="str">
        <f>IF(LEN(TRIM(E82))=0, "",VLOOKUP("Project Name",config!A:B,2,FALSE))</f>
        <v>ECHO</v>
      </c>
      <c r="N82" t="str">
        <f>IF(LEN(TRIM(E82))=0, "",VLOOKUP("Center Name",config!A:B,2,FALSE))</f>
        <v>CHARM2</v>
      </c>
      <c r="O82" s="7">
        <f>IF(LEN(TRIM(E82))=0,"",VLOOKUP("Shipment Date",config!A:B,2,FALSE))</f>
        <v>44247</v>
      </c>
      <c r="P82" s="7" t="str">
        <f t="shared" si="5"/>
        <v>21-03-01</v>
      </c>
      <c r="Q82" s="7" t="str">
        <f>IF(LEN(TRIM(D82))=0,"",GetConfigParameterValue("Collection Site"))</f>
        <v>Camp Lejeune, NC</v>
      </c>
      <c r="R82" t="str">
        <f>IF(LEN(TRIM(E82))=0, "", GetManifestComments(H82))</f>
        <v>CHARM2 Shipment: 2021-03-01 MT SINAI MANIFEST.xlsx</v>
      </c>
      <c r="S82" t="str">
        <f>IF(LEN(TRIM(E82))=0,"",IF(ISERROR(VLOOKUP(E82,'Manifest MDB data'!A:A,1,FALSE)),"OK","EXISTS!!!"))</f>
        <v>EXISTS!!!</v>
      </c>
    </row>
    <row r="83" spans="4:19" x14ac:dyDescent="0.25">
      <c r="D83" t="str">
        <f t="shared" si="6"/>
        <v>C2-1790-V01</v>
      </c>
      <c r="E83" t="str">
        <f t="shared" si="7"/>
        <v>C2-1790-V01-210301-PAX</v>
      </c>
      <c r="F83" t="str">
        <f t="shared" si="8"/>
        <v>Human</v>
      </c>
      <c r="G83" t="str">
        <f>IF(LEN(TRIM(E83))=0, "", GetSampleTissueBySpecimenPrep(H83))</f>
        <v>blood</v>
      </c>
      <c r="H83" t="str">
        <f>IF(LEN(TRIM(E83))=0, "", GetSpecimenPrepName())</f>
        <v>PaxGene</v>
      </c>
      <c r="I83" t="str">
        <f>IF(LEN(TRIM(E83))=0, "", GetSampleVolumeBySpecimenPrep(H83))</f>
        <v>10</v>
      </c>
      <c r="L83" t="str">
        <f>IF(LEN(TRIM(E83))=0,"",VLOOKUP("Manifest Id",config!A:B,2,FALSE))</f>
        <v>CHARM2-2021-02-19</v>
      </c>
      <c r="M83" t="str">
        <f>IF(LEN(TRIM(E83))=0, "",VLOOKUP("Project Name",config!A:B,2,FALSE))</f>
        <v>ECHO</v>
      </c>
      <c r="N83" t="str">
        <f>IF(LEN(TRIM(E83))=0, "",VLOOKUP("Center Name",config!A:B,2,FALSE))</f>
        <v>CHARM2</v>
      </c>
      <c r="O83" s="7">
        <f>IF(LEN(TRIM(E83))=0,"",VLOOKUP("Shipment Date",config!A:B,2,FALSE))</f>
        <v>44247</v>
      </c>
      <c r="P83" s="7" t="str">
        <f t="shared" si="5"/>
        <v>21-03-01</v>
      </c>
      <c r="Q83" s="7" t="str">
        <f>IF(LEN(TRIM(D83))=0,"",GetConfigParameterValue("Collection Site"))</f>
        <v>Camp Lejeune, NC</v>
      </c>
      <c r="R83" t="str">
        <f>IF(LEN(TRIM(E83))=0, "", GetManifestComments(H83))</f>
        <v>CHARM2 Shipment: 2021-03-01 MT SINAI MANIFEST.xlsx</v>
      </c>
      <c r="S83" t="str">
        <f>IF(LEN(TRIM(E83))=0,"",IF(ISERROR(VLOOKUP(E83,'Manifest MDB data'!A:A,1,FALSE)),"OK","EXISTS!!!"))</f>
        <v>EXISTS!!!</v>
      </c>
    </row>
    <row r="84" spans="4:19" x14ac:dyDescent="0.25">
      <c r="D84" t="str">
        <f t="shared" si="6"/>
        <v>C2-1862-V01</v>
      </c>
      <c r="E84" t="str">
        <f t="shared" si="7"/>
        <v>C2-1862-V01-210301-PAX</v>
      </c>
      <c r="F84" t="str">
        <f t="shared" si="8"/>
        <v>Human</v>
      </c>
      <c r="G84" t="str">
        <f>IF(LEN(TRIM(E84))=0, "", GetSampleTissueBySpecimenPrep(H84))</f>
        <v>blood</v>
      </c>
      <c r="H84" t="str">
        <f>IF(LEN(TRIM(E84))=0, "", GetSpecimenPrepName())</f>
        <v>PaxGene</v>
      </c>
      <c r="I84" t="str">
        <f>IF(LEN(TRIM(E84))=0, "", GetSampleVolumeBySpecimenPrep(H84))</f>
        <v>10</v>
      </c>
      <c r="L84" t="str">
        <f>IF(LEN(TRIM(E84))=0,"",VLOOKUP("Manifest Id",config!A:B,2,FALSE))</f>
        <v>CHARM2-2021-02-19</v>
      </c>
      <c r="M84" t="str">
        <f>IF(LEN(TRIM(E84))=0, "",VLOOKUP("Project Name",config!A:B,2,FALSE))</f>
        <v>ECHO</v>
      </c>
      <c r="N84" t="str">
        <f>IF(LEN(TRIM(E84))=0, "",VLOOKUP("Center Name",config!A:B,2,FALSE))</f>
        <v>CHARM2</v>
      </c>
      <c r="O84" s="7">
        <f>IF(LEN(TRIM(E84))=0,"",VLOOKUP("Shipment Date",config!A:B,2,FALSE))</f>
        <v>44247</v>
      </c>
      <c r="P84" s="7" t="str">
        <f t="shared" si="5"/>
        <v>21-03-01</v>
      </c>
      <c r="Q84" s="7" t="str">
        <f>IF(LEN(TRIM(D84))=0,"",GetConfigParameterValue("Collection Site"))</f>
        <v>Camp Lejeune, NC</v>
      </c>
      <c r="R84" t="str">
        <f>IF(LEN(TRIM(E84))=0, "", GetManifestComments(H84))</f>
        <v>CHARM2 Shipment: 2021-03-01 MT SINAI MANIFEST.xlsx</v>
      </c>
      <c r="S84" t="str">
        <f>IF(LEN(TRIM(E84))=0,"",IF(ISERROR(VLOOKUP(E84,'Manifest MDB data'!A:A,1,FALSE)),"OK","EXISTS!!!"))</f>
        <v>EXISTS!!!</v>
      </c>
    </row>
    <row r="85" spans="4:19" x14ac:dyDescent="0.25">
      <c r="D85" t="str">
        <f t="shared" si="6"/>
        <v>C2-1883-V01</v>
      </c>
      <c r="E85" t="str">
        <f t="shared" si="7"/>
        <v>C2-1883-V01-210301-PAX</v>
      </c>
      <c r="F85" t="str">
        <f t="shared" si="8"/>
        <v>Human</v>
      </c>
      <c r="G85" t="str">
        <f>IF(LEN(TRIM(E85))=0, "", GetSampleTissueBySpecimenPrep(H85))</f>
        <v>blood</v>
      </c>
      <c r="H85" t="str">
        <f>IF(LEN(TRIM(E85))=0, "", GetSpecimenPrepName())</f>
        <v>PaxGene</v>
      </c>
      <c r="I85" t="str">
        <f>IF(LEN(TRIM(E85))=0, "", GetSampleVolumeBySpecimenPrep(H85))</f>
        <v>10</v>
      </c>
      <c r="L85" t="str">
        <f>IF(LEN(TRIM(E85))=0,"",VLOOKUP("Manifest Id",config!A:B,2,FALSE))</f>
        <v>CHARM2-2021-02-19</v>
      </c>
      <c r="M85" t="str">
        <f>IF(LEN(TRIM(E85))=0, "",VLOOKUP("Project Name",config!A:B,2,FALSE))</f>
        <v>ECHO</v>
      </c>
      <c r="N85" t="str">
        <f>IF(LEN(TRIM(E85))=0, "",VLOOKUP("Center Name",config!A:B,2,FALSE))</f>
        <v>CHARM2</v>
      </c>
      <c r="O85" s="7">
        <f>IF(LEN(TRIM(E85))=0,"",VLOOKUP("Shipment Date",config!A:B,2,FALSE))</f>
        <v>44247</v>
      </c>
      <c r="P85" s="7" t="str">
        <f t="shared" si="5"/>
        <v>21-03-01</v>
      </c>
      <c r="Q85" s="7" t="str">
        <f>IF(LEN(TRIM(D85))=0,"",GetConfigParameterValue("Collection Site"))</f>
        <v>Camp Lejeune, NC</v>
      </c>
      <c r="R85" t="str">
        <f>IF(LEN(TRIM(E85))=0, "", GetManifestComments(H85))</f>
        <v>CHARM2 Shipment: 2021-03-01 MT SINAI MANIFEST.xlsx</v>
      </c>
      <c r="S85" t="str">
        <f>IF(LEN(TRIM(E85))=0,"",IF(ISERROR(VLOOKUP(E85,'Manifest MDB data'!A:A,1,FALSE)),"OK","EXISTS!!!"))</f>
        <v>EXISTS!!!</v>
      </c>
    </row>
    <row r="86" spans="4:19" x14ac:dyDescent="0.25">
      <c r="D86" t="str">
        <f t="shared" si="6"/>
        <v>C2-2236-V01</v>
      </c>
      <c r="E86" t="str">
        <f t="shared" si="7"/>
        <v>C2-2236-V01-210301-PAX</v>
      </c>
      <c r="F86" t="str">
        <f t="shared" si="8"/>
        <v>Human</v>
      </c>
      <c r="G86" t="str">
        <f>IF(LEN(TRIM(E86))=0, "", GetSampleTissueBySpecimenPrep(H86))</f>
        <v>blood</v>
      </c>
      <c r="H86" t="str">
        <f>IF(LEN(TRIM(E86))=0, "", GetSpecimenPrepName())</f>
        <v>PaxGene</v>
      </c>
      <c r="I86" t="str">
        <f>IF(LEN(TRIM(E86))=0, "", GetSampleVolumeBySpecimenPrep(H86))</f>
        <v>10</v>
      </c>
      <c r="L86" t="str">
        <f>IF(LEN(TRIM(E86))=0,"",VLOOKUP("Manifest Id",config!A:B,2,FALSE))</f>
        <v>CHARM2-2021-02-19</v>
      </c>
      <c r="M86" t="str">
        <f>IF(LEN(TRIM(E86))=0, "",VLOOKUP("Project Name",config!A:B,2,FALSE))</f>
        <v>ECHO</v>
      </c>
      <c r="N86" t="str">
        <f>IF(LEN(TRIM(E86))=0, "",VLOOKUP("Center Name",config!A:B,2,FALSE))</f>
        <v>CHARM2</v>
      </c>
      <c r="O86" s="7">
        <f>IF(LEN(TRIM(E86))=0,"",VLOOKUP("Shipment Date",config!A:B,2,FALSE))</f>
        <v>44247</v>
      </c>
      <c r="P86" s="7" t="str">
        <f t="shared" si="5"/>
        <v>21-03-01</v>
      </c>
      <c r="Q86" s="7" t="str">
        <f>IF(LEN(TRIM(D86))=0,"",GetConfigParameterValue("Collection Site"))</f>
        <v>Camp Lejeune, NC</v>
      </c>
      <c r="R86" t="str">
        <f>IF(LEN(TRIM(E86))=0, "", GetManifestComments(H86))</f>
        <v>CHARM2 Shipment: 2021-03-01 MT SINAI MANIFEST.xlsx</v>
      </c>
      <c r="S86" t="str">
        <f>IF(LEN(TRIM(E86))=0,"",IF(ISERROR(VLOOKUP(E86,'Manifest MDB data'!A:A,1,FALSE)),"OK","EXISTS!!!"))</f>
        <v>EXISTS!!!</v>
      </c>
    </row>
    <row r="87" spans="4:19" x14ac:dyDescent="0.25">
      <c r="D87" t="str">
        <f t="shared" si="6"/>
        <v>C2-2627-V01</v>
      </c>
      <c r="E87" t="str">
        <f t="shared" si="7"/>
        <v>C2-2627-V01-210301-PAX</v>
      </c>
      <c r="F87" t="str">
        <f t="shared" si="8"/>
        <v>Human</v>
      </c>
      <c r="G87" t="str">
        <f>IF(LEN(TRIM(E87))=0, "", GetSampleTissueBySpecimenPrep(H87))</f>
        <v>blood</v>
      </c>
      <c r="H87" t="str">
        <f>IF(LEN(TRIM(E87))=0, "", GetSpecimenPrepName())</f>
        <v>PaxGene</v>
      </c>
      <c r="I87" t="str">
        <f>IF(LEN(TRIM(E87))=0, "", GetSampleVolumeBySpecimenPrep(H87))</f>
        <v>10</v>
      </c>
      <c r="L87" t="str">
        <f>IF(LEN(TRIM(E87))=0,"",VLOOKUP("Manifest Id",config!A:B,2,FALSE))</f>
        <v>CHARM2-2021-02-19</v>
      </c>
      <c r="M87" t="str">
        <f>IF(LEN(TRIM(E87))=0, "",VLOOKUP("Project Name",config!A:B,2,FALSE))</f>
        <v>ECHO</v>
      </c>
      <c r="N87" t="str">
        <f>IF(LEN(TRIM(E87))=0, "",VLOOKUP("Center Name",config!A:B,2,FALSE))</f>
        <v>CHARM2</v>
      </c>
      <c r="O87" s="7">
        <f>IF(LEN(TRIM(E87))=0,"",VLOOKUP("Shipment Date",config!A:B,2,FALSE))</f>
        <v>44247</v>
      </c>
      <c r="P87" s="7" t="str">
        <f t="shared" si="5"/>
        <v>21-03-01</v>
      </c>
      <c r="Q87" s="7" t="str">
        <f>IF(LEN(TRIM(D87))=0,"",GetConfigParameterValue("Collection Site"))</f>
        <v>Camp Lejeune, NC</v>
      </c>
      <c r="R87" t="str">
        <f>IF(LEN(TRIM(E87))=0, "", GetManifestComments(H87))</f>
        <v>CHARM2 Shipment: 2021-03-01 MT SINAI MANIFEST.xlsx</v>
      </c>
      <c r="S87" t="str">
        <f>IF(LEN(TRIM(E87))=0,"",IF(ISERROR(VLOOKUP(E87,'Manifest MDB data'!A:A,1,FALSE)),"OK","EXISTS!!!"))</f>
        <v>EXISTS!!!</v>
      </c>
    </row>
    <row r="88" spans="4:19" x14ac:dyDescent="0.25">
      <c r="D88" t="str">
        <f t="shared" si="6"/>
        <v>C2-2925-V01</v>
      </c>
      <c r="E88" t="str">
        <f t="shared" si="7"/>
        <v>C2-2925-V01-210301-PAX</v>
      </c>
      <c r="F88" t="str">
        <f t="shared" si="8"/>
        <v>Human</v>
      </c>
      <c r="G88" t="str">
        <f>IF(LEN(TRIM(E88))=0, "", GetSampleTissueBySpecimenPrep(H88))</f>
        <v>blood</v>
      </c>
      <c r="H88" t="str">
        <f>IF(LEN(TRIM(E88))=0, "", GetSpecimenPrepName())</f>
        <v>PaxGene</v>
      </c>
      <c r="I88" t="str">
        <f>IF(LEN(TRIM(E88))=0, "", GetSampleVolumeBySpecimenPrep(H88))</f>
        <v>10</v>
      </c>
      <c r="L88" t="str">
        <f>IF(LEN(TRIM(E88))=0,"",VLOOKUP("Manifest Id",config!A:B,2,FALSE))</f>
        <v>CHARM2-2021-02-19</v>
      </c>
      <c r="M88" t="str">
        <f>IF(LEN(TRIM(E88))=0, "",VLOOKUP("Project Name",config!A:B,2,FALSE))</f>
        <v>ECHO</v>
      </c>
      <c r="N88" t="str">
        <f>IF(LEN(TRIM(E88))=0, "",VLOOKUP("Center Name",config!A:B,2,FALSE))</f>
        <v>CHARM2</v>
      </c>
      <c r="O88" s="7">
        <f>IF(LEN(TRIM(E88))=0,"",VLOOKUP("Shipment Date",config!A:B,2,FALSE))</f>
        <v>44247</v>
      </c>
      <c r="P88" s="7" t="str">
        <f t="shared" si="5"/>
        <v>21-03-01</v>
      </c>
      <c r="Q88" s="7" t="str">
        <f>IF(LEN(TRIM(D88))=0,"",GetConfigParameterValue("Collection Site"))</f>
        <v>Camp Lejeune, NC</v>
      </c>
      <c r="R88" t="str">
        <f>IF(LEN(TRIM(E88))=0, "", GetManifestComments(H88))</f>
        <v>CHARM2 Shipment: 2021-03-01 MT SINAI MANIFEST.xlsx</v>
      </c>
      <c r="S88" t="str">
        <f>IF(LEN(TRIM(E88))=0,"",IF(ISERROR(VLOOKUP(E88,'Manifest MDB data'!A:A,1,FALSE)),"OK","EXISTS!!!"))</f>
        <v>EXISTS!!!</v>
      </c>
    </row>
    <row r="89" spans="4:19" x14ac:dyDescent="0.25">
      <c r="D89" t="str">
        <f t="shared" si="6"/>
        <v>C2-2959-V01</v>
      </c>
      <c r="E89" t="str">
        <f t="shared" si="7"/>
        <v>C2-2959-V01-210301-PAX</v>
      </c>
      <c r="F89" t="str">
        <f t="shared" si="8"/>
        <v>Human</v>
      </c>
      <c r="G89" t="str">
        <f>IF(LEN(TRIM(E89))=0, "", GetSampleTissueBySpecimenPrep(H89))</f>
        <v>blood</v>
      </c>
      <c r="H89" t="str">
        <f>IF(LEN(TRIM(E89))=0, "", GetSpecimenPrepName())</f>
        <v>PaxGene</v>
      </c>
      <c r="I89" t="str">
        <f>IF(LEN(TRIM(E89))=0, "", GetSampleVolumeBySpecimenPrep(H89))</f>
        <v>10</v>
      </c>
      <c r="L89" t="str">
        <f>IF(LEN(TRIM(E89))=0,"",VLOOKUP("Manifest Id",config!A:B,2,FALSE))</f>
        <v>CHARM2-2021-02-19</v>
      </c>
      <c r="M89" t="str">
        <f>IF(LEN(TRIM(E89))=0, "",VLOOKUP("Project Name",config!A:B,2,FALSE))</f>
        <v>ECHO</v>
      </c>
      <c r="N89" t="str">
        <f>IF(LEN(TRIM(E89))=0, "",VLOOKUP("Center Name",config!A:B,2,FALSE))</f>
        <v>CHARM2</v>
      </c>
      <c r="O89" s="7">
        <f>IF(LEN(TRIM(E89))=0,"",VLOOKUP("Shipment Date",config!A:B,2,FALSE))</f>
        <v>44247</v>
      </c>
      <c r="P89" s="7" t="str">
        <f t="shared" si="5"/>
        <v>21-03-01</v>
      </c>
      <c r="Q89" s="7" t="str">
        <f>IF(LEN(TRIM(D89))=0,"",GetConfigParameterValue("Collection Site"))</f>
        <v>Camp Lejeune, NC</v>
      </c>
      <c r="R89" t="str">
        <f>IF(LEN(TRIM(E89))=0, "", GetManifestComments(H89))</f>
        <v>CHARM2 Shipment: 2021-03-01 MT SINAI MANIFEST.xlsx</v>
      </c>
      <c r="S89" t="str">
        <f>IF(LEN(TRIM(E89))=0,"",IF(ISERROR(VLOOKUP(E89,'Manifest MDB data'!A:A,1,FALSE)),"OK","EXISTS!!!"))</f>
        <v>EXISTS!!!</v>
      </c>
    </row>
    <row r="90" spans="4:19" x14ac:dyDescent="0.25">
      <c r="D90" t="str">
        <f t="shared" si="6"/>
        <v>C2-3031-V01</v>
      </c>
      <c r="E90" t="str">
        <f t="shared" si="7"/>
        <v>C2-3031-V01-210301-PAX</v>
      </c>
      <c r="F90" t="str">
        <f t="shared" si="8"/>
        <v>Human</v>
      </c>
      <c r="G90" t="str">
        <f>IF(LEN(TRIM(E90))=0, "", GetSampleTissueBySpecimenPrep(H90))</f>
        <v>blood</v>
      </c>
      <c r="H90" t="str">
        <f>IF(LEN(TRIM(E90))=0, "", GetSpecimenPrepName())</f>
        <v>PaxGene</v>
      </c>
      <c r="I90" t="str">
        <f>IF(LEN(TRIM(E90))=0, "", GetSampleVolumeBySpecimenPrep(H90))</f>
        <v>10</v>
      </c>
      <c r="L90" t="str">
        <f>IF(LEN(TRIM(E90))=0,"",VLOOKUP("Manifest Id",config!A:B,2,FALSE))</f>
        <v>CHARM2-2021-02-19</v>
      </c>
      <c r="M90" t="str">
        <f>IF(LEN(TRIM(E90))=0, "",VLOOKUP("Project Name",config!A:B,2,FALSE))</f>
        <v>ECHO</v>
      </c>
      <c r="N90" t="str">
        <f>IF(LEN(TRIM(E90))=0, "",VLOOKUP("Center Name",config!A:B,2,FALSE))</f>
        <v>CHARM2</v>
      </c>
      <c r="O90" s="7">
        <f>IF(LEN(TRIM(E90))=0,"",VLOOKUP("Shipment Date",config!A:B,2,FALSE))</f>
        <v>44247</v>
      </c>
      <c r="P90" s="7" t="str">
        <f t="shared" si="5"/>
        <v>21-03-01</v>
      </c>
      <c r="Q90" s="7" t="str">
        <f>IF(LEN(TRIM(D90))=0,"",GetConfigParameterValue("Collection Site"))</f>
        <v>Camp Lejeune, NC</v>
      </c>
      <c r="R90" t="str">
        <f>IF(LEN(TRIM(E90))=0, "", GetManifestComments(H90))</f>
        <v>CHARM2 Shipment: 2021-03-01 MT SINAI MANIFEST.xlsx</v>
      </c>
      <c r="S90" t="str">
        <f>IF(LEN(TRIM(E90))=0,"",IF(ISERROR(VLOOKUP(E90,'Manifest MDB data'!A:A,1,FALSE)),"OK","EXISTS!!!"))</f>
        <v>EXISTS!!!</v>
      </c>
    </row>
    <row r="91" spans="4:19" x14ac:dyDescent="0.25">
      <c r="D91" t="str">
        <f t="shared" si="6"/>
        <v>C2-3089-V01</v>
      </c>
      <c r="E91" t="str">
        <f t="shared" si="7"/>
        <v>C2-3089-V01-210301-PAX</v>
      </c>
      <c r="F91" t="str">
        <f t="shared" si="8"/>
        <v>Human</v>
      </c>
      <c r="G91" t="str">
        <f>IF(LEN(TRIM(E91))=0, "", GetSampleTissueBySpecimenPrep(H91))</f>
        <v>blood</v>
      </c>
      <c r="H91" t="str">
        <f>IF(LEN(TRIM(E91))=0, "", GetSpecimenPrepName())</f>
        <v>PaxGene</v>
      </c>
      <c r="I91" t="str">
        <f>IF(LEN(TRIM(E91))=0, "", GetSampleVolumeBySpecimenPrep(H91))</f>
        <v>10</v>
      </c>
      <c r="L91" t="str">
        <f>IF(LEN(TRIM(E91))=0,"",VLOOKUP("Manifest Id",config!A:B,2,FALSE))</f>
        <v>CHARM2-2021-02-19</v>
      </c>
      <c r="M91" t="str">
        <f>IF(LEN(TRIM(E91))=0, "",VLOOKUP("Project Name",config!A:B,2,FALSE))</f>
        <v>ECHO</v>
      </c>
      <c r="N91" t="str">
        <f>IF(LEN(TRIM(E91))=0, "",VLOOKUP("Center Name",config!A:B,2,FALSE))</f>
        <v>CHARM2</v>
      </c>
      <c r="O91" s="7">
        <f>IF(LEN(TRIM(E91))=0,"",VLOOKUP("Shipment Date",config!A:B,2,FALSE))</f>
        <v>44247</v>
      </c>
      <c r="P91" s="7" t="str">
        <f t="shared" si="5"/>
        <v>21-03-01</v>
      </c>
      <c r="Q91" s="7" t="str">
        <f>IF(LEN(TRIM(D91))=0,"",GetConfigParameterValue("Collection Site"))</f>
        <v>Camp Lejeune, NC</v>
      </c>
      <c r="R91" t="str">
        <f>IF(LEN(TRIM(E91))=0, "", GetManifestComments(H91))</f>
        <v>CHARM2 Shipment: 2021-03-01 MT SINAI MANIFEST.xlsx</v>
      </c>
      <c r="S91" t="str">
        <f>IF(LEN(TRIM(E91))=0,"",IF(ISERROR(VLOOKUP(E91,'Manifest MDB data'!A:A,1,FALSE)),"OK","EXISTS!!!"))</f>
        <v>EXISTS!!!</v>
      </c>
    </row>
    <row r="92" spans="4:19" x14ac:dyDescent="0.25">
      <c r="D92" t="str">
        <f t="shared" si="6"/>
        <v>C2-3196-V01</v>
      </c>
      <c r="E92" t="str">
        <f t="shared" si="7"/>
        <v>C2-3196-V01-210301-PAX</v>
      </c>
      <c r="F92" t="str">
        <f t="shared" si="8"/>
        <v>Human</v>
      </c>
      <c r="G92" t="str">
        <f>IF(LEN(TRIM(E92))=0, "", GetSampleTissueBySpecimenPrep(H92))</f>
        <v>blood</v>
      </c>
      <c r="H92" t="str">
        <f>IF(LEN(TRIM(E92))=0, "", GetSpecimenPrepName())</f>
        <v>PaxGene</v>
      </c>
      <c r="I92" t="str">
        <f>IF(LEN(TRIM(E92))=0, "", GetSampleVolumeBySpecimenPrep(H92))</f>
        <v>10</v>
      </c>
      <c r="L92" t="str">
        <f>IF(LEN(TRIM(E92))=0,"",VLOOKUP("Manifest Id",config!A:B,2,FALSE))</f>
        <v>CHARM2-2021-02-19</v>
      </c>
      <c r="M92" t="str">
        <f>IF(LEN(TRIM(E92))=0, "",VLOOKUP("Project Name",config!A:B,2,FALSE))</f>
        <v>ECHO</v>
      </c>
      <c r="N92" t="str">
        <f>IF(LEN(TRIM(E92))=0, "",VLOOKUP("Center Name",config!A:B,2,FALSE))</f>
        <v>CHARM2</v>
      </c>
      <c r="O92" s="7">
        <f>IF(LEN(TRIM(E92))=0,"",VLOOKUP("Shipment Date",config!A:B,2,FALSE))</f>
        <v>44247</v>
      </c>
      <c r="P92" s="7" t="str">
        <f t="shared" si="5"/>
        <v>21-03-01</v>
      </c>
      <c r="Q92" s="7" t="str">
        <f>IF(LEN(TRIM(D92))=0,"",GetConfigParameterValue("Collection Site"))</f>
        <v>Camp Lejeune, NC</v>
      </c>
      <c r="R92" t="str">
        <f>IF(LEN(TRIM(E92))=0, "", GetManifestComments(H92))</f>
        <v>CHARM2 Shipment: 2021-03-01 MT SINAI MANIFEST.xlsx</v>
      </c>
      <c r="S92" t="str">
        <f>IF(LEN(TRIM(E92))=0,"",IF(ISERROR(VLOOKUP(E92,'Manifest MDB data'!A:A,1,FALSE)),"OK","EXISTS!!!"))</f>
        <v>EXISTS!!!</v>
      </c>
    </row>
    <row r="93" spans="4:19" x14ac:dyDescent="0.25">
      <c r="D93" t="str">
        <f t="shared" si="6"/>
        <v>C2-3223-V01</v>
      </c>
      <c r="E93" t="str">
        <f t="shared" si="7"/>
        <v>C2-3223-V01-210301-PAX</v>
      </c>
      <c r="F93" t="str">
        <f t="shared" si="8"/>
        <v>Human</v>
      </c>
      <c r="G93" t="str">
        <f>IF(LEN(TRIM(E93))=0, "", GetSampleTissueBySpecimenPrep(H93))</f>
        <v>blood</v>
      </c>
      <c r="H93" t="str">
        <f>IF(LEN(TRIM(E93))=0, "", GetSpecimenPrepName())</f>
        <v>PaxGene</v>
      </c>
      <c r="I93" t="str">
        <f>IF(LEN(TRIM(E93))=0, "", GetSampleVolumeBySpecimenPrep(H93))</f>
        <v>10</v>
      </c>
      <c r="L93" t="str">
        <f>IF(LEN(TRIM(E93))=0,"",VLOOKUP("Manifest Id",config!A:B,2,FALSE))</f>
        <v>CHARM2-2021-02-19</v>
      </c>
      <c r="M93" t="str">
        <f>IF(LEN(TRIM(E93))=0, "",VLOOKUP("Project Name",config!A:B,2,FALSE))</f>
        <v>ECHO</v>
      </c>
      <c r="N93" t="str">
        <f>IF(LEN(TRIM(E93))=0, "",VLOOKUP("Center Name",config!A:B,2,FALSE))</f>
        <v>CHARM2</v>
      </c>
      <c r="O93" s="7">
        <f>IF(LEN(TRIM(E93))=0,"",VLOOKUP("Shipment Date",config!A:B,2,FALSE))</f>
        <v>44247</v>
      </c>
      <c r="P93" s="7" t="str">
        <f t="shared" si="5"/>
        <v>21-03-01</v>
      </c>
      <c r="Q93" s="7" t="str">
        <f>IF(LEN(TRIM(D93))=0,"",GetConfigParameterValue("Collection Site"))</f>
        <v>Camp Lejeune, NC</v>
      </c>
      <c r="R93" t="str">
        <f>IF(LEN(TRIM(E93))=0, "", GetManifestComments(H93))</f>
        <v>CHARM2 Shipment: 2021-03-01 MT SINAI MANIFEST.xlsx</v>
      </c>
      <c r="S93" t="str">
        <f>IF(LEN(TRIM(E93))=0,"",IF(ISERROR(VLOOKUP(E93,'Manifest MDB data'!A:A,1,FALSE)),"OK","EXISTS!!!"))</f>
        <v>EXISTS!!!</v>
      </c>
    </row>
    <row r="94" spans="4:19" x14ac:dyDescent="0.25">
      <c r="D94" t="str">
        <f t="shared" si="6"/>
        <v>C2-3316-V01</v>
      </c>
      <c r="E94" t="str">
        <f t="shared" si="7"/>
        <v>C2-3316-V01-210301-PAX</v>
      </c>
      <c r="F94" t="str">
        <f t="shared" si="8"/>
        <v>Human</v>
      </c>
      <c r="G94" t="str">
        <f>IF(LEN(TRIM(E94))=0, "", GetSampleTissueBySpecimenPrep(H94))</f>
        <v>blood</v>
      </c>
      <c r="H94" t="str">
        <f>IF(LEN(TRIM(E94))=0, "", GetSpecimenPrepName())</f>
        <v>PaxGene</v>
      </c>
      <c r="I94" t="str">
        <f>IF(LEN(TRIM(E94))=0, "", GetSampleVolumeBySpecimenPrep(H94))</f>
        <v>10</v>
      </c>
      <c r="L94" t="str">
        <f>IF(LEN(TRIM(E94))=0,"",VLOOKUP("Manifest Id",config!A:B,2,FALSE))</f>
        <v>CHARM2-2021-02-19</v>
      </c>
      <c r="M94" t="str">
        <f>IF(LEN(TRIM(E94))=0, "",VLOOKUP("Project Name",config!A:B,2,FALSE))</f>
        <v>ECHO</v>
      </c>
      <c r="N94" t="str">
        <f>IF(LEN(TRIM(E94))=0, "",VLOOKUP("Center Name",config!A:B,2,FALSE))</f>
        <v>CHARM2</v>
      </c>
      <c r="O94" s="7">
        <f>IF(LEN(TRIM(E94))=0,"",VLOOKUP("Shipment Date",config!A:B,2,FALSE))</f>
        <v>44247</v>
      </c>
      <c r="P94" s="7" t="str">
        <f t="shared" si="5"/>
        <v>21-03-01</v>
      </c>
      <c r="Q94" s="7" t="str">
        <f>IF(LEN(TRIM(D94))=0,"",GetConfigParameterValue("Collection Site"))</f>
        <v>Camp Lejeune, NC</v>
      </c>
      <c r="R94" t="str">
        <f>IF(LEN(TRIM(E94))=0, "", GetManifestComments(H94))</f>
        <v>CHARM2 Shipment: 2021-03-01 MT SINAI MANIFEST.xlsx</v>
      </c>
      <c r="S94" t="str">
        <f>IF(LEN(TRIM(E94))=0,"",IF(ISERROR(VLOOKUP(E94,'Manifest MDB data'!A:A,1,FALSE)),"OK","EXISTS!!!"))</f>
        <v>EXISTS!!!</v>
      </c>
    </row>
    <row r="95" spans="4:19" x14ac:dyDescent="0.25">
      <c r="D95" t="str">
        <f t="shared" si="6"/>
        <v>C2-3321-V01</v>
      </c>
      <c r="E95" t="str">
        <f t="shared" si="7"/>
        <v>C2-3321-V01-210301-PAX</v>
      </c>
      <c r="F95" t="str">
        <f t="shared" si="8"/>
        <v>Human</v>
      </c>
      <c r="G95" t="str">
        <f>IF(LEN(TRIM(E95))=0, "", GetSampleTissueBySpecimenPrep(H95))</f>
        <v>blood</v>
      </c>
      <c r="H95" t="str">
        <f>IF(LEN(TRIM(E95))=0, "", GetSpecimenPrepName())</f>
        <v>PaxGene</v>
      </c>
      <c r="I95" t="str">
        <f>IF(LEN(TRIM(E95))=0, "", GetSampleVolumeBySpecimenPrep(H95))</f>
        <v>10</v>
      </c>
      <c r="L95" t="str">
        <f>IF(LEN(TRIM(E95))=0,"",VLOOKUP("Manifest Id",config!A:B,2,FALSE))</f>
        <v>CHARM2-2021-02-19</v>
      </c>
      <c r="M95" t="str">
        <f>IF(LEN(TRIM(E95))=0, "",VLOOKUP("Project Name",config!A:B,2,FALSE))</f>
        <v>ECHO</v>
      </c>
      <c r="N95" t="str">
        <f>IF(LEN(TRIM(E95))=0, "",VLOOKUP("Center Name",config!A:B,2,FALSE))</f>
        <v>CHARM2</v>
      </c>
      <c r="O95" s="7">
        <f>IF(LEN(TRIM(E95))=0,"",VLOOKUP("Shipment Date",config!A:B,2,FALSE))</f>
        <v>44247</v>
      </c>
      <c r="P95" s="7" t="str">
        <f t="shared" si="5"/>
        <v>21-03-01</v>
      </c>
      <c r="Q95" s="7" t="str">
        <f>IF(LEN(TRIM(D95))=0,"",GetConfigParameterValue("Collection Site"))</f>
        <v>Camp Lejeune, NC</v>
      </c>
      <c r="R95" t="str">
        <f>IF(LEN(TRIM(E95))=0, "", GetManifestComments(H95))</f>
        <v>CHARM2 Shipment: 2021-03-01 MT SINAI MANIFEST.xlsx</v>
      </c>
      <c r="S95" t="str">
        <f>IF(LEN(TRIM(E95))=0,"",IF(ISERROR(VLOOKUP(E95,'Manifest MDB data'!A:A,1,FALSE)),"OK","EXISTS!!!"))</f>
        <v>EXISTS!!!</v>
      </c>
    </row>
    <row r="96" spans="4:19" x14ac:dyDescent="0.25">
      <c r="D96" t="str">
        <f t="shared" si="6"/>
        <v>C2-3372-V01</v>
      </c>
      <c r="E96" t="str">
        <f t="shared" si="7"/>
        <v>C2-3372-V01-210301-PAX</v>
      </c>
      <c r="F96" t="str">
        <f t="shared" si="8"/>
        <v>Human</v>
      </c>
      <c r="G96" t="str">
        <f>IF(LEN(TRIM(E96))=0, "", GetSampleTissueBySpecimenPrep(H96))</f>
        <v>blood</v>
      </c>
      <c r="H96" t="str">
        <f>IF(LEN(TRIM(E96))=0, "", GetSpecimenPrepName())</f>
        <v>PaxGene</v>
      </c>
      <c r="I96" t="str">
        <f>IF(LEN(TRIM(E96))=0, "", GetSampleVolumeBySpecimenPrep(H96))</f>
        <v>10</v>
      </c>
      <c r="L96" t="str">
        <f>IF(LEN(TRIM(E96))=0,"",VLOOKUP("Manifest Id",config!A:B,2,FALSE))</f>
        <v>CHARM2-2021-02-19</v>
      </c>
      <c r="M96" t="str">
        <f>IF(LEN(TRIM(E96))=0, "",VLOOKUP("Project Name",config!A:B,2,FALSE))</f>
        <v>ECHO</v>
      </c>
      <c r="N96" t="str">
        <f>IF(LEN(TRIM(E96))=0, "",VLOOKUP("Center Name",config!A:B,2,FALSE))</f>
        <v>CHARM2</v>
      </c>
      <c r="O96" s="7">
        <f>IF(LEN(TRIM(E96))=0,"",VLOOKUP("Shipment Date",config!A:B,2,FALSE))</f>
        <v>44247</v>
      </c>
      <c r="P96" s="7" t="str">
        <f t="shared" si="5"/>
        <v>21-03-01</v>
      </c>
      <c r="Q96" s="7" t="str">
        <f>IF(LEN(TRIM(D96))=0,"",GetConfigParameterValue("Collection Site"))</f>
        <v>Camp Lejeune, NC</v>
      </c>
      <c r="R96" t="str">
        <f>IF(LEN(TRIM(E96))=0, "", GetManifestComments(H96))</f>
        <v>CHARM2 Shipment: 2021-03-01 MT SINAI MANIFEST.xlsx</v>
      </c>
      <c r="S96" t="str">
        <f>IF(LEN(TRIM(E96))=0,"",IF(ISERROR(VLOOKUP(E96,'Manifest MDB data'!A:A,1,FALSE)),"OK","EXISTS!!!"))</f>
        <v>EXISTS!!!</v>
      </c>
    </row>
    <row r="97" spans="4:19" x14ac:dyDescent="0.25">
      <c r="D97" t="str">
        <f t="shared" si="6"/>
        <v>C2-3406-V01</v>
      </c>
      <c r="E97" t="str">
        <f t="shared" si="7"/>
        <v>C2-3406-V01-210301-PAX</v>
      </c>
      <c r="F97" t="str">
        <f t="shared" si="8"/>
        <v>Human</v>
      </c>
      <c r="G97" t="str">
        <f>IF(LEN(TRIM(E97))=0, "", GetSampleTissueBySpecimenPrep(H97))</f>
        <v>blood</v>
      </c>
      <c r="H97" t="str">
        <f>IF(LEN(TRIM(E97))=0, "", GetSpecimenPrepName())</f>
        <v>PaxGene</v>
      </c>
      <c r="I97" t="str">
        <f>IF(LEN(TRIM(E97))=0, "", GetSampleVolumeBySpecimenPrep(H97))</f>
        <v>10</v>
      </c>
      <c r="L97" t="str">
        <f>IF(LEN(TRIM(E97))=0,"",VLOOKUP("Manifest Id",config!A:B,2,FALSE))</f>
        <v>CHARM2-2021-02-19</v>
      </c>
      <c r="M97" t="str">
        <f>IF(LEN(TRIM(E97))=0, "",VLOOKUP("Project Name",config!A:B,2,FALSE))</f>
        <v>ECHO</v>
      </c>
      <c r="N97" t="str">
        <f>IF(LEN(TRIM(E97))=0, "",VLOOKUP("Center Name",config!A:B,2,FALSE))</f>
        <v>CHARM2</v>
      </c>
      <c r="O97" s="7">
        <f>IF(LEN(TRIM(E97))=0,"",VLOOKUP("Shipment Date",config!A:B,2,FALSE))</f>
        <v>44247</v>
      </c>
      <c r="P97" s="7" t="str">
        <f t="shared" si="5"/>
        <v>21-03-01</v>
      </c>
      <c r="Q97" s="7" t="str">
        <f>IF(LEN(TRIM(D97))=0,"",GetConfigParameterValue("Collection Site"))</f>
        <v>Camp Lejeune, NC</v>
      </c>
      <c r="R97" t="str">
        <f>IF(LEN(TRIM(E97))=0, "", GetManifestComments(H97))</f>
        <v>CHARM2 Shipment: 2021-03-01 MT SINAI MANIFEST.xlsx</v>
      </c>
      <c r="S97" t="str">
        <f>IF(LEN(TRIM(E97))=0,"",IF(ISERROR(VLOOKUP(E97,'Manifest MDB data'!A:A,1,FALSE)),"OK","EXISTS!!!"))</f>
        <v>EXISTS!!!</v>
      </c>
    </row>
    <row r="98" spans="4:19" x14ac:dyDescent="0.25">
      <c r="D98" t="str">
        <f t="shared" si="6"/>
        <v>C2-3449-V01</v>
      </c>
      <c r="E98" t="str">
        <f t="shared" si="7"/>
        <v>C2-3449-V01-210301-PAX</v>
      </c>
      <c r="F98" t="str">
        <f t="shared" si="8"/>
        <v>Human</v>
      </c>
      <c r="G98" t="str">
        <f>IF(LEN(TRIM(E98))=0, "", GetSampleTissueBySpecimenPrep(H98))</f>
        <v>blood</v>
      </c>
      <c r="H98" t="str">
        <f>IF(LEN(TRIM(E98))=0, "", GetSpecimenPrepName())</f>
        <v>PaxGene</v>
      </c>
      <c r="I98" t="str">
        <f>IF(LEN(TRIM(E98))=0, "", GetSampleVolumeBySpecimenPrep(H98))</f>
        <v>10</v>
      </c>
      <c r="L98" t="str">
        <f>IF(LEN(TRIM(E98))=0,"",VLOOKUP("Manifest Id",config!A:B,2,FALSE))</f>
        <v>CHARM2-2021-02-19</v>
      </c>
      <c r="M98" t="str">
        <f>IF(LEN(TRIM(E98))=0, "",VLOOKUP("Project Name",config!A:B,2,FALSE))</f>
        <v>ECHO</v>
      </c>
      <c r="N98" t="str">
        <f>IF(LEN(TRIM(E98))=0, "",VLOOKUP("Center Name",config!A:B,2,FALSE))</f>
        <v>CHARM2</v>
      </c>
      <c r="O98" s="7">
        <f>IF(LEN(TRIM(E98))=0,"",VLOOKUP("Shipment Date",config!A:B,2,FALSE))</f>
        <v>44247</v>
      </c>
      <c r="P98" s="7" t="str">
        <f t="shared" si="5"/>
        <v>21-03-01</v>
      </c>
      <c r="Q98" s="7" t="str">
        <f>IF(LEN(TRIM(D98))=0,"",GetConfigParameterValue("Collection Site"))</f>
        <v>Camp Lejeune, NC</v>
      </c>
      <c r="R98" t="str">
        <f>IF(LEN(TRIM(E98))=0, "", GetManifestComments(H98))</f>
        <v>CHARM2 Shipment: 2021-03-01 MT SINAI MANIFEST.xlsx</v>
      </c>
      <c r="S98" t="str">
        <f>IF(LEN(TRIM(E98))=0,"",IF(ISERROR(VLOOKUP(E98,'Manifest MDB data'!A:A,1,FALSE)),"OK","EXISTS!!!"))</f>
        <v>EXISTS!!!</v>
      </c>
    </row>
    <row r="99" spans="4:19" x14ac:dyDescent="0.25">
      <c r="D99" t="str">
        <f t="shared" si="6"/>
        <v/>
      </c>
      <c r="E99" t="str">
        <f t="shared" si="7"/>
        <v/>
      </c>
      <c r="F99" t="str">
        <f t="shared" si="8"/>
        <v/>
      </c>
      <c r="G99" t="str">
        <f>IF(LEN(TRIM(E99))=0, "", GetSampleTissueBySpecimenPrep(H99))</f>
        <v/>
      </c>
      <c r="H99" t="str">
        <f>IF(LEN(TRIM(E99))=0, "", GetSpecimenPrepName())</f>
        <v/>
      </c>
      <c r="I99" t="str">
        <f>IF(LEN(TRIM(E99))=0, "", GetSampleVolumeBySpecimenPrep(H99))</f>
        <v/>
      </c>
      <c r="L99" t="str">
        <f>IF(LEN(TRIM(E99))=0,"",VLOOKUP("Manifest Id",config!A:B,2,FALSE))</f>
        <v/>
      </c>
      <c r="M99" t="str">
        <f>IF(LEN(TRIM(E99))=0, "",VLOOKUP("Project Name",config!A:B,2,FALSE))</f>
        <v/>
      </c>
      <c r="N99" t="str">
        <f>IF(LEN(TRIM(E99))=0, "",VLOOKUP("Center Name",config!A:B,2,FALSE))</f>
        <v/>
      </c>
      <c r="O99" s="7" t="str">
        <f>IF(LEN(TRIM(E99))=0,"",VLOOKUP("Shipment Date",config!A:B,2,FALSE))</f>
        <v/>
      </c>
      <c r="P99" s="7" t="str">
        <f t="shared" si="5"/>
        <v/>
      </c>
      <c r="Q99" s="7" t="str">
        <f>IF(LEN(TRIM(D99))=0,"",GetConfigParameterValue("Collection Site"))</f>
        <v/>
      </c>
      <c r="R99" t="str">
        <f>IF(LEN(TRIM(E99))=0, "", GetManifestComments(H99))</f>
        <v/>
      </c>
      <c r="S99" t="str">
        <f>IF(LEN(TRIM(E99))=0,"",IF(ISERROR(VLOOKUP(E99,'Manifest MDB data'!A:A,1,FALSE)),"OK","EXISTS!!!"))</f>
        <v/>
      </c>
    </row>
    <row r="100" spans="4:19" x14ac:dyDescent="0.25">
      <c r="D100" t="str">
        <f t="shared" si="6"/>
        <v/>
      </c>
      <c r="E100" t="str">
        <f t="shared" si="7"/>
        <v/>
      </c>
      <c r="F100" t="str">
        <f t="shared" si="8"/>
        <v/>
      </c>
      <c r="G100" t="str">
        <f>IF(LEN(TRIM(E100))=0, "", GetSampleTissueBySpecimenPrep(H100))</f>
        <v/>
      </c>
      <c r="H100" t="str">
        <f>IF(LEN(TRIM(E100))=0, "", GetSpecimenPrepName())</f>
        <v/>
      </c>
      <c r="I100" t="str">
        <f>IF(LEN(TRIM(E100))=0, "", GetSampleVolumeBySpecimenPrep(H100))</f>
        <v/>
      </c>
      <c r="L100" t="str">
        <f>IF(LEN(TRIM(E100))=0,"",VLOOKUP("Manifest Id",config!A:B,2,FALSE))</f>
        <v/>
      </c>
      <c r="M100" t="str">
        <f>IF(LEN(TRIM(E100))=0, "",VLOOKUP("Project Name",config!A:B,2,FALSE))</f>
        <v/>
      </c>
      <c r="N100" t="str">
        <f>IF(LEN(TRIM(E100))=0, "",VLOOKUP("Center Name",config!A:B,2,FALSE))</f>
        <v/>
      </c>
      <c r="O100" s="7" t="str">
        <f>IF(LEN(TRIM(E100))=0,"",VLOOKUP("Shipment Date",config!A:B,2,FALSE))</f>
        <v/>
      </c>
      <c r="P100" s="7" t="str">
        <f t="shared" si="5"/>
        <v/>
      </c>
      <c r="Q100" s="7" t="str">
        <f>IF(LEN(TRIM(D100))=0,"",GetConfigParameterValue("Collection Site"))</f>
        <v/>
      </c>
      <c r="R100" t="str">
        <f>IF(LEN(TRIM(E100))=0, "", GetManifestComments(H100))</f>
        <v/>
      </c>
      <c r="S100" t="str">
        <f>IF(LEN(TRIM(E100))=0,"",IF(ISERROR(VLOOKUP(E100,'Manifest MDB data'!A:A,1,FALSE)),"OK","EXISTS!!!"))</f>
        <v/>
      </c>
    </row>
    <row r="101" spans="4:19" x14ac:dyDescent="0.25">
      <c r="D101" t="str">
        <f t="shared" si="6"/>
        <v/>
      </c>
      <c r="E101" t="str">
        <f t="shared" si="7"/>
        <v/>
      </c>
      <c r="F101" t="str">
        <f t="shared" si="8"/>
        <v/>
      </c>
      <c r="G101" t="str">
        <f>IF(LEN(TRIM(E101))=0, "", GetSampleTissueBySpecimenPrep(H101))</f>
        <v/>
      </c>
      <c r="H101" t="str">
        <f>IF(LEN(TRIM(E101))=0, "", GetSpecimenPrepName())</f>
        <v/>
      </c>
      <c r="I101" t="str">
        <f>IF(LEN(TRIM(E101))=0, "", GetSampleVolumeBySpecimenPrep(H101))</f>
        <v/>
      </c>
      <c r="L101" t="str">
        <f>IF(LEN(TRIM(E101))=0,"",VLOOKUP("Manifest Id",config!A:B,2,FALSE))</f>
        <v/>
      </c>
      <c r="M101" t="str">
        <f>IF(LEN(TRIM(E101))=0, "",VLOOKUP("Project Name",config!A:B,2,FALSE))</f>
        <v/>
      </c>
      <c r="N101" t="str">
        <f>IF(LEN(TRIM(E101))=0, "",VLOOKUP("Center Name",config!A:B,2,FALSE))</f>
        <v/>
      </c>
      <c r="O101" s="7" t="str">
        <f>IF(LEN(TRIM(E101))=0,"",VLOOKUP("Shipment Date",config!A:B,2,FALSE))</f>
        <v/>
      </c>
      <c r="P101" s="7" t="str">
        <f t="shared" si="5"/>
        <v/>
      </c>
      <c r="Q101" s="7" t="str">
        <f>IF(LEN(TRIM(D101))=0,"",GetConfigParameterValue("Collection Site"))</f>
        <v/>
      </c>
      <c r="R101" t="str">
        <f>IF(LEN(TRIM(E101))=0, "", GetManifestComments(H101))</f>
        <v/>
      </c>
      <c r="S101" t="str">
        <f>IF(LEN(TRIM(E101))=0,"",IF(ISERROR(VLOOKUP(E101,'Manifest MDB data'!A:A,1,FALSE)),"OK","EXISTS!!!"))</f>
        <v/>
      </c>
    </row>
    <row r="102" spans="4:19" x14ac:dyDescent="0.25">
      <c r="D102" t="str">
        <f t="shared" si="6"/>
        <v/>
      </c>
      <c r="E102" t="str">
        <f t="shared" si="7"/>
        <v/>
      </c>
      <c r="F102" t="str">
        <f t="shared" si="8"/>
        <v/>
      </c>
      <c r="G102" t="str">
        <f>IF(LEN(TRIM(E102))=0, "", GetSampleTissueBySpecimenPrep(H102))</f>
        <v/>
      </c>
      <c r="H102" t="str">
        <f>IF(LEN(TRIM(E102))=0, "", GetSpecimenPrepName())</f>
        <v/>
      </c>
      <c r="I102" t="str">
        <f>IF(LEN(TRIM(E102))=0, "", GetSampleVolumeBySpecimenPrep(H102))</f>
        <v/>
      </c>
      <c r="L102" t="str">
        <f>IF(LEN(TRIM(E102))=0,"",VLOOKUP("Manifest Id",config!A:B,2,FALSE))</f>
        <v/>
      </c>
      <c r="M102" t="str">
        <f>IF(LEN(TRIM(E102))=0, "",VLOOKUP("Project Name",config!A:B,2,FALSE))</f>
        <v/>
      </c>
      <c r="N102" t="str">
        <f>IF(LEN(TRIM(E102))=0, "",VLOOKUP("Center Name",config!A:B,2,FALSE))</f>
        <v/>
      </c>
      <c r="O102" s="7" t="str">
        <f>IF(LEN(TRIM(E102))=0,"",VLOOKUP("Shipment Date",config!A:B,2,FALSE))</f>
        <v/>
      </c>
      <c r="P102" s="7" t="str">
        <f t="shared" si="5"/>
        <v/>
      </c>
      <c r="Q102" s="7" t="str">
        <f>IF(LEN(TRIM(D102))=0,"",GetConfigParameterValue("Collection Site"))</f>
        <v/>
      </c>
      <c r="R102" t="str">
        <f>IF(LEN(TRIM(E102))=0, "", GetManifestComments(H102))</f>
        <v/>
      </c>
      <c r="S102" t="str">
        <f>IF(LEN(TRIM(E102))=0,"",IF(ISERROR(VLOOKUP(E102,'Manifest MDB data'!A:A,1,FALSE)),"OK","EXISTS!!!"))</f>
        <v/>
      </c>
    </row>
    <row r="103" spans="4:19" x14ac:dyDescent="0.25">
      <c r="D103" t="str">
        <f t="shared" si="6"/>
        <v/>
      </c>
      <c r="E103" t="str">
        <f t="shared" si="7"/>
        <v/>
      </c>
      <c r="F103" t="str">
        <f t="shared" si="8"/>
        <v/>
      </c>
      <c r="G103" t="str">
        <f>IF(LEN(TRIM(E103))=0, "", GetSampleTissueBySpecimenPrep(H103))</f>
        <v/>
      </c>
      <c r="H103" t="str">
        <f>IF(LEN(TRIM(E103))=0, "", GetSpecimenPrepName())</f>
        <v/>
      </c>
      <c r="I103" t="str">
        <f>IF(LEN(TRIM(E103))=0, "", GetSampleVolumeBySpecimenPrep(H103))</f>
        <v/>
      </c>
      <c r="L103" t="str">
        <f>IF(LEN(TRIM(E103))=0,"",VLOOKUP("Manifest Id",config!A:B,2,FALSE))</f>
        <v/>
      </c>
      <c r="M103" t="str">
        <f>IF(LEN(TRIM(E103))=0, "",VLOOKUP("Project Name",config!A:B,2,FALSE))</f>
        <v/>
      </c>
      <c r="N103" t="str">
        <f>IF(LEN(TRIM(E103))=0, "",VLOOKUP("Center Name",config!A:B,2,FALSE))</f>
        <v/>
      </c>
      <c r="O103" s="7" t="str">
        <f>IF(LEN(TRIM(E103))=0,"",VLOOKUP("Shipment Date",config!A:B,2,FALSE))</f>
        <v/>
      </c>
      <c r="P103" s="7" t="str">
        <f t="shared" si="5"/>
        <v/>
      </c>
      <c r="Q103" s="7" t="str">
        <f>IF(LEN(TRIM(D103))=0,"",GetConfigParameterValue("Collection Site"))</f>
        <v/>
      </c>
      <c r="R103" t="str">
        <f>IF(LEN(TRIM(E103))=0, "", GetManifestComments(H103))</f>
        <v/>
      </c>
      <c r="S103" t="str">
        <f>IF(LEN(TRIM(E103))=0,"",IF(ISERROR(VLOOKUP(E103,'Manifest MDB data'!A:A,1,FALSE)),"OK","EXISTS!!!"))</f>
        <v/>
      </c>
    </row>
    <row r="104" spans="4:19" x14ac:dyDescent="0.25">
      <c r="D104" t="str">
        <f t="shared" si="6"/>
        <v/>
      </c>
      <c r="E104" t="str">
        <f t="shared" si="7"/>
        <v/>
      </c>
      <c r="F104" t="str">
        <f t="shared" si="8"/>
        <v/>
      </c>
      <c r="G104" t="str">
        <f>IF(LEN(TRIM(E104))=0, "", GetSampleTissueBySpecimenPrep(H104))</f>
        <v/>
      </c>
      <c r="H104" t="str">
        <f>IF(LEN(TRIM(E104))=0, "", GetSpecimenPrepName())</f>
        <v/>
      </c>
      <c r="I104" t="str">
        <f>IF(LEN(TRIM(E104))=0, "", GetSampleVolumeBySpecimenPrep(H104))</f>
        <v/>
      </c>
      <c r="L104" t="str">
        <f>IF(LEN(TRIM(E104))=0,"",VLOOKUP("Manifest Id",config!A:B,2,FALSE))</f>
        <v/>
      </c>
      <c r="M104" t="str">
        <f>IF(LEN(TRIM(E104))=0, "",VLOOKUP("Project Name",config!A:B,2,FALSE))</f>
        <v/>
      </c>
      <c r="N104" t="str">
        <f>IF(LEN(TRIM(E104))=0, "",VLOOKUP("Center Name",config!A:B,2,FALSE))</f>
        <v/>
      </c>
      <c r="O104" s="7" t="str">
        <f>IF(LEN(TRIM(E104))=0,"",VLOOKUP("Shipment Date",config!A:B,2,FALSE))</f>
        <v/>
      </c>
      <c r="P104" s="7" t="str">
        <f t="shared" si="5"/>
        <v/>
      </c>
      <c r="Q104" s="7" t="str">
        <f>IF(LEN(TRIM(D104))=0,"",GetConfigParameterValue("Collection Site"))</f>
        <v/>
      </c>
      <c r="R104" t="str">
        <f>IF(LEN(TRIM(E104))=0, "", GetManifestComments(H104))</f>
        <v/>
      </c>
      <c r="S104" t="str">
        <f>IF(LEN(TRIM(E104))=0,"",IF(ISERROR(VLOOKUP(E104,'Manifest MDB data'!A:A,1,FALSE)),"OK","EXISTS!!!"))</f>
        <v/>
      </c>
    </row>
    <row r="105" spans="4:19" x14ac:dyDescent="0.25">
      <c r="D105" t="str">
        <f t="shared" si="6"/>
        <v/>
      </c>
      <c r="E105" t="str">
        <f t="shared" si="7"/>
        <v/>
      </c>
      <c r="F105" t="str">
        <f t="shared" si="8"/>
        <v/>
      </c>
      <c r="G105" t="str">
        <f>IF(LEN(TRIM(E105))=0, "", GetSampleTissueBySpecimenPrep(H105))</f>
        <v/>
      </c>
      <c r="H105" t="str">
        <f>IF(LEN(TRIM(E105))=0, "", GetSpecimenPrepName())</f>
        <v/>
      </c>
      <c r="I105" t="str">
        <f>IF(LEN(TRIM(E105))=0, "", GetSampleVolumeBySpecimenPrep(H105))</f>
        <v/>
      </c>
      <c r="L105" t="str">
        <f>IF(LEN(TRIM(E105))=0,"",VLOOKUP("Manifest Id",config!A:B,2,FALSE))</f>
        <v/>
      </c>
      <c r="M105" t="str">
        <f>IF(LEN(TRIM(E105))=0, "",VLOOKUP("Project Name",config!A:B,2,FALSE))</f>
        <v/>
      </c>
      <c r="N105" t="str">
        <f>IF(LEN(TRIM(E105))=0, "",VLOOKUP("Center Name",config!A:B,2,FALSE))</f>
        <v/>
      </c>
      <c r="O105" s="7" t="str">
        <f>IF(LEN(TRIM(E105))=0,"",VLOOKUP("Shipment Date",config!A:B,2,FALSE))</f>
        <v/>
      </c>
      <c r="P105" s="7" t="str">
        <f t="shared" si="5"/>
        <v/>
      </c>
      <c r="Q105" s="7" t="str">
        <f>IF(LEN(TRIM(D105))=0,"",GetConfigParameterValue("Collection Site"))</f>
        <v/>
      </c>
      <c r="R105" t="str">
        <f>IF(LEN(TRIM(E105))=0, "", GetManifestComments(H105))</f>
        <v/>
      </c>
      <c r="S105" t="str">
        <f>IF(LEN(TRIM(E105))=0,"",IF(ISERROR(VLOOKUP(E105,'Manifest MDB data'!A:A,1,FALSE)),"OK","EXISTS!!!"))</f>
        <v/>
      </c>
    </row>
    <row r="106" spans="4:19" x14ac:dyDescent="0.25">
      <c r="D106" t="str">
        <f t="shared" si="6"/>
        <v/>
      </c>
      <c r="E106" t="str">
        <f t="shared" si="7"/>
        <v/>
      </c>
      <c r="F106" t="str">
        <f t="shared" si="8"/>
        <v/>
      </c>
      <c r="G106" t="str">
        <f>IF(LEN(TRIM(E106))=0, "", GetSampleTissueBySpecimenPrep(H106))</f>
        <v/>
      </c>
      <c r="H106" t="str">
        <f>IF(LEN(TRIM(E106))=0, "", GetSpecimenPrepName())</f>
        <v/>
      </c>
      <c r="I106" t="str">
        <f>IF(LEN(TRIM(E106))=0, "", GetSampleVolumeBySpecimenPrep(H106))</f>
        <v/>
      </c>
      <c r="L106" t="str">
        <f>IF(LEN(TRIM(E106))=0,"",VLOOKUP("Manifest Id",config!A:B,2,FALSE))</f>
        <v/>
      </c>
      <c r="M106" t="str">
        <f>IF(LEN(TRIM(E106))=0, "",VLOOKUP("Project Name",config!A:B,2,FALSE))</f>
        <v/>
      </c>
      <c r="N106" t="str">
        <f>IF(LEN(TRIM(E106))=0, "",VLOOKUP("Center Name",config!A:B,2,FALSE))</f>
        <v/>
      </c>
      <c r="O106" s="7" t="str">
        <f>IF(LEN(TRIM(E106))=0,"",VLOOKUP("Shipment Date",config!A:B,2,FALSE))</f>
        <v/>
      </c>
      <c r="P106" s="7" t="str">
        <f t="shared" si="5"/>
        <v/>
      </c>
      <c r="Q106" s="7" t="str">
        <f>IF(LEN(TRIM(D106))=0,"",GetConfigParameterValue("Collection Site"))</f>
        <v/>
      </c>
      <c r="R106" t="str">
        <f>IF(LEN(TRIM(E106))=0, "", GetManifestComments(H106))</f>
        <v/>
      </c>
      <c r="S106" t="str">
        <f>IF(LEN(TRIM(E106))=0,"",IF(ISERROR(VLOOKUP(E106,'Manifest MDB data'!A:A,1,FALSE)),"OK","EXISTS!!!"))</f>
        <v/>
      </c>
    </row>
    <row r="107" spans="4:19" x14ac:dyDescent="0.25">
      <c r="D107" t="str">
        <f t="shared" si="6"/>
        <v/>
      </c>
      <c r="E107" t="str">
        <f t="shared" si="7"/>
        <v/>
      </c>
      <c r="F107" t="str">
        <f t="shared" si="8"/>
        <v/>
      </c>
      <c r="G107" t="str">
        <f>IF(LEN(TRIM(E107))=0, "", GetSampleTissueBySpecimenPrep(H107))</f>
        <v/>
      </c>
      <c r="H107" t="str">
        <f>IF(LEN(TRIM(E107))=0, "", GetSpecimenPrepName())</f>
        <v/>
      </c>
      <c r="I107" t="str">
        <f>IF(LEN(TRIM(E107))=0, "", GetSampleVolumeBySpecimenPrep(H107))</f>
        <v/>
      </c>
      <c r="L107" t="str">
        <f>IF(LEN(TRIM(E107))=0,"",VLOOKUP("Manifest Id",config!A:B,2,FALSE))</f>
        <v/>
      </c>
      <c r="M107" t="str">
        <f>IF(LEN(TRIM(E107))=0, "",VLOOKUP("Project Name",config!A:B,2,FALSE))</f>
        <v/>
      </c>
      <c r="N107" t="str">
        <f>IF(LEN(TRIM(E107))=0, "",VLOOKUP("Center Name",config!A:B,2,FALSE))</f>
        <v/>
      </c>
      <c r="O107" s="7" t="str">
        <f>IF(LEN(TRIM(E107))=0,"",VLOOKUP("Shipment Date",config!A:B,2,FALSE))</f>
        <v/>
      </c>
      <c r="P107" s="7" t="str">
        <f t="shared" si="5"/>
        <v/>
      </c>
      <c r="Q107" s="7" t="str">
        <f>IF(LEN(TRIM(D107))=0,"",GetConfigParameterValue("Collection Site"))</f>
        <v/>
      </c>
      <c r="R107" t="str">
        <f>IF(LEN(TRIM(E107))=0, "", GetManifestComments(H107))</f>
        <v/>
      </c>
      <c r="S107" t="str">
        <f>IF(LEN(TRIM(E107))=0,"",IF(ISERROR(VLOOKUP(E107,'Manifest MDB data'!A:A,1,FALSE)),"OK","EXISTS!!!"))</f>
        <v/>
      </c>
    </row>
    <row r="108" spans="4:19" x14ac:dyDescent="0.25">
      <c r="D108" t="str">
        <f t="shared" si="6"/>
        <v/>
      </c>
      <c r="E108" t="str">
        <f t="shared" si="7"/>
        <v/>
      </c>
      <c r="F108" t="str">
        <f t="shared" si="8"/>
        <v/>
      </c>
      <c r="G108" t="str">
        <f>IF(LEN(TRIM(E108))=0, "", GetSampleTissueBySpecimenPrep(H108))</f>
        <v/>
      </c>
      <c r="H108" t="str">
        <f>IF(LEN(TRIM(E108))=0, "", GetSpecimenPrepName())</f>
        <v/>
      </c>
      <c r="I108" t="str">
        <f>IF(LEN(TRIM(E108))=0, "", GetSampleVolumeBySpecimenPrep(H108))</f>
        <v/>
      </c>
      <c r="L108" t="str">
        <f>IF(LEN(TRIM(E108))=0,"",VLOOKUP("Manifest Id",config!A:B,2,FALSE))</f>
        <v/>
      </c>
      <c r="M108" t="str">
        <f>IF(LEN(TRIM(E108))=0, "",VLOOKUP("Project Name",config!A:B,2,FALSE))</f>
        <v/>
      </c>
      <c r="N108" t="str">
        <f>IF(LEN(TRIM(E108))=0, "",VLOOKUP("Center Name",config!A:B,2,FALSE))</f>
        <v/>
      </c>
      <c r="O108" s="7" t="str">
        <f>IF(LEN(TRIM(E108))=0,"",VLOOKUP("Shipment Date",config!A:B,2,FALSE))</f>
        <v/>
      </c>
      <c r="P108" s="7" t="str">
        <f t="shared" si="5"/>
        <v/>
      </c>
      <c r="Q108" s="7" t="str">
        <f>IF(LEN(TRIM(D108))=0,"",GetConfigParameterValue("Collection Site"))</f>
        <v/>
      </c>
      <c r="R108" t="str">
        <f>IF(LEN(TRIM(E108))=0, "", GetManifestComments(H108))</f>
        <v/>
      </c>
      <c r="S108" t="str">
        <f>IF(LEN(TRIM(E108))=0,"",IF(ISERROR(VLOOKUP(E108,'Manifest MDB data'!A:A,1,FALSE)),"OK","EXISTS!!!"))</f>
        <v/>
      </c>
    </row>
    <row r="109" spans="4:19" x14ac:dyDescent="0.25">
      <c r="D109" t="str">
        <f t="shared" si="6"/>
        <v/>
      </c>
      <c r="E109" t="str">
        <f t="shared" si="7"/>
        <v/>
      </c>
      <c r="F109" t="str">
        <f t="shared" si="8"/>
        <v/>
      </c>
      <c r="G109" t="str">
        <f>IF(LEN(TRIM(E109))=0, "", GetSampleTissueBySpecimenPrep(H109))</f>
        <v/>
      </c>
      <c r="H109" t="str">
        <f>IF(LEN(TRIM(E109))=0, "", GetSpecimenPrepName())</f>
        <v/>
      </c>
      <c r="I109" t="str">
        <f>IF(LEN(TRIM(E109))=0, "", GetSampleVolumeBySpecimenPrep(H109))</f>
        <v/>
      </c>
      <c r="L109" t="str">
        <f>IF(LEN(TRIM(E109))=0,"",VLOOKUP("Manifest Id",config!A:B,2,FALSE))</f>
        <v/>
      </c>
      <c r="M109" t="str">
        <f>IF(LEN(TRIM(E109))=0, "",VLOOKUP("Project Name",config!A:B,2,FALSE))</f>
        <v/>
      </c>
      <c r="N109" t="str">
        <f>IF(LEN(TRIM(E109))=0, "",VLOOKUP("Center Name",config!A:B,2,FALSE))</f>
        <v/>
      </c>
      <c r="O109" s="7" t="str">
        <f>IF(LEN(TRIM(E109))=0,"",VLOOKUP("Shipment Date",config!A:B,2,FALSE))</f>
        <v/>
      </c>
      <c r="P109" s="7" t="str">
        <f t="shared" si="5"/>
        <v/>
      </c>
      <c r="Q109" s="7" t="str">
        <f>IF(LEN(TRIM(D109))=0,"",GetConfigParameterValue("Collection Site"))</f>
        <v/>
      </c>
      <c r="R109" t="str">
        <f>IF(LEN(TRIM(E109))=0, "", GetManifestComments(H109))</f>
        <v/>
      </c>
      <c r="S109" t="str">
        <f>IF(LEN(TRIM(E109))=0,"",IF(ISERROR(VLOOKUP(E109,'Manifest MDB data'!A:A,1,FALSE)),"OK","EXISTS!!!"))</f>
        <v/>
      </c>
    </row>
    <row r="110" spans="4:19" x14ac:dyDescent="0.25">
      <c r="D110" t="str">
        <f t="shared" si="6"/>
        <v/>
      </c>
      <c r="E110" t="str">
        <f t="shared" si="7"/>
        <v/>
      </c>
      <c r="F110" t="str">
        <f t="shared" si="8"/>
        <v/>
      </c>
      <c r="G110" t="str">
        <f>IF(LEN(TRIM(E110))=0, "", GetSampleTissueBySpecimenPrep(H110))</f>
        <v/>
      </c>
      <c r="H110" t="str">
        <f>IF(LEN(TRIM(E110))=0, "", GetSpecimenPrepName())</f>
        <v/>
      </c>
      <c r="I110" t="str">
        <f>IF(LEN(TRIM(E110))=0, "", GetSampleVolumeBySpecimenPrep(H110))</f>
        <v/>
      </c>
      <c r="L110" t="str">
        <f>IF(LEN(TRIM(E110))=0,"",VLOOKUP("Manifest Id",config!A:B,2,FALSE))</f>
        <v/>
      </c>
      <c r="M110" t="str">
        <f>IF(LEN(TRIM(E110))=0, "",VLOOKUP("Project Name",config!A:B,2,FALSE))</f>
        <v/>
      </c>
      <c r="N110" t="str">
        <f>IF(LEN(TRIM(E110))=0, "",VLOOKUP("Center Name",config!A:B,2,FALSE))</f>
        <v/>
      </c>
      <c r="O110" s="7" t="str">
        <f>IF(LEN(TRIM(E110))=0,"",VLOOKUP("Shipment Date",config!A:B,2,FALSE))</f>
        <v/>
      </c>
      <c r="P110" s="7" t="str">
        <f t="shared" si="5"/>
        <v/>
      </c>
      <c r="Q110" s="7" t="str">
        <f>IF(LEN(TRIM(D110))=0,"",GetConfigParameterValue("Collection Site"))</f>
        <v/>
      </c>
      <c r="R110" t="str">
        <f>IF(LEN(TRIM(E110))=0, "", GetManifestComments(H110))</f>
        <v/>
      </c>
      <c r="S110" t="str">
        <f>IF(LEN(TRIM(E110))=0,"",IF(ISERROR(VLOOKUP(E110,'Manifest MDB data'!A:A,1,FALSE)),"OK","EXISTS!!!"))</f>
        <v/>
      </c>
    </row>
    <row r="111" spans="4:19" x14ac:dyDescent="0.25">
      <c r="D111" t="str">
        <f t="shared" si="6"/>
        <v/>
      </c>
      <c r="E111" t="str">
        <f t="shared" si="7"/>
        <v/>
      </c>
      <c r="F111" t="str">
        <f t="shared" si="8"/>
        <v/>
      </c>
      <c r="G111" t="str">
        <f>IF(LEN(TRIM(E111))=0, "", GetSampleTissueBySpecimenPrep(H111))</f>
        <v/>
      </c>
      <c r="H111" t="str">
        <f>IF(LEN(TRIM(E111))=0, "", GetSpecimenPrepName())</f>
        <v/>
      </c>
      <c r="I111" t="str">
        <f>IF(LEN(TRIM(E111))=0, "", GetSampleVolumeBySpecimenPrep(H111))</f>
        <v/>
      </c>
      <c r="L111" t="str">
        <f>IF(LEN(TRIM(E111))=0,"",VLOOKUP("Manifest Id",config!A:B,2,FALSE))</f>
        <v/>
      </c>
      <c r="M111" t="str">
        <f>IF(LEN(TRIM(E111))=0, "",VLOOKUP("Project Name",config!A:B,2,FALSE))</f>
        <v/>
      </c>
      <c r="N111" t="str">
        <f>IF(LEN(TRIM(E111))=0, "",VLOOKUP("Center Name",config!A:B,2,FALSE))</f>
        <v/>
      </c>
      <c r="O111" s="7" t="str">
        <f>IF(LEN(TRIM(E111))=0,"",VLOOKUP("Shipment Date",config!A:B,2,FALSE))</f>
        <v/>
      </c>
      <c r="P111" s="7" t="str">
        <f t="shared" si="5"/>
        <v/>
      </c>
      <c r="Q111" s="7" t="str">
        <f>IF(LEN(TRIM(D111))=0,"",GetConfigParameterValue("Collection Site"))</f>
        <v/>
      </c>
      <c r="R111" t="str">
        <f>IF(LEN(TRIM(E111))=0, "", GetManifestComments(H111))</f>
        <v/>
      </c>
      <c r="S111" t="str">
        <f>IF(LEN(TRIM(E111))=0,"",IF(ISERROR(VLOOKUP(E111,'Manifest MDB data'!A:A,1,FALSE)),"OK","EXISTS!!!"))</f>
        <v/>
      </c>
    </row>
    <row r="112" spans="4:19" x14ac:dyDescent="0.25">
      <c r="D112" t="str">
        <f t="shared" si="6"/>
        <v/>
      </c>
      <c r="E112" t="str">
        <f t="shared" si="7"/>
        <v/>
      </c>
      <c r="F112" t="str">
        <f t="shared" si="8"/>
        <v/>
      </c>
      <c r="G112" t="str">
        <f>IF(LEN(TRIM(E112))=0, "", GetSampleTissueBySpecimenPrep(H112))</f>
        <v/>
      </c>
      <c r="H112" t="str">
        <f>IF(LEN(TRIM(E112))=0, "", GetSpecimenPrepName())</f>
        <v/>
      </c>
      <c r="I112" t="str">
        <f>IF(LEN(TRIM(E112))=0, "", GetSampleVolumeBySpecimenPrep(H112))</f>
        <v/>
      </c>
      <c r="L112" t="str">
        <f>IF(LEN(TRIM(E112))=0,"",VLOOKUP("Manifest Id",config!A:B,2,FALSE))</f>
        <v/>
      </c>
      <c r="M112" t="str">
        <f>IF(LEN(TRIM(E112))=0, "",VLOOKUP("Project Name",config!A:B,2,FALSE))</f>
        <v/>
      </c>
      <c r="N112" t="str">
        <f>IF(LEN(TRIM(E112))=0, "",VLOOKUP("Center Name",config!A:B,2,FALSE))</f>
        <v/>
      </c>
      <c r="O112" s="7" t="str">
        <f>IF(LEN(TRIM(E112))=0,"",VLOOKUP("Shipment Date",config!A:B,2,FALSE))</f>
        <v/>
      </c>
      <c r="P112" s="7" t="str">
        <f t="shared" si="5"/>
        <v/>
      </c>
      <c r="Q112" s="7" t="str">
        <f>IF(LEN(TRIM(D112))=0,"",GetConfigParameterValue("Collection Site"))</f>
        <v/>
      </c>
      <c r="R112" t="str">
        <f>IF(LEN(TRIM(E112))=0, "", GetManifestComments(H112))</f>
        <v/>
      </c>
      <c r="S112" t="str">
        <f>IF(LEN(TRIM(E112))=0,"",IF(ISERROR(VLOOKUP(E112,'Manifest MDB data'!A:A,1,FALSE)),"OK","EXISTS!!!"))</f>
        <v/>
      </c>
    </row>
    <row r="113" spans="4:19" x14ac:dyDescent="0.25">
      <c r="D113" t="str">
        <f t="shared" si="6"/>
        <v/>
      </c>
      <c r="E113" t="str">
        <f t="shared" si="7"/>
        <v/>
      </c>
      <c r="F113" t="str">
        <f t="shared" si="8"/>
        <v/>
      </c>
      <c r="G113" t="str">
        <f>IF(LEN(TRIM(E113))=0, "", GetSampleTissueBySpecimenPrep(H113))</f>
        <v/>
      </c>
      <c r="H113" t="str">
        <f>IF(LEN(TRIM(E113))=0, "", GetSpecimenPrepName())</f>
        <v/>
      </c>
      <c r="I113" t="str">
        <f>IF(LEN(TRIM(E113))=0, "", GetSampleVolumeBySpecimenPrep(H113))</f>
        <v/>
      </c>
      <c r="L113" t="str">
        <f>IF(LEN(TRIM(E113))=0,"",VLOOKUP("Manifest Id",config!A:B,2,FALSE))</f>
        <v/>
      </c>
      <c r="M113" t="str">
        <f>IF(LEN(TRIM(E113))=0, "",VLOOKUP("Project Name",config!A:B,2,FALSE))</f>
        <v/>
      </c>
      <c r="N113" t="str">
        <f>IF(LEN(TRIM(E113))=0, "",VLOOKUP("Center Name",config!A:B,2,FALSE))</f>
        <v/>
      </c>
      <c r="O113" s="7" t="str">
        <f>IF(LEN(TRIM(E113))=0,"",VLOOKUP("Shipment Date",config!A:B,2,FALSE))</f>
        <v/>
      </c>
      <c r="P113" s="7" t="str">
        <f t="shared" si="5"/>
        <v/>
      </c>
      <c r="Q113" s="7" t="str">
        <f>IF(LEN(TRIM(D113))=0,"",GetConfigParameterValue("Collection Site"))</f>
        <v/>
      </c>
      <c r="R113" t="str">
        <f>IF(LEN(TRIM(E113))=0, "", GetManifestComments(H113))</f>
        <v/>
      </c>
      <c r="S113" t="str">
        <f>IF(LEN(TRIM(E113))=0,"",IF(ISERROR(VLOOKUP(E113,'Manifest MDB data'!A:A,1,FALSE)),"OK","EXISTS!!!"))</f>
        <v/>
      </c>
    </row>
    <row r="114" spans="4:19" x14ac:dyDescent="0.25">
      <c r="D114" t="str">
        <f t="shared" si="6"/>
        <v/>
      </c>
      <c r="E114" t="str">
        <f t="shared" si="7"/>
        <v/>
      </c>
      <c r="F114" t="str">
        <f t="shared" si="8"/>
        <v/>
      </c>
      <c r="G114" t="str">
        <f>IF(LEN(TRIM(E114))=0, "", GetSampleTissueBySpecimenPrep(H114))</f>
        <v/>
      </c>
      <c r="H114" t="str">
        <f>IF(LEN(TRIM(E114))=0, "", GetSpecimenPrepName())</f>
        <v/>
      </c>
      <c r="I114" t="str">
        <f>IF(LEN(TRIM(E114))=0, "", GetSampleVolumeBySpecimenPrep(H114))</f>
        <v/>
      </c>
      <c r="L114" t="str">
        <f>IF(LEN(TRIM(E114))=0,"",VLOOKUP("Manifest Id",config!A:B,2,FALSE))</f>
        <v/>
      </c>
      <c r="M114" t="str">
        <f>IF(LEN(TRIM(E114))=0, "",VLOOKUP("Project Name",config!A:B,2,FALSE))</f>
        <v/>
      </c>
      <c r="N114" t="str">
        <f>IF(LEN(TRIM(E114))=0, "",VLOOKUP("Center Name",config!A:B,2,FALSE))</f>
        <v/>
      </c>
      <c r="O114" s="7" t="str">
        <f>IF(LEN(TRIM(E114))=0,"",VLOOKUP("Shipment Date",config!A:B,2,FALSE))</f>
        <v/>
      </c>
      <c r="P114" s="7" t="str">
        <f t="shared" si="5"/>
        <v/>
      </c>
      <c r="Q114" s="7" t="str">
        <f>IF(LEN(TRIM(D114))=0,"",GetConfigParameterValue("Collection Site"))</f>
        <v/>
      </c>
      <c r="R114" t="str">
        <f>IF(LEN(TRIM(E114))=0, "", GetManifestComments(H114))</f>
        <v/>
      </c>
      <c r="S114" t="str">
        <f>IF(LEN(TRIM(E114))=0,"",IF(ISERROR(VLOOKUP(E114,'Manifest MDB data'!A:A,1,FALSE)),"OK","EXISTS!!!"))</f>
        <v/>
      </c>
    </row>
    <row r="115" spans="4:19" x14ac:dyDescent="0.25">
      <c r="D115" t="str">
        <f t="shared" si="6"/>
        <v/>
      </c>
      <c r="E115" t="str">
        <f t="shared" si="7"/>
        <v/>
      </c>
      <c r="F115" t="str">
        <f t="shared" si="8"/>
        <v/>
      </c>
      <c r="G115" t="str">
        <f>IF(LEN(TRIM(E115))=0, "", GetSampleTissueBySpecimenPrep(H115))</f>
        <v/>
      </c>
      <c r="H115" t="str">
        <f>IF(LEN(TRIM(E115))=0, "", GetSpecimenPrepName())</f>
        <v/>
      </c>
      <c r="I115" t="str">
        <f>IF(LEN(TRIM(E115))=0, "", GetSampleVolumeBySpecimenPrep(H115))</f>
        <v/>
      </c>
      <c r="L115" t="str">
        <f>IF(LEN(TRIM(E115))=0,"",VLOOKUP("Manifest Id",config!A:B,2,FALSE))</f>
        <v/>
      </c>
      <c r="M115" t="str">
        <f>IF(LEN(TRIM(E115))=0, "",VLOOKUP("Project Name",config!A:B,2,FALSE))</f>
        <v/>
      </c>
      <c r="N115" t="str">
        <f>IF(LEN(TRIM(E115))=0, "",VLOOKUP("Center Name",config!A:B,2,FALSE))</f>
        <v/>
      </c>
      <c r="O115" s="7" t="str">
        <f>IF(LEN(TRIM(E115))=0,"",VLOOKUP("Shipment Date",config!A:B,2,FALSE))</f>
        <v/>
      </c>
      <c r="P115" s="7" t="str">
        <f t="shared" si="5"/>
        <v/>
      </c>
      <c r="Q115" s="7" t="str">
        <f>IF(LEN(TRIM(D115))=0,"",GetConfigParameterValue("Collection Site"))</f>
        <v/>
      </c>
      <c r="R115" t="str">
        <f>IF(LEN(TRIM(E115))=0, "", GetManifestComments(H115))</f>
        <v/>
      </c>
      <c r="S115" t="str">
        <f>IF(LEN(TRIM(E115))=0,"",IF(ISERROR(VLOOKUP(E115,'Manifest MDB data'!A:A,1,FALSE)),"OK","EXISTS!!!"))</f>
        <v/>
      </c>
    </row>
    <row r="116" spans="4:19" x14ac:dyDescent="0.25">
      <c r="D116" t="str">
        <f t="shared" si="6"/>
        <v/>
      </c>
      <c r="E116" t="str">
        <f t="shared" si="7"/>
        <v/>
      </c>
      <c r="F116" t="str">
        <f t="shared" si="8"/>
        <v/>
      </c>
      <c r="G116" t="str">
        <f>IF(LEN(TRIM(E116))=0, "", GetSampleTissueBySpecimenPrep(H116))</f>
        <v/>
      </c>
      <c r="H116" t="str">
        <f>IF(LEN(TRIM(E116))=0, "", GetSpecimenPrepName())</f>
        <v/>
      </c>
      <c r="I116" t="str">
        <f>IF(LEN(TRIM(E116))=0, "", GetSampleVolumeBySpecimenPrep(H116))</f>
        <v/>
      </c>
      <c r="L116" t="str">
        <f>IF(LEN(TRIM(E116))=0,"",VLOOKUP("Manifest Id",config!A:B,2,FALSE))</f>
        <v/>
      </c>
      <c r="M116" t="str">
        <f>IF(LEN(TRIM(E116))=0, "",VLOOKUP("Project Name",config!A:B,2,FALSE))</f>
        <v/>
      </c>
      <c r="N116" t="str">
        <f>IF(LEN(TRIM(E116))=0, "",VLOOKUP("Center Name",config!A:B,2,FALSE))</f>
        <v/>
      </c>
      <c r="O116" s="7" t="str">
        <f>IF(LEN(TRIM(E116))=0,"",VLOOKUP("Shipment Date",config!A:B,2,FALSE))</f>
        <v/>
      </c>
      <c r="P116" s="7" t="str">
        <f t="shared" si="5"/>
        <v/>
      </c>
      <c r="Q116" s="7" t="str">
        <f>IF(LEN(TRIM(D116))=0,"",GetConfigParameterValue("Collection Site"))</f>
        <v/>
      </c>
      <c r="R116" t="str">
        <f>IF(LEN(TRIM(E116))=0, "", GetManifestComments(H116))</f>
        <v/>
      </c>
      <c r="S116" t="str">
        <f>IF(LEN(TRIM(E116))=0,"",IF(ISERROR(VLOOKUP(E116,'Manifest MDB data'!A:A,1,FALSE)),"OK","EXISTS!!!"))</f>
        <v/>
      </c>
    </row>
    <row r="117" spans="4:19" x14ac:dyDescent="0.25">
      <c r="D117" t="str">
        <f t="shared" si="6"/>
        <v/>
      </c>
      <c r="E117" t="str">
        <f t="shared" si="7"/>
        <v/>
      </c>
      <c r="F117" t="str">
        <f t="shared" si="8"/>
        <v/>
      </c>
      <c r="G117" t="str">
        <f>IF(LEN(TRIM(E117))=0, "", GetSampleTissueBySpecimenPrep(H117))</f>
        <v/>
      </c>
      <c r="H117" t="str">
        <f>IF(LEN(TRIM(E117))=0, "", GetSpecimenPrepName())</f>
        <v/>
      </c>
      <c r="I117" t="str">
        <f>IF(LEN(TRIM(E117))=0, "", GetSampleVolumeBySpecimenPrep(H117))</f>
        <v/>
      </c>
      <c r="L117" t="str">
        <f>IF(LEN(TRIM(E117))=0,"",VLOOKUP("Manifest Id",config!A:B,2,FALSE))</f>
        <v/>
      </c>
      <c r="M117" t="str">
        <f>IF(LEN(TRIM(E117))=0, "",VLOOKUP("Project Name",config!A:B,2,FALSE))</f>
        <v/>
      </c>
      <c r="N117" t="str">
        <f>IF(LEN(TRIM(E117))=0, "",VLOOKUP("Center Name",config!A:B,2,FALSE))</f>
        <v/>
      </c>
      <c r="O117" s="7" t="str">
        <f>IF(LEN(TRIM(E117))=0,"",VLOOKUP("Shipment Date",config!A:B,2,FALSE))</f>
        <v/>
      </c>
      <c r="P117" s="7" t="str">
        <f t="shared" si="5"/>
        <v/>
      </c>
      <c r="Q117" s="7" t="str">
        <f>IF(LEN(TRIM(D117))=0,"",GetConfigParameterValue("Collection Site"))</f>
        <v/>
      </c>
      <c r="R117" t="str">
        <f>IF(LEN(TRIM(E117))=0, "", GetManifestComments(H117))</f>
        <v/>
      </c>
      <c r="S117" t="str">
        <f>IF(LEN(TRIM(E117))=0,"",IF(ISERROR(VLOOKUP(E117,'Manifest MDB data'!A:A,1,FALSE)),"OK","EXISTS!!!"))</f>
        <v/>
      </c>
    </row>
    <row r="118" spans="4:19" x14ac:dyDescent="0.25">
      <c r="D118" t="str">
        <f t="shared" si="6"/>
        <v/>
      </c>
      <c r="E118" t="str">
        <f t="shared" si="7"/>
        <v/>
      </c>
      <c r="F118" t="str">
        <f t="shared" si="8"/>
        <v/>
      </c>
      <c r="G118" t="str">
        <f>IF(LEN(TRIM(E118))=0, "", GetSampleTissueBySpecimenPrep(H118))</f>
        <v/>
      </c>
      <c r="H118" t="str">
        <f>IF(LEN(TRIM(E118))=0, "", GetSpecimenPrepName())</f>
        <v/>
      </c>
      <c r="I118" t="str">
        <f>IF(LEN(TRIM(E118))=0, "", GetSampleVolumeBySpecimenPrep(H118))</f>
        <v/>
      </c>
      <c r="L118" t="str">
        <f>IF(LEN(TRIM(E118))=0,"",VLOOKUP("Manifest Id",config!A:B,2,FALSE))</f>
        <v/>
      </c>
      <c r="M118" t="str">
        <f>IF(LEN(TRIM(E118))=0, "",VLOOKUP("Project Name",config!A:B,2,FALSE))</f>
        <v/>
      </c>
      <c r="N118" t="str">
        <f>IF(LEN(TRIM(E118))=0, "",VLOOKUP("Center Name",config!A:B,2,FALSE))</f>
        <v/>
      </c>
      <c r="O118" s="7" t="str">
        <f>IF(LEN(TRIM(E118))=0,"",VLOOKUP("Shipment Date",config!A:B,2,FALSE))</f>
        <v/>
      </c>
      <c r="P118" s="7" t="str">
        <f t="shared" si="5"/>
        <v/>
      </c>
      <c r="Q118" s="7" t="str">
        <f>IF(LEN(TRIM(D118))=0,"",GetConfigParameterValue("Collection Site"))</f>
        <v/>
      </c>
      <c r="R118" t="str">
        <f>IF(LEN(TRIM(E118))=0, "", GetManifestComments(H118))</f>
        <v/>
      </c>
      <c r="S118" t="str">
        <f>IF(LEN(TRIM(E118))=0,"",IF(ISERROR(VLOOKUP(E118,'Manifest MDB data'!A:A,1,FALSE)),"OK","EXISTS!!!"))</f>
        <v/>
      </c>
    </row>
    <row r="119" spans="4:19" x14ac:dyDescent="0.25">
      <c r="D119" t="str">
        <f t="shared" si="6"/>
        <v/>
      </c>
      <c r="E119" t="str">
        <f t="shared" si="7"/>
        <v/>
      </c>
      <c r="F119" t="str">
        <f t="shared" si="8"/>
        <v/>
      </c>
      <c r="G119" t="str">
        <f>IF(LEN(TRIM(E119))=0, "", GetSampleTissueBySpecimenPrep(H119))</f>
        <v/>
      </c>
      <c r="H119" t="str">
        <f>IF(LEN(TRIM(E119))=0, "", GetSpecimenPrepName())</f>
        <v/>
      </c>
      <c r="I119" t="str">
        <f>IF(LEN(TRIM(E119))=0, "", GetSampleVolumeBySpecimenPrep(H119))</f>
        <v/>
      </c>
      <c r="L119" t="str">
        <f>IF(LEN(TRIM(E119))=0,"",VLOOKUP("Manifest Id",config!A:B,2,FALSE))</f>
        <v/>
      </c>
      <c r="M119" t="str">
        <f>IF(LEN(TRIM(E119))=0, "",VLOOKUP("Project Name",config!A:B,2,FALSE))</f>
        <v/>
      </c>
      <c r="N119" t="str">
        <f>IF(LEN(TRIM(E119))=0, "",VLOOKUP("Center Name",config!A:B,2,FALSE))</f>
        <v/>
      </c>
      <c r="O119" s="7" t="str">
        <f>IF(LEN(TRIM(E119))=0,"",VLOOKUP("Shipment Date",config!A:B,2,FALSE))</f>
        <v/>
      </c>
      <c r="P119" s="7" t="str">
        <f t="shared" si="5"/>
        <v/>
      </c>
      <c r="Q119" s="7" t="str">
        <f>IF(LEN(TRIM(D119))=0,"",GetConfigParameterValue("Collection Site"))</f>
        <v/>
      </c>
      <c r="R119" t="str">
        <f>IF(LEN(TRIM(E119))=0, "", GetManifestComments(H119))</f>
        <v/>
      </c>
      <c r="S119" t="str">
        <f>IF(LEN(TRIM(E119))=0,"",IF(ISERROR(VLOOKUP(E119,'Manifest MDB data'!A:A,1,FALSE)),"OK","EXISTS!!!"))</f>
        <v/>
      </c>
    </row>
    <row r="120" spans="4:19" x14ac:dyDescent="0.25">
      <c r="D120" t="str">
        <f t="shared" si="6"/>
        <v/>
      </c>
      <c r="E120" t="str">
        <f t="shared" si="7"/>
        <v/>
      </c>
      <c r="F120" t="str">
        <f t="shared" si="8"/>
        <v/>
      </c>
      <c r="G120" t="str">
        <f>IF(LEN(TRIM(E120))=0, "", GetSampleTissueBySpecimenPrep(H120))</f>
        <v/>
      </c>
      <c r="H120" t="str">
        <f>IF(LEN(TRIM(E120))=0, "", GetSpecimenPrepName())</f>
        <v/>
      </c>
      <c r="I120" t="str">
        <f>IF(LEN(TRIM(E120))=0, "", GetSampleVolumeBySpecimenPrep(H120))</f>
        <v/>
      </c>
      <c r="L120" t="str">
        <f>IF(LEN(TRIM(E120))=0,"",VLOOKUP("Manifest Id",config!A:B,2,FALSE))</f>
        <v/>
      </c>
      <c r="M120" t="str">
        <f>IF(LEN(TRIM(E120))=0, "",VLOOKUP("Project Name",config!A:B,2,FALSE))</f>
        <v/>
      </c>
      <c r="N120" t="str">
        <f>IF(LEN(TRIM(E120))=0, "",VLOOKUP("Center Name",config!A:B,2,FALSE))</f>
        <v/>
      </c>
      <c r="O120" s="7" t="str">
        <f>IF(LEN(TRIM(E120))=0,"",VLOOKUP("Shipment Date",config!A:B,2,FALSE))</f>
        <v/>
      </c>
      <c r="P120" s="7" t="str">
        <f t="shared" si="5"/>
        <v/>
      </c>
      <c r="Q120" s="7" t="str">
        <f>IF(LEN(TRIM(D120))=0,"",GetConfigParameterValue("Collection Site"))</f>
        <v/>
      </c>
      <c r="R120" t="str">
        <f>IF(LEN(TRIM(E120))=0, "", GetManifestComments(H120))</f>
        <v/>
      </c>
      <c r="S120" t="str">
        <f>IF(LEN(TRIM(E120))=0,"",IF(ISERROR(VLOOKUP(E120,'Manifest MDB data'!A:A,1,FALSE)),"OK","EXISTS!!!"))</f>
        <v/>
      </c>
    </row>
    <row r="121" spans="4:19" x14ac:dyDescent="0.25">
      <c r="D121" t="str">
        <f t="shared" si="6"/>
        <v/>
      </c>
      <c r="E121" t="str">
        <f t="shared" si="7"/>
        <v/>
      </c>
      <c r="F121" t="str">
        <f t="shared" si="8"/>
        <v/>
      </c>
      <c r="G121" t="str">
        <f>IF(LEN(TRIM(E121))=0, "", GetSampleTissueBySpecimenPrep(H121))</f>
        <v/>
      </c>
      <c r="H121" t="str">
        <f>IF(LEN(TRIM(E121))=0, "", GetSpecimenPrepName())</f>
        <v/>
      </c>
      <c r="I121" t="str">
        <f>IF(LEN(TRIM(E121))=0, "", GetSampleVolumeBySpecimenPrep(H121))</f>
        <v/>
      </c>
      <c r="L121" t="str">
        <f>IF(LEN(TRIM(E121))=0,"",VLOOKUP("Manifest Id",config!A:B,2,FALSE))</f>
        <v/>
      </c>
      <c r="M121" t="str">
        <f>IF(LEN(TRIM(E121))=0, "",VLOOKUP("Project Name",config!A:B,2,FALSE))</f>
        <v/>
      </c>
      <c r="N121" t="str">
        <f>IF(LEN(TRIM(E121))=0, "",VLOOKUP("Center Name",config!A:B,2,FALSE))</f>
        <v/>
      </c>
      <c r="O121" s="7" t="str">
        <f>IF(LEN(TRIM(E121))=0,"",VLOOKUP("Shipment Date",config!A:B,2,FALSE))</f>
        <v/>
      </c>
      <c r="P121" s="7" t="str">
        <f t="shared" si="5"/>
        <v/>
      </c>
      <c r="Q121" s="7" t="str">
        <f>IF(LEN(TRIM(D121))=0,"",GetConfigParameterValue("Collection Site"))</f>
        <v/>
      </c>
      <c r="R121" t="str">
        <f>IF(LEN(TRIM(E121))=0, "", GetManifestComments(H121))</f>
        <v/>
      </c>
      <c r="S121" t="str">
        <f>IF(LEN(TRIM(E121))=0,"",IF(ISERROR(VLOOKUP(E121,'Manifest MDB data'!A:A,1,FALSE)),"OK","EXISTS!!!"))</f>
        <v/>
      </c>
    </row>
    <row r="122" spans="4:19" x14ac:dyDescent="0.25">
      <c r="D122" t="str">
        <f t="shared" si="6"/>
        <v/>
      </c>
      <c r="E122" t="str">
        <f t="shared" si="7"/>
        <v/>
      </c>
      <c r="F122" t="str">
        <f t="shared" si="8"/>
        <v/>
      </c>
      <c r="G122" t="str">
        <f>IF(LEN(TRIM(E122))=0, "", GetSampleTissueBySpecimenPrep(H122))</f>
        <v/>
      </c>
      <c r="H122" t="str">
        <f>IF(LEN(TRIM(E122))=0, "", GetSpecimenPrepName())</f>
        <v/>
      </c>
      <c r="I122" t="str">
        <f>IF(LEN(TRIM(E122))=0, "", GetSampleVolumeBySpecimenPrep(H122))</f>
        <v/>
      </c>
      <c r="L122" t="str">
        <f>IF(LEN(TRIM(E122))=0,"",VLOOKUP("Manifest Id",config!A:B,2,FALSE))</f>
        <v/>
      </c>
      <c r="M122" t="str">
        <f>IF(LEN(TRIM(E122))=0, "",VLOOKUP("Project Name",config!A:B,2,FALSE))</f>
        <v/>
      </c>
      <c r="N122" t="str">
        <f>IF(LEN(TRIM(E122))=0, "",VLOOKUP("Center Name",config!A:B,2,FALSE))</f>
        <v/>
      </c>
      <c r="O122" s="7" t="str">
        <f>IF(LEN(TRIM(E122))=0,"",VLOOKUP("Shipment Date",config!A:B,2,FALSE))</f>
        <v/>
      </c>
      <c r="P122" s="7" t="str">
        <f t="shared" si="5"/>
        <v/>
      </c>
      <c r="Q122" s="7" t="str">
        <f>IF(LEN(TRIM(D122))=0,"",GetConfigParameterValue("Collection Site"))</f>
        <v/>
      </c>
      <c r="R122" t="str">
        <f>IF(LEN(TRIM(E122))=0, "", GetManifestComments(H122))</f>
        <v/>
      </c>
      <c r="S122" t="str">
        <f>IF(LEN(TRIM(E122))=0,"",IF(ISERROR(VLOOKUP(E122,'Manifest MDB data'!A:A,1,FALSE)),"OK","EXISTS!!!"))</f>
        <v/>
      </c>
    </row>
    <row r="123" spans="4:19" x14ac:dyDescent="0.25">
      <c r="D123" t="str">
        <f t="shared" si="6"/>
        <v/>
      </c>
      <c r="E123" t="str">
        <f t="shared" si="7"/>
        <v/>
      </c>
      <c r="F123" t="str">
        <f t="shared" si="8"/>
        <v/>
      </c>
      <c r="G123" t="str">
        <f>IF(LEN(TRIM(E123))=0, "", GetSampleTissueBySpecimenPrep(H123))</f>
        <v/>
      </c>
      <c r="H123" t="str">
        <f>IF(LEN(TRIM(E123))=0, "", GetSpecimenPrepName())</f>
        <v/>
      </c>
      <c r="I123" t="str">
        <f>IF(LEN(TRIM(E123))=0, "", GetSampleVolumeBySpecimenPrep(H123))</f>
        <v/>
      </c>
      <c r="L123" t="str">
        <f>IF(LEN(TRIM(E123))=0,"",VLOOKUP("Manifest Id",config!A:B,2,FALSE))</f>
        <v/>
      </c>
      <c r="M123" t="str">
        <f>IF(LEN(TRIM(E123))=0, "",VLOOKUP("Project Name",config!A:B,2,FALSE))</f>
        <v/>
      </c>
      <c r="N123" t="str">
        <f>IF(LEN(TRIM(E123))=0, "",VLOOKUP("Center Name",config!A:B,2,FALSE))</f>
        <v/>
      </c>
      <c r="O123" s="7" t="str">
        <f>IF(LEN(TRIM(E123))=0,"",VLOOKUP("Shipment Date",config!A:B,2,FALSE))</f>
        <v/>
      </c>
      <c r="P123" s="7" t="str">
        <f t="shared" si="5"/>
        <v/>
      </c>
      <c r="Q123" s="7" t="str">
        <f>IF(LEN(TRIM(D123))=0,"",GetConfigParameterValue("Collection Site"))</f>
        <v/>
      </c>
      <c r="R123" t="str">
        <f>IF(LEN(TRIM(E123))=0, "", GetManifestComments(H123))</f>
        <v/>
      </c>
      <c r="S123" t="str">
        <f>IF(LEN(TRIM(E123))=0,"",IF(ISERROR(VLOOKUP(E123,'Manifest MDB data'!A:A,1,FALSE)),"OK","EXISTS!!!"))</f>
        <v/>
      </c>
    </row>
    <row r="124" spans="4:19" x14ac:dyDescent="0.25">
      <c r="D124" t="str">
        <f t="shared" si="6"/>
        <v/>
      </c>
      <c r="E124" t="str">
        <f t="shared" si="7"/>
        <v/>
      </c>
      <c r="F124" t="str">
        <f t="shared" si="8"/>
        <v/>
      </c>
      <c r="G124" t="str">
        <f>IF(LEN(TRIM(E124))=0, "", GetSampleTissueBySpecimenPrep(H124))</f>
        <v/>
      </c>
      <c r="H124" t="str">
        <f>IF(LEN(TRIM(E124))=0, "", GetSpecimenPrepName())</f>
        <v/>
      </c>
      <c r="I124" t="str">
        <f>IF(LEN(TRIM(E124))=0, "", GetSampleVolumeBySpecimenPrep(H124))</f>
        <v/>
      </c>
      <c r="L124" t="str">
        <f>IF(LEN(TRIM(E124))=0,"",VLOOKUP("Manifest Id",config!A:B,2,FALSE))</f>
        <v/>
      </c>
      <c r="M124" t="str">
        <f>IF(LEN(TRIM(E124))=0, "",VLOOKUP("Project Name",config!A:B,2,FALSE))</f>
        <v/>
      </c>
      <c r="N124" t="str">
        <f>IF(LEN(TRIM(E124))=0, "",VLOOKUP("Center Name",config!A:B,2,FALSE))</f>
        <v/>
      </c>
      <c r="O124" s="7" t="str">
        <f>IF(LEN(TRIM(E124))=0,"",VLOOKUP("Shipment Date",config!A:B,2,FALSE))</f>
        <v/>
      </c>
      <c r="P124" s="7" t="str">
        <f t="shared" si="5"/>
        <v/>
      </c>
      <c r="Q124" s="7" t="str">
        <f>IF(LEN(TRIM(D124))=0,"",GetConfigParameterValue("Collection Site"))</f>
        <v/>
      </c>
      <c r="R124" t="str">
        <f>IF(LEN(TRIM(E124))=0, "", GetManifestComments(H124))</f>
        <v/>
      </c>
      <c r="S124" t="str">
        <f>IF(LEN(TRIM(E124))=0,"",IF(ISERROR(VLOOKUP(E124,'Manifest MDB data'!A:A,1,FALSE)),"OK","EXISTS!!!"))</f>
        <v/>
      </c>
    </row>
    <row r="125" spans="4:19" x14ac:dyDescent="0.25">
      <c r="D125" t="str">
        <f t="shared" si="6"/>
        <v/>
      </c>
      <c r="E125" t="str">
        <f t="shared" si="7"/>
        <v/>
      </c>
      <c r="F125" t="str">
        <f t="shared" si="8"/>
        <v/>
      </c>
      <c r="G125" t="str">
        <f>IF(LEN(TRIM(E125))=0, "", GetSampleTissueBySpecimenPrep(H125))</f>
        <v/>
      </c>
      <c r="H125" t="str">
        <f>IF(LEN(TRIM(E125))=0, "", GetSpecimenPrepName())</f>
        <v/>
      </c>
      <c r="I125" t="str">
        <f>IF(LEN(TRIM(E125))=0, "", GetSampleVolumeBySpecimenPrep(H125))</f>
        <v/>
      </c>
      <c r="L125" t="str">
        <f>IF(LEN(TRIM(E125))=0,"",VLOOKUP("Manifest Id",config!A:B,2,FALSE))</f>
        <v/>
      </c>
      <c r="M125" t="str">
        <f>IF(LEN(TRIM(E125))=0, "",VLOOKUP("Project Name",config!A:B,2,FALSE))</f>
        <v/>
      </c>
      <c r="N125" t="str">
        <f>IF(LEN(TRIM(E125))=0, "",VLOOKUP("Center Name",config!A:B,2,FALSE))</f>
        <v/>
      </c>
      <c r="O125" s="7" t="str">
        <f>IF(LEN(TRIM(E125))=0,"",VLOOKUP("Shipment Date",config!A:B,2,FALSE))</f>
        <v/>
      </c>
      <c r="P125" s="7" t="str">
        <f t="shared" si="5"/>
        <v/>
      </c>
      <c r="Q125" s="7" t="str">
        <f>IF(LEN(TRIM(D125))=0,"",GetConfigParameterValue("Collection Site"))</f>
        <v/>
      </c>
      <c r="R125" t="str">
        <f>IF(LEN(TRIM(E125))=0, "", GetManifestComments(H125))</f>
        <v/>
      </c>
      <c r="S125" t="str">
        <f>IF(LEN(TRIM(E125))=0,"",IF(ISERROR(VLOOKUP(E125,'Manifest MDB data'!A:A,1,FALSE)),"OK","EXISTS!!!"))</f>
        <v/>
      </c>
    </row>
    <row r="126" spans="4:19" x14ac:dyDescent="0.25">
      <c r="D126" t="str">
        <f t="shared" si="6"/>
        <v/>
      </c>
      <c r="E126" t="str">
        <f t="shared" si="7"/>
        <v/>
      </c>
      <c r="F126" t="str">
        <f t="shared" si="8"/>
        <v/>
      </c>
      <c r="G126" t="str">
        <f>IF(LEN(TRIM(E126))=0, "", GetSampleTissueBySpecimenPrep(H126))</f>
        <v/>
      </c>
      <c r="H126" t="str">
        <f>IF(LEN(TRIM(E126))=0, "", GetSpecimenPrepName())</f>
        <v/>
      </c>
      <c r="I126" t="str">
        <f>IF(LEN(TRIM(E126))=0, "", GetSampleVolumeBySpecimenPrep(H126))</f>
        <v/>
      </c>
      <c r="L126" t="str">
        <f>IF(LEN(TRIM(E126))=0,"",VLOOKUP("Manifest Id",config!A:B,2,FALSE))</f>
        <v/>
      </c>
      <c r="M126" t="str">
        <f>IF(LEN(TRIM(E126))=0, "",VLOOKUP("Project Name",config!A:B,2,FALSE))</f>
        <v/>
      </c>
      <c r="N126" t="str">
        <f>IF(LEN(TRIM(E126))=0, "",VLOOKUP("Center Name",config!A:B,2,FALSE))</f>
        <v/>
      </c>
      <c r="O126" s="7" t="str">
        <f>IF(LEN(TRIM(E126))=0,"",VLOOKUP("Shipment Date",config!A:B,2,FALSE))</f>
        <v/>
      </c>
      <c r="P126" s="7" t="str">
        <f t="shared" si="5"/>
        <v/>
      </c>
      <c r="Q126" s="7" t="str">
        <f>IF(LEN(TRIM(D126))=0,"",GetConfigParameterValue("Collection Site"))</f>
        <v/>
      </c>
      <c r="R126" t="str">
        <f>IF(LEN(TRIM(E126))=0, "", GetManifestComments(H126))</f>
        <v/>
      </c>
      <c r="S126" t="str">
        <f>IF(LEN(TRIM(E126))=0,"",IF(ISERROR(VLOOKUP(E126,'Manifest MDB data'!A:A,1,FALSE)),"OK","EXISTS!!!"))</f>
        <v/>
      </c>
    </row>
    <row r="127" spans="4:19" x14ac:dyDescent="0.25">
      <c r="D127" t="str">
        <f t="shared" si="6"/>
        <v/>
      </c>
      <c r="E127" t="str">
        <f t="shared" si="7"/>
        <v/>
      </c>
      <c r="F127" t="str">
        <f t="shared" si="8"/>
        <v/>
      </c>
      <c r="G127" t="str">
        <f>IF(LEN(TRIM(E127))=0, "", GetSampleTissueBySpecimenPrep(H127))</f>
        <v/>
      </c>
      <c r="H127" t="str">
        <f>IF(LEN(TRIM(E127))=0, "", GetSpecimenPrepName())</f>
        <v/>
      </c>
      <c r="I127" t="str">
        <f>IF(LEN(TRIM(E127))=0, "", GetSampleVolumeBySpecimenPrep(H127))</f>
        <v/>
      </c>
      <c r="L127" t="str">
        <f>IF(LEN(TRIM(E127))=0,"",VLOOKUP("Manifest Id",config!A:B,2,FALSE))</f>
        <v/>
      </c>
      <c r="M127" t="str">
        <f>IF(LEN(TRIM(E127))=0, "",VLOOKUP("Project Name",config!A:B,2,FALSE))</f>
        <v/>
      </c>
      <c r="N127" t="str">
        <f>IF(LEN(TRIM(E127))=0, "",VLOOKUP("Center Name",config!A:B,2,FALSE))</f>
        <v/>
      </c>
      <c r="O127" s="7" t="str">
        <f>IF(LEN(TRIM(E127))=0,"",VLOOKUP("Shipment Date",config!A:B,2,FALSE))</f>
        <v/>
      </c>
      <c r="P127" s="7" t="str">
        <f t="shared" si="5"/>
        <v/>
      </c>
      <c r="Q127" s="7" t="str">
        <f>IF(LEN(TRIM(D127))=0,"",GetConfigParameterValue("Collection Site"))</f>
        <v/>
      </c>
      <c r="R127" t="str">
        <f>IF(LEN(TRIM(E127))=0, "", GetManifestComments(H127))</f>
        <v/>
      </c>
      <c r="S127" t="str">
        <f>IF(LEN(TRIM(E127))=0,"",IF(ISERROR(VLOOKUP(E127,'Manifest MDB data'!A:A,1,FALSE)),"OK","EXISTS!!!"))</f>
        <v/>
      </c>
    </row>
    <row r="128" spans="4:19" x14ac:dyDescent="0.25">
      <c r="D128" t="str">
        <f t="shared" si="6"/>
        <v/>
      </c>
      <c r="E128" t="str">
        <f t="shared" si="7"/>
        <v/>
      </c>
      <c r="F128" t="str">
        <f t="shared" si="8"/>
        <v/>
      </c>
      <c r="G128" t="str">
        <f>IF(LEN(TRIM(E128))=0, "", GetSampleTissueBySpecimenPrep(H128))</f>
        <v/>
      </c>
      <c r="H128" t="str">
        <f>IF(LEN(TRIM(E128))=0, "", GetSpecimenPrepName())</f>
        <v/>
      </c>
      <c r="I128" t="str">
        <f>IF(LEN(TRIM(E128))=0, "", GetSampleVolumeBySpecimenPrep(H128))</f>
        <v/>
      </c>
      <c r="L128" t="str">
        <f>IF(LEN(TRIM(E128))=0,"",VLOOKUP("Manifest Id",config!A:B,2,FALSE))</f>
        <v/>
      </c>
      <c r="M128" t="str">
        <f>IF(LEN(TRIM(E128))=0, "",VLOOKUP("Project Name",config!A:B,2,FALSE))</f>
        <v/>
      </c>
      <c r="N128" t="str">
        <f>IF(LEN(TRIM(E128))=0, "",VLOOKUP("Center Name",config!A:B,2,FALSE))</f>
        <v/>
      </c>
      <c r="O128" s="7" t="str">
        <f>IF(LEN(TRIM(E128))=0,"",VLOOKUP("Shipment Date",config!A:B,2,FALSE))</f>
        <v/>
      </c>
      <c r="P128" s="7" t="str">
        <f t="shared" si="5"/>
        <v/>
      </c>
      <c r="Q128" s="7" t="str">
        <f>IF(LEN(TRIM(D128))=0,"",GetConfigParameterValue("Collection Site"))</f>
        <v/>
      </c>
      <c r="R128" t="str">
        <f>IF(LEN(TRIM(E128))=0, "", GetManifestComments(H128))</f>
        <v/>
      </c>
      <c r="S128" t="str">
        <f>IF(LEN(TRIM(E128))=0,"",IF(ISERROR(VLOOKUP(E128,'Manifest MDB data'!A:A,1,FALSE)),"OK","EXISTS!!!"))</f>
        <v/>
      </c>
    </row>
    <row r="129" spans="4:19" x14ac:dyDescent="0.25">
      <c r="D129" t="str">
        <f t="shared" si="6"/>
        <v/>
      </c>
      <c r="E129" t="str">
        <f t="shared" si="7"/>
        <v/>
      </c>
      <c r="F129" t="str">
        <f t="shared" si="8"/>
        <v/>
      </c>
      <c r="G129" t="str">
        <f>IF(LEN(TRIM(E129))=0, "", GetSampleTissueBySpecimenPrep(H129))</f>
        <v/>
      </c>
      <c r="H129" t="str">
        <f>IF(LEN(TRIM(E129))=0, "", GetSpecimenPrepName())</f>
        <v/>
      </c>
      <c r="I129" t="str">
        <f>IF(LEN(TRIM(E129))=0, "", GetSampleVolumeBySpecimenPrep(H129))</f>
        <v/>
      </c>
      <c r="L129" t="str">
        <f>IF(LEN(TRIM(E129))=0,"",VLOOKUP("Manifest Id",config!A:B,2,FALSE))</f>
        <v/>
      </c>
      <c r="M129" t="str">
        <f>IF(LEN(TRIM(E129))=0, "",VLOOKUP("Project Name",config!A:B,2,FALSE))</f>
        <v/>
      </c>
      <c r="N129" t="str">
        <f>IF(LEN(TRIM(E129))=0, "",VLOOKUP("Center Name",config!A:B,2,FALSE))</f>
        <v/>
      </c>
      <c r="O129" s="7" t="str">
        <f>IF(LEN(TRIM(E129))=0,"",VLOOKUP("Shipment Date",config!A:B,2,FALSE))</f>
        <v/>
      </c>
      <c r="P129" s="7" t="str">
        <f t="shared" si="5"/>
        <v/>
      </c>
      <c r="Q129" s="7" t="str">
        <f>IF(LEN(TRIM(D129))=0,"",GetConfigParameterValue("Collection Site"))</f>
        <v/>
      </c>
      <c r="R129" t="str">
        <f>IF(LEN(TRIM(E129))=0, "", GetManifestComments(H129))</f>
        <v/>
      </c>
      <c r="S129" t="str">
        <f>IF(LEN(TRIM(E129))=0,"",IF(ISERROR(VLOOKUP(E129,'Manifest MDB data'!A:A,1,FALSE)),"OK","EXISTS!!!"))</f>
        <v/>
      </c>
    </row>
    <row r="130" spans="4:19" x14ac:dyDescent="0.25">
      <c r="D130" t="str">
        <f t="shared" si="6"/>
        <v/>
      </c>
      <c r="E130" t="str">
        <f t="shared" si="7"/>
        <v/>
      </c>
      <c r="F130" t="str">
        <f t="shared" si="8"/>
        <v/>
      </c>
      <c r="G130" t="str">
        <f>IF(LEN(TRIM(E130))=0, "", GetSampleTissueBySpecimenPrep(H130))</f>
        <v/>
      </c>
      <c r="H130" t="str">
        <f>IF(LEN(TRIM(E130))=0, "", GetSpecimenPrepName())</f>
        <v/>
      </c>
      <c r="I130" t="str">
        <f>IF(LEN(TRIM(E130))=0, "", GetSampleVolumeBySpecimenPrep(H130))</f>
        <v/>
      </c>
      <c r="L130" t="str">
        <f>IF(LEN(TRIM(E130))=0,"",VLOOKUP("Manifest Id",config!A:B,2,FALSE))</f>
        <v/>
      </c>
      <c r="M130" t="str">
        <f>IF(LEN(TRIM(E130))=0, "",VLOOKUP("Project Name",config!A:B,2,FALSE))</f>
        <v/>
      </c>
      <c r="N130" t="str">
        <f>IF(LEN(TRIM(E130))=0, "",VLOOKUP("Center Name",config!A:B,2,FALSE))</f>
        <v/>
      </c>
      <c r="O130" s="7" t="str">
        <f>IF(LEN(TRIM(E130))=0,"",VLOOKUP("Shipment Date",config!A:B,2,FALSE))</f>
        <v/>
      </c>
      <c r="P130" s="7" t="str">
        <f t="shared" ref="P130:P193" si="9">getColumnValueBySubjectID("Visit Date", RIGHT(LEFT(D130,7),4))</f>
        <v/>
      </c>
      <c r="Q130" s="7" t="str">
        <f>IF(LEN(TRIM(D130))=0,"",GetConfigParameterValue("Collection Site"))</f>
        <v/>
      </c>
      <c r="R130" t="str">
        <f>IF(LEN(TRIM(E130))=0, "", GetManifestComments(H130))</f>
        <v/>
      </c>
      <c r="S130" t="str">
        <f>IF(LEN(TRIM(E130))=0,"",IF(ISERROR(VLOOKUP(E130,'Manifest MDB data'!A:A,1,FALSE)),"OK","EXISTS!!!"))</f>
        <v/>
      </c>
    </row>
    <row r="131" spans="4:19" x14ac:dyDescent="0.25">
      <c r="D131" t="str">
        <f t="shared" ref="D131:D194" si="10">GetSampleId((ROW()))</f>
        <v/>
      </c>
      <c r="E131" t="str">
        <f t="shared" ref="E131:E194" si="11">GetAliquotId((ROW()))</f>
        <v/>
      </c>
      <c r="F131" t="str">
        <f t="shared" ref="F131:F194" si="12">IF(LEN(TRIM(E131))=0, "", "Human")</f>
        <v/>
      </c>
      <c r="G131" t="str">
        <f>IF(LEN(TRIM(E131))=0, "", GetSampleTissueBySpecimenPrep(H131))</f>
        <v/>
      </c>
      <c r="H131" t="str">
        <f>IF(LEN(TRIM(E131))=0, "", GetSpecimenPrepName())</f>
        <v/>
      </c>
      <c r="I131" t="str">
        <f>IF(LEN(TRIM(E131))=0, "", GetSampleVolumeBySpecimenPrep(H131))</f>
        <v/>
      </c>
      <c r="L131" t="str">
        <f>IF(LEN(TRIM(E131))=0,"",VLOOKUP("Manifest Id",config!A:B,2,FALSE))</f>
        <v/>
      </c>
      <c r="M131" t="str">
        <f>IF(LEN(TRIM(E131))=0, "",VLOOKUP("Project Name",config!A:B,2,FALSE))</f>
        <v/>
      </c>
      <c r="N131" t="str">
        <f>IF(LEN(TRIM(E131))=0, "",VLOOKUP("Center Name",config!A:B,2,FALSE))</f>
        <v/>
      </c>
      <c r="O131" s="7" t="str">
        <f>IF(LEN(TRIM(E131))=0,"",VLOOKUP("Shipment Date",config!A:B,2,FALSE))</f>
        <v/>
      </c>
      <c r="P131" s="7" t="str">
        <f t="shared" si="9"/>
        <v/>
      </c>
      <c r="Q131" s="7" t="str">
        <f>IF(LEN(TRIM(D131))=0,"",GetConfigParameterValue("Collection Site"))</f>
        <v/>
      </c>
      <c r="R131" t="str">
        <f>IF(LEN(TRIM(E131))=0, "", GetManifestComments(H131))</f>
        <v/>
      </c>
      <c r="S131" t="str">
        <f>IF(LEN(TRIM(E131))=0,"",IF(ISERROR(VLOOKUP(E131,'Manifest MDB data'!A:A,1,FALSE)),"OK","EXISTS!!!"))</f>
        <v/>
      </c>
    </row>
    <row r="132" spans="4:19" x14ac:dyDescent="0.25">
      <c r="D132" t="str">
        <f t="shared" si="10"/>
        <v/>
      </c>
      <c r="E132" t="str">
        <f t="shared" si="11"/>
        <v/>
      </c>
      <c r="F132" t="str">
        <f t="shared" si="12"/>
        <v/>
      </c>
      <c r="G132" t="str">
        <f>IF(LEN(TRIM(E132))=0, "", GetSampleTissueBySpecimenPrep(H132))</f>
        <v/>
      </c>
      <c r="H132" t="str">
        <f>IF(LEN(TRIM(E132))=0, "", GetSpecimenPrepName())</f>
        <v/>
      </c>
      <c r="I132" t="str">
        <f>IF(LEN(TRIM(E132))=0, "", GetSampleVolumeBySpecimenPrep(H132))</f>
        <v/>
      </c>
      <c r="L132" t="str">
        <f>IF(LEN(TRIM(E132))=0,"",VLOOKUP("Manifest Id",config!A:B,2,FALSE))</f>
        <v/>
      </c>
      <c r="M132" t="str">
        <f>IF(LEN(TRIM(E132))=0, "",VLOOKUP("Project Name",config!A:B,2,FALSE))</f>
        <v/>
      </c>
      <c r="N132" t="str">
        <f>IF(LEN(TRIM(E132))=0, "",VLOOKUP("Center Name",config!A:B,2,FALSE))</f>
        <v/>
      </c>
      <c r="O132" s="7" t="str">
        <f>IF(LEN(TRIM(E132))=0,"",VLOOKUP("Shipment Date",config!A:B,2,FALSE))</f>
        <v/>
      </c>
      <c r="P132" s="7" t="str">
        <f t="shared" si="9"/>
        <v/>
      </c>
      <c r="Q132" s="7" t="str">
        <f>IF(LEN(TRIM(D132))=0,"",GetConfigParameterValue("Collection Site"))</f>
        <v/>
      </c>
      <c r="R132" t="str">
        <f>IF(LEN(TRIM(E132))=0, "", GetManifestComments(H132))</f>
        <v/>
      </c>
      <c r="S132" t="str">
        <f>IF(LEN(TRIM(E132))=0,"",IF(ISERROR(VLOOKUP(E132,'Manifest MDB data'!A:A,1,FALSE)),"OK","EXISTS!!!"))</f>
        <v/>
      </c>
    </row>
    <row r="133" spans="4:19" x14ac:dyDescent="0.25">
      <c r="D133" t="str">
        <f t="shared" si="10"/>
        <v/>
      </c>
      <c r="E133" t="str">
        <f t="shared" si="11"/>
        <v/>
      </c>
      <c r="F133" t="str">
        <f t="shared" si="12"/>
        <v/>
      </c>
      <c r="G133" t="str">
        <f>IF(LEN(TRIM(E133))=0, "", GetSampleTissueBySpecimenPrep(H133))</f>
        <v/>
      </c>
      <c r="H133" t="str">
        <f>IF(LEN(TRIM(E133))=0, "", GetSpecimenPrepName())</f>
        <v/>
      </c>
      <c r="I133" t="str">
        <f>IF(LEN(TRIM(E133))=0, "", GetSampleVolumeBySpecimenPrep(H133))</f>
        <v/>
      </c>
      <c r="L133" t="str">
        <f>IF(LEN(TRIM(E133))=0,"",VLOOKUP("Manifest Id",config!A:B,2,FALSE))</f>
        <v/>
      </c>
      <c r="M133" t="str">
        <f>IF(LEN(TRIM(E133))=0, "",VLOOKUP("Project Name",config!A:B,2,FALSE))</f>
        <v/>
      </c>
      <c r="N133" t="str">
        <f>IF(LEN(TRIM(E133))=0, "",VLOOKUP("Center Name",config!A:B,2,FALSE))</f>
        <v/>
      </c>
      <c r="O133" s="7" t="str">
        <f>IF(LEN(TRIM(E133))=0,"",VLOOKUP("Shipment Date",config!A:B,2,FALSE))</f>
        <v/>
      </c>
      <c r="P133" s="7" t="str">
        <f t="shared" si="9"/>
        <v/>
      </c>
      <c r="Q133" s="7" t="str">
        <f>IF(LEN(TRIM(D133))=0,"",GetConfigParameterValue("Collection Site"))</f>
        <v/>
      </c>
      <c r="R133" t="str">
        <f>IF(LEN(TRIM(E133))=0, "", GetManifestComments(H133))</f>
        <v/>
      </c>
      <c r="S133" t="str">
        <f>IF(LEN(TRIM(E133))=0,"",IF(ISERROR(VLOOKUP(E133,'Manifest MDB data'!A:A,1,FALSE)),"OK","EXISTS!!!"))</f>
        <v/>
      </c>
    </row>
    <row r="134" spans="4:19" x14ac:dyDescent="0.25">
      <c r="D134" t="str">
        <f t="shared" si="10"/>
        <v/>
      </c>
      <c r="E134" t="str">
        <f t="shared" si="11"/>
        <v/>
      </c>
      <c r="F134" t="str">
        <f t="shared" si="12"/>
        <v/>
      </c>
      <c r="G134" t="str">
        <f>IF(LEN(TRIM(E134))=0, "", GetSampleTissueBySpecimenPrep(H134))</f>
        <v/>
      </c>
      <c r="H134" t="str">
        <f>IF(LEN(TRIM(E134))=0, "", GetSpecimenPrepName())</f>
        <v/>
      </c>
      <c r="I134" t="str">
        <f>IF(LEN(TRIM(E134))=0, "", GetSampleVolumeBySpecimenPrep(H134))</f>
        <v/>
      </c>
      <c r="L134" t="str">
        <f>IF(LEN(TRIM(E134))=0,"",VLOOKUP("Manifest Id",config!A:B,2,FALSE))</f>
        <v/>
      </c>
      <c r="M134" t="str">
        <f>IF(LEN(TRIM(E134))=0, "",VLOOKUP("Project Name",config!A:B,2,FALSE))</f>
        <v/>
      </c>
      <c r="N134" t="str">
        <f>IF(LEN(TRIM(E134))=0, "",VLOOKUP("Center Name",config!A:B,2,FALSE))</f>
        <v/>
      </c>
      <c r="O134" s="7" t="str">
        <f>IF(LEN(TRIM(E134))=0,"",VLOOKUP("Shipment Date",config!A:B,2,FALSE))</f>
        <v/>
      </c>
      <c r="P134" s="7" t="str">
        <f t="shared" si="9"/>
        <v/>
      </c>
      <c r="Q134" s="7" t="str">
        <f>IF(LEN(TRIM(D134))=0,"",GetConfigParameterValue("Collection Site"))</f>
        <v/>
      </c>
      <c r="R134" t="str">
        <f>IF(LEN(TRIM(E134))=0, "", GetManifestComments(H134))</f>
        <v/>
      </c>
      <c r="S134" t="str">
        <f>IF(LEN(TRIM(E134))=0,"",IF(ISERROR(VLOOKUP(E134,'Manifest MDB data'!A:A,1,FALSE)),"OK","EXISTS!!!"))</f>
        <v/>
      </c>
    </row>
    <row r="135" spans="4:19" x14ac:dyDescent="0.25">
      <c r="D135" t="str">
        <f t="shared" si="10"/>
        <v/>
      </c>
      <c r="E135" t="str">
        <f t="shared" si="11"/>
        <v/>
      </c>
      <c r="F135" t="str">
        <f t="shared" si="12"/>
        <v/>
      </c>
      <c r="G135" t="str">
        <f>IF(LEN(TRIM(E135))=0, "", GetSampleTissueBySpecimenPrep(H135))</f>
        <v/>
      </c>
      <c r="H135" t="str">
        <f>IF(LEN(TRIM(E135))=0, "", GetSpecimenPrepName())</f>
        <v/>
      </c>
      <c r="I135" t="str">
        <f>IF(LEN(TRIM(E135))=0, "", GetSampleVolumeBySpecimenPrep(H135))</f>
        <v/>
      </c>
      <c r="L135" t="str">
        <f>IF(LEN(TRIM(E135))=0,"",VLOOKUP("Manifest Id",config!A:B,2,FALSE))</f>
        <v/>
      </c>
      <c r="M135" t="str">
        <f>IF(LEN(TRIM(E135))=0, "",VLOOKUP("Project Name",config!A:B,2,FALSE))</f>
        <v/>
      </c>
      <c r="N135" t="str">
        <f>IF(LEN(TRIM(E135))=0, "",VLOOKUP("Center Name",config!A:B,2,FALSE))</f>
        <v/>
      </c>
      <c r="O135" s="7" t="str">
        <f>IF(LEN(TRIM(E135))=0,"",VLOOKUP("Shipment Date",config!A:B,2,FALSE))</f>
        <v/>
      </c>
      <c r="P135" s="7" t="str">
        <f t="shared" si="9"/>
        <v/>
      </c>
      <c r="Q135" s="7" t="str">
        <f>IF(LEN(TRIM(D135))=0,"",GetConfigParameterValue("Collection Site"))</f>
        <v/>
      </c>
      <c r="R135" t="str">
        <f>IF(LEN(TRIM(E135))=0, "", GetManifestComments(H135))</f>
        <v/>
      </c>
      <c r="S135" t="str">
        <f>IF(LEN(TRIM(E135))=0,"",IF(ISERROR(VLOOKUP(E135,'Manifest MDB data'!A:A,1,FALSE)),"OK","EXISTS!!!"))</f>
        <v/>
      </c>
    </row>
    <row r="136" spans="4:19" x14ac:dyDescent="0.25">
      <c r="D136" t="str">
        <f t="shared" si="10"/>
        <v/>
      </c>
      <c r="E136" t="str">
        <f t="shared" si="11"/>
        <v/>
      </c>
      <c r="F136" t="str">
        <f t="shared" si="12"/>
        <v/>
      </c>
      <c r="G136" t="str">
        <f>IF(LEN(TRIM(E136))=0, "", GetSampleTissueBySpecimenPrep(H136))</f>
        <v/>
      </c>
      <c r="H136" t="str">
        <f>IF(LEN(TRIM(E136))=0, "", GetSpecimenPrepName())</f>
        <v/>
      </c>
      <c r="I136" t="str">
        <f>IF(LEN(TRIM(E136))=0, "", GetSampleVolumeBySpecimenPrep(H136))</f>
        <v/>
      </c>
      <c r="L136" t="str">
        <f>IF(LEN(TRIM(E136))=0,"",VLOOKUP("Manifest Id",config!A:B,2,FALSE))</f>
        <v/>
      </c>
      <c r="M136" t="str">
        <f>IF(LEN(TRIM(E136))=0, "",VLOOKUP("Project Name",config!A:B,2,FALSE))</f>
        <v/>
      </c>
      <c r="N136" t="str">
        <f>IF(LEN(TRIM(E136))=0, "",VLOOKUP("Center Name",config!A:B,2,FALSE))</f>
        <v/>
      </c>
      <c r="O136" s="7" t="str">
        <f>IF(LEN(TRIM(E136))=0,"",VLOOKUP("Shipment Date",config!A:B,2,FALSE))</f>
        <v/>
      </c>
      <c r="P136" s="7" t="str">
        <f t="shared" si="9"/>
        <v/>
      </c>
      <c r="Q136" s="7" t="str">
        <f>IF(LEN(TRIM(D136))=0,"",GetConfigParameterValue("Collection Site"))</f>
        <v/>
      </c>
      <c r="R136" t="str">
        <f>IF(LEN(TRIM(E136))=0, "", GetManifestComments(H136))</f>
        <v/>
      </c>
      <c r="S136" t="str">
        <f>IF(LEN(TRIM(E136))=0,"",IF(ISERROR(VLOOKUP(E136,'Manifest MDB data'!A:A,1,FALSE)),"OK","EXISTS!!!"))</f>
        <v/>
      </c>
    </row>
    <row r="137" spans="4:19" x14ac:dyDescent="0.25">
      <c r="D137" t="str">
        <f t="shared" si="10"/>
        <v/>
      </c>
      <c r="E137" t="str">
        <f t="shared" si="11"/>
        <v/>
      </c>
      <c r="F137" t="str">
        <f t="shared" si="12"/>
        <v/>
      </c>
      <c r="G137" t="str">
        <f>IF(LEN(TRIM(E137))=0, "", GetSampleTissueBySpecimenPrep(H137))</f>
        <v/>
      </c>
      <c r="H137" t="str">
        <f>IF(LEN(TRIM(E137))=0, "", GetSpecimenPrepName())</f>
        <v/>
      </c>
      <c r="I137" t="str">
        <f>IF(LEN(TRIM(E137))=0, "", GetSampleVolumeBySpecimenPrep(H137))</f>
        <v/>
      </c>
      <c r="L137" t="str">
        <f>IF(LEN(TRIM(E137))=0,"",VLOOKUP("Manifest Id",config!A:B,2,FALSE))</f>
        <v/>
      </c>
      <c r="M137" t="str">
        <f>IF(LEN(TRIM(E137))=0, "",VLOOKUP("Project Name",config!A:B,2,FALSE))</f>
        <v/>
      </c>
      <c r="N137" t="str">
        <f>IF(LEN(TRIM(E137))=0, "",VLOOKUP("Center Name",config!A:B,2,FALSE))</f>
        <v/>
      </c>
      <c r="O137" s="7" t="str">
        <f>IF(LEN(TRIM(E137))=0,"",VLOOKUP("Shipment Date",config!A:B,2,FALSE))</f>
        <v/>
      </c>
      <c r="P137" s="7" t="str">
        <f t="shared" si="9"/>
        <v/>
      </c>
      <c r="Q137" s="7" t="str">
        <f>IF(LEN(TRIM(D137))=0,"",GetConfigParameterValue("Collection Site"))</f>
        <v/>
      </c>
      <c r="R137" t="str">
        <f>IF(LEN(TRIM(E137))=0, "", GetManifestComments(H137))</f>
        <v/>
      </c>
      <c r="S137" t="str">
        <f>IF(LEN(TRIM(E137))=0,"",IF(ISERROR(VLOOKUP(E137,'Manifest MDB data'!A:A,1,FALSE)),"OK","EXISTS!!!"))</f>
        <v/>
      </c>
    </row>
    <row r="138" spans="4:19" x14ac:dyDescent="0.25">
      <c r="D138" t="str">
        <f t="shared" si="10"/>
        <v/>
      </c>
      <c r="E138" t="str">
        <f t="shared" si="11"/>
        <v/>
      </c>
      <c r="F138" t="str">
        <f t="shared" si="12"/>
        <v/>
      </c>
      <c r="G138" t="str">
        <f>IF(LEN(TRIM(E138))=0, "", GetSampleTissueBySpecimenPrep(H138))</f>
        <v/>
      </c>
      <c r="H138" t="str">
        <f>IF(LEN(TRIM(E138))=0, "", GetSpecimenPrepName())</f>
        <v/>
      </c>
      <c r="I138" t="str">
        <f>IF(LEN(TRIM(E138))=0, "", GetSampleVolumeBySpecimenPrep(H138))</f>
        <v/>
      </c>
      <c r="L138" t="str">
        <f>IF(LEN(TRIM(E138))=0,"",VLOOKUP("Manifest Id",config!A:B,2,FALSE))</f>
        <v/>
      </c>
      <c r="M138" t="str">
        <f>IF(LEN(TRIM(E138))=0, "",VLOOKUP("Project Name",config!A:B,2,FALSE))</f>
        <v/>
      </c>
      <c r="N138" t="str">
        <f>IF(LEN(TRIM(E138))=0, "",VLOOKUP("Center Name",config!A:B,2,FALSE))</f>
        <v/>
      </c>
      <c r="O138" s="7" t="str">
        <f>IF(LEN(TRIM(E138))=0,"",VLOOKUP("Shipment Date",config!A:B,2,FALSE))</f>
        <v/>
      </c>
      <c r="P138" s="7" t="str">
        <f t="shared" si="9"/>
        <v/>
      </c>
      <c r="Q138" s="7" t="str">
        <f>IF(LEN(TRIM(D138))=0,"",GetConfigParameterValue("Collection Site"))</f>
        <v/>
      </c>
      <c r="R138" t="str">
        <f>IF(LEN(TRIM(E138))=0, "", GetManifestComments(H138))</f>
        <v/>
      </c>
      <c r="S138" t="str">
        <f>IF(LEN(TRIM(E138))=0,"",IF(ISERROR(VLOOKUP(E138,'Manifest MDB data'!A:A,1,FALSE)),"OK","EXISTS!!!"))</f>
        <v/>
      </c>
    </row>
    <row r="139" spans="4:19" x14ac:dyDescent="0.25">
      <c r="D139" t="str">
        <f t="shared" si="10"/>
        <v/>
      </c>
      <c r="E139" t="str">
        <f t="shared" si="11"/>
        <v/>
      </c>
      <c r="F139" t="str">
        <f t="shared" si="12"/>
        <v/>
      </c>
      <c r="G139" t="str">
        <f>IF(LEN(TRIM(E139))=0, "", GetSampleTissueBySpecimenPrep(H139))</f>
        <v/>
      </c>
      <c r="H139" t="str">
        <f>IF(LEN(TRIM(E139))=0, "", GetSpecimenPrepName())</f>
        <v/>
      </c>
      <c r="I139" t="str">
        <f>IF(LEN(TRIM(E139))=0, "", GetSampleVolumeBySpecimenPrep(H139))</f>
        <v/>
      </c>
      <c r="L139" t="str">
        <f>IF(LEN(TRIM(E139))=0,"",VLOOKUP("Manifest Id",config!A:B,2,FALSE))</f>
        <v/>
      </c>
      <c r="M139" t="str">
        <f>IF(LEN(TRIM(E139))=0, "",VLOOKUP("Project Name",config!A:B,2,FALSE))</f>
        <v/>
      </c>
      <c r="N139" t="str">
        <f>IF(LEN(TRIM(E139))=0, "",VLOOKUP("Center Name",config!A:B,2,FALSE))</f>
        <v/>
      </c>
      <c r="O139" s="7" t="str">
        <f>IF(LEN(TRIM(E139))=0,"",VLOOKUP("Shipment Date",config!A:B,2,FALSE))</f>
        <v/>
      </c>
      <c r="P139" s="7" t="str">
        <f t="shared" si="9"/>
        <v/>
      </c>
      <c r="Q139" s="7" t="str">
        <f>IF(LEN(TRIM(D139))=0,"",GetConfigParameterValue("Collection Site"))</f>
        <v/>
      </c>
      <c r="R139" t="str">
        <f>IF(LEN(TRIM(E139))=0, "", GetManifestComments(H139))</f>
        <v/>
      </c>
      <c r="S139" t="str">
        <f>IF(LEN(TRIM(E139))=0,"",IF(ISERROR(VLOOKUP(E139,'Manifest MDB data'!A:A,1,FALSE)),"OK","EXISTS!!!"))</f>
        <v/>
      </c>
    </row>
    <row r="140" spans="4:19" x14ac:dyDescent="0.25">
      <c r="D140" t="str">
        <f t="shared" si="10"/>
        <v/>
      </c>
      <c r="E140" t="str">
        <f t="shared" si="11"/>
        <v/>
      </c>
      <c r="F140" t="str">
        <f t="shared" si="12"/>
        <v/>
      </c>
      <c r="G140" t="str">
        <f>IF(LEN(TRIM(E140))=0, "", GetSampleTissueBySpecimenPrep(H140))</f>
        <v/>
      </c>
      <c r="H140" t="str">
        <f>IF(LEN(TRIM(E140))=0, "", GetSpecimenPrepName())</f>
        <v/>
      </c>
      <c r="I140" t="str">
        <f>IF(LEN(TRIM(E140))=0, "", GetSampleVolumeBySpecimenPrep(H140))</f>
        <v/>
      </c>
      <c r="L140" t="str">
        <f>IF(LEN(TRIM(E140))=0,"",VLOOKUP("Manifest Id",config!A:B,2,FALSE))</f>
        <v/>
      </c>
      <c r="M140" t="str">
        <f>IF(LEN(TRIM(E140))=0, "",VLOOKUP("Project Name",config!A:B,2,FALSE))</f>
        <v/>
      </c>
      <c r="N140" t="str">
        <f>IF(LEN(TRIM(E140))=0, "",VLOOKUP("Center Name",config!A:B,2,FALSE))</f>
        <v/>
      </c>
      <c r="O140" s="7" t="str">
        <f>IF(LEN(TRIM(E140))=0,"",VLOOKUP("Shipment Date",config!A:B,2,FALSE))</f>
        <v/>
      </c>
      <c r="P140" s="7" t="str">
        <f t="shared" si="9"/>
        <v/>
      </c>
      <c r="Q140" s="7" t="str">
        <f>IF(LEN(TRIM(D140))=0,"",GetConfigParameterValue("Collection Site"))</f>
        <v/>
      </c>
      <c r="R140" t="str">
        <f>IF(LEN(TRIM(E140))=0, "", GetManifestComments(H140))</f>
        <v/>
      </c>
      <c r="S140" t="str">
        <f>IF(LEN(TRIM(E140))=0,"",IF(ISERROR(VLOOKUP(E140,'Manifest MDB data'!A:A,1,FALSE)),"OK","EXISTS!!!"))</f>
        <v/>
      </c>
    </row>
    <row r="141" spans="4:19" x14ac:dyDescent="0.25">
      <c r="D141" t="str">
        <f t="shared" si="10"/>
        <v/>
      </c>
      <c r="E141" t="str">
        <f t="shared" si="11"/>
        <v/>
      </c>
      <c r="F141" t="str">
        <f t="shared" si="12"/>
        <v/>
      </c>
      <c r="G141" t="str">
        <f>IF(LEN(TRIM(E141))=0, "", GetSampleTissueBySpecimenPrep(H141))</f>
        <v/>
      </c>
      <c r="H141" t="str">
        <f>IF(LEN(TRIM(E141))=0, "", GetSpecimenPrepName())</f>
        <v/>
      </c>
      <c r="I141" t="str">
        <f>IF(LEN(TRIM(E141))=0, "", GetSampleVolumeBySpecimenPrep(H141))</f>
        <v/>
      </c>
      <c r="L141" t="str">
        <f>IF(LEN(TRIM(E141))=0,"",VLOOKUP("Manifest Id",config!A:B,2,FALSE))</f>
        <v/>
      </c>
      <c r="M141" t="str">
        <f>IF(LEN(TRIM(E141))=0, "",VLOOKUP("Project Name",config!A:B,2,FALSE))</f>
        <v/>
      </c>
      <c r="N141" t="str">
        <f>IF(LEN(TRIM(E141))=0, "",VLOOKUP("Center Name",config!A:B,2,FALSE))</f>
        <v/>
      </c>
      <c r="O141" s="7" t="str">
        <f>IF(LEN(TRIM(E141))=0,"",VLOOKUP("Shipment Date",config!A:B,2,FALSE))</f>
        <v/>
      </c>
      <c r="P141" s="7" t="str">
        <f t="shared" si="9"/>
        <v/>
      </c>
      <c r="Q141" s="7" t="str">
        <f>IF(LEN(TRIM(D141))=0,"",GetConfigParameterValue("Collection Site"))</f>
        <v/>
      </c>
      <c r="R141" t="str">
        <f>IF(LEN(TRIM(E141))=0, "", GetManifestComments(H141))</f>
        <v/>
      </c>
      <c r="S141" t="str">
        <f>IF(LEN(TRIM(E141))=0,"",IF(ISERROR(VLOOKUP(E141,'Manifest MDB data'!A:A,1,FALSE)),"OK","EXISTS!!!"))</f>
        <v/>
      </c>
    </row>
    <row r="142" spans="4:19" x14ac:dyDescent="0.25">
      <c r="D142" t="str">
        <f t="shared" si="10"/>
        <v/>
      </c>
      <c r="E142" t="str">
        <f t="shared" si="11"/>
        <v/>
      </c>
      <c r="F142" t="str">
        <f t="shared" si="12"/>
        <v/>
      </c>
      <c r="G142" t="str">
        <f>IF(LEN(TRIM(E142))=0, "", GetSampleTissueBySpecimenPrep(H142))</f>
        <v/>
      </c>
      <c r="H142" t="str">
        <f>IF(LEN(TRIM(E142))=0, "", GetSpecimenPrepName())</f>
        <v/>
      </c>
      <c r="I142" t="str">
        <f>IF(LEN(TRIM(E142))=0, "", GetSampleVolumeBySpecimenPrep(H142))</f>
        <v/>
      </c>
      <c r="L142" t="str">
        <f>IF(LEN(TRIM(E142))=0,"",VLOOKUP("Manifest Id",config!A:B,2,FALSE))</f>
        <v/>
      </c>
      <c r="M142" t="str">
        <f>IF(LEN(TRIM(E142))=0, "",VLOOKUP("Project Name",config!A:B,2,FALSE))</f>
        <v/>
      </c>
      <c r="N142" t="str">
        <f>IF(LEN(TRIM(E142))=0, "",VLOOKUP("Center Name",config!A:B,2,FALSE))</f>
        <v/>
      </c>
      <c r="O142" s="7" t="str">
        <f>IF(LEN(TRIM(E142))=0,"",VLOOKUP("Shipment Date",config!A:B,2,FALSE))</f>
        <v/>
      </c>
      <c r="P142" s="7" t="str">
        <f t="shared" si="9"/>
        <v/>
      </c>
      <c r="Q142" s="7" t="str">
        <f>IF(LEN(TRIM(D142))=0,"",GetConfigParameterValue("Collection Site"))</f>
        <v/>
      </c>
      <c r="R142" t="str">
        <f>IF(LEN(TRIM(E142))=0, "", GetManifestComments(H142))</f>
        <v/>
      </c>
      <c r="S142" t="str">
        <f>IF(LEN(TRIM(E142))=0,"",IF(ISERROR(VLOOKUP(E142,'Manifest MDB data'!A:A,1,FALSE)),"OK","EXISTS!!!"))</f>
        <v/>
      </c>
    </row>
    <row r="143" spans="4:19" x14ac:dyDescent="0.25">
      <c r="D143" t="str">
        <f t="shared" si="10"/>
        <v/>
      </c>
      <c r="E143" t="str">
        <f t="shared" si="11"/>
        <v/>
      </c>
      <c r="F143" t="str">
        <f t="shared" si="12"/>
        <v/>
      </c>
      <c r="G143" t="str">
        <f>IF(LEN(TRIM(E143))=0, "", GetSampleTissueBySpecimenPrep(H143))</f>
        <v/>
      </c>
      <c r="H143" t="str">
        <f>IF(LEN(TRIM(E143))=0, "", GetSpecimenPrepName())</f>
        <v/>
      </c>
      <c r="I143" t="str">
        <f>IF(LEN(TRIM(E143))=0, "", GetSampleVolumeBySpecimenPrep(H143))</f>
        <v/>
      </c>
      <c r="L143" t="str">
        <f>IF(LEN(TRIM(E143))=0,"",VLOOKUP("Manifest Id",config!A:B,2,FALSE))</f>
        <v/>
      </c>
      <c r="M143" t="str">
        <f>IF(LEN(TRIM(E143))=0, "",VLOOKUP("Project Name",config!A:B,2,FALSE))</f>
        <v/>
      </c>
      <c r="N143" t="str">
        <f>IF(LEN(TRIM(E143))=0, "",VLOOKUP("Center Name",config!A:B,2,FALSE))</f>
        <v/>
      </c>
      <c r="O143" s="7" t="str">
        <f>IF(LEN(TRIM(E143))=0,"",VLOOKUP("Shipment Date",config!A:B,2,FALSE))</f>
        <v/>
      </c>
      <c r="P143" s="7" t="str">
        <f t="shared" si="9"/>
        <v/>
      </c>
      <c r="Q143" s="7" t="str">
        <f>IF(LEN(TRIM(D143))=0,"",GetConfigParameterValue("Collection Site"))</f>
        <v/>
      </c>
      <c r="R143" t="str">
        <f>IF(LEN(TRIM(E143))=0, "", GetManifestComments(H143))</f>
        <v/>
      </c>
      <c r="S143" t="str">
        <f>IF(LEN(TRIM(E143))=0,"",IF(ISERROR(VLOOKUP(E143,'Manifest MDB data'!A:A,1,FALSE)),"OK","EXISTS!!!"))</f>
        <v/>
      </c>
    </row>
    <row r="144" spans="4:19" x14ac:dyDescent="0.25">
      <c r="D144" t="str">
        <f t="shared" si="10"/>
        <v/>
      </c>
      <c r="E144" t="str">
        <f t="shared" si="11"/>
        <v/>
      </c>
      <c r="F144" t="str">
        <f t="shared" si="12"/>
        <v/>
      </c>
      <c r="G144" t="str">
        <f>IF(LEN(TRIM(E144))=0, "", GetSampleTissueBySpecimenPrep(H144))</f>
        <v/>
      </c>
      <c r="H144" t="str">
        <f>IF(LEN(TRIM(E144))=0, "", GetSpecimenPrepName())</f>
        <v/>
      </c>
      <c r="I144" t="str">
        <f>IF(LEN(TRIM(E144))=0, "", GetSampleVolumeBySpecimenPrep(H144))</f>
        <v/>
      </c>
      <c r="L144" t="str">
        <f>IF(LEN(TRIM(E144))=0,"",VLOOKUP("Manifest Id",config!A:B,2,FALSE))</f>
        <v/>
      </c>
      <c r="M144" t="str">
        <f>IF(LEN(TRIM(E144))=0, "",VLOOKUP("Project Name",config!A:B,2,FALSE))</f>
        <v/>
      </c>
      <c r="N144" t="str">
        <f>IF(LEN(TRIM(E144))=0, "",VLOOKUP("Center Name",config!A:B,2,FALSE))</f>
        <v/>
      </c>
      <c r="O144" s="7" t="str">
        <f>IF(LEN(TRIM(E144))=0,"",VLOOKUP("Shipment Date",config!A:B,2,FALSE))</f>
        <v/>
      </c>
      <c r="P144" s="7" t="str">
        <f t="shared" si="9"/>
        <v/>
      </c>
      <c r="Q144" s="7" t="str">
        <f>IF(LEN(TRIM(D144))=0,"",GetConfigParameterValue("Collection Site"))</f>
        <v/>
      </c>
      <c r="R144" t="str">
        <f>IF(LEN(TRIM(E144))=0, "", GetManifestComments(H144))</f>
        <v/>
      </c>
      <c r="S144" t="str">
        <f>IF(LEN(TRIM(E144))=0,"",IF(ISERROR(VLOOKUP(E144,'Manifest MDB data'!A:A,1,FALSE)),"OK","EXISTS!!!"))</f>
        <v/>
      </c>
    </row>
    <row r="145" spans="4:19" x14ac:dyDescent="0.25">
      <c r="D145" t="str">
        <f t="shared" si="10"/>
        <v/>
      </c>
      <c r="E145" t="str">
        <f t="shared" si="11"/>
        <v/>
      </c>
      <c r="F145" t="str">
        <f t="shared" si="12"/>
        <v/>
      </c>
      <c r="G145" t="str">
        <f>IF(LEN(TRIM(E145))=0, "", GetSampleTissueBySpecimenPrep(H145))</f>
        <v/>
      </c>
      <c r="H145" t="str">
        <f>IF(LEN(TRIM(E145))=0, "", GetSpecimenPrepName())</f>
        <v/>
      </c>
      <c r="I145" t="str">
        <f>IF(LEN(TRIM(E145))=0, "", GetSampleVolumeBySpecimenPrep(H145))</f>
        <v/>
      </c>
      <c r="L145" t="str">
        <f>IF(LEN(TRIM(E145))=0,"",VLOOKUP("Manifest Id",config!A:B,2,FALSE))</f>
        <v/>
      </c>
      <c r="M145" t="str">
        <f>IF(LEN(TRIM(E145))=0, "",VLOOKUP("Project Name",config!A:B,2,FALSE))</f>
        <v/>
      </c>
      <c r="N145" t="str">
        <f>IF(LEN(TRIM(E145))=0, "",VLOOKUP("Center Name",config!A:B,2,FALSE))</f>
        <v/>
      </c>
      <c r="O145" s="7" t="str">
        <f>IF(LEN(TRIM(E145))=0,"",VLOOKUP("Shipment Date",config!A:B,2,FALSE))</f>
        <v/>
      </c>
      <c r="P145" s="7" t="str">
        <f t="shared" si="9"/>
        <v/>
      </c>
      <c r="Q145" s="7" t="str">
        <f>IF(LEN(TRIM(D145))=0,"",GetConfigParameterValue("Collection Site"))</f>
        <v/>
      </c>
      <c r="R145" t="str">
        <f>IF(LEN(TRIM(E145))=0, "", GetManifestComments(H145))</f>
        <v/>
      </c>
      <c r="S145" t="str">
        <f>IF(LEN(TRIM(E145))=0,"",IF(ISERROR(VLOOKUP(E145,'Manifest MDB data'!A:A,1,FALSE)),"OK","EXISTS!!!"))</f>
        <v/>
      </c>
    </row>
    <row r="146" spans="4:19" x14ac:dyDescent="0.25">
      <c r="D146" t="str">
        <f t="shared" si="10"/>
        <v/>
      </c>
      <c r="E146" t="str">
        <f t="shared" si="11"/>
        <v/>
      </c>
      <c r="F146" t="str">
        <f t="shared" si="12"/>
        <v/>
      </c>
      <c r="G146" t="str">
        <f>IF(LEN(TRIM(E146))=0, "", GetSampleTissueBySpecimenPrep(H146))</f>
        <v/>
      </c>
      <c r="H146" t="str">
        <f>IF(LEN(TRIM(E146))=0, "", GetSpecimenPrepName())</f>
        <v/>
      </c>
      <c r="I146" t="str">
        <f>IF(LEN(TRIM(E146))=0, "", GetSampleVolumeBySpecimenPrep(H146))</f>
        <v/>
      </c>
      <c r="L146" t="str">
        <f>IF(LEN(TRIM(E146))=0,"",VLOOKUP("Manifest Id",config!A:B,2,FALSE))</f>
        <v/>
      </c>
      <c r="M146" t="str">
        <f>IF(LEN(TRIM(E146))=0, "",VLOOKUP("Project Name",config!A:B,2,FALSE))</f>
        <v/>
      </c>
      <c r="N146" t="str">
        <f>IF(LEN(TRIM(E146))=0, "",VLOOKUP("Center Name",config!A:B,2,FALSE))</f>
        <v/>
      </c>
      <c r="O146" s="7" t="str">
        <f>IF(LEN(TRIM(E146))=0,"",VLOOKUP("Shipment Date",config!A:B,2,FALSE))</f>
        <v/>
      </c>
      <c r="P146" s="7" t="str">
        <f t="shared" si="9"/>
        <v/>
      </c>
      <c r="Q146" s="7" t="str">
        <f>IF(LEN(TRIM(D146))=0,"",GetConfigParameterValue("Collection Site"))</f>
        <v/>
      </c>
      <c r="R146" t="str">
        <f>IF(LEN(TRIM(E146))=0, "", GetManifestComments(H146))</f>
        <v/>
      </c>
      <c r="S146" t="str">
        <f>IF(LEN(TRIM(E146))=0,"",IF(ISERROR(VLOOKUP(E146,'Manifest MDB data'!A:A,1,FALSE)),"OK","EXISTS!!!"))</f>
        <v/>
      </c>
    </row>
    <row r="147" spans="4:19" x14ac:dyDescent="0.25">
      <c r="D147" t="str">
        <f t="shared" si="10"/>
        <v/>
      </c>
      <c r="E147" t="str">
        <f t="shared" si="11"/>
        <v/>
      </c>
      <c r="F147" t="str">
        <f t="shared" si="12"/>
        <v/>
      </c>
      <c r="G147" t="str">
        <f>IF(LEN(TRIM(E147))=0, "", GetSampleTissueBySpecimenPrep(H147))</f>
        <v/>
      </c>
      <c r="H147" t="str">
        <f>IF(LEN(TRIM(E147))=0, "", GetSpecimenPrepName())</f>
        <v/>
      </c>
      <c r="I147" t="str">
        <f>IF(LEN(TRIM(E147))=0, "", GetSampleVolumeBySpecimenPrep(H147))</f>
        <v/>
      </c>
      <c r="L147" t="str">
        <f>IF(LEN(TRIM(E147))=0,"",VLOOKUP("Manifest Id",config!A:B,2,FALSE))</f>
        <v/>
      </c>
      <c r="M147" t="str">
        <f>IF(LEN(TRIM(E147))=0, "",VLOOKUP("Project Name",config!A:B,2,FALSE))</f>
        <v/>
      </c>
      <c r="N147" t="str">
        <f>IF(LEN(TRIM(E147))=0, "",VLOOKUP("Center Name",config!A:B,2,FALSE))</f>
        <v/>
      </c>
      <c r="O147" s="7" t="str">
        <f>IF(LEN(TRIM(E147))=0,"",VLOOKUP("Shipment Date",config!A:B,2,FALSE))</f>
        <v/>
      </c>
      <c r="P147" s="7" t="str">
        <f t="shared" si="9"/>
        <v/>
      </c>
      <c r="Q147" s="7" t="str">
        <f>IF(LEN(TRIM(D147))=0,"",GetConfigParameterValue("Collection Site"))</f>
        <v/>
      </c>
      <c r="R147" t="str">
        <f>IF(LEN(TRIM(E147))=0, "", GetManifestComments(H147))</f>
        <v/>
      </c>
      <c r="S147" t="str">
        <f>IF(LEN(TRIM(E147))=0,"",IF(ISERROR(VLOOKUP(E147,'Manifest MDB data'!A:A,1,FALSE)),"OK","EXISTS!!!"))</f>
        <v/>
      </c>
    </row>
    <row r="148" spans="4:19" x14ac:dyDescent="0.25">
      <c r="D148" t="str">
        <f t="shared" si="10"/>
        <v/>
      </c>
      <c r="E148" t="str">
        <f t="shared" si="11"/>
        <v/>
      </c>
      <c r="F148" t="str">
        <f t="shared" si="12"/>
        <v/>
      </c>
      <c r="G148" t="str">
        <f>IF(LEN(TRIM(E148))=0, "", GetSampleTissueBySpecimenPrep(H148))</f>
        <v/>
      </c>
      <c r="H148" t="str">
        <f>IF(LEN(TRIM(E148))=0, "", GetSpecimenPrepName())</f>
        <v/>
      </c>
      <c r="I148" t="str">
        <f>IF(LEN(TRIM(E148))=0, "", GetSampleVolumeBySpecimenPrep(H148))</f>
        <v/>
      </c>
      <c r="L148" t="str">
        <f>IF(LEN(TRIM(E148))=0,"",VLOOKUP("Manifest Id",config!A:B,2,FALSE))</f>
        <v/>
      </c>
      <c r="M148" t="str">
        <f>IF(LEN(TRIM(E148))=0, "",VLOOKUP("Project Name",config!A:B,2,FALSE))</f>
        <v/>
      </c>
      <c r="N148" t="str">
        <f>IF(LEN(TRIM(E148))=0, "",VLOOKUP("Center Name",config!A:B,2,FALSE))</f>
        <v/>
      </c>
      <c r="O148" s="7" t="str">
        <f>IF(LEN(TRIM(E148))=0,"",VLOOKUP("Shipment Date",config!A:B,2,FALSE))</f>
        <v/>
      </c>
      <c r="P148" s="7" t="str">
        <f t="shared" si="9"/>
        <v/>
      </c>
      <c r="Q148" s="7" t="str">
        <f>IF(LEN(TRIM(D148))=0,"",GetConfigParameterValue("Collection Site"))</f>
        <v/>
      </c>
      <c r="R148" t="str">
        <f>IF(LEN(TRIM(E148))=0, "", GetManifestComments(H148))</f>
        <v/>
      </c>
      <c r="S148" t="str">
        <f>IF(LEN(TRIM(E148))=0,"",IF(ISERROR(VLOOKUP(E148,'Manifest MDB data'!A:A,1,FALSE)),"OK","EXISTS!!!"))</f>
        <v/>
      </c>
    </row>
    <row r="149" spans="4:19" x14ac:dyDescent="0.25">
      <c r="D149" t="str">
        <f t="shared" si="10"/>
        <v/>
      </c>
      <c r="E149" t="str">
        <f t="shared" si="11"/>
        <v/>
      </c>
      <c r="F149" t="str">
        <f t="shared" si="12"/>
        <v/>
      </c>
      <c r="G149" t="str">
        <f>IF(LEN(TRIM(E149))=0, "", GetSampleTissueBySpecimenPrep(H149))</f>
        <v/>
      </c>
      <c r="H149" t="str">
        <f>IF(LEN(TRIM(E149))=0, "", GetSpecimenPrepName())</f>
        <v/>
      </c>
      <c r="I149" t="str">
        <f>IF(LEN(TRIM(E149))=0, "", GetSampleVolumeBySpecimenPrep(H149))</f>
        <v/>
      </c>
      <c r="L149" t="str">
        <f>IF(LEN(TRIM(E149))=0,"",VLOOKUP("Manifest Id",config!A:B,2,FALSE))</f>
        <v/>
      </c>
      <c r="M149" t="str">
        <f>IF(LEN(TRIM(E149))=0, "",VLOOKUP("Project Name",config!A:B,2,FALSE))</f>
        <v/>
      </c>
      <c r="N149" t="str">
        <f>IF(LEN(TRIM(E149))=0, "",VLOOKUP("Center Name",config!A:B,2,FALSE))</f>
        <v/>
      </c>
      <c r="O149" s="7" t="str">
        <f>IF(LEN(TRIM(E149))=0,"",VLOOKUP("Shipment Date",config!A:B,2,FALSE))</f>
        <v/>
      </c>
      <c r="P149" s="7" t="str">
        <f t="shared" si="9"/>
        <v/>
      </c>
      <c r="Q149" s="7" t="str">
        <f>IF(LEN(TRIM(D149))=0,"",GetConfigParameterValue("Collection Site"))</f>
        <v/>
      </c>
      <c r="R149" t="str">
        <f>IF(LEN(TRIM(E149))=0, "", GetManifestComments(H149))</f>
        <v/>
      </c>
      <c r="S149" t="str">
        <f>IF(LEN(TRIM(E149))=0,"",IF(ISERROR(VLOOKUP(E149,'Manifest MDB data'!A:A,1,FALSE)),"OK","EXISTS!!!"))</f>
        <v/>
      </c>
    </row>
    <row r="150" spans="4:19" x14ac:dyDescent="0.25">
      <c r="D150" t="str">
        <f t="shared" si="10"/>
        <v/>
      </c>
      <c r="E150" t="str">
        <f t="shared" si="11"/>
        <v/>
      </c>
      <c r="F150" t="str">
        <f t="shared" si="12"/>
        <v/>
      </c>
      <c r="G150" t="str">
        <f>IF(LEN(TRIM(E150))=0, "", GetSampleTissueBySpecimenPrep(H150))</f>
        <v/>
      </c>
      <c r="H150" t="str">
        <f>IF(LEN(TRIM(E150))=0, "", GetSpecimenPrepName())</f>
        <v/>
      </c>
      <c r="I150" t="str">
        <f>IF(LEN(TRIM(E150))=0, "", GetSampleVolumeBySpecimenPrep(H150))</f>
        <v/>
      </c>
      <c r="L150" t="str">
        <f>IF(LEN(TRIM(E150))=0,"",VLOOKUP("Manifest Id",config!A:B,2,FALSE))</f>
        <v/>
      </c>
      <c r="M150" t="str">
        <f>IF(LEN(TRIM(E150))=0, "",VLOOKUP("Project Name",config!A:B,2,FALSE))</f>
        <v/>
      </c>
      <c r="N150" t="str">
        <f>IF(LEN(TRIM(E150))=0, "",VLOOKUP("Center Name",config!A:B,2,FALSE))</f>
        <v/>
      </c>
      <c r="O150" s="7" t="str">
        <f>IF(LEN(TRIM(E150))=0,"",VLOOKUP("Shipment Date",config!A:B,2,FALSE))</f>
        <v/>
      </c>
      <c r="P150" s="7" t="str">
        <f t="shared" si="9"/>
        <v/>
      </c>
      <c r="Q150" s="7" t="str">
        <f>IF(LEN(TRIM(D150))=0,"",GetConfigParameterValue("Collection Site"))</f>
        <v/>
      </c>
      <c r="R150" t="str">
        <f>IF(LEN(TRIM(E150))=0, "", GetManifestComments(H150))</f>
        <v/>
      </c>
      <c r="S150" t="str">
        <f>IF(LEN(TRIM(E150))=0,"",IF(ISERROR(VLOOKUP(E150,'Manifest MDB data'!A:A,1,FALSE)),"OK","EXISTS!!!"))</f>
        <v/>
      </c>
    </row>
    <row r="151" spans="4:19" x14ac:dyDescent="0.25">
      <c r="D151" t="str">
        <f t="shared" si="10"/>
        <v/>
      </c>
      <c r="E151" t="str">
        <f t="shared" si="11"/>
        <v/>
      </c>
      <c r="F151" t="str">
        <f t="shared" si="12"/>
        <v/>
      </c>
      <c r="G151" t="str">
        <f>IF(LEN(TRIM(E151))=0, "", GetSampleTissueBySpecimenPrep(H151))</f>
        <v/>
      </c>
      <c r="H151" t="str">
        <f>IF(LEN(TRIM(E151))=0, "", GetSpecimenPrepName())</f>
        <v/>
      </c>
      <c r="I151" t="str">
        <f>IF(LEN(TRIM(E151))=0, "", GetSampleVolumeBySpecimenPrep(H151))</f>
        <v/>
      </c>
      <c r="L151" t="str">
        <f>IF(LEN(TRIM(E151))=0,"",VLOOKUP("Manifest Id",config!A:B,2,FALSE))</f>
        <v/>
      </c>
      <c r="M151" t="str">
        <f>IF(LEN(TRIM(E151))=0, "",VLOOKUP("Project Name",config!A:B,2,FALSE))</f>
        <v/>
      </c>
      <c r="N151" t="str">
        <f>IF(LEN(TRIM(E151))=0, "",VLOOKUP("Center Name",config!A:B,2,FALSE))</f>
        <v/>
      </c>
      <c r="O151" s="7" t="str">
        <f>IF(LEN(TRIM(E151))=0,"",VLOOKUP("Shipment Date",config!A:B,2,FALSE))</f>
        <v/>
      </c>
      <c r="P151" s="7" t="str">
        <f t="shared" si="9"/>
        <v/>
      </c>
      <c r="Q151" s="7" t="str">
        <f>IF(LEN(TRIM(D151))=0,"",GetConfigParameterValue("Collection Site"))</f>
        <v/>
      </c>
      <c r="R151" t="str">
        <f>IF(LEN(TRIM(E151))=0, "", GetManifestComments(H151))</f>
        <v/>
      </c>
      <c r="S151" t="str">
        <f>IF(LEN(TRIM(E151))=0,"",IF(ISERROR(VLOOKUP(E151,'Manifest MDB data'!A:A,1,FALSE)),"OK","EXISTS!!!"))</f>
        <v/>
      </c>
    </row>
    <row r="152" spans="4:19" x14ac:dyDescent="0.25">
      <c r="D152" t="str">
        <f t="shared" si="10"/>
        <v/>
      </c>
      <c r="E152" t="str">
        <f t="shared" si="11"/>
        <v/>
      </c>
      <c r="F152" t="str">
        <f t="shared" si="12"/>
        <v/>
      </c>
      <c r="G152" t="str">
        <f>IF(LEN(TRIM(E152))=0, "", GetSampleTissueBySpecimenPrep(H152))</f>
        <v/>
      </c>
      <c r="H152" t="str">
        <f>IF(LEN(TRIM(E152))=0, "", GetSpecimenPrepName())</f>
        <v/>
      </c>
      <c r="I152" t="str">
        <f>IF(LEN(TRIM(E152))=0, "", GetSampleVolumeBySpecimenPrep(H152))</f>
        <v/>
      </c>
      <c r="L152" t="str">
        <f>IF(LEN(TRIM(E152))=0,"",VLOOKUP("Manifest Id",config!A:B,2,FALSE))</f>
        <v/>
      </c>
      <c r="M152" t="str">
        <f>IF(LEN(TRIM(E152))=0, "",VLOOKUP("Project Name",config!A:B,2,FALSE))</f>
        <v/>
      </c>
      <c r="N152" t="str">
        <f>IF(LEN(TRIM(E152))=0, "",VLOOKUP("Center Name",config!A:B,2,FALSE))</f>
        <v/>
      </c>
      <c r="O152" s="7" t="str">
        <f>IF(LEN(TRIM(E152))=0,"",VLOOKUP("Shipment Date",config!A:B,2,FALSE))</f>
        <v/>
      </c>
      <c r="P152" s="7" t="str">
        <f t="shared" si="9"/>
        <v/>
      </c>
      <c r="Q152" s="7" t="str">
        <f>IF(LEN(TRIM(D152))=0,"",GetConfigParameterValue("Collection Site"))</f>
        <v/>
      </c>
      <c r="R152" t="str">
        <f>IF(LEN(TRIM(E152))=0, "", GetManifestComments(H152))</f>
        <v/>
      </c>
      <c r="S152" t="str">
        <f>IF(LEN(TRIM(E152))=0,"",IF(ISERROR(VLOOKUP(E152,'Manifest MDB data'!A:A,1,FALSE)),"OK","EXISTS!!!"))</f>
        <v/>
      </c>
    </row>
    <row r="153" spans="4:19" x14ac:dyDescent="0.25">
      <c r="D153" t="str">
        <f t="shared" si="10"/>
        <v/>
      </c>
      <c r="E153" t="str">
        <f t="shared" si="11"/>
        <v/>
      </c>
      <c r="F153" t="str">
        <f t="shared" si="12"/>
        <v/>
      </c>
      <c r="G153" t="str">
        <f>IF(LEN(TRIM(E153))=0, "", GetSampleTissueBySpecimenPrep(H153))</f>
        <v/>
      </c>
      <c r="H153" t="str">
        <f>IF(LEN(TRIM(E153))=0, "", GetSpecimenPrepName())</f>
        <v/>
      </c>
      <c r="I153" t="str">
        <f>IF(LEN(TRIM(E153))=0, "", GetSampleVolumeBySpecimenPrep(H153))</f>
        <v/>
      </c>
      <c r="L153" t="str">
        <f>IF(LEN(TRIM(E153))=0,"",VLOOKUP("Manifest Id",config!A:B,2,FALSE))</f>
        <v/>
      </c>
      <c r="M153" t="str">
        <f>IF(LEN(TRIM(E153))=0, "",VLOOKUP("Project Name",config!A:B,2,FALSE))</f>
        <v/>
      </c>
      <c r="N153" t="str">
        <f>IF(LEN(TRIM(E153))=0, "",VLOOKUP("Center Name",config!A:B,2,FALSE))</f>
        <v/>
      </c>
      <c r="O153" s="7" t="str">
        <f>IF(LEN(TRIM(E153))=0,"",VLOOKUP("Shipment Date",config!A:B,2,FALSE))</f>
        <v/>
      </c>
      <c r="P153" s="7" t="str">
        <f t="shared" si="9"/>
        <v/>
      </c>
      <c r="Q153" s="7" t="str">
        <f>IF(LEN(TRIM(D153))=0,"",GetConfigParameterValue("Collection Site"))</f>
        <v/>
      </c>
      <c r="R153" t="str">
        <f>IF(LEN(TRIM(E153))=0, "", GetManifestComments(H153))</f>
        <v/>
      </c>
      <c r="S153" t="str">
        <f>IF(LEN(TRIM(E153))=0,"",IF(ISERROR(VLOOKUP(E153,'Manifest MDB data'!A:A,1,FALSE)),"OK","EXISTS!!!"))</f>
        <v/>
      </c>
    </row>
    <row r="154" spans="4:19" x14ac:dyDescent="0.25">
      <c r="D154" t="str">
        <f t="shared" si="10"/>
        <v/>
      </c>
      <c r="E154" t="str">
        <f t="shared" si="11"/>
        <v/>
      </c>
      <c r="F154" t="str">
        <f t="shared" si="12"/>
        <v/>
      </c>
      <c r="G154" t="str">
        <f>IF(LEN(TRIM(E154))=0, "", GetSampleTissueBySpecimenPrep(H154))</f>
        <v/>
      </c>
      <c r="H154" t="str">
        <f>IF(LEN(TRIM(E154))=0, "", GetSpecimenPrepName())</f>
        <v/>
      </c>
      <c r="I154" t="str">
        <f>IF(LEN(TRIM(E154))=0, "", GetSampleVolumeBySpecimenPrep(H154))</f>
        <v/>
      </c>
      <c r="L154" t="str">
        <f>IF(LEN(TRIM(E154))=0,"",VLOOKUP("Manifest Id",config!A:B,2,FALSE))</f>
        <v/>
      </c>
      <c r="M154" t="str">
        <f>IF(LEN(TRIM(E154))=0, "",VLOOKUP("Project Name",config!A:B,2,FALSE))</f>
        <v/>
      </c>
      <c r="N154" t="str">
        <f>IF(LEN(TRIM(E154))=0, "",VLOOKUP("Center Name",config!A:B,2,FALSE))</f>
        <v/>
      </c>
      <c r="O154" s="7" t="str">
        <f>IF(LEN(TRIM(E154))=0,"",VLOOKUP("Shipment Date",config!A:B,2,FALSE))</f>
        <v/>
      </c>
      <c r="P154" s="7" t="str">
        <f t="shared" si="9"/>
        <v/>
      </c>
      <c r="Q154" s="7" t="str">
        <f>IF(LEN(TRIM(D154))=0,"",GetConfigParameterValue("Collection Site"))</f>
        <v/>
      </c>
      <c r="R154" t="str">
        <f>IF(LEN(TRIM(E154))=0, "", GetManifestComments(H154))</f>
        <v/>
      </c>
      <c r="S154" t="str">
        <f>IF(LEN(TRIM(E154))=0,"",IF(ISERROR(VLOOKUP(E154,'Manifest MDB data'!A:A,1,FALSE)),"OK","EXISTS!!!"))</f>
        <v/>
      </c>
    </row>
    <row r="155" spans="4:19" x14ac:dyDescent="0.25">
      <c r="D155" t="str">
        <f t="shared" si="10"/>
        <v/>
      </c>
      <c r="E155" t="str">
        <f t="shared" si="11"/>
        <v/>
      </c>
      <c r="F155" t="str">
        <f t="shared" si="12"/>
        <v/>
      </c>
      <c r="G155" t="str">
        <f>IF(LEN(TRIM(E155))=0, "", GetSampleTissueBySpecimenPrep(H155))</f>
        <v/>
      </c>
      <c r="H155" t="str">
        <f>IF(LEN(TRIM(E155))=0, "", GetSpecimenPrepName())</f>
        <v/>
      </c>
      <c r="I155" t="str">
        <f>IF(LEN(TRIM(E155))=0, "", GetSampleVolumeBySpecimenPrep(H155))</f>
        <v/>
      </c>
      <c r="L155" t="str">
        <f>IF(LEN(TRIM(E155))=0,"",VLOOKUP("Manifest Id",config!A:B,2,FALSE))</f>
        <v/>
      </c>
      <c r="M155" t="str">
        <f>IF(LEN(TRIM(E155))=0, "",VLOOKUP("Project Name",config!A:B,2,FALSE))</f>
        <v/>
      </c>
      <c r="N155" t="str">
        <f>IF(LEN(TRIM(E155))=0, "",VLOOKUP("Center Name",config!A:B,2,FALSE))</f>
        <v/>
      </c>
      <c r="O155" s="7" t="str">
        <f>IF(LEN(TRIM(E155))=0,"",VLOOKUP("Shipment Date",config!A:B,2,FALSE))</f>
        <v/>
      </c>
      <c r="P155" s="7" t="str">
        <f t="shared" si="9"/>
        <v/>
      </c>
      <c r="Q155" s="7" t="str">
        <f>IF(LEN(TRIM(D155))=0,"",GetConfigParameterValue("Collection Site"))</f>
        <v/>
      </c>
      <c r="R155" t="str">
        <f>IF(LEN(TRIM(E155))=0, "", GetManifestComments(H155))</f>
        <v/>
      </c>
      <c r="S155" t="str">
        <f>IF(LEN(TRIM(E155))=0,"",IF(ISERROR(VLOOKUP(E155,'Manifest MDB data'!A:A,1,FALSE)),"OK","EXISTS!!!"))</f>
        <v/>
      </c>
    </row>
    <row r="156" spans="4:19" x14ac:dyDescent="0.25">
      <c r="D156" t="str">
        <f t="shared" si="10"/>
        <v/>
      </c>
      <c r="E156" t="str">
        <f t="shared" si="11"/>
        <v/>
      </c>
      <c r="F156" t="str">
        <f t="shared" si="12"/>
        <v/>
      </c>
      <c r="G156" t="str">
        <f>IF(LEN(TRIM(E156))=0, "", GetSampleTissueBySpecimenPrep(H156))</f>
        <v/>
      </c>
      <c r="H156" t="str">
        <f>IF(LEN(TRIM(E156))=0, "", GetSpecimenPrepName())</f>
        <v/>
      </c>
      <c r="I156" t="str">
        <f>IF(LEN(TRIM(E156))=0, "", GetSampleVolumeBySpecimenPrep(H156))</f>
        <v/>
      </c>
      <c r="L156" t="str">
        <f>IF(LEN(TRIM(E156))=0,"",VLOOKUP("Manifest Id",config!A:B,2,FALSE))</f>
        <v/>
      </c>
      <c r="M156" t="str">
        <f>IF(LEN(TRIM(E156))=0, "",VLOOKUP("Project Name",config!A:B,2,FALSE))</f>
        <v/>
      </c>
      <c r="N156" t="str">
        <f>IF(LEN(TRIM(E156))=0, "",VLOOKUP("Center Name",config!A:B,2,FALSE))</f>
        <v/>
      </c>
      <c r="O156" s="7" t="str">
        <f>IF(LEN(TRIM(E156))=0,"",VLOOKUP("Shipment Date",config!A:B,2,FALSE))</f>
        <v/>
      </c>
      <c r="P156" s="7" t="str">
        <f t="shared" si="9"/>
        <v/>
      </c>
      <c r="Q156" s="7" t="str">
        <f>IF(LEN(TRIM(D156))=0,"",GetConfigParameterValue("Collection Site"))</f>
        <v/>
      </c>
      <c r="R156" t="str">
        <f>IF(LEN(TRIM(E156))=0, "", GetManifestComments(H156))</f>
        <v/>
      </c>
      <c r="S156" t="str">
        <f>IF(LEN(TRIM(E156))=0,"",IF(ISERROR(VLOOKUP(E156,'Manifest MDB data'!A:A,1,FALSE)),"OK","EXISTS!!!"))</f>
        <v/>
      </c>
    </row>
    <row r="157" spans="4:19" x14ac:dyDescent="0.25">
      <c r="D157" t="str">
        <f t="shared" si="10"/>
        <v/>
      </c>
      <c r="E157" t="str">
        <f t="shared" si="11"/>
        <v/>
      </c>
      <c r="F157" t="str">
        <f t="shared" si="12"/>
        <v/>
      </c>
      <c r="G157" t="str">
        <f>IF(LEN(TRIM(E157))=0, "", GetSampleTissueBySpecimenPrep(H157))</f>
        <v/>
      </c>
      <c r="H157" t="str">
        <f>IF(LEN(TRIM(E157))=0, "", GetSpecimenPrepName())</f>
        <v/>
      </c>
      <c r="I157" t="str">
        <f>IF(LEN(TRIM(E157))=0, "", GetSampleVolumeBySpecimenPrep(H157))</f>
        <v/>
      </c>
      <c r="L157" t="str">
        <f>IF(LEN(TRIM(E157))=0,"",VLOOKUP("Manifest Id",config!A:B,2,FALSE))</f>
        <v/>
      </c>
      <c r="M157" t="str">
        <f>IF(LEN(TRIM(E157))=0, "",VLOOKUP("Project Name",config!A:B,2,FALSE))</f>
        <v/>
      </c>
      <c r="N157" t="str">
        <f>IF(LEN(TRIM(E157))=0, "",VLOOKUP("Center Name",config!A:B,2,FALSE))</f>
        <v/>
      </c>
      <c r="O157" s="7" t="str">
        <f>IF(LEN(TRIM(E157))=0,"",VLOOKUP("Shipment Date",config!A:B,2,FALSE))</f>
        <v/>
      </c>
      <c r="P157" s="7" t="str">
        <f t="shared" si="9"/>
        <v/>
      </c>
      <c r="Q157" s="7" t="str">
        <f>IF(LEN(TRIM(D157))=0,"",GetConfigParameterValue("Collection Site"))</f>
        <v/>
      </c>
      <c r="R157" t="str">
        <f>IF(LEN(TRIM(E157))=0, "", GetManifestComments(H157))</f>
        <v/>
      </c>
      <c r="S157" t="str">
        <f>IF(LEN(TRIM(E157))=0,"",IF(ISERROR(VLOOKUP(E157,'Manifest MDB data'!A:A,1,FALSE)),"OK","EXISTS!!!"))</f>
        <v/>
      </c>
    </row>
    <row r="158" spans="4:19" x14ac:dyDescent="0.25">
      <c r="D158" t="str">
        <f t="shared" si="10"/>
        <v/>
      </c>
      <c r="E158" t="str">
        <f t="shared" si="11"/>
        <v/>
      </c>
      <c r="F158" t="str">
        <f t="shared" si="12"/>
        <v/>
      </c>
      <c r="G158" t="str">
        <f>IF(LEN(TRIM(E158))=0, "", GetSampleTissueBySpecimenPrep(H158))</f>
        <v/>
      </c>
      <c r="H158" t="str">
        <f>IF(LEN(TRIM(E158))=0, "", GetSpecimenPrepName())</f>
        <v/>
      </c>
      <c r="I158" t="str">
        <f>IF(LEN(TRIM(E158))=0, "", GetSampleVolumeBySpecimenPrep(H158))</f>
        <v/>
      </c>
      <c r="L158" t="str">
        <f>IF(LEN(TRIM(E158))=0,"",VLOOKUP("Manifest Id",config!A:B,2,FALSE))</f>
        <v/>
      </c>
      <c r="M158" t="str">
        <f>IF(LEN(TRIM(E158))=0, "",VLOOKUP("Project Name",config!A:B,2,FALSE))</f>
        <v/>
      </c>
      <c r="N158" t="str">
        <f>IF(LEN(TRIM(E158))=0, "",VLOOKUP("Center Name",config!A:B,2,FALSE))</f>
        <v/>
      </c>
      <c r="O158" s="7" t="str">
        <f>IF(LEN(TRIM(E158))=0,"",VLOOKUP("Shipment Date",config!A:B,2,FALSE))</f>
        <v/>
      </c>
      <c r="P158" s="7" t="str">
        <f t="shared" si="9"/>
        <v/>
      </c>
      <c r="Q158" s="7" t="str">
        <f>IF(LEN(TRIM(D158))=0,"",GetConfigParameterValue("Collection Site"))</f>
        <v/>
      </c>
      <c r="R158" t="str">
        <f>IF(LEN(TRIM(E158))=0, "", GetManifestComments(H158))</f>
        <v/>
      </c>
      <c r="S158" t="str">
        <f>IF(LEN(TRIM(E158))=0,"",IF(ISERROR(VLOOKUP(E158,'Manifest MDB data'!A:A,1,FALSE)),"OK","EXISTS!!!"))</f>
        <v/>
      </c>
    </row>
    <row r="159" spans="4:19" x14ac:dyDescent="0.25">
      <c r="D159" t="str">
        <f t="shared" si="10"/>
        <v/>
      </c>
      <c r="E159" t="str">
        <f t="shared" si="11"/>
        <v/>
      </c>
      <c r="F159" t="str">
        <f t="shared" si="12"/>
        <v/>
      </c>
      <c r="G159" t="str">
        <f>IF(LEN(TRIM(E159))=0, "", GetSampleTissueBySpecimenPrep(H159))</f>
        <v/>
      </c>
      <c r="H159" t="str">
        <f>IF(LEN(TRIM(E159))=0, "", GetSpecimenPrepName())</f>
        <v/>
      </c>
      <c r="I159" t="str">
        <f>IF(LEN(TRIM(E159))=0, "", GetSampleVolumeBySpecimenPrep(H159))</f>
        <v/>
      </c>
      <c r="L159" t="str">
        <f>IF(LEN(TRIM(E159))=0,"",VLOOKUP("Manifest Id",config!A:B,2,FALSE))</f>
        <v/>
      </c>
      <c r="M159" t="str">
        <f>IF(LEN(TRIM(E159))=0, "",VLOOKUP("Project Name",config!A:B,2,FALSE))</f>
        <v/>
      </c>
      <c r="N159" t="str">
        <f>IF(LEN(TRIM(E159))=0, "",VLOOKUP("Center Name",config!A:B,2,FALSE))</f>
        <v/>
      </c>
      <c r="O159" s="7" t="str">
        <f>IF(LEN(TRIM(E159))=0,"",VLOOKUP("Shipment Date",config!A:B,2,FALSE))</f>
        <v/>
      </c>
      <c r="P159" s="7" t="str">
        <f t="shared" si="9"/>
        <v/>
      </c>
      <c r="Q159" s="7" t="str">
        <f>IF(LEN(TRIM(D159))=0,"",GetConfigParameterValue("Collection Site"))</f>
        <v/>
      </c>
      <c r="R159" t="str">
        <f>IF(LEN(TRIM(E159))=0, "", GetManifestComments(H159))</f>
        <v/>
      </c>
      <c r="S159" t="str">
        <f>IF(LEN(TRIM(E159))=0,"",IF(ISERROR(VLOOKUP(E159,'Manifest MDB data'!A:A,1,FALSE)),"OK","EXISTS!!!"))</f>
        <v/>
      </c>
    </row>
    <row r="160" spans="4:19" x14ac:dyDescent="0.25">
      <c r="D160" t="str">
        <f t="shared" si="10"/>
        <v/>
      </c>
      <c r="E160" t="str">
        <f t="shared" si="11"/>
        <v/>
      </c>
      <c r="F160" t="str">
        <f t="shared" si="12"/>
        <v/>
      </c>
      <c r="G160" t="str">
        <f>IF(LEN(TRIM(E160))=0, "", GetSampleTissueBySpecimenPrep(H160))</f>
        <v/>
      </c>
      <c r="H160" t="str">
        <f>IF(LEN(TRIM(E160))=0, "", GetSpecimenPrepName())</f>
        <v/>
      </c>
      <c r="I160" t="str">
        <f>IF(LEN(TRIM(E160))=0, "", GetSampleVolumeBySpecimenPrep(H160))</f>
        <v/>
      </c>
      <c r="L160" t="str">
        <f>IF(LEN(TRIM(E160))=0,"",VLOOKUP("Manifest Id",config!A:B,2,FALSE))</f>
        <v/>
      </c>
      <c r="M160" t="str">
        <f>IF(LEN(TRIM(E160))=0, "",VLOOKUP("Project Name",config!A:B,2,FALSE))</f>
        <v/>
      </c>
      <c r="N160" t="str">
        <f>IF(LEN(TRIM(E160))=0, "",VLOOKUP("Center Name",config!A:B,2,FALSE))</f>
        <v/>
      </c>
      <c r="O160" s="7" t="str">
        <f>IF(LEN(TRIM(E160))=0,"",VLOOKUP("Shipment Date",config!A:B,2,FALSE))</f>
        <v/>
      </c>
      <c r="P160" s="7" t="str">
        <f t="shared" si="9"/>
        <v/>
      </c>
      <c r="Q160" s="7" t="str">
        <f>IF(LEN(TRIM(D160))=0,"",GetConfigParameterValue("Collection Site"))</f>
        <v/>
      </c>
      <c r="R160" t="str">
        <f>IF(LEN(TRIM(E160))=0, "", GetManifestComments(H160))</f>
        <v/>
      </c>
      <c r="S160" t="str">
        <f>IF(LEN(TRIM(E160))=0,"",IF(ISERROR(VLOOKUP(E160,'Manifest MDB data'!A:A,1,FALSE)),"OK","EXISTS!!!"))</f>
        <v/>
      </c>
    </row>
    <row r="161" spans="4:19" x14ac:dyDescent="0.25">
      <c r="D161" t="str">
        <f t="shared" si="10"/>
        <v/>
      </c>
      <c r="E161" t="str">
        <f t="shared" si="11"/>
        <v/>
      </c>
      <c r="F161" t="str">
        <f t="shared" si="12"/>
        <v/>
      </c>
      <c r="G161" t="str">
        <f>IF(LEN(TRIM(E161))=0, "", GetSampleTissueBySpecimenPrep(H161))</f>
        <v/>
      </c>
      <c r="H161" t="str">
        <f>IF(LEN(TRIM(E161))=0, "", GetSpecimenPrepName())</f>
        <v/>
      </c>
      <c r="I161" t="str">
        <f>IF(LEN(TRIM(E161))=0, "", GetSampleVolumeBySpecimenPrep(H161))</f>
        <v/>
      </c>
      <c r="L161" t="str">
        <f>IF(LEN(TRIM(E161))=0,"",VLOOKUP("Manifest Id",config!A:B,2,FALSE))</f>
        <v/>
      </c>
      <c r="M161" t="str">
        <f>IF(LEN(TRIM(E161))=0, "",VLOOKUP("Project Name",config!A:B,2,FALSE))</f>
        <v/>
      </c>
      <c r="N161" t="str">
        <f>IF(LEN(TRIM(E161))=0, "",VLOOKUP("Center Name",config!A:B,2,FALSE))</f>
        <v/>
      </c>
      <c r="O161" s="7" t="str">
        <f>IF(LEN(TRIM(E161))=0,"",VLOOKUP("Shipment Date",config!A:B,2,FALSE))</f>
        <v/>
      </c>
      <c r="P161" s="7" t="str">
        <f t="shared" si="9"/>
        <v/>
      </c>
      <c r="Q161" s="7" t="str">
        <f>IF(LEN(TRIM(D161))=0,"",GetConfigParameterValue("Collection Site"))</f>
        <v/>
      </c>
      <c r="R161" t="str">
        <f>IF(LEN(TRIM(E161))=0, "", GetManifestComments(H161))</f>
        <v/>
      </c>
      <c r="S161" t="str">
        <f>IF(LEN(TRIM(E161))=0,"",IF(ISERROR(VLOOKUP(E161,'Manifest MDB data'!A:A,1,FALSE)),"OK","EXISTS!!!"))</f>
        <v/>
      </c>
    </row>
    <row r="162" spans="4:19" x14ac:dyDescent="0.25">
      <c r="D162" t="str">
        <f t="shared" si="10"/>
        <v/>
      </c>
      <c r="E162" t="str">
        <f t="shared" si="11"/>
        <v/>
      </c>
      <c r="F162" t="str">
        <f t="shared" si="12"/>
        <v/>
      </c>
      <c r="G162" t="str">
        <f>IF(LEN(TRIM(E162))=0, "", GetSampleTissueBySpecimenPrep(H162))</f>
        <v/>
      </c>
      <c r="H162" t="str">
        <f>IF(LEN(TRIM(E162))=0, "", GetSpecimenPrepName())</f>
        <v/>
      </c>
      <c r="I162" t="str">
        <f>IF(LEN(TRIM(E162))=0, "", GetSampleVolumeBySpecimenPrep(H162))</f>
        <v/>
      </c>
      <c r="L162" t="str">
        <f>IF(LEN(TRIM(E162))=0,"",VLOOKUP("Manifest Id",config!A:B,2,FALSE))</f>
        <v/>
      </c>
      <c r="M162" t="str">
        <f>IF(LEN(TRIM(E162))=0, "",VLOOKUP("Project Name",config!A:B,2,FALSE))</f>
        <v/>
      </c>
      <c r="N162" t="str">
        <f>IF(LEN(TRIM(E162))=0, "",VLOOKUP("Center Name",config!A:B,2,FALSE))</f>
        <v/>
      </c>
      <c r="O162" s="7" t="str">
        <f>IF(LEN(TRIM(E162))=0,"",VLOOKUP("Shipment Date",config!A:B,2,FALSE))</f>
        <v/>
      </c>
      <c r="P162" s="7" t="str">
        <f t="shared" si="9"/>
        <v/>
      </c>
      <c r="Q162" s="7" t="str">
        <f>IF(LEN(TRIM(D162))=0,"",GetConfigParameterValue("Collection Site"))</f>
        <v/>
      </c>
      <c r="R162" t="str">
        <f>IF(LEN(TRIM(E162))=0, "", GetManifestComments(H162))</f>
        <v/>
      </c>
      <c r="S162" t="str">
        <f>IF(LEN(TRIM(E162))=0,"",IF(ISERROR(VLOOKUP(E162,'Manifest MDB data'!A:A,1,FALSE)),"OK","EXISTS!!!"))</f>
        <v/>
      </c>
    </row>
    <row r="163" spans="4:19" x14ac:dyDescent="0.25">
      <c r="D163" t="str">
        <f t="shared" si="10"/>
        <v/>
      </c>
      <c r="E163" t="str">
        <f t="shared" si="11"/>
        <v/>
      </c>
      <c r="F163" t="str">
        <f t="shared" si="12"/>
        <v/>
      </c>
      <c r="G163" t="str">
        <f>IF(LEN(TRIM(E163))=0, "", GetSampleTissueBySpecimenPrep(H163))</f>
        <v/>
      </c>
      <c r="H163" t="str">
        <f>IF(LEN(TRIM(E163))=0, "", GetSpecimenPrepName())</f>
        <v/>
      </c>
      <c r="I163" t="str">
        <f>IF(LEN(TRIM(E163))=0, "", GetSampleVolumeBySpecimenPrep(H163))</f>
        <v/>
      </c>
      <c r="L163" t="str">
        <f>IF(LEN(TRIM(E163))=0,"",VLOOKUP("Manifest Id",config!A:B,2,FALSE))</f>
        <v/>
      </c>
      <c r="M163" t="str">
        <f>IF(LEN(TRIM(E163))=0, "",VLOOKUP("Project Name",config!A:B,2,FALSE))</f>
        <v/>
      </c>
      <c r="N163" t="str">
        <f>IF(LEN(TRIM(E163))=0, "",VLOOKUP("Center Name",config!A:B,2,FALSE))</f>
        <v/>
      </c>
      <c r="O163" s="7" t="str">
        <f>IF(LEN(TRIM(E163))=0,"",VLOOKUP("Shipment Date",config!A:B,2,FALSE))</f>
        <v/>
      </c>
      <c r="P163" s="7" t="str">
        <f t="shared" si="9"/>
        <v/>
      </c>
      <c r="Q163" s="7" t="str">
        <f>IF(LEN(TRIM(D163))=0,"",GetConfigParameterValue("Collection Site"))</f>
        <v/>
      </c>
      <c r="R163" t="str">
        <f>IF(LEN(TRIM(E163))=0, "", GetManifestComments(H163))</f>
        <v/>
      </c>
      <c r="S163" t="str">
        <f>IF(LEN(TRIM(E163))=0,"",IF(ISERROR(VLOOKUP(E163,'Manifest MDB data'!A:A,1,FALSE)),"OK","EXISTS!!!"))</f>
        <v/>
      </c>
    </row>
    <row r="164" spans="4:19" x14ac:dyDescent="0.25">
      <c r="D164" t="str">
        <f t="shared" si="10"/>
        <v/>
      </c>
      <c r="E164" t="str">
        <f t="shared" si="11"/>
        <v/>
      </c>
      <c r="F164" t="str">
        <f t="shared" si="12"/>
        <v/>
      </c>
      <c r="G164" t="str">
        <f>IF(LEN(TRIM(E164))=0, "", GetSampleTissueBySpecimenPrep(H164))</f>
        <v/>
      </c>
      <c r="H164" t="str">
        <f>IF(LEN(TRIM(E164))=0, "", GetSpecimenPrepName())</f>
        <v/>
      </c>
      <c r="I164" t="str">
        <f>IF(LEN(TRIM(E164))=0, "", GetSampleVolumeBySpecimenPrep(H164))</f>
        <v/>
      </c>
      <c r="L164" t="str">
        <f>IF(LEN(TRIM(E164))=0,"",VLOOKUP("Manifest Id",config!A:B,2,FALSE))</f>
        <v/>
      </c>
      <c r="M164" t="str">
        <f>IF(LEN(TRIM(E164))=0, "",VLOOKUP("Project Name",config!A:B,2,FALSE))</f>
        <v/>
      </c>
      <c r="N164" t="str">
        <f>IF(LEN(TRIM(E164))=0, "",VLOOKUP("Center Name",config!A:B,2,FALSE))</f>
        <v/>
      </c>
      <c r="O164" s="7" t="str">
        <f>IF(LEN(TRIM(E164))=0,"",VLOOKUP("Shipment Date",config!A:B,2,FALSE))</f>
        <v/>
      </c>
      <c r="P164" s="7" t="str">
        <f t="shared" si="9"/>
        <v/>
      </c>
      <c r="Q164" s="7" t="str">
        <f>IF(LEN(TRIM(D164))=0,"",GetConfigParameterValue("Collection Site"))</f>
        <v/>
      </c>
      <c r="R164" t="str">
        <f>IF(LEN(TRIM(E164))=0, "", GetManifestComments(H164))</f>
        <v/>
      </c>
      <c r="S164" t="str">
        <f>IF(LEN(TRIM(E164))=0,"",IF(ISERROR(VLOOKUP(E164,'Manifest MDB data'!A:A,1,FALSE)),"OK","EXISTS!!!"))</f>
        <v/>
      </c>
    </row>
    <row r="165" spans="4:19" x14ac:dyDescent="0.25">
      <c r="D165" t="str">
        <f t="shared" si="10"/>
        <v/>
      </c>
      <c r="E165" t="str">
        <f t="shared" si="11"/>
        <v/>
      </c>
      <c r="F165" t="str">
        <f t="shared" si="12"/>
        <v/>
      </c>
      <c r="G165" t="str">
        <f>IF(LEN(TRIM(E165))=0, "", GetSampleTissueBySpecimenPrep(H165))</f>
        <v/>
      </c>
      <c r="H165" t="str">
        <f>IF(LEN(TRIM(E165))=0, "", GetSpecimenPrepName())</f>
        <v/>
      </c>
      <c r="I165" t="str">
        <f>IF(LEN(TRIM(E165))=0, "", GetSampleVolumeBySpecimenPrep(H165))</f>
        <v/>
      </c>
      <c r="L165" t="str">
        <f>IF(LEN(TRIM(E165))=0,"",VLOOKUP("Manifest Id",config!A:B,2,FALSE))</f>
        <v/>
      </c>
      <c r="M165" t="str">
        <f>IF(LEN(TRIM(E165))=0, "",VLOOKUP("Project Name",config!A:B,2,FALSE))</f>
        <v/>
      </c>
      <c r="N165" t="str">
        <f>IF(LEN(TRIM(E165))=0, "",VLOOKUP("Center Name",config!A:B,2,FALSE))</f>
        <v/>
      </c>
      <c r="O165" s="7" t="str">
        <f>IF(LEN(TRIM(E165))=0,"",VLOOKUP("Shipment Date",config!A:B,2,FALSE))</f>
        <v/>
      </c>
      <c r="P165" s="7" t="str">
        <f t="shared" si="9"/>
        <v/>
      </c>
      <c r="Q165" s="7" t="str">
        <f>IF(LEN(TRIM(D165))=0,"",GetConfigParameterValue("Collection Site"))</f>
        <v/>
      </c>
      <c r="R165" t="str">
        <f>IF(LEN(TRIM(E165))=0, "", GetManifestComments(H165))</f>
        <v/>
      </c>
      <c r="S165" t="str">
        <f>IF(LEN(TRIM(E165))=0,"",IF(ISERROR(VLOOKUP(E165,'Manifest MDB data'!A:A,1,FALSE)),"OK","EXISTS!!!"))</f>
        <v/>
      </c>
    </row>
    <row r="166" spans="4:19" x14ac:dyDescent="0.25">
      <c r="D166" t="str">
        <f t="shared" si="10"/>
        <v/>
      </c>
      <c r="E166" t="str">
        <f t="shared" si="11"/>
        <v/>
      </c>
      <c r="F166" t="str">
        <f t="shared" si="12"/>
        <v/>
      </c>
      <c r="G166" t="str">
        <f>IF(LEN(TRIM(E166))=0, "", GetSampleTissueBySpecimenPrep(H166))</f>
        <v/>
      </c>
      <c r="H166" t="str">
        <f>IF(LEN(TRIM(E166))=0, "", GetSpecimenPrepName())</f>
        <v/>
      </c>
      <c r="I166" t="str">
        <f>IF(LEN(TRIM(E166))=0, "", GetSampleVolumeBySpecimenPrep(H166))</f>
        <v/>
      </c>
      <c r="L166" t="str">
        <f>IF(LEN(TRIM(E166))=0,"",VLOOKUP("Manifest Id",config!A:B,2,FALSE))</f>
        <v/>
      </c>
      <c r="M166" t="str">
        <f>IF(LEN(TRIM(E166))=0, "",VLOOKUP("Project Name",config!A:B,2,FALSE))</f>
        <v/>
      </c>
      <c r="N166" t="str">
        <f>IF(LEN(TRIM(E166))=0, "",VLOOKUP("Center Name",config!A:B,2,FALSE))</f>
        <v/>
      </c>
      <c r="O166" s="7" t="str">
        <f>IF(LEN(TRIM(E166))=0,"",VLOOKUP("Shipment Date",config!A:B,2,FALSE))</f>
        <v/>
      </c>
      <c r="P166" s="7" t="str">
        <f t="shared" si="9"/>
        <v/>
      </c>
      <c r="Q166" s="7" t="str">
        <f>IF(LEN(TRIM(D166))=0,"",GetConfigParameterValue("Collection Site"))</f>
        <v/>
      </c>
      <c r="R166" t="str">
        <f>IF(LEN(TRIM(E166))=0, "", GetManifestComments(H166))</f>
        <v/>
      </c>
      <c r="S166" t="str">
        <f>IF(LEN(TRIM(E166))=0,"",IF(ISERROR(VLOOKUP(E166,'Manifest MDB data'!A:A,1,FALSE)),"OK","EXISTS!!!"))</f>
        <v/>
      </c>
    </row>
    <row r="167" spans="4:19" x14ac:dyDescent="0.25">
      <c r="D167" t="str">
        <f t="shared" si="10"/>
        <v/>
      </c>
      <c r="E167" t="str">
        <f t="shared" si="11"/>
        <v/>
      </c>
      <c r="F167" t="str">
        <f t="shared" si="12"/>
        <v/>
      </c>
      <c r="G167" t="str">
        <f>IF(LEN(TRIM(E167))=0, "", GetSampleTissueBySpecimenPrep(H167))</f>
        <v/>
      </c>
      <c r="H167" t="str">
        <f>IF(LEN(TRIM(E167))=0, "", GetSpecimenPrepName())</f>
        <v/>
      </c>
      <c r="I167" t="str">
        <f>IF(LEN(TRIM(E167))=0, "", GetSampleVolumeBySpecimenPrep(H167))</f>
        <v/>
      </c>
      <c r="L167" t="str">
        <f>IF(LEN(TRIM(E167))=0,"",VLOOKUP("Manifest Id",config!A:B,2,FALSE))</f>
        <v/>
      </c>
      <c r="M167" t="str">
        <f>IF(LEN(TRIM(E167))=0, "",VLOOKUP("Project Name",config!A:B,2,FALSE))</f>
        <v/>
      </c>
      <c r="N167" t="str">
        <f>IF(LEN(TRIM(E167))=0, "",VLOOKUP("Center Name",config!A:B,2,FALSE))</f>
        <v/>
      </c>
      <c r="O167" s="7" t="str">
        <f>IF(LEN(TRIM(E167))=0,"",VLOOKUP("Shipment Date",config!A:B,2,FALSE))</f>
        <v/>
      </c>
      <c r="P167" s="7" t="str">
        <f t="shared" si="9"/>
        <v/>
      </c>
      <c r="Q167" s="7" t="str">
        <f>IF(LEN(TRIM(D167))=0,"",GetConfigParameterValue("Collection Site"))</f>
        <v/>
      </c>
      <c r="R167" t="str">
        <f>IF(LEN(TRIM(E167))=0, "", GetManifestComments(H167))</f>
        <v/>
      </c>
      <c r="S167" t="str">
        <f>IF(LEN(TRIM(E167))=0,"",IF(ISERROR(VLOOKUP(E167,'Manifest MDB data'!A:A,1,FALSE)),"OK","EXISTS!!!"))</f>
        <v/>
      </c>
    </row>
    <row r="168" spans="4:19" x14ac:dyDescent="0.25">
      <c r="D168" t="str">
        <f t="shared" si="10"/>
        <v/>
      </c>
      <c r="E168" t="str">
        <f t="shared" si="11"/>
        <v/>
      </c>
      <c r="F168" t="str">
        <f t="shared" si="12"/>
        <v/>
      </c>
      <c r="G168" t="str">
        <f>IF(LEN(TRIM(E168))=0, "", GetSampleTissueBySpecimenPrep(H168))</f>
        <v/>
      </c>
      <c r="H168" t="str">
        <f>IF(LEN(TRIM(E168))=0, "", GetSpecimenPrepName())</f>
        <v/>
      </c>
      <c r="I168" t="str">
        <f>IF(LEN(TRIM(E168))=0, "", GetSampleVolumeBySpecimenPrep(H168))</f>
        <v/>
      </c>
      <c r="L168" t="str">
        <f>IF(LEN(TRIM(E168))=0,"",VLOOKUP("Manifest Id",config!A:B,2,FALSE))</f>
        <v/>
      </c>
      <c r="M168" t="str">
        <f>IF(LEN(TRIM(E168))=0, "",VLOOKUP("Project Name",config!A:B,2,FALSE))</f>
        <v/>
      </c>
      <c r="N168" t="str">
        <f>IF(LEN(TRIM(E168))=0, "",VLOOKUP("Center Name",config!A:B,2,FALSE))</f>
        <v/>
      </c>
      <c r="O168" s="7" t="str">
        <f>IF(LEN(TRIM(E168))=0,"",VLOOKUP("Shipment Date",config!A:B,2,FALSE))</f>
        <v/>
      </c>
      <c r="P168" s="7" t="str">
        <f t="shared" si="9"/>
        <v/>
      </c>
      <c r="Q168" s="7" t="str">
        <f>IF(LEN(TRIM(D168))=0,"",GetConfigParameterValue("Collection Site"))</f>
        <v/>
      </c>
      <c r="R168" t="str">
        <f>IF(LEN(TRIM(E168))=0, "", GetManifestComments(H168))</f>
        <v/>
      </c>
      <c r="S168" t="str">
        <f>IF(LEN(TRIM(E168))=0,"",IF(ISERROR(VLOOKUP(E168,'Manifest MDB data'!A:A,1,FALSE)),"OK","EXISTS!!!"))</f>
        <v/>
      </c>
    </row>
    <row r="169" spans="4:19" x14ac:dyDescent="0.25">
      <c r="D169" t="str">
        <f t="shared" si="10"/>
        <v/>
      </c>
      <c r="E169" t="str">
        <f t="shared" si="11"/>
        <v/>
      </c>
      <c r="F169" t="str">
        <f t="shared" si="12"/>
        <v/>
      </c>
      <c r="G169" t="str">
        <f>IF(LEN(TRIM(E169))=0, "", GetSampleTissueBySpecimenPrep(H169))</f>
        <v/>
      </c>
      <c r="H169" t="str">
        <f>IF(LEN(TRIM(E169))=0, "", GetSpecimenPrepName())</f>
        <v/>
      </c>
      <c r="I169" t="str">
        <f>IF(LEN(TRIM(E169))=0, "", GetSampleVolumeBySpecimenPrep(H169))</f>
        <v/>
      </c>
      <c r="L169" t="str">
        <f>IF(LEN(TRIM(E169))=0,"",VLOOKUP("Manifest Id",config!A:B,2,FALSE))</f>
        <v/>
      </c>
      <c r="M169" t="str">
        <f>IF(LEN(TRIM(E169))=0, "",VLOOKUP("Project Name",config!A:B,2,FALSE))</f>
        <v/>
      </c>
      <c r="N169" t="str">
        <f>IF(LEN(TRIM(E169))=0, "",VLOOKUP("Center Name",config!A:B,2,FALSE))</f>
        <v/>
      </c>
      <c r="O169" s="7" t="str">
        <f>IF(LEN(TRIM(E169))=0,"",VLOOKUP("Shipment Date",config!A:B,2,FALSE))</f>
        <v/>
      </c>
      <c r="P169" s="7" t="str">
        <f t="shared" si="9"/>
        <v/>
      </c>
      <c r="Q169" s="7" t="str">
        <f>IF(LEN(TRIM(D169))=0,"",GetConfigParameterValue("Collection Site"))</f>
        <v/>
      </c>
      <c r="R169" t="str">
        <f>IF(LEN(TRIM(E169))=0, "", GetManifestComments(H169))</f>
        <v/>
      </c>
      <c r="S169" t="str">
        <f>IF(LEN(TRIM(E169))=0,"",IF(ISERROR(VLOOKUP(E169,'Manifest MDB data'!A:A,1,FALSE)),"OK","EXISTS!!!"))</f>
        <v/>
      </c>
    </row>
    <row r="170" spans="4:19" x14ac:dyDescent="0.25">
      <c r="D170" t="str">
        <f t="shared" si="10"/>
        <v/>
      </c>
      <c r="E170" t="str">
        <f t="shared" si="11"/>
        <v/>
      </c>
      <c r="F170" t="str">
        <f t="shared" si="12"/>
        <v/>
      </c>
      <c r="G170" t="str">
        <f>IF(LEN(TRIM(E170))=0, "", GetSampleTissueBySpecimenPrep(H170))</f>
        <v/>
      </c>
      <c r="H170" t="str">
        <f>IF(LEN(TRIM(E170))=0, "", GetSpecimenPrepName())</f>
        <v/>
      </c>
      <c r="I170" t="str">
        <f>IF(LEN(TRIM(E170))=0, "", GetSampleVolumeBySpecimenPrep(H170))</f>
        <v/>
      </c>
      <c r="L170" t="str">
        <f>IF(LEN(TRIM(E170))=0,"",VLOOKUP("Manifest Id",config!A:B,2,FALSE))</f>
        <v/>
      </c>
      <c r="M170" t="str">
        <f>IF(LEN(TRIM(E170))=0, "",VLOOKUP("Project Name",config!A:B,2,FALSE))</f>
        <v/>
      </c>
      <c r="N170" t="str">
        <f>IF(LEN(TRIM(E170))=0, "",VLOOKUP("Center Name",config!A:B,2,FALSE))</f>
        <v/>
      </c>
      <c r="O170" s="7" t="str">
        <f>IF(LEN(TRIM(E170))=0,"",VLOOKUP("Shipment Date",config!A:B,2,FALSE))</f>
        <v/>
      </c>
      <c r="P170" s="7" t="str">
        <f t="shared" si="9"/>
        <v/>
      </c>
      <c r="Q170" s="7" t="str">
        <f>IF(LEN(TRIM(D170))=0,"",GetConfigParameterValue("Collection Site"))</f>
        <v/>
      </c>
      <c r="R170" t="str">
        <f>IF(LEN(TRIM(E170))=0, "", GetManifestComments(H170))</f>
        <v/>
      </c>
      <c r="S170" t="str">
        <f>IF(LEN(TRIM(E170))=0,"",IF(ISERROR(VLOOKUP(E170,'Manifest MDB data'!A:A,1,FALSE)),"OK","EXISTS!!!"))</f>
        <v/>
      </c>
    </row>
    <row r="171" spans="4:19" x14ac:dyDescent="0.25">
      <c r="D171" t="str">
        <f t="shared" si="10"/>
        <v/>
      </c>
      <c r="E171" t="str">
        <f t="shared" si="11"/>
        <v/>
      </c>
      <c r="F171" t="str">
        <f t="shared" si="12"/>
        <v/>
      </c>
      <c r="G171" t="str">
        <f>IF(LEN(TRIM(E171))=0, "", GetSampleTissueBySpecimenPrep(H171))</f>
        <v/>
      </c>
      <c r="H171" t="str">
        <f>IF(LEN(TRIM(E171))=0, "", GetSpecimenPrepName())</f>
        <v/>
      </c>
      <c r="I171" t="str">
        <f>IF(LEN(TRIM(E171))=0, "", GetSampleVolumeBySpecimenPrep(H171))</f>
        <v/>
      </c>
      <c r="L171" t="str">
        <f>IF(LEN(TRIM(E171))=0,"",VLOOKUP("Manifest Id",config!A:B,2,FALSE))</f>
        <v/>
      </c>
      <c r="M171" t="str">
        <f>IF(LEN(TRIM(E171))=0, "",VLOOKUP("Project Name",config!A:B,2,FALSE))</f>
        <v/>
      </c>
      <c r="N171" t="str">
        <f>IF(LEN(TRIM(E171))=0, "",VLOOKUP("Center Name",config!A:B,2,FALSE))</f>
        <v/>
      </c>
      <c r="O171" s="7" t="str">
        <f>IF(LEN(TRIM(E171))=0,"",VLOOKUP("Shipment Date",config!A:B,2,FALSE))</f>
        <v/>
      </c>
      <c r="P171" s="7" t="str">
        <f t="shared" si="9"/>
        <v/>
      </c>
      <c r="Q171" s="7" t="str">
        <f>IF(LEN(TRIM(D171))=0,"",GetConfigParameterValue("Collection Site"))</f>
        <v/>
      </c>
      <c r="R171" t="str">
        <f>IF(LEN(TRIM(E171))=0, "", GetManifestComments(H171))</f>
        <v/>
      </c>
      <c r="S171" t="str">
        <f>IF(LEN(TRIM(E171))=0,"",IF(ISERROR(VLOOKUP(E171,'Manifest MDB data'!A:A,1,FALSE)),"OK","EXISTS!!!"))</f>
        <v/>
      </c>
    </row>
    <row r="172" spans="4:19" x14ac:dyDescent="0.25">
      <c r="D172" t="str">
        <f t="shared" si="10"/>
        <v/>
      </c>
      <c r="E172" t="str">
        <f t="shared" si="11"/>
        <v/>
      </c>
      <c r="F172" t="str">
        <f t="shared" si="12"/>
        <v/>
      </c>
      <c r="G172" t="str">
        <f>IF(LEN(TRIM(E172))=0, "", GetSampleTissueBySpecimenPrep(H172))</f>
        <v/>
      </c>
      <c r="H172" t="str">
        <f>IF(LEN(TRIM(E172))=0, "", GetSpecimenPrepName())</f>
        <v/>
      </c>
      <c r="I172" t="str">
        <f>IF(LEN(TRIM(E172))=0, "", GetSampleVolumeBySpecimenPrep(H172))</f>
        <v/>
      </c>
      <c r="L172" t="str">
        <f>IF(LEN(TRIM(E172))=0,"",VLOOKUP("Manifest Id",config!A:B,2,FALSE))</f>
        <v/>
      </c>
      <c r="M172" t="str">
        <f>IF(LEN(TRIM(E172))=0, "",VLOOKUP("Project Name",config!A:B,2,FALSE))</f>
        <v/>
      </c>
      <c r="N172" t="str">
        <f>IF(LEN(TRIM(E172))=0, "",VLOOKUP("Center Name",config!A:B,2,FALSE))</f>
        <v/>
      </c>
      <c r="O172" s="7" t="str">
        <f>IF(LEN(TRIM(E172))=0,"",VLOOKUP("Shipment Date",config!A:B,2,FALSE))</f>
        <v/>
      </c>
      <c r="P172" s="7" t="str">
        <f t="shared" si="9"/>
        <v/>
      </c>
      <c r="Q172" s="7" t="str">
        <f>IF(LEN(TRIM(D172))=0,"",GetConfigParameterValue("Collection Site"))</f>
        <v/>
      </c>
      <c r="R172" t="str">
        <f>IF(LEN(TRIM(E172))=0, "", GetManifestComments(H172))</f>
        <v/>
      </c>
      <c r="S172" t="str">
        <f>IF(LEN(TRIM(E172))=0,"",IF(ISERROR(VLOOKUP(E172,'Manifest MDB data'!A:A,1,FALSE)),"OK","EXISTS!!!"))</f>
        <v/>
      </c>
    </row>
    <row r="173" spans="4:19" x14ac:dyDescent="0.25">
      <c r="D173" t="str">
        <f t="shared" si="10"/>
        <v/>
      </c>
      <c r="E173" t="str">
        <f t="shared" si="11"/>
        <v/>
      </c>
      <c r="F173" t="str">
        <f t="shared" si="12"/>
        <v/>
      </c>
      <c r="G173" t="str">
        <f>IF(LEN(TRIM(E173))=0, "", GetSampleTissueBySpecimenPrep(H173))</f>
        <v/>
      </c>
      <c r="H173" t="str">
        <f>IF(LEN(TRIM(E173))=0, "", GetSpecimenPrepName())</f>
        <v/>
      </c>
      <c r="I173" t="str">
        <f>IF(LEN(TRIM(E173))=0, "", GetSampleVolumeBySpecimenPrep(H173))</f>
        <v/>
      </c>
      <c r="L173" t="str">
        <f>IF(LEN(TRIM(E173))=0,"",VLOOKUP("Manifest Id",config!A:B,2,FALSE))</f>
        <v/>
      </c>
      <c r="M173" t="str">
        <f>IF(LEN(TRIM(E173))=0, "",VLOOKUP("Project Name",config!A:B,2,FALSE))</f>
        <v/>
      </c>
      <c r="N173" t="str">
        <f>IF(LEN(TRIM(E173))=0, "",VLOOKUP("Center Name",config!A:B,2,FALSE))</f>
        <v/>
      </c>
      <c r="O173" s="7" t="str">
        <f>IF(LEN(TRIM(E173))=0,"",VLOOKUP("Shipment Date",config!A:B,2,FALSE))</f>
        <v/>
      </c>
      <c r="P173" s="7" t="str">
        <f t="shared" si="9"/>
        <v/>
      </c>
      <c r="Q173" s="7" t="str">
        <f>IF(LEN(TRIM(D173))=0,"",GetConfigParameterValue("Collection Site"))</f>
        <v/>
      </c>
      <c r="R173" t="str">
        <f>IF(LEN(TRIM(E173))=0, "", GetManifestComments(H173))</f>
        <v/>
      </c>
      <c r="S173" t="str">
        <f>IF(LEN(TRIM(E173))=0,"",IF(ISERROR(VLOOKUP(E173,'Manifest MDB data'!A:A,1,FALSE)),"OK","EXISTS!!!"))</f>
        <v/>
      </c>
    </row>
    <row r="174" spans="4:19" x14ac:dyDescent="0.25">
      <c r="D174" t="str">
        <f t="shared" si="10"/>
        <v/>
      </c>
      <c r="E174" t="str">
        <f t="shared" si="11"/>
        <v/>
      </c>
      <c r="F174" t="str">
        <f t="shared" si="12"/>
        <v/>
      </c>
      <c r="G174" t="str">
        <f>IF(LEN(TRIM(E174))=0, "", GetSampleTissueBySpecimenPrep(H174))</f>
        <v/>
      </c>
      <c r="H174" t="str">
        <f>IF(LEN(TRIM(E174))=0, "", GetSpecimenPrepName())</f>
        <v/>
      </c>
      <c r="I174" t="str">
        <f>IF(LEN(TRIM(E174))=0, "", GetSampleVolumeBySpecimenPrep(H174))</f>
        <v/>
      </c>
      <c r="L174" t="str">
        <f>IF(LEN(TRIM(E174))=0,"",VLOOKUP("Manifest Id",config!A:B,2,FALSE))</f>
        <v/>
      </c>
      <c r="M174" t="str">
        <f>IF(LEN(TRIM(E174))=0, "",VLOOKUP("Project Name",config!A:B,2,FALSE))</f>
        <v/>
      </c>
      <c r="N174" t="str">
        <f>IF(LEN(TRIM(E174))=0, "",VLOOKUP("Center Name",config!A:B,2,FALSE))</f>
        <v/>
      </c>
      <c r="O174" s="7" t="str">
        <f>IF(LEN(TRIM(E174))=0,"",VLOOKUP("Shipment Date",config!A:B,2,FALSE))</f>
        <v/>
      </c>
      <c r="P174" s="7" t="str">
        <f t="shared" si="9"/>
        <v/>
      </c>
      <c r="Q174" s="7" t="str">
        <f>IF(LEN(TRIM(D174))=0,"",GetConfigParameterValue("Collection Site"))</f>
        <v/>
      </c>
      <c r="R174" t="str">
        <f>IF(LEN(TRIM(E174))=0, "", GetManifestComments(H174))</f>
        <v/>
      </c>
      <c r="S174" t="str">
        <f>IF(LEN(TRIM(E174))=0,"",IF(ISERROR(VLOOKUP(E174,'Manifest MDB data'!A:A,1,FALSE)),"OK","EXISTS!!!"))</f>
        <v/>
      </c>
    </row>
    <row r="175" spans="4:19" x14ac:dyDescent="0.25">
      <c r="D175" t="str">
        <f t="shared" si="10"/>
        <v/>
      </c>
      <c r="E175" t="str">
        <f t="shared" si="11"/>
        <v/>
      </c>
      <c r="F175" t="str">
        <f t="shared" si="12"/>
        <v/>
      </c>
      <c r="G175" t="str">
        <f>IF(LEN(TRIM(E175))=0, "", GetSampleTissueBySpecimenPrep(H175))</f>
        <v/>
      </c>
      <c r="H175" t="str">
        <f>IF(LEN(TRIM(E175))=0, "", GetSpecimenPrepName())</f>
        <v/>
      </c>
      <c r="I175" t="str">
        <f>IF(LEN(TRIM(E175))=0, "", GetSampleVolumeBySpecimenPrep(H175))</f>
        <v/>
      </c>
      <c r="L175" t="str">
        <f>IF(LEN(TRIM(E175))=0,"",VLOOKUP("Manifest Id",config!A:B,2,FALSE))</f>
        <v/>
      </c>
      <c r="M175" t="str">
        <f>IF(LEN(TRIM(E175))=0, "",VLOOKUP("Project Name",config!A:B,2,FALSE))</f>
        <v/>
      </c>
      <c r="N175" t="str">
        <f>IF(LEN(TRIM(E175))=0, "",VLOOKUP("Center Name",config!A:B,2,FALSE))</f>
        <v/>
      </c>
      <c r="O175" s="7" t="str">
        <f>IF(LEN(TRIM(E175))=0,"",VLOOKUP("Shipment Date",config!A:B,2,FALSE))</f>
        <v/>
      </c>
      <c r="P175" s="7" t="str">
        <f t="shared" si="9"/>
        <v/>
      </c>
      <c r="Q175" s="7" t="str">
        <f>IF(LEN(TRIM(D175))=0,"",GetConfigParameterValue("Collection Site"))</f>
        <v/>
      </c>
      <c r="R175" t="str">
        <f>IF(LEN(TRIM(E175))=0, "", GetManifestComments(H175))</f>
        <v/>
      </c>
      <c r="S175" t="str">
        <f>IF(LEN(TRIM(E175))=0,"",IF(ISERROR(VLOOKUP(E175,'Manifest MDB data'!A:A,1,FALSE)),"OK","EXISTS!!!"))</f>
        <v/>
      </c>
    </row>
    <row r="176" spans="4:19" x14ac:dyDescent="0.25">
      <c r="D176" t="str">
        <f t="shared" si="10"/>
        <v/>
      </c>
      <c r="E176" t="str">
        <f t="shared" si="11"/>
        <v/>
      </c>
      <c r="F176" t="str">
        <f t="shared" si="12"/>
        <v/>
      </c>
      <c r="G176" t="str">
        <f>IF(LEN(TRIM(E176))=0, "", GetSampleTissueBySpecimenPrep(H176))</f>
        <v/>
      </c>
      <c r="H176" t="str">
        <f>IF(LEN(TRIM(E176))=0, "", GetSpecimenPrepName())</f>
        <v/>
      </c>
      <c r="I176" t="str">
        <f>IF(LEN(TRIM(E176))=0, "", GetSampleVolumeBySpecimenPrep(H176))</f>
        <v/>
      </c>
      <c r="L176" t="str">
        <f>IF(LEN(TRIM(E176))=0,"",VLOOKUP("Manifest Id",config!A:B,2,FALSE))</f>
        <v/>
      </c>
      <c r="M176" t="str">
        <f>IF(LEN(TRIM(E176))=0, "",VLOOKUP("Project Name",config!A:B,2,FALSE))</f>
        <v/>
      </c>
      <c r="N176" t="str">
        <f>IF(LEN(TRIM(E176))=0, "",VLOOKUP("Center Name",config!A:B,2,FALSE))</f>
        <v/>
      </c>
      <c r="O176" s="7" t="str">
        <f>IF(LEN(TRIM(E176))=0,"",VLOOKUP("Shipment Date",config!A:B,2,FALSE))</f>
        <v/>
      </c>
      <c r="P176" s="7" t="str">
        <f t="shared" si="9"/>
        <v/>
      </c>
      <c r="Q176" s="7" t="str">
        <f>IF(LEN(TRIM(D176))=0,"",GetConfigParameterValue("Collection Site"))</f>
        <v/>
      </c>
      <c r="R176" t="str">
        <f>IF(LEN(TRIM(E176))=0, "", GetManifestComments(H176))</f>
        <v/>
      </c>
      <c r="S176" t="str">
        <f>IF(LEN(TRIM(E176))=0,"",IF(ISERROR(VLOOKUP(E176,'Manifest MDB data'!A:A,1,FALSE)),"OK","EXISTS!!!"))</f>
        <v/>
      </c>
    </row>
    <row r="177" spans="4:19" x14ac:dyDescent="0.25">
      <c r="D177" t="str">
        <f t="shared" si="10"/>
        <v/>
      </c>
      <c r="E177" t="str">
        <f t="shared" si="11"/>
        <v/>
      </c>
      <c r="F177" t="str">
        <f t="shared" si="12"/>
        <v/>
      </c>
      <c r="G177" t="str">
        <f>IF(LEN(TRIM(E177))=0, "", GetSampleTissueBySpecimenPrep(H177))</f>
        <v/>
      </c>
      <c r="H177" t="str">
        <f>IF(LEN(TRIM(E177))=0, "", GetSpecimenPrepName())</f>
        <v/>
      </c>
      <c r="I177" t="str">
        <f>IF(LEN(TRIM(E177))=0, "", GetSampleVolumeBySpecimenPrep(H177))</f>
        <v/>
      </c>
      <c r="L177" t="str">
        <f>IF(LEN(TRIM(E177))=0,"",VLOOKUP("Manifest Id",config!A:B,2,FALSE))</f>
        <v/>
      </c>
      <c r="M177" t="str">
        <f>IF(LEN(TRIM(E177))=0, "",VLOOKUP("Project Name",config!A:B,2,FALSE))</f>
        <v/>
      </c>
      <c r="N177" t="str">
        <f>IF(LEN(TRIM(E177))=0, "",VLOOKUP("Center Name",config!A:B,2,FALSE))</f>
        <v/>
      </c>
      <c r="O177" s="7" t="str">
        <f>IF(LEN(TRIM(E177))=0,"",VLOOKUP("Shipment Date",config!A:B,2,FALSE))</f>
        <v/>
      </c>
      <c r="P177" s="7" t="str">
        <f t="shared" si="9"/>
        <v/>
      </c>
      <c r="Q177" s="7" t="str">
        <f>IF(LEN(TRIM(D177))=0,"",GetConfigParameterValue("Collection Site"))</f>
        <v/>
      </c>
      <c r="R177" t="str">
        <f>IF(LEN(TRIM(E177))=0, "", GetManifestComments(H177))</f>
        <v/>
      </c>
      <c r="S177" t="str">
        <f>IF(LEN(TRIM(E177))=0,"",IF(ISERROR(VLOOKUP(E177,'Manifest MDB data'!A:A,1,FALSE)),"OK","EXISTS!!!"))</f>
        <v/>
      </c>
    </row>
    <row r="178" spans="4:19" x14ac:dyDescent="0.25">
      <c r="D178" t="str">
        <f t="shared" si="10"/>
        <v/>
      </c>
      <c r="E178" t="str">
        <f t="shared" si="11"/>
        <v/>
      </c>
      <c r="F178" t="str">
        <f t="shared" si="12"/>
        <v/>
      </c>
      <c r="G178" t="str">
        <f>IF(LEN(TRIM(E178))=0, "", GetSampleTissueBySpecimenPrep(H178))</f>
        <v/>
      </c>
      <c r="H178" t="str">
        <f>IF(LEN(TRIM(E178))=0, "", GetSpecimenPrepName())</f>
        <v/>
      </c>
      <c r="I178" t="str">
        <f>IF(LEN(TRIM(E178))=0, "", GetSampleVolumeBySpecimenPrep(H178))</f>
        <v/>
      </c>
      <c r="L178" t="str">
        <f>IF(LEN(TRIM(E178))=0,"",VLOOKUP("Manifest Id",config!A:B,2,FALSE))</f>
        <v/>
      </c>
      <c r="M178" t="str">
        <f>IF(LEN(TRIM(E178))=0, "",VLOOKUP("Project Name",config!A:B,2,FALSE))</f>
        <v/>
      </c>
      <c r="N178" t="str">
        <f>IF(LEN(TRIM(E178))=0, "",VLOOKUP("Center Name",config!A:B,2,FALSE))</f>
        <v/>
      </c>
      <c r="O178" s="7" t="str">
        <f>IF(LEN(TRIM(E178))=0,"",VLOOKUP("Shipment Date",config!A:B,2,FALSE))</f>
        <v/>
      </c>
      <c r="P178" s="7" t="str">
        <f t="shared" si="9"/>
        <v/>
      </c>
      <c r="Q178" s="7" t="str">
        <f>IF(LEN(TRIM(D178))=0,"",GetConfigParameterValue("Collection Site"))</f>
        <v/>
      </c>
      <c r="R178" t="str">
        <f>IF(LEN(TRIM(E178))=0, "", GetManifestComments(H178))</f>
        <v/>
      </c>
      <c r="S178" t="str">
        <f>IF(LEN(TRIM(E178))=0,"",IF(ISERROR(VLOOKUP(E178,'Manifest MDB data'!A:A,1,FALSE)),"OK","EXISTS!!!"))</f>
        <v/>
      </c>
    </row>
    <row r="179" spans="4:19" x14ac:dyDescent="0.25">
      <c r="D179" t="str">
        <f t="shared" si="10"/>
        <v/>
      </c>
      <c r="E179" t="str">
        <f t="shared" si="11"/>
        <v/>
      </c>
      <c r="F179" t="str">
        <f t="shared" si="12"/>
        <v/>
      </c>
      <c r="G179" t="str">
        <f>IF(LEN(TRIM(E179))=0, "", GetSampleTissueBySpecimenPrep(H179))</f>
        <v/>
      </c>
      <c r="H179" t="str">
        <f>IF(LEN(TRIM(E179))=0, "", GetSpecimenPrepName())</f>
        <v/>
      </c>
      <c r="I179" t="str">
        <f>IF(LEN(TRIM(E179))=0, "", GetSampleVolumeBySpecimenPrep(H179))</f>
        <v/>
      </c>
      <c r="L179" t="str">
        <f>IF(LEN(TRIM(E179))=0,"",VLOOKUP("Manifest Id",config!A:B,2,FALSE))</f>
        <v/>
      </c>
      <c r="M179" t="str">
        <f>IF(LEN(TRIM(E179))=0, "",VLOOKUP("Project Name",config!A:B,2,FALSE))</f>
        <v/>
      </c>
      <c r="N179" t="str">
        <f>IF(LEN(TRIM(E179))=0, "",VLOOKUP("Center Name",config!A:B,2,FALSE))</f>
        <v/>
      </c>
      <c r="O179" s="7" t="str">
        <f>IF(LEN(TRIM(E179))=0,"",VLOOKUP("Shipment Date",config!A:B,2,FALSE))</f>
        <v/>
      </c>
      <c r="P179" s="7" t="str">
        <f t="shared" si="9"/>
        <v/>
      </c>
      <c r="Q179" s="7" t="str">
        <f>IF(LEN(TRIM(D179))=0,"",GetConfigParameterValue("Collection Site"))</f>
        <v/>
      </c>
      <c r="R179" t="str">
        <f>IF(LEN(TRIM(E179))=0, "", GetManifestComments(H179))</f>
        <v/>
      </c>
      <c r="S179" t="str">
        <f>IF(LEN(TRIM(E179))=0,"",IF(ISERROR(VLOOKUP(E179,'Manifest MDB data'!A:A,1,FALSE)),"OK","EXISTS!!!"))</f>
        <v/>
      </c>
    </row>
    <row r="180" spans="4:19" x14ac:dyDescent="0.25">
      <c r="D180" t="str">
        <f t="shared" si="10"/>
        <v/>
      </c>
      <c r="E180" t="str">
        <f t="shared" si="11"/>
        <v/>
      </c>
      <c r="F180" t="str">
        <f t="shared" si="12"/>
        <v/>
      </c>
      <c r="G180" t="str">
        <f>IF(LEN(TRIM(E180))=0, "", GetSampleTissueBySpecimenPrep(H180))</f>
        <v/>
      </c>
      <c r="H180" t="str">
        <f>IF(LEN(TRIM(E180))=0, "", GetSpecimenPrepName())</f>
        <v/>
      </c>
      <c r="I180" t="str">
        <f>IF(LEN(TRIM(E180))=0, "", GetSampleVolumeBySpecimenPrep(H180))</f>
        <v/>
      </c>
      <c r="L180" t="str">
        <f>IF(LEN(TRIM(E180))=0,"",VLOOKUP("Manifest Id",config!A:B,2,FALSE))</f>
        <v/>
      </c>
      <c r="M180" t="str">
        <f>IF(LEN(TRIM(E180))=0, "",VLOOKUP("Project Name",config!A:B,2,FALSE))</f>
        <v/>
      </c>
      <c r="N180" t="str">
        <f>IF(LEN(TRIM(E180))=0, "",VLOOKUP("Center Name",config!A:B,2,FALSE))</f>
        <v/>
      </c>
      <c r="O180" s="7" t="str">
        <f>IF(LEN(TRIM(E180))=0,"",VLOOKUP("Shipment Date",config!A:B,2,FALSE))</f>
        <v/>
      </c>
      <c r="P180" s="7" t="str">
        <f t="shared" si="9"/>
        <v/>
      </c>
      <c r="Q180" s="7" t="str">
        <f>IF(LEN(TRIM(D180))=0,"",GetConfigParameterValue("Collection Site"))</f>
        <v/>
      </c>
      <c r="R180" t="str">
        <f>IF(LEN(TRIM(E180))=0, "", GetManifestComments(H180))</f>
        <v/>
      </c>
      <c r="S180" t="str">
        <f>IF(LEN(TRIM(E180))=0,"",IF(ISERROR(VLOOKUP(E180,'Manifest MDB data'!A:A,1,FALSE)),"OK","EXISTS!!!"))</f>
        <v/>
      </c>
    </row>
    <row r="181" spans="4:19" x14ac:dyDescent="0.25">
      <c r="D181" t="str">
        <f t="shared" si="10"/>
        <v/>
      </c>
      <c r="E181" t="str">
        <f t="shared" si="11"/>
        <v/>
      </c>
      <c r="F181" t="str">
        <f t="shared" si="12"/>
        <v/>
      </c>
      <c r="G181" t="str">
        <f>IF(LEN(TRIM(E181))=0, "", GetSampleTissueBySpecimenPrep(H181))</f>
        <v/>
      </c>
      <c r="H181" t="str">
        <f>IF(LEN(TRIM(E181))=0, "", GetSpecimenPrepName())</f>
        <v/>
      </c>
      <c r="I181" t="str">
        <f>IF(LEN(TRIM(E181))=0, "", GetSampleVolumeBySpecimenPrep(H181))</f>
        <v/>
      </c>
      <c r="L181" t="str">
        <f>IF(LEN(TRIM(E181))=0,"",VLOOKUP("Manifest Id",config!A:B,2,FALSE))</f>
        <v/>
      </c>
      <c r="M181" t="str">
        <f>IF(LEN(TRIM(E181))=0, "",VLOOKUP("Project Name",config!A:B,2,FALSE))</f>
        <v/>
      </c>
      <c r="N181" t="str">
        <f>IF(LEN(TRIM(E181))=0, "",VLOOKUP("Center Name",config!A:B,2,FALSE))</f>
        <v/>
      </c>
      <c r="O181" s="7" t="str">
        <f>IF(LEN(TRIM(E181))=0,"",VLOOKUP("Shipment Date",config!A:B,2,FALSE))</f>
        <v/>
      </c>
      <c r="P181" s="7" t="str">
        <f t="shared" si="9"/>
        <v/>
      </c>
      <c r="Q181" s="7" t="str">
        <f>IF(LEN(TRIM(D181))=0,"",GetConfigParameterValue("Collection Site"))</f>
        <v/>
      </c>
      <c r="R181" t="str">
        <f>IF(LEN(TRIM(E181))=0, "", GetManifestComments(H181))</f>
        <v/>
      </c>
      <c r="S181" t="str">
        <f>IF(LEN(TRIM(E181))=0,"",IF(ISERROR(VLOOKUP(E181,'Manifest MDB data'!A:A,1,FALSE)),"OK","EXISTS!!!"))</f>
        <v/>
      </c>
    </row>
    <row r="182" spans="4:19" x14ac:dyDescent="0.25">
      <c r="D182" t="str">
        <f t="shared" si="10"/>
        <v/>
      </c>
      <c r="E182" t="str">
        <f t="shared" si="11"/>
        <v/>
      </c>
      <c r="F182" t="str">
        <f t="shared" si="12"/>
        <v/>
      </c>
      <c r="G182" t="str">
        <f>IF(LEN(TRIM(E182))=0, "", GetSampleTissueBySpecimenPrep(H182))</f>
        <v/>
      </c>
      <c r="H182" t="str">
        <f>IF(LEN(TRIM(E182))=0, "", GetSpecimenPrepName())</f>
        <v/>
      </c>
      <c r="I182" t="str">
        <f>IF(LEN(TRIM(E182))=0, "", GetSampleVolumeBySpecimenPrep(H182))</f>
        <v/>
      </c>
      <c r="L182" t="str">
        <f>IF(LEN(TRIM(E182))=0,"",VLOOKUP("Manifest Id",config!A:B,2,FALSE))</f>
        <v/>
      </c>
      <c r="M182" t="str">
        <f>IF(LEN(TRIM(E182))=0, "",VLOOKUP("Project Name",config!A:B,2,FALSE))</f>
        <v/>
      </c>
      <c r="N182" t="str">
        <f>IF(LEN(TRIM(E182))=0, "",VLOOKUP("Center Name",config!A:B,2,FALSE))</f>
        <v/>
      </c>
      <c r="O182" s="7" t="str">
        <f>IF(LEN(TRIM(E182))=0,"",VLOOKUP("Shipment Date",config!A:B,2,FALSE))</f>
        <v/>
      </c>
      <c r="P182" s="7" t="str">
        <f t="shared" si="9"/>
        <v/>
      </c>
      <c r="Q182" s="7" t="str">
        <f>IF(LEN(TRIM(D182))=0,"",GetConfigParameterValue("Collection Site"))</f>
        <v/>
      </c>
      <c r="R182" t="str">
        <f>IF(LEN(TRIM(E182))=0, "", GetManifestComments(H182))</f>
        <v/>
      </c>
      <c r="S182" t="str">
        <f>IF(LEN(TRIM(E182))=0,"",IF(ISERROR(VLOOKUP(E182,'Manifest MDB data'!A:A,1,FALSE)),"OK","EXISTS!!!"))</f>
        <v/>
      </c>
    </row>
    <row r="183" spans="4:19" x14ac:dyDescent="0.25">
      <c r="D183" t="str">
        <f t="shared" si="10"/>
        <v/>
      </c>
      <c r="E183" t="str">
        <f t="shared" si="11"/>
        <v/>
      </c>
      <c r="F183" t="str">
        <f t="shared" si="12"/>
        <v/>
      </c>
      <c r="G183" t="str">
        <f>IF(LEN(TRIM(E183))=0, "", GetSampleTissueBySpecimenPrep(H183))</f>
        <v/>
      </c>
      <c r="H183" t="str">
        <f>IF(LEN(TRIM(E183))=0, "", GetSpecimenPrepName())</f>
        <v/>
      </c>
      <c r="I183" t="str">
        <f>IF(LEN(TRIM(E183))=0, "", GetSampleVolumeBySpecimenPrep(H183))</f>
        <v/>
      </c>
      <c r="L183" t="str">
        <f>IF(LEN(TRIM(E183))=0,"",VLOOKUP("Manifest Id",config!A:B,2,FALSE))</f>
        <v/>
      </c>
      <c r="M183" t="str">
        <f>IF(LEN(TRIM(E183))=0, "",VLOOKUP("Project Name",config!A:B,2,FALSE))</f>
        <v/>
      </c>
      <c r="N183" t="str">
        <f>IF(LEN(TRIM(E183))=0, "",VLOOKUP("Center Name",config!A:B,2,FALSE))</f>
        <v/>
      </c>
      <c r="O183" s="7" t="str">
        <f>IF(LEN(TRIM(E183))=0,"",VLOOKUP("Shipment Date",config!A:B,2,FALSE))</f>
        <v/>
      </c>
      <c r="P183" s="7" t="str">
        <f t="shared" si="9"/>
        <v/>
      </c>
      <c r="Q183" s="7" t="str">
        <f>IF(LEN(TRIM(D183))=0,"",GetConfigParameterValue("Collection Site"))</f>
        <v/>
      </c>
      <c r="R183" t="str">
        <f>IF(LEN(TRIM(E183))=0, "", GetManifestComments(H183))</f>
        <v/>
      </c>
      <c r="S183" t="str">
        <f>IF(LEN(TRIM(E183))=0,"",IF(ISERROR(VLOOKUP(E183,'Manifest MDB data'!A:A,1,FALSE)),"OK","EXISTS!!!"))</f>
        <v/>
      </c>
    </row>
    <row r="184" spans="4:19" x14ac:dyDescent="0.25">
      <c r="D184" t="str">
        <f t="shared" si="10"/>
        <v/>
      </c>
      <c r="E184" t="str">
        <f t="shared" si="11"/>
        <v/>
      </c>
      <c r="F184" t="str">
        <f t="shared" si="12"/>
        <v/>
      </c>
      <c r="G184" t="str">
        <f>IF(LEN(TRIM(E184))=0, "", GetSampleTissueBySpecimenPrep(H184))</f>
        <v/>
      </c>
      <c r="H184" t="str">
        <f>IF(LEN(TRIM(E184))=0, "", GetSpecimenPrepName())</f>
        <v/>
      </c>
      <c r="I184" t="str">
        <f>IF(LEN(TRIM(E184))=0, "", GetSampleVolumeBySpecimenPrep(H184))</f>
        <v/>
      </c>
      <c r="L184" t="str">
        <f>IF(LEN(TRIM(E184))=0,"",VLOOKUP("Manifest Id",config!A:B,2,FALSE))</f>
        <v/>
      </c>
      <c r="M184" t="str">
        <f>IF(LEN(TRIM(E184))=0, "",VLOOKUP("Project Name",config!A:B,2,FALSE))</f>
        <v/>
      </c>
      <c r="N184" t="str">
        <f>IF(LEN(TRIM(E184))=0, "",VLOOKUP("Center Name",config!A:B,2,FALSE))</f>
        <v/>
      </c>
      <c r="O184" s="7" t="str">
        <f>IF(LEN(TRIM(E184))=0,"",VLOOKUP("Shipment Date",config!A:B,2,FALSE))</f>
        <v/>
      </c>
      <c r="P184" s="7" t="str">
        <f t="shared" si="9"/>
        <v/>
      </c>
      <c r="Q184" s="7" t="str">
        <f>IF(LEN(TRIM(D184))=0,"",GetConfigParameterValue("Collection Site"))</f>
        <v/>
      </c>
      <c r="R184" t="str">
        <f>IF(LEN(TRIM(E184))=0, "", GetManifestComments(H184))</f>
        <v/>
      </c>
      <c r="S184" t="str">
        <f>IF(LEN(TRIM(E184))=0,"",IF(ISERROR(VLOOKUP(E184,'Manifest MDB data'!A:A,1,FALSE)),"OK","EXISTS!!!"))</f>
        <v/>
      </c>
    </row>
    <row r="185" spans="4:19" x14ac:dyDescent="0.25">
      <c r="D185" t="str">
        <f t="shared" si="10"/>
        <v/>
      </c>
      <c r="E185" t="str">
        <f t="shared" si="11"/>
        <v/>
      </c>
      <c r="F185" t="str">
        <f t="shared" si="12"/>
        <v/>
      </c>
      <c r="G185" t="str">
        <f>IF(LEN(TRIM(E185))=0, "", GetSampleTissueBySpecimenPrep(H185))</f>
        <v/>
      </c>
      <c r="H185" t="str">
        <f>IF(LEN(TRIM(E185))=0, "", GetSpecimenPrepName())</f>
        <v/>
      </c>
      <c r="I185" t="str">
        <f>IF(LEN(TRIM(E185))=0, "", GetSampleVolumeBySpecimenPrep(H185))</f>
        <v/>
      </c>
      <c r="L185" t="str">
        <f>IF(LEN(TRIM(E185))=0,"",VLOOKUP("Manifest Id",config!A:B,2,FALSE))</f>
        <v/>
      </c>
      <c r="M185" t="str">
        <f>IF(LEN(TRIM(E185))=0, "",VLOOKUP("Project Name",config!A:B,2,FALSE))</f>
        <v/>
      </c>
      <c r="N185" t="str">
        <f>IF(LEN(TRIM(E185))=0, "",VLOOKUP("Center Name",config!A:B,2,FALSE))</f>
        <v/>
      </c>
      <c r="O185" s="7" t="str">
        <f>IF(LEN(TRIM(E185))=0,"",VLOOKUP("Shipment Date",config!A:B,2,FALSE))</f>
        <v/>
      </c>
      <c r="P185" s="7" t="str">
        <f t="shared" si="9"/>
        <v/>
      </c>
      <c r="Q185" s="7" t="str">
        <f>IF(LEN(TRIM(D185))=0,"",GetConfigParameterValue("Collection Site"))</f>
        <v/>
      </c>
      <c r="R185" t="str">
        <f>IF(LEN(TRIM(E185))=0, "", GetManifestComments(H185))</f>
        <v/>
      </c>
      <c r="S185" t="str">
        <f>IF(LEN(TRIM(E185))=0,"",IF(ISERROR(VLOOKUP(E185,'Manifest MDB data'!A:A,1,FALSE)),"OK","EXISTS!!!"))</f>
        <v/>
      </c>
    </row>
    <row r="186" spans="4:19" x14ac:dyDescent="0.25">
      <c r="D186" t="str">
        <f t="shared" si="10"/>
        <v/>
      </c>
      <c r="E186" t="str">
        <f t="shared" si="11"/>
        <v/>
      </c>
      <c r="F186" t="str">
        <f t="shared" si="12"/>
        <v/>
      </c>
      <c r="G186" t="str">
        <f>IF(LEN(TRIM(E186))=0, "", GetSampleTissueBySpecimenPrep(H186))</f>
        <v/>
      </c>
      <c r="H186" t="str">
        <f>IF(LEN(TRIM(E186))=0, "", GetSpecimenPrepName())</f>
        <v/>
      </c>
      <c r="I186" t="str">
        <f>IF(LEN(TRIM(E186))=0, "", GetSampleVolumeBySpecimenPrep(H186))</f>
        <v/>
      </c>
      <c r="L186" t="str">
        <f>IF(LEN(TRIM(E186))=0,"",VLOOKUP("Manifest Id",config!A:B,2,FALSE))</f>
        <v/>
      </c>
      <c r="M186" t="str">
        <f>IF(LEN(TRIM(E186))=0, "",VLOOKUP("Project Name",config!A:B,2,FALSE))</f>
        <v/>
      </c>
      <c r="N186" t="str">
        <f>IF(LEN(TRIM(E186))=0, "",VLOOKUP("Center Name",config!A:B,2,FALSE))</f>
        <v/>
      </c>
      <c r="O186" s="7" t="str">
        <f>IF(LEN(TRIM(E186))=0,"",VLOOKUP("Shipment Date",config!A:B,2,FALSE))</f>
        <v/>
      </c>
      <c r="P186" s="7" t="str">
        <f t="shared" si="9"/>
        <v/>
      </c>
      <c r="Q186" s="7" t="str">
        <f>IF(LEN(TRIM(D186))=0,"",GetConfigParameterValue("Collection Site"))</f>
        <v/>
      </c>
      <c r="R186" t="str">
        <f>IF(LEN(TRIM(E186))=0, "", GetManifestComments(H186))</f>
        <v/>
      </c>
      <c r="S186" t="str">
        <f>IF(LEN(TRIM(E186))=0,"",IF(ISERROR(VLOOKUP(E186,'Manifest MDB data'!A:A,1,FALSE)),"OK","EXISTS!!!"))</f>
        <v/>
      </c>
    </row>
    <row r="187" spans="4:19" x14ac:dyDescent="0.25">
      <c r="D187" t="str">
        <f t="shared" si="10"/>
        <v/>
      </c>
      <c r="E187" t="str">
        <f t="shared" si="11"/>
        <v/>
      </c>
      <c r="F187" t="str">
        <f t="shared" si="12"/>
        <v/>
      </c>
      <c r="G187" t="str">
        <f>IF(LEN(TRIM(E187))=0, "", GetSampleTissueBySpecimenPrep(H187))</f>
        <v/>
      </c>
      <c r="H187" t="str">
        <f>IF(LEN(TRIM(E187))=0, "", GetSpecimenPrepName())</f>
        <v/>
      </c>
      <c r="I187" t="str">
        <f>IF(LEN(TRIM(E187))=0, "", GetSampleVolumeBySpecimenPrep(H187))</f>
        <v/>
      </c>
      <c r="L187" t="str">
        <f>IF(LEN(TRIM(E187))=0,"",VLOOKUP("Manifest Id",config!A:B,2,FALSE))</f>
        <v/>
      </c>
      <c r="M187" t="str">
        <f>IF(LEN(TRIM(E187))=0, "",VLOOKUP("Project Name",config!A:B,2,FALSE))</f>
        <v/>
      </c>
      <c r="N187" t="str">
        <f>IF(LEN(TRIM(E187))=0, "",VLOOKUP("Center Name",config!A:B,2,FALSE))</f>
        <v/>
      </c>
      <c r="O187" s="7" t="str">
        <f>IF(LEN(TRIM(E187))=0,"",VLOOKUP("Shipment Date",config!A:B,2,FALSE))</f>
        <v/>
      </c>
      <c r="P187" s="7" t="str">
        <f t="shared" si="9"/>
        <v/>
      </c>
      <c r="Q187" s="7" t="str">
        <f>IF(LEN(TRIM(D187))=0,"",GetConfigParameterValue("Collection Site"))</f>
        <v/>
      </c>
      <c r="R187" t="str">
        <f>IF(LEN(TRIM(E187))=0, "", GetManifestComments(H187))</f>
        <v/>
      </c>
      <c r="S187" t="str">
        <f>IF(LEN(TRIM(E187))=0,"",IF(ISERROR(VLOOKUP(E187,'Manifest MDB data'!A:A,1,FALSE)),"OK","EXISTS!!!"))</f>
        <v/>
      </c>
    </row>
    <row r="188" spans="4:19" x14ac:dyDescent="0.25">
      <c r="D188" t="str">
        <f t="shared" si="10"/>
        <v/>
      </c>
      <c r="E188" t="str">
        <f t="shared" si="11"/>
        <v/>
      </c>
      <c r="F188" t="str">
        <f t="shared" si="12"/>
        <v/>
      </c>
      <c r="G188" t="str">
        <f>IF(LEN(TRIM(E188))=0, "", GetSampleTissueBySpecimenPrep(H188))</f>
        <v/>
      </c>
      <c r="H188" t="str">
        <f>IF(LEN(TRIM(E188))=0, "", GetSpecimenPrepName())</f>
        <v/>
      </c>
      <c r="I188" t="str">
        <f>IF(LEN(TRIM(E188))=0, "", GetSampleVolumeBySpecimenPrep(H188))</f>
        <v/>
      </c>
      <c r="L188" t="str">
        <f>IF(LEN(TRIM(E188))=0,"",VLOOKUP("Manifest Id",config!A:B,2,FALSE))</f>
        <v/>
      </c>
      <c r="M188" t="str">
        <f>IF(LEN(TRIM(E188))=0, "",VLOOKUP("Project Name",config!A:B,2,FALSE))</f>
        <v/>
      </c>
      <c r="N188" t="str">
        <f>IF(LEN(TRIM(E188))=0, "",VLOOKUP("Center Name",config!A:B,2,FALSE))</f>
        <v/>
      </c>
      <c r="O188" s="7" t="str">
        <f>IF(LEN(TRIM(E188))=0,"",VLOOKUP("Shipment Date",config!A:B,2,FALSE))</f>
        <v/>
      </c>
      <c r="P188" s="7" t="str">
        <f t="shared" si="9"/>
        <v/>
      </c>
      <c r="Q188" s="7" t="str">
        <f>IF(LEN(TRIM(D188))=0,"",GetConfigParameterValue("Collection Site"))</f>
        <v/>
      </c>
      <c r="R188" t="str">
        <f>IF(LEN(TRIM(E188))=0, "", GetManifestComments(H188))</f>
        <v/>
      </c>
      <c r="S188" t="str">
        <f>IF(LEN(TRIM(E188))=0,"",IF(ISERROR(VLOOKUP(E188,'Manifest MDB data'!A:A,1,FALSE)),"OK","EXISTS!!!"))</f>
        <v/>
      </c>
    </row>
    <row r="189" spans="4:19" x14ac:dyDescent="0.25">
      <c r="D189" t="str">
        <f t="shared" si="10"/>
        <v/>
      </c>
      <c r="E189" t="str">
        <f t="shared" si="11"/>
        <v/>
      </c>
      <c r="F189" t="str">
        <f t="shared" si="12"/>
        <v/>
      </c>
      <c r="G189" t="str">
        <f>IF(LEN(TRIM(E189))=0, "", GetSampleTissueBySpecimenPrep(H189))</f>
        <v/>
      </c>
      <c r="H189" t="str">
        <f>IF(LEN(TRIM(E189))=0, "", GetSpecimenPrepName())</f>
        <v/>
      </c>
      <c r="I189" t="str">
        <f>IF(LEN(TRIM(E189))=0, "", GetSampleVolumeBySpecimenPrep(H189))</f>
        <v/>
      </c>
      <c r="L189" t="str">
        <f>IF(LEN(TRIM(E189))=0,"",VLOOKUP("Manifest Id",config!A:B,2,FALSE))</f>
        <v/>
      </c>
      <c r="M189" t="str">
        <f>IF(LEN(TRIM(E189))=0, "",VLOOKUP("Project Name",config!A:B,2,FALSE))</f>
        <v/>
      </c>
      <c r="N189" t="str">
        <f>IF(LEN(TRIM(E189))=0, "",VLOOKUP("Center Name",config!A:B,2,FALSE))</f>
        <v/>
      </c>
      <c r="O189" s="7" t="str">
        <f>IF(LEN(TRIM(E189))=0,"",VLOOKUP("Shipment Date",config!A:B,2,FALSE))</f>
        <v/>
      </c>
      <c r="P189" s="7" t="str">
        <f t="shared" si="9"/>
        <v/>
      </c>
      <c r="Q189" s="7" t="str">
        <f>IF(LEN(TRIM(D189))=0,"",GetConfigParameterValue("Collection Site"))</f>
        <v/>
      </c>
      <c r="R189" t="str">
        <f>IF(LEN(TRIM(E189))=0, "", GetManifestComments(H189))</f>
        <v/>
      </c>
      <c r="S189" t="str">
        <f>IF(LEN(TRIM(E189))=0,"",IF(ISERROR(VLOOKUP(E189,'Manifest MDB data'!A:A,1,FALSE)),"OK","EXISTS!!!"))</f>
        <v/>
      </c>
    </row>
    <row r="190" spans="4:19" x14ac:dyDescent="0.25">
      <c r="D190" t="str">
        <f t="shared" si="10"/>
        <v/>
      </c>
      <c r="E190" t="str">
        <f t="shared" si="11"/>
        <v/>
      </c>
      <c r="F190" t="str">
        <f t="shared" si="12"/>
        <v/>
      </c>
      <c r="G190" t="str">
        <f>IF(LEN(TRIM(E190))=0, "", GetSampleTissueBySpecimenPrep(H190))</f>
        <v/>
      </c>
      <c r="H190" t="str">
        <f>IF(LEN(TRIM(E190))=0, "", GetSpecimenPrepName())</f>
        <v/>
      </c>
      <c r="I190" t="str">
        <f>IF(LEN(TRIM(E190))=0, "", GetSampleVolumeBySpecimenPrep(H190))</f>
        <v/>
      </c>
      <c r="L190" t="str">
        <f>IF(LEN(TRIM(E190))=0,"",VLOOKUP("Manifest Id",config!A:B,2,FALSE))</f>
        <v/>
      </c>
      <c r="M190" t="str">
        <f>IF(LEN(TRIM(E190))=0, "",VLOOKUP("Project Name",config!A:B,2,FALSE))</f>
        <v/>
      </c>
      <c r="N190" t="str">
        <f>IF(LEN(TRIM(E190))=0, "",VLOOKUP("Center Name",config!A:B,2,FALSE))</f>
        <v/>
      </c>
      <c r="O190" s="7" t="str">
        <f>IF(LEN(TRIM(E190))=0,"",VLOOKUP("Shipment Date",config!A:B,2,FALSE))</f>
        <v/>
      </c>
      <c r="P190" s="7" t="str">
        <f t="shared" si="9"/>
        <v/>
      </c>
      <c r="Q190" s="7" t="str">
        <f>IF(LEN(TRIM(D190))=0,"",GetConfigParameterValue("Collection Site"))</f>
        <v/>
      </c>
      <c r="R190" t="str">
        <f>IF(LEN(TRIM(E190))=0, "", GetManifestComments(H190))</f>
        <v/>
      </c>
      <c r="S190" t="str">
        <f>IF(LEN(TRIM(E190))=0,"",IF(ISERROR(VLOOKUP(E190,'Manifest MDB data'!A:A,1,FALSE)),"OK","EXISTS!!!"))</f>
        <v/>
      </c>
    </row>
    <row r="191" spans="4:19" x14ac:dyDescent="0.25">
      <c r="D191" t="str">
        <f t="shared" si="10"/>
        <v/>
      </c>
      <c r="E191" t="str">
        <f t="shared" si="11"/>
        <v/>
      </c>
      <c r="F191" t="str">
        <f t="shared" si="12"/>
        <v/>
      </c>
      <c r="G191" t="str">
        <f>IF(LEN(TRIM(E191))=0, "", GetSampleTissueBySpecimenPrep(H191))</f>
        <v/>
      </c>
      <c r="H191" t="str">
        <f>IF(LEN(TRIM(E191))=0, "", GetSpecimenPrepName())</f>
        <v/>
      </c>
      <c r="I191" t="str">
        <f>IF(LEN(TRIM(E191))=0, "", GetSampleVolumeBySpecimenPrep(H191))</f>
        <v/>
      </c>
      <c r="L191" t="str">
        <f>IF(LEN(TRIM(E191))=0,"",VLOOKUP("Manifest Id",config!A:B,2,FALSE))</f>
        <v/>
      </c>
      <c r="M191" t="str">
        <f>IF(LEN(TRIM(E191))=0, "",VLOOKUP("Project Name",config!A:B,2,FALSE))</f>
        <v/>
      </c>
      <c r="N191" t="str">
        <f>IF(LEN(TRIM(E191))=0, "",VLOOKUP("Center Name",config!A:B,2,FALSE))</f>
        <v/>
      </c>
      <c r="O191" s="7" t="str">
        <f>IF(LEN(TRIM(E191))=0,"",VLOOKUP("Shipment Date",config!A:B,2,FALSE))</f>
        <v/>
      </c>
      <c r="P191" s="7" t="str">
        <f t="shared" si="9"/>
        <v/>
      </c>
      <c r="Q191" s="7" t="str">
        <f>IF(LEN(TRIM(D191))=0,"",GetConfigParameterValue("Collection Site"))</f>
        <v/>
      </c>
      <c r="R191" t="str">
        <f>IF(LEN(TRIM(E191))=0, "", GetManifestComments(H191))</f>
        <v/>
      </c>
      <c r="S191" t="str">
        <f>IF(LEN(TRIM(E191))=0,"",IF(ISERROR(VLOOKUP(E191,'Manifest MDB data'!A:A,1,FALSE)),"OK","EXISTS!!!"))</f>
        <v/>
      </c>
    </row>
    <row r="192" spans="4:19" x14ac:dyDescent="0.25">
      <c r="D192" t="str">
        <f t="shared" si="10"/>
        <v/>
      </c>
      <c r="E192" t="str">
        <f t="shared" si="11"/>
        <v/>
      </c>
      <c r="F192" t="str">
        <f t="shared" si="12"/>
        <v/>
      </c>
      <c r="G192" t="str">
        <f>IF(LEN(TRIM(E192))=0, "", GetSampleTissueBySpecimenPrep(H192))</f>
        <v/>
      </c>
      <c r="H192" t="str">
        <f>IF(LEN(TRIM(E192))=0, "", GetSpecimenPrepName())</f>
        <v/>
      </c>
      <c r="I192" t="str">
        <f>IF(LEN(TRIM(E192))=0, "", GetSampleVolumeBySpecimenPrep(H192))</f>
        <v/>
      </c>
      <c r="L192" t="str">
        <f>IF(LEN(TRIM(E192))=0,"",VLOOKUP("Manifest Id",config!A:B,2,FALSE))</f>
        <v/>
      </c>
      <c r="M192" t="str">
        <f>IF(LEN(TRIM(E192))=0, "",VLOOKUP("Project Name",config!A:B,2,FALSE))</f>
        <v/>
      </c>
      <c r="N192" t="str">
        <f>IF(LEN(TRIM(E192))=0, "",VLOOKUP("Center Name",config!A:B,2,FALSE))</f>
        <v/>
      </c>
      <c r="O192" s="7" t="str">
        <f>IF(LEN(TRIM(E192))=0,"",VLOOKUP("Shipment Date",config!A:B,2,FALSE))</f>
        <v/>
      </c>
      <c r="P192" s="7" t="str">
        <f t="shared" si="9"/>
        <v/>
      </c>
      <c r="Q192" s="7" t="str">
        <f>IF(LEN(TRIM(D192))=0,"",GetConfigParameterValue("Collection Site"))</f>
        <v/>
      </c>
      <c r="R192" t="str">
        <f>IF(LEN(TRIM(E192))=0, "", GetManifestComments(H192))</f>
        <v/>
      </c>
      <c r="S192" t="str">
        <f>IF(LEN(TRIM(E192))=0,"",IF(ISERROR(VLOOKUP(E192,'Manifest MDB data'!A:A,1,FALSE)),"OK","EXISTS!!!"))</f>
        <v/>
      </c>
    </row>
    <row r="193" spans="4:19" x14ac:dyDescent="0.25">
      <c r="D193" t="str">
        <f t="shared" si="10"/>
        <v/>
      </c>
      <c r="E193" t="str">
        <f t="shared" si="11"/>
        <v/>
      </c>
      <c r="F193" t="str">
        <f t="shared" si="12"/>
        <v/>
      </c>
      <c r="G193" t="str">
        <f>IF(LEN(TRIM(E193))=0, "", GetSampleTissueBySpecimenPrep(H193))</f>
        <v/>
      </c>
      <c r="H193" t="str">
        <f>IF(LEN(TRIM(E193))=0, "", GetSpecimenPrepName())</f>
        <v/>
      </c>
      <c r="I193" t="str">
        <f>IF(LEN(TRIM(E193))=0, "", GetSampleVolumeBySpecimenPrep(H193))</f>
        <v/>
      </c>
      <c r="L193" t="str">
        <f>IF(LEN(TRIM(E193))=0,"",VLOOKUP("Manifest Id",config!A:B,2,FALSE))</f>
        <v/>
      </c>
      <c r="M193" t="str">
        <f>IF(LEN(TRIM(E193))=0, "",VLOOKUP("Project Name",config!A:B,2,FALSE))</f>
        <v/>
      </c>
      <c r="N193" t="str">
        <f>IF(LEN(TRIM(E193))=0, "",VLOOKUP("Center Name",config!A:B,2,FALSE))</f>
        <v/>
      </c>
      <c r="O193" s="7" t="str">
        <f>IF(LEN(TRIM(E193))=0,"",VLOOKUP("Shipment Date",config!A:B,2,FALSE))</f>
        <v/>
      </c>
      <c r="P193" s="7" t="str">
        <f t="shared" si="9"/>
        <v/>
      </c>
      <c r="Q193" s="7" t="str">
        <f>IF(LEN(TRIM(D193))=0,"",GetConfigParameterValue("Collection Site"))</f>
        <v/>
      </c>
      <c r="R193" t="str">
        <f>IF(LEN(TRIM(E193))=0, "", GetManifestComments(H193))</f>
        <v/>
      </c>
      <c r="S193" t="str">
        <f>IF(LEN(TRIM(E193))=0,"",IF(ISERROR(VLOOKUP(E193,'Manifest MDB data'!A:A,1,FALSE)),"OK","EXISTS!!!"))</f>
        <v/>
      </c>
    </row>
    <row r="194" spans="4:19" x14ac:dyDescent="0.25">
      <c r="D194" t="str">
        <f t="shared" si="10"/>
        <v/>
      </c>
      <c r="E194" t="str">
        <f t="shared" si="11"/>
        <v/>
      </c>
      <c r="F194" t="str">
        <f t="shared" si="12"/>
        <v/>
      </c>
      <c r="G194" t="str">
        <f>IF(LEN(TRIM(E194))=0, "", GetSampleTissueBySpecimenPrep(H194))</f>
        <v/>
      </c>
      <c r="H194" t="str">
        <f>IF(LEN(TRIM(E194))=0, "", GetSpecimenPrepName())</f>
        <v/>
      </c>
      <c r="I194" t="str">
        <f>IF(LEN(TRIM(E194))=0, "", GetSampleVolumeBySpecimenPrep(H194))</f>
        <v/>
      </c>
      <c r="L194" t="str">
        <f>IF(LEN(TRIM(E194))=0,"",VLOOKUP("Manifest Id",config!A:B,2,FALSE))</f>
        <v/>
      </c>
      <c r="M194" t="str">
        <f>IF(LEN(TRIM(E194))=0, "",VLOOKUP("Project Name",config!A:B,2,FALSE))</f>
        <v/>
      </c>
      <c r="N194" t="str">
        <f>IF(LEN(TRIM(E194))=0, "",VLOOKUP("Center Name",config!A:B,2,FALSE))</f>
        <v/>
      </c>
      <c r="O194" s="7" t="str">
        <f>IF(LEN(TRIM(E194))=0,"",VLOOKUP("Shipment Date",config!A:B,2,FALSE))</f>
        <v/>
      </c>
      <c r="P194" s="7" t="str">
        <f t="shared" ref="P194:P257" si="13">getColumnValueBySubjectID("Visit Date", RIGHT(LEFT(D194,7),4))</f>
        <v/>
      </c>
      <c r="Q194" s="7" t="str">
        <f>IF(LEN(TRIM(D194))=0,"",GetConfigParameterValue("Collection Site"))</f>
        <v/>
      </c>
      <c r="R194" t="str">
        <f>IF(LEN(TRIM(E194))=0, "", GetManifestComments(H194))</f>
        <v/>
      </c>
      <c r="S194" t="str">
        <f>IF(LEN(TRIM(E194))=0,"",IF(ISERROR(VLOOKUP(E194,'Manifest MDB data'!A:A,1,FALSE)),"OK","EXISTS!!!"))</f>
        <v/>
      </c>
    </row>
    <row r="195" spans="4:19" x14ac:dyDescent="0.25">
      <c r="D195" t="str">
        <f t="shared" ref="D195:D258" si="14">GetSampleId((ROW()))</f>
        <v/>
      </c>
      <c r="E195" t="str">
        <f t="shared" ref="E195:E258" si="15">GetAliquotId((ROW()))</f>
        <v/>
      </c>
      <c r="F195" t="str">
        <f t="shared" ref="F195:F258" si="16">IF(LEN(TRIM(E195))=0, "", "Human")</f>
        <v/>
      </c>
      <c r="G195" t="str">
        <f>IF(LEN(TRIM(E195))=0, "", GetSampleTissueBySpecimenPrep(H195))</f>
        <v/>
      </c>
      <c r="H195" t="str">
        <f>IF(LEN(TRIM(E195))=0, "", GetSpecimenPrepName())</f>
        <v/>
      </c>
      <c r="I195" t="str">
        <f>IF(LEN(TRIM(E195))=0, "", GetSampleVolumeBySpecimenPrep(H195))</f>
        <v/>
      </c>
      <c r="L195" t="str">
        <f>IF(LEN(TRIM(E195))=0,"",VLOOKUP("Manifest Id",config!A:B,2,FALSE))</f>
        <v/>
      </c>
      <c r="M195" t="str">
        <f>IF(LEN(TRIM(E195))=0, "",VLOOKUP("Project Name",config!A:B,2,FALSE))</f>
        <v/>
      </c>
      <c r="N195" t="str">
        <f>IF(LEN(TRIM(E195))=0, "",VLOOKUP("Center Name",config!A:B,2,FALSE))</f>
        <v/>
      </c>
      <c r="O195" s="7" t="str">
        <f>IF(LEN(TRIM(E195))=0,"",VLOOKUP("Shipment Date",config!A:B,2,FALSE))</f>
        <v/>
      </c>
      <c r="P195" s="7" t="str">
        <f t="shared" si="13"/>
        <v/>
      </c>
      <c r="Q195" s="7" t="str">
        <f>IF(LEN(TRIM(D195))=0,"",GetConfigParameterValue("Collection Site"))</f>
        <v/>
      </c>
      <c r="R195" t="str">
        <f>IF(LEN(TRIM(E195))=0, "", GetManifestComments(H195))</f>
        <v/>
      </c>
      <c r="S195" t="str">
        <f>IF(LEN(TRIM(E195))=0,"",IF(ISERROR(VLOOKUP(E195,'Manifest MDB data'!A:A,1,FALSE)),"OK","EXISTS!!!"))</f>
        <v/>
      </c>
    </row>
    <row r="196" spans="4:19" x14ac:dyDescent="0.25">
      <c r="D196" t="str">
        <f t="shared" si="14"/>
        <v/>
      </c>
      <c r="E196" t="str">
        <f t="shared" si="15"/>
        <v/>
      </c>
      <c r="F196" t="str">
        <f t="shared" si="16"/>
        <v/>
      </c>
      <c r="G196" t="str">
        <f>IF(LEN(TRIM(E196))=0, "", GetSampleTissueBySpecimenPrep(H196))</f>
        <v/>
      </c>
      <c r="H196" t="str">
        <f>IF(LEN(TRIM(E196))=0, "", GetSpecimenPrepName())</f>
        <v/>
      </c>
      <c r="I196" t="str">
        <f>IF(LEN(TRIM(E196))=0, "", GetSampleVolumeBySpecimenPrep(H196))</f>
        <v/>
      </c>
      <c r="L196" t="str">
        <f>IF(LEN(TRIM(E196))=0,"",VLOOKUP("Manifest Id",config!A:B,2,FALSE))</f>
        <v/>
      </c>
      <c r="M196" t="str">
        <f>IF(LEN(TRIM(E196))=0, "",VLOOKUP("Project Name",config!A:B,2,FALSE))</f>
        <v/>
      </c>
      <c r="N196" t="str">
        <f>IF(LEN(TRIM(E196))=0, "",VLOOKUP("Center Name",config!A:B,2,FALSE))</f>
        <v/>
      </c>
      <c r="O196" s="7" t="str">
        <f>IF(LEN(TRIM(E196))=0,"",VLOOKUP("Shipment Date",config!A:B,2,FALSE))</f>
        <v/>
      </c>
      <c r="P196" s="7" t="str">
        <f t="shared" si="13"/>
        <v/>
      </c>
      <c r="Q196" s="7" t="str">
        <f>IF(LEN(TRIM(D196))=0,"",GetConfigParameterValue("Collection Site"))</f>
        <v/>
      </c>
      <c r="R196" t="str">
        <f>IF(LEN(TRIM(E196))=0, "", GetManifestComments(H196))</f>
        <v/>
      </c>
      <c r="S196" t="str">
        <f>IF(LEN(TRIM(E196))=0,"",IF(ISERROR(VLOOKUP(E196,'Manifest MDB data'!A:A,1,FALSE)),"OK","EXISTS!!!"))</f>
        <v/>
      </c>
    </row>
    <row r="197" spans="4:19" x14ac:dyDescent="0.25">
      <c r="D197" t="str">
        <f t="shared" si="14"/>
        <v/>
      </c>
      <c r="E197" t="str">
        <f t="shared" si="15"/>
        <v/>
      </c>
      <c r="F197" t="str">
        <f t="shared" si="16"/>
        <v/>
      </c>
      <c r="G197" t="str">
        <f>IF(LEN(TRIM(E197))=0, "", GetSampleTissueBySpecimenPrep(H197))</f>
        <v/>
      </c>
      <c r="H197" t="str">
        <f>IF(LEN(TRIM(E197))=0, "", GetSpecimenPrepName())</f>
        <v/>
      </c>
      <c r="I197" t="str">
        <f>IF(LEN(TRIM(E197))=0, "", GetSampleVolumeBySpecimenPrep(H197))</f>
        <v/>
      </c>
      <c r="L197" t="str">
        <f>IF(LEN(TRIM(E197))=0,"",VLOOKUP("Manifest Id",config!A:B,2,FALSE))</f>
        <v/>
      </c>
      <c r="M197" t="str">
        <f>IF(LEN(TRIM(E197))=0, "",VLOOKUP("Project Name",config!A:B,2,FALSE))</f>
        <v/>
      </c>
      <c r="N197" t="str">
        <f>IF(LEN(TRIM(E197))=0, "",VLOOKUP("Center Name",config!A:B,2,FALSE))</f>
        <v/>
      </c>
      <c r="O197" s="7" t="str">
        <f>IF(LEN(TRIM(E197))=0,"",VLOOKUP("Shipment Date",config!A:B,2,FALSE))</f>
        <v/>
      </c>
      <c r="P197" s="7" t="str">
        <f t="shared" si="13"/>
        <v/>
      </c>
      <c r="Q197" s="7" t="str">
        <f>IF(LEN(TRIM(D197))=0,"",GetConfigParameterValue("Collection Site"))</f>
        <v/>
      </c>
      <c r="R197" t="str">
        <f>IF(LEN(TRIM(E197))=0, "", GetManifestComments(H197))</f>
        <v/>
      </c>
      <c r="S197" t="str">
        <f>IF(LEN(TRIM(E197))=0,"",IF(ISERROR(VLOOKUP(E197,'Manifest MDB data'!A:A,1,FALSE)),"OK","EXISTS!!!"))</f>
        <v/>
      </c>
    </row>
    <row r="198" spans="4:19" x14ac:dyDescent="0.25">
      <c r="D198" t="str">
        <f t="shared" si="14"/>
        <v/>
      </c>
      <c r="E198" t="str">
        <f t="shared" si="15"/>
        <v/>
      </c>
      <c r="F198" t="str">
        <f t="shared" si="16"/>
        <v/>
      </c>
      <c r="G198" t="str">
        <f>IF(LEN(TRIM(E198))=0, "", GetSampleTissueBySpecimenPrep(H198))</f>
        <v/>
      </c>
      <c r="H198" t="str">
        <f>IF(LEN(TRIM(E198))=0, "", GetSpecimenPrepName())</f>
        <v/>
      </c>
      <c r="I198" t="str">
        <f>IF(LEN(TRIM(E198))=0, "", GetSampleVolumeBySpecimenPrep(H198))</f>
        <v/>
      </c>
      <c r="L198" t="str">
        <f>IF(LEN(TRIM(E198))=0,"",VLOOKUP("Manifest Id",config!A:B,2,FALSE))</f>
        <v/>
      </c>
      <c r="M198" t="str">
        <f>IF(LEN(TRIM(E198))=0, "",VLOOKUP("Project Name",config!A:B,2,FALSE))</f>
        <v/>
      </c>
      <c r="N198" t="str">
        <f>IF(LEN(TRIM(E198))=0, "",VLOOKUP("Center Name",config!A:B,2,FALSE))</f>
        <v/>
      </c>
      <c r="O198" s="7" t="str">
        <f>IF(LEN(TRIM(E198))=0,"",VLOOKUP("Shipment Date",config!A:B,2,FALSE))</f>
        <v/>
      </c>
      <c r="P198" s="7" t="str">
        <f t="shared" si="13"/>
        <v/>
      </c>
      <c r="Q198" s="7" t="str">
        <f>IF(LEN(TRIM(D198))=0,"",GetConfigParameterValue("Collection Site"))</f>
        <v/>
      </c>
      <c r="R198" t="str">
        <f>IF(LEN(TRIM(E198))=0, "", GetManifestComments(H198))</f>
        <v/>
      </c>
      <c r="S198" t="str">
        <f>IF(LEN(TRIM(E198))=0,"",IF(ISERROR(VLOOKUP(E198,'Manifest MDB data'!A:A,1,FALSE)),"OK","EXISTS!!!"))</f>
        <v/>
      </c>
    </row>
    <row r="199" spans="4:19" x14ac:dyDescent="0.25">
      <c r="D199" t="str">
        <f t="shared" si="14"/>
        <v/>
      </c>
      <c r="E199" t="str">
        <f t="shared" si="15"/>
        <v/>
      </c>
      <c r="F199" t="str">
        <f t="shared" si="16"/>
        <v/>
      </c>
      <c r="G199" t="str">
        <f>IF(LEN(TRIM(E199))=0, "", GetSampleTissueBySpecimenPrep(H199))</f>
        <v/>
      </c>
      <c r="H199" t="str">
        <f>IF(LEN(TRIM(E199))=0, "", GetSpecimenPrepName())</f>
        <v/>
      </c>
      <c r="I199" t="str">
        <f>IF(LEN(TRIM(E199))=0, "", GetSampleVolumeBySpecimenPrep(H199))</f>
        <v/>
      </c>
      <c r="L199" t="str">
        <f>IF(LEN(TRIM(E199))=0,"",VLOOKUP("Manifest Id",config!A:B,2,FALSE))</f>
        <v/>
      </c>
      <c r="M199" t="str">
        <f>IF(LEN(TRIM(E199))=0, "",VLOOKUP("Project Name",config!A:B,2,FALSE))</f>
        <v/>
      </c>
      <c r="N199" t="str">
        <f>IF(LEN(TRIM(E199))=0, "",VLOOKUP("Center Name",config!A:B,2,FALSE))</f>
        <v/>
      </c>
      <c r="O199" s="7" t="str">
        <f>IF(LEN(TRIM(E199))=0,"",VLOOKUP("Shipment Date",config!A:B,2,FALSE))</f>
        <v/>
      </c>
      <c r="P199" s="7" t="str">
        <f t="shared" si="13"/>
        <v/>
      </c>
      <c r="Q199" s="7" t="str">
        <f>IF(LEN(TRIM(D199))=0,"",GetConfigParameterValue("Collection Site"))</f>
        <v/>
      </c>
      <c r="R199" t="str">
        <f>IF(LEN(TRIM(E199))=0, "", GetManifestComments(H199))</f>
        <v/>
      </c>
      <c r="S199" t="str">
        <f>IF(LEN(TRIM(E199))=0,"",IF(ISERROR(VLOOKUP(E199,'Manifest MDB data'!A:A,1,FALSE)),"OK","EXISTS!!!"))</f>
        <v/>
      </c>
    </row>
    <row r="200" spans="4:19" x14ac:dyDescent="0.25">
      <c r="D200" t="str">
        <f t="shared" si="14"/>
        <v/>
      </c>
      <c r="E200" t="str">
        <f t="shared" si="15"/>
        <v/>
      </c>
      <c r="F200" t="str">
        <f t="shared" si="16"/>
        <v/>
      </c>
      <c r="G200" t="str">
        <f>IF(LEN(TRIM(E200))=0, "", GetSampleTissueBySpecimenPrep(H200))</f>
        <v/>
      </c>
      <c r="H200" t="str">
        <f>IF(LEN(TRIM(E200))=0, "", GetSpecimenPrepName())</f>
        <v/>
      </c>
      <c r="I200" t="str">
        <f>IF(LEN(TRIM(E200))=0, "", GetSampleVolumeBySpecimenPrep(H200))</f>
        <v/>
      </c>
      <c r="L200" t="str">
        <f>IF(LEN(TRIM(E200))=0,"",VLOOKUP("Manifest Id",config!A:B,2,FALSE))</f>
        <v/>
      </c>
      <c r="M200" t="str">
        <f>IF(LEN(TRIM(E200))=0, "",VLOOKUP("Project Name",config!A:B,2,FALSE))</f>
        <v/>
      </c>
      <c r="N200" t="str">
        <f>IF(LEN(TRIM(E200))=0, "",VLOOKUP("Center Name",config!A:B,2,FALSE))</f>
        <v/>
      </c>
      <c r="O200" s="7" t="str">
        <f>IF(LEN(TRIM(E200))=0,"",VLOOKUP("Shipment Date",config!A:B,2,FALSE))</f>
        <v/>
      </c>
      <c r="P200" s="7" t="str">
        <f t="shared" si="13"/>
        <v/>
      </c>
      <c r="Q200" s="7" t="str">
        <f>IF(LEN(TRIM(D200))=0,"",GetConfigParameterValue("Collection Site"))</f>
        <v/>
      </c>
      <c r="R200" t="str">
        <f>IF(LEN(TRIM(E200))=0, "", GetManifestComments(H200))</f>
        <v/>
      </c>
      <c r="S200" t="str">
        <f>IF(LEN(TRIM(E200))=0,"",IF(ISERROR(VLOOKUP(E200,'Manifest MDB data'!A:A,1,FALSE)),"OK","EXISTS!!!"))</f>
        <v/>
      </c>
    </row>
    <row r="201" spans="4:19" x14ac:dyDescent="0.25">
      <c r="D201" t="str">
        <f t="shared" si="14"/>
        <v/>
      </c>
      <c r="E201" t="str">
        <f t="shared" si="15"/>
        <v/>
      </c>
      <c r="F201" t="str">
        <f t="shared" si="16"/>
        <v/>
      </c>
      <c r="G201" t="str">
        <f>IF(LEN(TRIM(E201))=0, "", GetSampleTissueBySpecimenPrep(H201))</f>
        <v/>
      </c>
      <c r="H201" t="str">
        <f>IF(LEN(TRIM(E201))=0, "", GetSpecimenPrepName())</f>
        <v/>
      </c>
      <c r="I201" t="str">
        <f>IF(LEN(TRIM(E201))=0, "", GetSampleVolumeBySpecimenPrep(H201))</f>
        <v/>
      </c>
      <c r="L201" t="str">
        <f>IF(LEN(TRIM(E201))=0,"",VLOOKUP("Manifest Id",config!A:B,2,FALSE))</f>
        <v/>
      </c>
      <c r="M201" t="str">
        <f>IF(LEN(TRIM(E201))=0, "",VLOOKUP("Project Name",config!A:B,2,FALSE))</f>
        <v/>
      </c>
      <c r="N201" t="str">
        <f>IF(LEN(TRIM(E201))=0, "",VLOOKUP("Center Name",config!A:B,2,FALSE))</f>
        <v/>
      </c>
      <c r="O201" s="7" t="str">
        <f>IF(LEN(TRIM(E201))=0,"",VLOOKUP("Shipment Date",config!A:B,2,FALSE))</f>
        <v/>
      </c>
      <c r="P201" s="7" t="str">
        <f t="shared" si="13"/>
        <v/>
      </c>
      <c r="Q201" s="7" t="str">
        <f>IF(LEN(TRIM(D201))=0,"",GetConfigParameterValue("Collection Site"))</f>
        <v/>
      </c>
      <c r="R201" t="str">
        <f>IF(LEN(TRIM(E201))=0, "", GetManifestComments(H201))</f>
        <v/>
      </c>
      <c r="S201" t="str">
        <f>IF(LEN(TRIM(E201))=0,"",IF(ISERROR(VLOOKUP(E201,'Manifest MDB data'!A:A,1,FALSE)),"OK","EXISTS!!!"))</f>
        <v/>
      </c>
    </row>
    <row r="202" spans="4:19" x14ac:dyDescent="0.25">
      <c r="D202" t="str">
        <f t="shared" si="14"/>
        <v/>
      </c>
      <c r="E202" t="str">
        <f t="shared" si="15"/>
        <v/>
      </c>
      <c r="F202" t="str">
        <f t="shared" si="16"/>
        <v/>
      </c>
      <c r="G202" t="str">
        <f>IF(LEN(TRIM(E202))=0, "", GetSampleTissueBySpecimenPrep(H202))</f>
        <v/>
      </c>
      <c r="H202" t="str">
        <f>IF(LEN(TRIM(E202))=0, "", GetSpecimenPrepName())</f>
        <v/>
      </c>
      <c r="I202" t="str">
        <f>IF(LEN(TRIM(E202))=0, "", GetSampleVolumeBySpecimenPrep(H202))</f>
        <v/>
      </c>
      <c r="L202" t="str">
        <f>IF(LEN(TRIM(E202))=0,"",VLOOKUP("Manifest Id",config!A:B,2,FALSE))</f>
        <v/>
      </c>
      <c r="M202" t="str">
        <f>IF(LEN(TRIM(E202))=0, "",VLOOKUP("Project Name",config!A:B,2,FALSE))</f>
        <v/>
      </c>
      <c r="N202" t="str">
        <f>IF(LEN(TRIM(E202))=0, "",VLOOKUP("Center Name",config!A:B,2,FALSE))</f>
        <v/>
      </c>
      <c r="O202" s="7" t="str">
        <f>IF(LEN(TRIM(E202))=0,"",VLOOKUP("Shipment Date",config!A:B,2,FALSE))</f>
        <v/>
      </c>
      <c r="P202" s="7" t="str">
        <f t="shared" si="13"/>
        <v/>
      </c>
      <c r="Q202" s="7" t="str">
        <f>IF(LEN(TRIM(D202))=0,"",GetConfigParameterValue("Collection Site"))</f>
        <v/>
      </c>
      <c r="R202" t="str">
        <f>IF(LEN(TRIM(E202))=0, "", GetManifestComments(H202))</f>
        <v/>
      </c>
      <c r="S202" t="str">
        <f>IF(LEN(TRIM(E202))=0,"",IF(ISERROR(VLOOKUP(E202,'Manifest MDB data'!A:A,1,FALSE)),"OK","EXISTS!!!"))</f>
        <v/>
      </c>
    </row>
    <row r="203" spans="4:19" x14ac:dyDescent="0.25">
      <c r="D203" t="str">
        <f t="shared" si="14"/>
        <v/>
      </c>
      <c r="E203" t="str">
        <f t="shared" si="15"/>
        <v/>
      </c>
      <c r="F203" t="str">
        <f t="shared" si="16"/>
        <v/>
      </c>
      <c r="G203" t="str">
        <f>IF(LEN(TRIM(E203))=0, "", GetSampleTissueBySpecimenPrep(H203))</f>
        <v/>
      </c>
      <c r="H203" t="str">
        <f>IF(LEN(TRIM(E203))=0, "", GetSpecimenPrepName())</f>
        <v/>
      </c>
      <c r="I203" t="str">
        <f>IF(LEN(TRIM(E203))=0, "", GetSampleVolumeBySpecimenPrep(H203))</f>
        <v/>
      </c>
      <c r="L203" t="str">
        <f>IF(LEN(TRIM(E203))=0,"",VLOOKUP("Manifest Id",config!A:B,2,FALSE))</f>
        <v/>
      </c>
      <c r="M203" t="str">
        <f>IF(LEN(TRIM(E203))=0, "",VLOOKUP("Project Name",config!A:B,2,FALSE))</f>
        <v/>
      </c>
      <c r="N203" t="str">
        <f>IF(LEN(TRIM(E203))=0, "",VLOOKUP("Center Name",config!A:B,2,FALSE))</f>
        <v/>
      </c>
      <c r="O203" s="7" t="str">
        <f>IF(LEN(TRIM(E203))=0,"",VLOOKUP("Shipment Date",config!A:B,2,FALSE))</f>
        <v/>
      </c>
      <c r="P203" s="7" t="str">
        <f t="shared" si="13"/>
        <v/>
      </c>
      <c r="Q203" s="7" t="str">
        <f>IF(LEN(TRIM(D203))=0,"",GetConfigParameterValue("Collection Site"))</f>
        <v/>
      </c>
      <c r="R203" t="str">
        <f>IF(LEN(TRIM(E203))=0, "", GetManifestComments(H203))</f>
        <v/>
      </c>
      <c r="S203" t="str">
        <f>IF(LEN(TRIM(E203))=0,"",IF(ISERROR(VLOOKUP(E203,'Manifest MDB data'!A:A,1,FALSE)),"OK","EXISTS!!!"))</f>
        <v/>
      </c>
    </row>
    <row r="204" spans="4:19" x14ac:dyDescent="0.25">
      <c r="D204" t="str">
        <f t="shared" si="14"/>
        <v/>
      </c>
      <c r="E204" t="str">
        <f t="shared" si="15"/>
        <v/>
      </c>
      <c r="F204" t="str">
        <f t="shared" si="16"/>
        <v/>
      </c>
      <c r="G204" t="str">
        <f>IF(LEN(TRIM(E204))=0, "", GetSampleTissueBySpecimenPrep(H204))</f>
        <v/>
      </c>
      <c r="H204" t="str">
        <f>IF(LEN(TRIM(E204))=0, "", GetSpecimenPrepName())</f>
        <v/>
      </c>
      <c r="I204" t="str">
        <f>IF(LEN(TRIM(E204))=0, "", GetSampleVolumeBySpecimenPrep(H204))</f>
        <v/>
      </c>
      <c r="L204" t="str">
        <f>IF(LEN(TRIM(E204))=0,"",VLOOKUP("Manifest Id",config!A:B,2,FALSE))</f>
        <v/>
      </c>
      <c r="M204" t="str">
        <f>IF(LEN(TRIM(E204))=0, "",VLOOKUP("Project Name",config!A:B,2,FALSE))</f>
        <v/>
      </c>
      <c r="N204" t="str">
        <f>IF(LEN(TRIM(E204))=0, "",VLOOKUP("Center Name",config!A:B,2,FALSE))</f>
        <v/>
      </c>
      <c r="O204" s="7" t="str">
        <f>IF(LEN(TRIM(E204))=0,"",VLOOKUP("Shipment Date",config!A:B,2,FALSE))</f>
        <v/>
      </c>
      <c r="P204" s="7" t="str">
        <f t="shared" si="13"/>
        <v/>
      </c>
      <c r="Q204" s="7" t="str">
        <f>IF(LEN(TRIM(D204))=0,"",GetConfigParameterValue("Collection Site"))</f>
        <v/>
      </c>
      <c r="R204" t="str">
        <f>IF(LEN(TRIM(E204))=0, "", GetManifestComments(H204))</f>
        <v/>
      </c>
      <c r="S204" t="str">
        <f>IF(LEN(TRIM(E204))=0,"",IF(ISERROR(VLOOKUP(E204,'Manifest MDB data'!A:A,1,FALSE)),"OK","EXISTS!!!"))</f>
        <v/>
      </c>
    </row>
    <row r="205" spans="4:19" x14ac:dyDescent="0.25">
      <c r="D205" t="str">
        <f t="shared" si="14"/>
        <v/>
      </c>
      <c r="E205" t="str">
        <f t="shared" si="15"/>
        <v/>
      </c>
      <c r="F205" t="str">
        <f t="shared" si="16"/>
        <v/>
      </c>
      <c r="G205" t="str">
        <f>IF(LEN(TRIM(E205))=0, "", GetSampleTissueBySpecimenPrep(H205))</f>
        <v/>
      </c>
      <c r="H205" t="str">
        <f>IF(LEN(TRIM(E205))=0, "", GetSpecimenPrepName())</f>
        <v/>
      </c>
      <c r="I205" t="str">
        <f>IF(LEN(TRIM(E205))=0, "", GetSampleVolumeBySpecimenPrep(H205))</f>
        <v/>
      </c>
      <c r="L205" t="str">
        <f>IF(LEN(TRIM(E205))=0,"",VLOOKUP("Manifest Id",config!A:B,2,FALSE))</f>
        <v/>
      </c>
      <c r="M205" t="str">
        <f>IF(LEN(TRIM(E205))=0, "",VLOOKUP("Project Name",config!A:B,2,FALSE))</f>
        <v/>
      </c>
      <c r="N205" t="str">
        <f>IF(LEN(TRIM(E205))=0, "",VLOOKUP("Center Name",config!A:B,2,FALSE))</f>
        <v/>
      </c>
      <c r="O205" s="7" t="str">
        <f>IF(LEN(TRIM(E205))=0,"",VLOOKUP("Shipment Date",config!A:B,2,FALSE))</f>
        <v/>
      </c>
      <c r="P205" s="7" t="str">
        <f t="shared" si="13"/>
        <v/>
      </c>
      <c r="Q205" s="7" t="str">
        <f>IF(LEN(TRIM(D205))=0,"",GetConfigParameterValue("Collection Site"))</f>
        <v/>
      </c>
      <c r="R205" t="str">
        <f>IF(LEN(TRIM(E205))=0, "", GetManifestComments(H205))</f>
        <v/>
      </c>
      <c r="S205" t="str">
        <f>IF(LEN(TRIM(E205))=0,"",IF(ISERROR(VLOOKUP(E205,'Manifest MDB data'!A:A,1,FALSE)),"OK","EXISTS!!!"))</f>
        <v/>
      </c>
    </row>
    <row r="206" spans="4:19" x14ac:dyDescent="0.25">
      <c r="D206" t="str">
        <f t="shared" si="14"/>
        <v/>
      </c>
      <c r="E206" t="str">
        <f t="shared" si="15"/>
        <v/>
      </c>
      <c r="F206" t="str">
        <f t="shared" si="16"/>
        <v/>
      </c>
      <c r="G206" t="str">
        <f>IF(LEN(TRIM(E206))=0, "", GetSampleTissueBySpecimenPrep(H206))</f>
        <v/>
      </c>
      <c r="H206" t="str">
        <f>IF(LEN(TRIM(E206))=0, "", GetSpecimenPrepName())</f>
        <v/>
      </c>
      <c r="I206" t="str">
        <f>IF(LEN(TRIM(E206))=0, "", GetSampleVolumeBySpecimenPrep(H206))</f>
        <v/>
      </c>
      <c r="L206" t="str">
        <f>IF(LEN(TRIM(E206))=0,"",VLOOKUP("Manifest Id",config!A:B,2,FALSE))</f>
        <v/>
      </c>
      <c r="M206" t="str">
        <f>IF(LEN(TRIM(E206))=0, "",VLOOKUP("Project Name",config!A:B,2,FALSE))</f>
        <v/>
      </c>
      <c r="N206" t="str">
        <f>IF(LEN(TRIM(E206))=0, "",VLOOKUP("Center Name",config!A:B,2,FALSE))</f>
        <v/>
      </c>
      <c r="O206" s="7" t="str">
        <f>IF(LEN(TRIM(E206))=0,"",VLOOKUP("Shipment Date",config!A:B,2,FALSE))</f>
        <v/>
      </c>
      <c r="P206" s="7" t="str">
        <f t="shared" si="13"/>
        <v/>
      </c>
      <c r="Q206" s="7" t="str">
        <f>IF(LEN(TRIM(D206))=0,"",GetConfigParameterValue("Collection Site"))</f>
        <v/>
      </c>
      <c r="R206" t="str">
        <f>IF(LEN(TRIM(E206))=0, "", GetManifestComments(H206))</f>
        <v/>
      </c>
      <c r="S206" t="str">
        <f>IF(LEN(TRIM(E206))=0,"",IF(ISERROR(VLOOKUP(E206,'Manifest MDB data'!A:A,1,FALSE)),"OK","EXISTS!!!"))</f>
        <v/>
      </c>
    </row>
    <row r="207" spans="4:19" x14ac:dyDescent="0.25">
      <c r="D207" t="str">
        <f t="shared" si="14"/>
        <v/>
      </c>
      <c r="E207" t="str">
        <f t="shared" si="15"/>
        <v/>
      </c>
      <c r="F207" t="str">
        <f t="shared" si="16"/>
        <v/>
      </c>
      <c r="G207" t="str">
        <f>IF(LEN(TRIM(E207))=0, "", GetSampleTissueBySpecimenPrep(H207))</f>
        <v/>
      </c>
      <c r="H207" t="str">
        <f>IF(LEN(TRIM(E207))=0, "", GetSpecimenPrepName())</f>
        <v/>
      </c>
      <c r="I207" t="str">
        <f>IF(LEN(TRIM(E207))=0, "", GetSampleVolumeBySpecimenPrep(H207))</f>
        <v/>
      </c>
      <c r="L207" t="str">
        <f>IF(LEN(TRIM(E207))=0,"",VLOOKUP("Manifest Id",config!A:B,2,FALSE))</f>
        <v/>
      </c>
      <c r="M207" t="str">
        <f>IF(LEN(TRIM(E207))=0, "",VLOOKUP("Project Name",config!A:B,2,FALSE))</f>
        <v/>
      </c>
      <c r="N207" t="str">
        <f>IF(LEN(TRIM(E207))=0, "",VLOOKUP("Center Name",config!A:B,2,FALSE))</f>
        <v/>
      </c>
      <c r="O207" s="7" t="str">
        <f>IF(LEN(TRIM(E207))=0,"",VLOOKUP("Shipment Date",config!A:B,2,FALSE))</f>
        <v/>
      </c>
      <c r="P207" s="7" t="str">
        <f t="shared" si="13"/>
        <v/>
      </c>
      <c r="Q207" s="7" t="str">
        <f>IF(LEN(TRIM(D207))=0,"",GetConfigParameterValue("Collection Site"))</f>
        <v/>
      </c>
      <c r="R207" t="str">
        <f>IF(LEN(TRIM(E207))=0, "", GetManifestComments(H207))</f>
        <v/>
      </c>
      <c r="S207" t="str">
        <f>IF(LEN(TRIM(E207))=0,"",IF(ISERROR(VLOOKUP(E207,'Manifest MDB data'!A:A,1,FALSE)),"OK","EXISTS!!!"))</f>
        <v/>
      </c>
    </row>
    <row r="208" spans="4:19" x14ac:dyDescent="0.25">
      <c r="D208" t="str">
        <f t="shared" si="14"/>
        <v/>
      </c>
      <c r="E208" t="str">
        <f t="shared" si="15"/>
        <v/>
      </c>
      <c r="F208" t="str">
        <f t="shared" si="16"/>
        <v/>
      </c>
      <c r="G208" t="str">
        <f>IF(LEN(TRIM(E208))=0, "", GetSampleTissueBySpecimenPrep(H208))</f>
        <v/>
      </c>
      <c r="H208" t="str">
        <f>IF(LEN(TRIM(E208))=0, "", GetSpecimenPrepName())</f>
        <v/>
      </c>
      <c r="I208" t="str">
        <f>IF(LEN(TRIM(E208))=0, "", GetSampleVolumeBySpecimenPrep(H208))</f>
        <v/>
      </c>
      <c r="L208" t="str">
        <f>IF(LEN(TRIM(E208))=0,"",VLOOKUP("Manifest Id",config!A:B,2,FALSE))</f>
        <v/>
      </c>
      <c r="M208" t="str">
        <f>IF(LEN(TRIM(E208))=0, "",VLOOKUP("Project Name",config!A:B,2,FALSE))</f>
        <v/>
      </c>
      <c r="N208" t="str">
        <f>IF(LEN(TRIM(E208))=0, "",VLOOKUP("Center Name",config!A:B,2,FALSE))</f>
        <v/>
      </c>
      <c r="O208" s="7" t="str">
        <f>IF(LEN(TRIM(E208))=0,"",VLOOKUP("Shipment Date",config!A:B,2,FALSE))</f>
        <v/>
      </c>
      <c r="P208" s="7" t="str">
        <f t="shared" si="13"/>
        <v/>
      </c>
      <c r="Q208" s="7" t="str">
        <f>IF(LEN(TRIM(D208))=0,"",GetConfigParameterValue("Collection Site"))</f>
        <v/>
      </c>
      <c r="R208" t="str">
        <f>IF(LEN(TRIM(E208))=0, "", GetManifestComments(H208))</f>
        <v/>
      </c>
      <c r="S208" t="str">
        <f>IF(LEN(TRIM(E208))=0,"",IF(ISERROR(VLOOKUP(E208,'Manifest MDB data'!A:A,1,FALSE)),"OK","EXISTS!!!"))</f>
        <v/>
      </c>
    </row>
    <row r="209" spans="4:19" x14ac:dyDescent="0.25">
      <c r="D209" t="str">
        <f t="shared" si="14"/>
        <v/>
      </c>
      <c r="E209" t="str">
        <f t="shared" si="15"/>
        <v/>
      </c>
      <c r="F209" t="str">
        <f t="shared" si="16"/>
        <v/>
      </c>
      <c r="G209" t="str">
        <f>IF(LEN(TRIM(E209))=0, "", GetSampleTissueBySpecimenPrep(H209))</f>
        <v/>
      </c>
      <c r="H209" t="str">
        <f>IF(LEN(TRIM(E209))=0, "", GetSpecimenPrepName())</f>
        <v/>
      </c>
      <c r="I209" t="str">
        <f>IF(LEN(TRIM(E209))=0, "", GetSampleVolumeBySpecimenPrep(H209))</f>
        <v/>
      </c>
      <c r="L209" t="str">
        <f>IF(LEN(TRIM(E209))=0,"",VLOOKUP("Manifest Id",config!A:B,2,FALSE))</f>
        <v/>
      </c>
      <c r="M209" t="str">
        <f>IF(LEN(TRIM(E209))=0, "",VLOOKUP("Project Name",config!A:B,2,FALSE))</f>
        <v/>
      </c>
      <c r="N209" t="str">
        <f>IF(LEN(TRIM(E209))=0, "",VLOOKUP("Center Name",config!A:B,2,FALSE))</f>
        <v/>
      </c>
      <c r="O209" s="7" t="str">
        <f>IF(LEN(TRIM(E209))=0,"",VLOOKUP("Shipment Date",config!A:B,2,FALSE))</f>
        <v/>
      </c>
      <c r="P209" s="7" t="str">
        <f t="shared" si="13"/>
        <v/>
      </c>
      <c r="Q209" s="7" t="str">
        <f>IF(LEN(TRIM(D209))=0,"",GetConfigParameterValue("Collection Site"))</f>
        <v/>
      </c>
      <c r="R209" t="str">
        <f>IF(LEN(TRIM(E209))=0, "", GetManifestComments(H209))</f>
        <v/>
      </c>
      <c r="S209" t="str">
        <f>IF(LEN(TRIM(E209))=0,"",IF(ISERROR(VLOOKUP(E209,'Manifest MDB data'!A:A,1,FALSE)),"OK","EXISTS!!!"))</f>
        <v/>
      </c>
    </row>
    <row r="210" spans="4:19" x14ac:dyDescent="0.25">
      <c r="D210" t="str">
        <f t="shared" si="14"/>
        <v/>
      </c>
      <c r="E210" t="str">
        <f t="shared" si="15"/>
        <v/>
      </c>
      <c r="F210" t="str">
        <f t="shared" si="16"/>
        <v/>
      </c>
      <c r="G210" t="str">
        <f>IF(LEN(TRIM(E210))=0, "", GetSampleTissueBySpecimenPrep(H210))</f>
        <v/>
      </c>
      <c r="H210" t="str">
        <f>IF(LEN(TRIM(E210))=0, "", GetSpecimenPrepName())</f>
        <v/>
      </c>
      <c r="I210" t="str">
        <f>IF(LEN(TRIM(E210))=0, "", GetSampleVolumeBySpecimenPrep(H210))</f>
        <v/>
      </c>
      <c r="L210" t="str">
        <f>IF(LEN(TRIM(E210))=0,"",VLOOKUP("Manifest Id",config!A:B,2,FALSE))</f>
        <v/>
      </c>
      <c r="M210" t="str">
        <f>IF(LEN(TRIM(E210))=0, "",VLOOKUP("Project Name",config!A:B,2,FALSE))</f>
        <v/>
      </c>
      <c r="N210" t="str">
        <f>IF(LEN(TRIM(E210))=0, "",VLOOKUP("Center Name",config!A:B,2,FALSE))</f>
        <v/>
      </c>
      <c r="O210" s="7" t="str">
        <f>IF(LEN(TRIM(E210))=0,"",VLOOKUP("Shipment Date",config!A:B,2,FALSE))</f>
        <v/>
      </c>
      <c r="P210" s="7" t="str">
        <f t="shared" si="13"/>
        <v/>
      </c>
      <c r="Q210" s="7" t="str">
        <f>IF(LEN(TRIM(D210))=0,"",GetConfigParameterValue("Collection Site"))</f>
        <v/>
      </c>
      <c r="R210" t="str">
        <f>IF(LEN(TRIM(E210))=0, "", GetManifestComments(H210))</f>
        <v/>
      </c>
      <c r="S210" t="str">
        <f>IF(LEN(TRIM(E210))=0,"",IF(ISERROR(VLOOKUP(E210,'Manifest MDB data'!A:A,1,FALSE)),"OK","EXISTS!!!"))</f>
        <v/>
      </c>
    </row>
    <row r="211" spans="4:19" x14ac:dyDescent="0.25">
      <c r="D211" t="str">
        <f t="shared" si="14"/>
        <v/>
      </c>
      <c r="E211" t="str">
        <f t="shared" si="15"/>
        <v/>
      </c>
      <c r="F211" t="str">
        <f t="shared" si="16"/>
        <v/>
      </c>
      <c r="G211" t="str">
        <f>IF(LEN(TRIM(E211))=0, "", GetSampleTissueBySpecimenPrep(H211))</f>
        <v/>
      </c>
      <c r="H211" t="str">
        <f>IF(LEN(TRIM(E211))=0, "", GetSpecimenPrepName())</f>
        <v/>
      </c>
      <c r="I211" t="str">
        <f>IF(LEN(TRIM(E211))=0, "", GetSampleVolumeBySpecimenPrep(H211))</f>
        <v/>
      </c>
      <c r="L211" t="str">
        <f>IF(LEN(TRIM(E211))=0,"",VLOOKUP("Manifest Id",config!A:B,2,FALSE))</f>
        <v/>
      </c>
      <c r="M211" t="str">
        <f>IF(LEN(TRIM(E211))=0, "",VLOOKUP("Project Name",config!A:B,2,FALSE))</f>
        <v/>
      </c>
      <c r="N211" t="str">
        <f>IF(LEN(TRIM(E211))=0, "",VLOOKUP("Center Name",config!A:B,2,FALSE))</f>
        <v/>
      </c>
      <c r="O211" s="7" t="str">
        <f>IF(LEN(TRIM(E211))=0,"",VLOOKUP("Shipment Date",config!A:B,2,FALSE))</f>
        <v/>
      </c>
      <c r="P211" s="7" t="str">
        <f t="shared" si="13"/>
        <v/>
      </c>
      <c r="Q211" s="7" t="str">
        <f>IF(LEN(TRIM(D211))=0,"",GetConfigParameterValue("Collection Site"))</f>
        <v/>
      </c>
      <c r="R211" t="str">
        <f>IF(LEN(TRIM(E211))=0, "", GetManifestComments(H211))</f>
        <v/>
      </c>
      <c r="S211" t="str">
        <f>IF(LEN(TRIM(E211))=0,"",IF(ISERROR(VLOOKUP(E211,'Manifest MDB data'!A:A,1,FALSE)),"OK","EXISTS!!!"))</f>
        <v/>
      </c>
    </row>
    <row r="212" spans="4:19" x14ac:dyDescent="0.25">
      <c r="D212" t="str">
        <f t="shared" si="14"/>
        <v/>
      </c>
      <c r="E212" t="str">
        <f t="shared" si="15"/>
        <v/>
      </c>
      <c r="F212" t="str">
        <f t="shared" si="16"/>
        <v/>
      </c>
      <c r="G212" t="str">
        <f>IF(LEN(TRIM(E212))=0, "", GetSampleTissueBySpecimenPrep(H212))</f>
        <v/>
      </c>
      <c r="H212" t="str">
        <f>IF(LEN(TRIM(E212))=0, "", GetSpecimenPrepName())</f>
        <v/>
      </c>
      <c r="I212" t="str">
        <f>IF(LEN(TRIM(E212))=0, "", GetSampleVolumeBySpecimenPrep(H212))</f>
        <v/>
      </c>
      <c r="L212" t="str">
        <f>IF(LEN(TRIM(E212))=0,"",VLOOKUP("Manifest Id",config!A:B,2,FALSE))</f>
        <v/>
      </c>
      <c r="M212" t="str">
        <f>IF(LEN(TRIM(E212))=0, "",VLOOKUP("Project Name",config!A:B,2,FALSE))</f>
        <v/>
      </c>
      <c r="N212" t="str">
        <f>IF(LEN(TRIM(E212))=0, "",VLOOKUP("Center Name",config!A:B,2,FALSE))</f>
        <v/>
      </c>
      <c r="O212" s="7" t="str">
        <f>IF(LEN(TRIM(E212))=0,"",VLOOKUP("Shipment Date",config!A:B,2,FALSE))</f>
        <v/>
      </c>
      <c r="P212" s="7" t="str">
        <f t="shared" si="13"/>
        <v/>
      </c>
      <c r="Q212" s="7" t="str">
        <f>IF(LEN(TRIM(D212))=0,"",GetConfigParameterValue("Collection Site"))</f>
        <v/>
      </c>
      <c r="R212" t="str">
        <f>IF(LEN(TRIM(E212))=0, "", GetManifestComments(H212))</f>
        <v/>
      </c>
      <c r="S212" t="str">
        <f>IF(LEN(TRIM(E212))=0,"",IF(ISERROR(VLOOKUP(E212,'Manifest MDB data'!A:A,1,FALSE)),"OK","EXISTS!!!"))</f>
        <v/>
      </c>
    </row>
    <row r="213" spans="4:19" x14ac:dyDescent="0.25">
      <c r="D213" t="str">
        <f t="shared" si="14"/>
        <v/>
      </c>
      <c r="E213" t="str">
        <f t="shared" si="15"/>
        <v/>
      </c>
      <c r="F213" t="str">
        <f t="shared" si="16"/>
        <v/>
      </c>
      <c r="G213" t="str">
        <f>IF(LEN(TRIM(E213))=0, "", GetSampleTissueBySpecimenPrep(H213))</f>
        <v/>
      </c>
      <c r="H213" t="str">
        <f>IF(LEN(TRIM(E213))=0, "", GetSpecimenPrepName())</f>
        <v/>
      </c>
      <c r="I213" t="str">
        <f>IF(LEN(TRIM(E213))=0, "", GetSampleVolumeBySpecimenPrep(H213))</f>
        <v/>
      </c>
      <c r="L213" t="str">
        <f>IF(LEN(TRIM(E213))=0,"",VLOOKUP("Manifest Id",config!A:B,2,FALSE))</f>
        <v/>
      </c>
      <c r="M213" t="str">
        <f>IF(LEN(TRIM(E213))=0, "",VLOOKUP("Project Name",config!A:B,2,FALSE))</f>
        <v/>
      </c>
      <c r="N213" t="str">
        <f>IF(LEN(TRIM(E213))=0, "",VLOOKUP("Center Name",config!A:B,2,FALSE))</f>
        <v/>
      </c>
      <c r="O213" s="7" t="str">
        <f>IF(LEN(TRIM(E213))=0,"",VLOOKUP("Shipment Date",config!A:B,2,FALSE))</f>
        <v/>
      </c>
      <c r="P213" s="7" t="str">
        <f t="shared" si="13"/>
        <v/>
      </c>
      <c r="Q213" s="7" t="str">
        <f>IF(LEN(TRIM(D213))=0,"",GetConfigParameterValue("Collection Site"))</f>
        <v/>
      </c>
      <c r="R213" t="str">
        <f>IF(LEN(TRIM(E213))=0, "", GetManifestComments(H213))</f>
        <v/>
      </c>
      <c r="S213" t="str">
        <f>IF(LEN(TRIM(E213))=0,"",IF(ISERROR(VLOOKUP(E213,'Manifest MDB data'!A:A,1,FALSE)),"OK","EXISTS!!!"))</f>
        <v/>
      </c>
    </row>
    <row r="214" spans="4:19" x14ac:dyDescent="0.25">
      <c r="D214" t="str">
        <f t="shared" si="14"/>
        <v/>
      </c>
      <c r="E214" t="str">
        <f t="shared" si="15"/>
        <v/>
      </c>
      <c r="F214" t="str">
        <f t="shared" si="16"/>
        <v/>
      </c>
      <c r="G214" t="str">
        <f>IF(LEN(TRIM(E214))=0, "", GetSampleTissueBySpecimenPrep(H214))</f>
        <v/>
      </c>
      <c r="H214" t="str">
        <f>IF(LEN(TRIM(E214))=0, "", GetSpecimenPrepName())</f>
        <v/>
      </c>
      <c r="I214" t="str">
        <f>IF(LEN(TRIM(E214))=0, "", GetSampleVolumeBySpecimenPrep(H214))</f>
        <v/>
      </c>
      <c r="L214" t="str">
        <f>IF(LEN(TRIM(E214))=0,"",VLOOKUP("Manifest Id",config!A:B,2,FALSE))</f>
        <v/>
      </c>
      <c r="M214" t="str">
        <f>IF(LEN(TRIM(E214))=0, "",VLOOKUP("Project Name",config!A:B,2,FALSE))</f>
        <v/>
      </c>
      <c r="N214" t="str">
        <f>IF(LEN(TRIM(E214))=0, "",VLOOKUP("Center Name",config!A:B,2,FALSE))</f>
        <v/>
      </c>
      <c r="O214" s="7" t="str">
        <f>IF(LEN(TRIM(E214))=0,"",VLOOKUP("Shipment Date",config!A:B,2,FALSE))</f>
        <v/>
      </c>
      <c r="P214" s="7" t="str">
        <f t="shared" si="13"/>
        <v/>
      </c>
      <c r="Q214" s="7" t="str">
        <f>IF(LEN(TRIM(D214))=0,"",GetConfigParameterValue("Collection Site"))</f>
        <v/>
      </c>
      <c r="R214" t="str">
        <f>IF(LEN(TRIM(E214))=0, "", GetManifestComments(H214))</f>
        <v/>
      </c>
      <c r="S214" t="str">
        <f>IF(LEN(TRIM(E214))=0,"",IF(ISERROR(VLOOKUP(E214,'Manifest MDB data'!A:A,1,FALSE)),"OK","EXISTS!!!"))</f>
        <v/>
      </c>
    </row>
    <row r="215" spans="4:19" x14ac:dyDescent="0.25">
      <c r="D215" t="str">
        <f t="shared" si="14"/>
        <v/>
      </c>
      <c r="E215" t="str">
        <f t="shared" si="15"/>
        <v/>
      </c>
      <c r="F215" t="str">
        <f t="shared" si="16"/>
        <v/>
      </c>
      <c r="G215" t="str">
        <f>IF(LEN(TRIM(E215))=0, "", GetSampleTissueBySpecimenPrep(H215))</f>
        <v/>
      </c>
      <c r="H215" t="str">
        <f>IF(LEN(TRIM(E215))=0, "", GetSpecimenPrepName())</f>
        <v/>
      </c>
      <c r="I215" t="str">
        <f>IF(LEN(TRIM(E215))=0, "", GetSampleVolumeBySpecimenPrep(H215))</f>
        <v/>
      </c>
      <c r="L215" t="str">
        <f>IF(LEN(TRIM(E215))=0,"",VLOOKUP("Manifest Id",config!A:B,2,FALSE))</f>
        <v/>
      </c>
      <c r="M215" t="str">
        <f>IF(LEN(TRIM(E215))=0, "",VLOOKUP("Project Name",config!A:B,2,FALSE))</f>
        <v/>
      </c>
      <c r="N215" t="str">
        <f>IF(LEN(TRIM(E215))=0, "",VLOOKUP("Center Name",config!A:B,2,FALSE))</f>
        <v/>
      </c>
      <c r="O215" s="7" t="str">
        <f>IF(LEN(TRIM(E215))=0,"",VLOOKUP("Shipment Date",config!A:B,2,FALSE))</f>
        <v/>
      </c>
      <c r="P215" s="7" t="str">
        <f t="shared" si="13"/>
        <v/>
      </c>
      <c r="Q215" s="7" t="str">
        <f>IF(LEN(TRIM(D215))=0,"",GetConfigParameterValue("Collection Site"))</f>
        <v/>
      </c>
      <c r="R215" t="str">
        <f>IF(LEN(TRIM(E215))=0, "", GetManifestComments(H215))</f>
        <v/>
      </c>
      <c r="S215" t="str">
        <f>IF(LEN(TRIM(E215))=0,"",IF(ISERROR(VLOOKUP(E215,'Manifest MDB data'!A:A,1,FALSE)),"OK","EXISTS!!!"))</f>
        <v/>
      </c>
    </row>
    <row r="216" spans="4:19" x14ac:dyDescent="0.25">
      <c r="D216" t="str">
        <f t="shared" si="14"/>
        <v/>
      </c>
      <c r="E216" t="str">
        <f t="shared" si="15"/>
        <v/>
      </c>
      <c r="F216" t="str">
        <f t="shared" si="16"/>
        <v/>
      </c>
      <c r="G216" t="str">
        <f>IF(LEN(TRIM(E216))=0, "", GetSampleTissueBySpecimenPrep(H216))</f>
        <v/>
      </c>
      <c r="H216" t="str">
        <f>IF(LEN(TRIM(E216))=0, "", GetSpecimenPrepName())</f>
        <v/>
      </c>
      <c r="I216" t="str">
        <f>IF(LEN(TRIM(E216))=0, "", GetSampleVolumeBySpecimenPrep(H216))</f>
        <v/>
      </c>
      <c r="L216" t="str">
        <f>IF(LEN(TRIM(E216))=0,"",VLOOKUP("Manifest Id",config!A:B,2,FALSE))</f>
        <v/>
      </c>
      <c r="M216" t="str">
        <f>IF(LEN(TRIM(E216))=0, "",VLOOKUP("Project Name",config!A:B,2,FALSE))</f>
        <v/>
      </c>
      <c r="N216" t="str">
        <f>IF(LEN(TRIM(E216))=0, "",VLOOKUP("Center Name",config!A:B,2,FALSE))</f>
        <v/>
      </c>
      <c r="O216" s="7" t="str">
        <f>IF(LEN(TRIM(E216))=0,"",VLOOKUP("Shipment Date",config!A:B,2,FALSE))</f>
        <v/>
      </c>
      <c r="P216" s="7" t="str">
        <f t="shared" si="13"/>
        <v/>
      </c>
      <c r="Q216" s="7" t="str">
        <f>IF(LEN(TRIM(D216))=0,"",GetConfigParameterValue("Collection Site"))</f>
        <v/>
      </c>
      <c r="R216" t="str">
        <f>IF(LEN(TRIM(E216))=0, "", GetManifestComments(H216))</f>
        <v/>
      </c>
      <c r="S216" t="str">
        <f>IF(LEN(TRIM(E216))=0,"",IF(ISERROR(VLOOKUP(E216,'Manifest MDB data'!A:A,1,FALSE)),"OK","EXISTS!!!"))</f>
        <v/>
      </c>
    </row>
    <row r="217" spans="4:19" x14ac:dyDescent="0.25">
      <c r="D217" t="str">
        <f t="shared" si="14"/>
        <v/>
      </c>
      <c r="E217" t="str">
        <f t="shared" si="15"/>
        <v/>
      </c>
      <c r="F217" t="str">
        <f t="shared" si="16"/>
        <v/>
      </c>
      <c r="G217" t="str">
        <f>IF(LEN(TRIM(E217))=0, "", GetSampleTissueBySpecimenPrep(H217))</f>
        <v/>
      </c>
      <c r="H217" t="str">
        <f>IF(LEN(TRIM(E217))=0, "", GetSpecimenPrepName())</f>
        <v/>
      </c>
      <c r="I217" t="str">
        <f>IF(LEN(TRIM(E217))=0, "", GetSampleVolumeBySpecimenPrep(H217))</f>
        <v/>
      </c>
      <c r="L217" t="str">
        <f>IF(LEN(TRIM(E217))=0,"",VLOOKUP("Manifest Id",config!A:B,2,FALSE))</f>
        <v/>
      </c>
      <c r="M217" t="str">
        <f>IF(LEN(TRIM(E217))=0, "",VLOOKUP("Project Name",config!A:B,2,FALSE))</f>
        <v/>
      </c>
      <c r="N217" t="str">
        <f>IF(LEN(TRIM(E217))=0, "",VLOOKUP("Center Name",config!A:B,2,FALSE))</f>
        <v/>
      </c>
      <c r="O217" s="7" t="str">
        <f>IF(LEN(TRIM(E217))=0,"",VLOOKUP("Shipment Date",config!A:B,2,FALSE))</f>
        <v/>
      </c>
      <c r="P217" s="7" t="str">
        <f t="shared" si="13"/>
        <v/>
      </c>
      <c r="Q217" s="7" t="str">
        <f>IF(LEN(TRIM(D217))=0,"",GetConfigParameterValue("Collection Site"))</f>
        <v/>
      </c>
      <c r="R217" t="str">
        <f>IF(LEN(TRIM(E217))=0, "", GetManifestComments(H217))</f>
        <v/>
      </c>
      <c r="S217" t="str">
        <f>IF(LEN(TRIM(E217))=0,"",IF(ISERROR(VLOOKUP(E217,'Manifest MDB data'!A:A,1,FALSE)),"OK","EXISTS!!!"))</f>
        <v/>
      </c>
    </row>
    <row r="218" spans="4:19" x14ac:dyDescent="0.25">
      <c r="D218" t="str">
        <f t="shared" si="14"/>
        <v/>
      </c>
      <c r="E218" t="str">
        <f t="shared" si="15"/>
        <v/>
      </c>
      <c r="F218" t="str">
        <f t="shared" si="16"/>
        <v/>
      </c>
      <c r="G218" t="str">
        <f>IF(LEN(TRIM(E218))=0, "", GetSampleTissueBySpecimenPrep(H218))</f>
        <v/>
      </c>
      <c r="H218" t="str">
        <f>IF(LEN(TRIM(E218))=0, "", GetSpecimenPrepName())</f>
        <v/>
      </c>
      <c r="I218" t="str">
        <f>IF(LEN(TRIM(E218))=0, "", GetSampleVolumeBySpecimenPrep(H218))</f>
        <v/>
      </c>
      <c r="L218" t="str">
        <f>IF(LEN(TRIM(E218))=0,"",VLOOKUP("Manifest Id",config!A:B,2,FALSE))</f>
        <v/>
      </c>
      <c r="M218" t="str">
        <f>IF(LEN(TRIM(E218))=0, "",VLOOKUP("Project Name",config!A:B,2,FALSE))</f>
        <v/>
      </c>
      <c r="N218" t="str">
        <f>IF(LEN(TRIM(E218))=0, "",VLOOKUP("Center Name",config!A:B,2,FALSE))</f>
        <v/>
      </c>
      <c r="O218" s="7" t="str">
        <f>IF(LEN(TRIM(E218))=0,"",VLOOKUP("Shipment Date",config!A:B,2,FALSE))</f>
        <v/>
      </c>
      <c r="P218" s="7" t="str">
        <f t="shared" si="13"/>
        <v/>
      </c>
      <c r="Q218" s="7" t="str">
        <f>IF(LEN(TRIM(D218))=0,"",GetConfigParameterValue("Collection Site"))</f>
        <v/>
      </c>
      <c r="R218" t="str">
        <f>IF(LEN(TRIM(E218))=0, "", GetManifestComments(H218))</f>
        <v/>
      </c>
      <c r="S218" t="str">
        <f>IF(LEN(TRIM(E218))=0,"",IF(ISERROR(VLOOKUP(E218,'Manifest MDB data'!A:A,1,FALSE)),"OK","EXISTS!!!"))</f>
        <v/>
      </c>
    </row>
    <row r="219" spans="4:19" x14ac:dyDescent="0.25">
      <c r="D219" t="str">
        <f t="shared" si="14"/>
        <v/>
      </c>
      <c r="E219" t="str">
        <f t="shared" si="15"/>
        <v/>
      </c>
      <c r="F219" t="str">
        <f t="shared" si="16"/>
        <v/>
      </c>
      <c r="G219" t="str">
        <f>IF(LEN(TRIM(E219))=0, "", GetSampleTissueBySpecimenPrep(H219))</f>
        <v/>
      </c>
      <c r="H219" t="str">
        <f>IF(LEN(TRIM(E219))=0, "", GetSpecimenPrepName())</f>
        <v/>
      </c>
      <c r="I219" t="str">
        <f>IF(LEN(TRIM(E219))=0, "", GetSampleVolumeBySpecimenPrep(H219))</f>
        <v/>
      </c>
      <c r="L219" t="str">
        <f>IF(LEN(TRIM(E219))=0,"",VLOOKUP("Manifest Id",config!A:B,2,FALSE))</f>
        <v/>
      </c>
      <c r="M219" t="str">
        <f>IF(LEN(TRIM(E219))=0, "",VLOOKUP("Project Name",config!A:B,2,FALSE))</f>
        <v/>
      </c>
      <c r="N219" t="str">
        <f>IF(LEN(TRIM(E219))=0, "",VLOOKUP("Center Name",config!A:B,2,FALSE))</f>
        <v/>
      </c>
      <c r="O219" s="7" t="str">
        <f>IF(LEN(TRIM(E219))=0,"",VLOOKUP("Shipment Date",config!A:B,2,FALSE))</f>
        <v/>
      </c>
      <c r="P219" s="7" t="str">
        <f t="shared" si="13"/>
        <v/>
      </c>
      <c r="Q219" s="7" t="str">
        <f>IF(LEN(TRIM(D219))=0,"",GetConfigParameterValue("Collection Site"))</f>
        <v/>
      </c>
      <c r="R219" t="str">
        <f>IF(LEN(TRIM(E219))=0, "", GetManifestComments(H219))</f>
        <v/>
      </c>
      <c r="S219" t="str">
        <f>IF(LEN(TRIM(E219))=0,"",IF(ISERROR(VLOOKUP(E219,'Manifest MDB data'!A:A,1,FALSE)),"OK","EXISTS!!!"))</f>
        <v/>
      </c>
    </row>
    <row r="220" spans="4:19" x14ac:dyDescent="0.25">
      <c r="D220" t="str">
        <f t="shared" si="14"/>
        <v/>
      </c>
      <c r="E220" t="str">
        <f t="shared" si="15"/>
        <v/>
      </c>
      <c r="F220" t="str">
        <f t="shared" si="16"/>
        <v/>
      </c>
      <c r="G220" t="str">
        <f>IF(LEN(TRIM(E220))=0, "", GetSampleTissueBySpecimenPrep(H220))</f>
        <v/>
      </c>
      <c r="H220" t="str">
        <f>IF(LEN(TRIM(E220))=0, "", GetSpecimenPrepName())</f>
        <v/>
      </c>
      <c r="I220" t="str">
        <f>IF(LEN(TRIM(E220))=0, "", GetSampleVolumeBySpecimenPrep(H220))</f>
        <v/>
      </c>
      <c r="L220" t="str">
        <f>IF(LEN(TRIM(E220))=0,"",VLOOKUP("Manifest Id",config!A:B,2,FALSE))</f>
        <v/>
      </c>
      <c r="M220" t="str">
        <f>IF(LEN(TRIM(E220))=0, "",VLOOKUP("Project Name",config!A:B,2,FALSE))</f>
        <v/>
      </c>
      <c r="N220" t="str">
        <f>IF(LEN(TRIM(E220))=0, "",VLOOKUP("Center Name",config!A:B,2,FALSE))</f>
        <v/>
      </c>
      <c r="O220" s="7" t="str">
        <f>IF(LEN(TRIM(E220))=0,"",VLOOKUP("Shipment Date",config!A:B,2,FALSE))</f>
        <v/>
      </c>
      <c r="P220" s="7" t="str">
        <f t="shared" si="13"/>
        <v/>
      </c>
      <c r="Q220" s="7" t="str">
        <f>IF(LEN(TRIM(D220))=0,"",GetConfigParameterValue("Collection Site"))</f>
        <v/>
      </c>
      <c r="R220" t="str">
        <f>IF(LEN(TRIM(E220))=0, "", GetManifestComments(H220))</f>
        <v/>
      </c>
      <c r="S220" t="str">
        <f>IF(LEN(TRIM(E220))=0,"",IF(ISERROR(VLOOKUP(E220,'Manifest MDB data'!A:A,1,FALSE)),"OK","EXISTS!!!"))</f>
        <v/>
      </c>
    </row>
    <row r="221" spans="4:19" x14ac:dyDescent="0.25">
      <c r="D221" t="str">
        <f t="shared" si="14"/>
        <v/>
      </c>
      <c r="E221" t="str">
        <f t="shared" si="15"/>
        <v/>
      </c>
      <c r="F221" t="str">
        <f t="shared" si="16"/>
        <v/>
      </c>
      <c r="G221" t="str">
        <f>IF(LEN(TRIM(E221))=0, "", GetSampleTissueBySpecimenPrep(H221))</f>
        <v/>
      </c>
      <c r="H221" t="str">
        <f>IF(LEN(TRIM(E221))=0, "", GetSpecimenPrepName())</f>
        <v/>
      </c>
      <c r="I221" t="str">
        <f>IF(LEN(TRIM(E221))=0, "", GetSampleVolumeBySpecimenPrep(H221))</f>
        <v/>
      </c>
      <c r="L221" t="str">
        <f>IF(LEN(TRIM(E221))=0,"",VLOOKUP("Manifest Id",config!A:B,2,FALSE))</f>
        <v/>
      </c>
      <c r="M221" t="str">
        <f>IF(LEN(TRIM(E221))=0, "",VLOOKUP("Project Name",config!A:B,2,FALSE))</f>
        <v/>
      </c>
      <c r="N221" t="str">
        <f>IF(LEN(TRIM(E221))=0, "",VLOOKUP("Center Name",config!A:B,2,FALSE))</f>
        <v/>
      </c>
      <c r="O221" s="7" t="str">
        <f>IF(LEN(TRIM(E221))=0,"",VLOOKUP("Shipment Date",config!A:B,2,FALSE))</f>
        <v/>
      </c>
      <c r="P221" s="7" t="str">
        <f t="shared" si="13"/>
        <v/>
      </c>
      <c r="Q221" s="7" t="str">
        <f>IF(LEN(TRIM(D221))=0,"",GetConfigParameterValue("Collection Site"))</f>
        <v/>
      </c>
      <c r="R221" t="str">
        <f>IF(LEN(TRIM(E221))=0, "", GetManifestComments(H221))</f>
        <v/>
      </c>
      <c r="S221" t="str">
        <f>IF(LEN(TRIM(E221))=0,"",IF(ISERROR(VLOOKUP(E221,'Manifest MDB data'!A:A,1,FALSE)),"OK","EXISTS!!!"))</f>
        <v/>
      </c>
    </row>
    <row r="222" spans="4:19" x14ac:dyDescent="0.25">
      <c r="D222" t="str">
        <f t="shared" si="14"/>
        <v/>
      </c>
      <c r="E222" t="str">
        <f t="shared" si="15"/>
        <v/>
      </c>
      <c r="F222" t="str">
        <f t="shared" si="16"/>
        <v/>
      </c>
      <c r="G222" t="str">
        <f>IF(LEN(TRIM(E222))=0, "", GetSampleTissueBySpecimenPrep(H222))</f>
        <v/>
      </c>
      <c r="H222" t="str">
        <f>IF(LEN(TRIM(E222))=0, "", GetSpecimenPrepName())</f>
        <v/>
      </c>
      <c r="I222" t="str">
        <f>IF(LEN(TRIM(E222))=0, "", GetSampleVolumeBySpecimenPrep(H222))</f>
        <v/>
      </c>
      <c r="L222" t="str">
        <f>IF(LEN(TRIM(E222))=0,"",VLOOKUP("Manifest Id",config!A:B,2,FALSE))</f>
        <v/>
      </c>
      <c r="M222" t="str">
        <f>IF(LEN(TRIM(E222))=0, "",VLOOKUP("Project Name",config!A:B,2,FALSE))</f>
        <v/>
      </c>
      <c r="N222" t="str">
        <f>IF(LEN(TRIM(E222))=0, "",VLOOKUP("Center Name",config!A:B,2,FALSE))</f>
        <v/>
      </c>
      <c r="O222" s="7" t="str">
        <f>IF(LEN(TRIM(E222))=0,"",VLOOKUP("Shipment Date",config!A:B,2,FALSE))</f>
        <v/>
      </c>
      <c r="P222" s="7" t="str">
        <f t="shared" si="13"/>
        <v/>
      </c>
      <c r="Q222" s="7" t="str">
        <f>IF(LEN(TRIM(D222))=0,"",GetConfigParameterValue("Collection Site"))</f>
        <v/>
      </c>
      <c r="R222" t="str">
        <f>IF(LEN(TRIM(E222))=0, "", GetManifestComments(H222))</f>
        <v/>
      </c>
      <c r="S222" t="str">
        <f>IF(LEN(TRIM(E222))=0,"",IF(ISERROR(VLOOKUP(E222,'Manifest MDB data'!A:A,1,FALSE)),"OK","EXISTS!!!"))</f>
        <v/>
      </c>
    </row>
    <row r="223" spans="4:19" x14ac:dyDescent="0.25">
      <c r="D223" t="str">
        <f t="shared" si="14"/>
        <v/>
      </c>
      <c r="E223" t="str">
        <f t="shared" si="15"/>
        <v/>
      </c>
      <c r="F223" t="str">
        <f t="shared" si="16"/>
        <v/>
      </c>
      <c r="G223" t="str">
        <f>IF(LEN(TRIM(E223))=0, "", GetSampleTissueBySpecimenPrep(H223))</f>
        <v/>
      </c>
      <c r="H223" t="str">
        <f>IF(LEN(TRIM(E223))=0, "", GetSpecimenPrepName())</f>
        <v/>
      </c>
      <c r="I223" t="str">
        <f>IF(LEN(TRIM(E223))=0, "", GetSampleVolumeBySpecimenPrep(H223))</f>
        <v/>
      </c>
      <c r="L223" t="str">
        <f>IF(LEN(TRIM(E223))=0,"",VLOOKUP("Manifest Id",config!A:B,2,FALSE))</f>
        <v/>
      </c>
      <c r="M223" t="str">
        <f>IF(LEN(TRIM(E223))=0, "",VLOOKUP("Project Name",config!A:B,2,FALSE))</f>
        <v/>
      </c>
      <c r="N223" t="str">
        <f>IF(LEN(TRIM(E223))=0, "",VLOOKUP("Center Name",config!A:B,2,FALSE))</f>
        <v/>
      </c>
      <c r="O223" s="7" t="str">
        <f>IF(LEN(TRIM(E223))=0,"",VLOOKUP("Shipment Date",config!A:B,2,FALSE))</f>
        <v/>
      </c>
      <c r="P223" s="7" t="str">
        <f t="shared" si="13"/>
        <v/>
      </c>
      <c r="Q223" s="7" t="str">
        <f>IF(LEN(TRIM(D223))=0,"",GetConfigParameterValue("Collection Site"))</f>
        <v/>
      </c>
      <c r="R223" t="str">
        <f>IF(LEN(TRIM(E223))=0, "", GetManifestComments(H223))</f>
        <v/>
      </c>
      <c r="S223" t="str">
        <f>IF(LEN(TRIM(E223))=0,"",IF(ISERROR(VLOOKUP(E223,'Manifest MDB data'!A:A,1,FALSE)),"OK","EXISTS!!!"))</f>
        <v/>
      </c>
    </row>
    <row r="224" spans="4:19" x14ac:dyDescent="0.25">
      <c r="D224" t="str">
        <f t="shared" si="14"/>
        <v/>
      </c>
      <c r="E224" t="str">
        <f t="shared" si="15"/>
        <v/>
      </c>
      <c r="F224" t="str">
        <f t="shared" si="16"/>
        <v/>
      </c>
      <c r="G224" t="str">
        <f>IF(LEN(TRIM(E224))=0, "", GetSampleTissueBySpecimenPrep(H224))</f>
        <v/>
      </c>
      <c r="H224" t="str">
        <f>IF(LEN(TRIM(E224))=0, "", GetSpecimenPrepName())</f>
        <v/>
      </c>
      <c r="I224" t="str">
        <f>IF(LEN(TRIM(E224))=0, "", GetSampleVolumeBySpecimenPrep(H224))</f>
        <v/>
      </c>
      <c r="L224" t="str">
        <f>IF(LEN(TRIM(E224))=0,"",VLOOKUP("Manifest Id",config!A:B,2,FALSE))</f>
        <v/>
      </c>
      <c r="M224" t="str">
        <f>IF(LEN(TRIM(E224))=0, "",VLOOKUP("Project Name",config!A:B,2,FALSE))</f>
        <v/>
      </c>
      <c r="N224" t="str">
        <f>IF(LEN(TRIM(E224))=0, "",VLOOKUP("Center Name",config!A:B,2,FALSE))</f>
        <v/>
      </c>
      <c r="O224" s="7" t="str">
        <f>IF(LEN(TRIM(E224))=0,"",VLOOKUP("Shipment Date",config!A:B,2,FALSE))</f>
        <v/>
      </c>
      <c r="P224" s="7" t="str">
        <f t="shared" si="13"/>
        <v/>
      </c>
      <c r="Q224" s="7" t="str">
        <f>IF(LEN(TRIM(D224))=0,"",GetConfigParameterValue("Collection Site"))</f>
        <v/>
      </c>
      <c r="R224" t="str">
        <f>IF(LEN(TRIM(E224))=0, "", GetManifestComments(H224))</f>
        <v/>
      </c>
      <c r="S224" t="str">
        <f>IF(LEN(TRIM(E224))=0,"",IF(ISERROR(VLOOKUP(E224,'Manifest MDB data'!A:A,1,FALSE)),"OK","EXISTS!!!"))</f>
        <v/>
      </c>
    </row>
    <row r="225" spans="4:19" x14ac:dyDescent="0.25">
      <c r="D225" t="str">
        <f t="shared" si="14"/>
        <v/>
      </c>
      <c r="E225" t="str">
        <f t="shared" si="15"/>
        <v/>
      </c>
      <c r="F225" t="str">
        <f t="shared" si="16"/>
        <v/>
      </c>
      <c r="G225" t="str">
        <f>IF(LEN(TRIM(E225))=0, "", GetSampleTissueBySpecimenPrep(H225))</f>
        <v/>
      </c>
      <c r="H225" t="str">
        <f>IF(LEN(TRIM(E225))=0, "", GetSpecimenPrepName())</f>
        <v/>
      </c>
      <c r="I225" t="str">
        <f>IF(LEN(TRIM(E225))=0, "", GetSampleVolumeBySpecimenPrep(H225))</f>
        <v/>
      </c>
      <c r="L225" t="str">
        <f>IF(LEN(TRIM(E225))=0,"",VLOOKUP("Manifest Id",config!A:B,2,FALSE))</f>
        <v/>
      </c>
      <c r="M225" t="str">
        <f>IF(LEN(TRIM(E225))=0, "",VLOOKUP("Project Name",config!A:B,2,FALSE))</f>
        <v/>
      </c>
      <c r="N225" t="str">
        <f>IF(LEN(TRIM(E225))=0, "",VLOOKUP("Center Name",config!A:B,2,FALSE))</f>
        <v/>
      </c>
      <c r="O225" s="7" t="str">
        <f>IF(LEN(TRIM(E225))=0,"",VLOOKUP("Shipment Date",config!A:B,2,FALSE))</f>
        <v/>
      </c>
      <c r="P225" s="7" t="str">
        <f t="shared" si="13"/>
        <v/>
      </c>
      <c r="Q225" s="7" t="str">
        <f>IF(LEN(TRIM(D225))=0,"",GetConfigParameterValue("Collection Site"))</f>
        <v/>
      </c>
      <c r="R225" t="str">
        <f>IF(LEN(TRIM(E225))=0, "", GetManifestComments(H225))</f>
        <v/>
      </c>
      <c r="S225" t="str">
        <f>IF(LEN(TRIM(E225))=0,"",IF(ISERROR(VLOOKUP(E225,'Manifest MDB data'!A:A,1,FALSE)),"OK","EXISTS!!!"))</f>
        <v/>
      </c>
    </row>
    <row r="226" spans="4:19" x14ac:dyDescent="0.25">
      <c r="D226" t="str">
        <f t="shared" si="14"/>
        <v/>
      </c>
      <c r="E226" t="str">
        <f t="shared" si="15"/>
        <v/>
      </c>
      <c r="F226" t="str">
        <f t="shared" si="16"/>
        <v/>
      </c>
      <c r="G226" t="str">
        <f>IF(LEN(TRIM(E226))=0, "", GetSampleTissueBySpecimenPrep(H226))</f>
        <v/>
      </c>
      <c r="H226" t="str">
        <f>IF(LEN(TRIM(E226))=0, "", GetSpecimenPrepName())</f>
        <v/>
      </c>
      <c r="I226" t="str">
        <f>IF(LEN(TRIM(E226))=0, "", GetSampleVolumeBySpecimenPrep(H226))</f>
        <v/>
      </c>
      <c r="L226" t="str">
        <f>IF(LEN(TRIM(E226))=0,"",VLOOKUP("Manifest Id",config!A:B,2,FALSE))</f>
        <v/>
      </c>
      <c r="M226" t="str">
        <f>IF(LEN(TRIM(E226))=0, "",VLOOKUP("Project Name",config!A:B,2,FALSE))</f>
        <v/>
      </c>
      <c r="N226" t="str">
        <f>IF(LEN(TRIM(E226))=0, "",VLOOKUP("Center Name",config!A:B,2,FALSE))</f>
        <v/>
      </c>
      <c r="O226" s="7" t="str">
        <f>IF(LEN(TRIM(E226))=0,"",VLOOKUP("Shipment Date",config!A:B,2,FALSE))</f>
        <v/>
      </c>
      <c r="P226" s="7" t="str">
        <f t="shared" si="13"/>
        <v/>
      </c>
      <c r="Q226" s="7" t="str">
        <f>IF(LEN(TRIM(D226))=0,"",GetConfigParameterValue("Collection Site"))</f>
        <v/>
      </c>
      <c r="R226" t="str">
        <f>IF(LEN(TRIM(E226))=0, "", GetManifestComments(H226))</f>
        <v/>
      </c>
      <c r="S226" t="str">
        <f>IF(LEN(TRIM(E226))=0,"",IF(ISERROR(VLOOKUP(E226,'Manifest MDB data'!A:A,1,FALSE)),"OK","EXISTS!!!"))</f>
        <v/>
      </c>
    </row>
    <row r="227" spans="4:19" x14ac:dyDescent="0.25">
      <c r="D227" t="str">
        <f t="shared" si="14"/>
        <v/>
      </c>
      <c r="E227" t="str">
        <f t="shared" si="15"/>
        <v/>
      </c>
      <c r="F227" t="str">
        <f t="shared" si="16"/>
        <v/>
      </c>
      <c r="G227" t="str">
        <f>IF(LEN(TRIM(E227))=0, "", GetSampleTissueBySpecimenPrep(H227))</f>
        <v/>
      </c>
      <c r="H227" t="str">
        <f>IF(LEN(TRIM(E227))=0, "", GetSpecimenPrepName())</f>
        <v/>
      </c>
      <c r="I227" t="str">
        <f>IF(LEN(TRIM(E227))=0, "", GetSampleVolumeBySpecimenPrep(H227))</f>
        <v/>
      </c>
      <c r="L227" t="str">
        <f>IF(LEN(TRIM(E227))=0,"",VLOOKUP("Manifest Id",config!A:B,2,FALSE))</f>
        <v/>
      </c>
      <c r="M227" t="str">
        <f>IF(LEN(TRIM(E227))=0, "",VLOOKUP("Project Name",config!A:B,2,FALSE))</f>
        <v/>
      </c>
      <c r="N227" t="str">
        <f>IF(LEN(TRIM(E227))=0, "",VLOOKUP("Center Name",config!A:B,2,FALSE))</f>
        <v/>
      </c>
      <c r="O227" s="7" t="str">
        <f>IF(LEN(TRIM(E227))=0,"",VLOOKUP("Shipment Date",config!A:B,2,FALSE))</f>
        <v/>
      </c>
      <c r="P227" s="7" t="str">
        <f t="shared" si="13"/>
        <v/>
      </c>
      <c r="Q227" s="7" t="str">
        <f>IF(LEN(TRIM(D227))=0,"",GetConfigParameterValue("Collection Site"))</f>
        <v/>
      </c>
      <c r="R227" t="str">
        <f>IF(LEN(TRIM(E227))=0, "", GetManifestComments(H227))</f>
        <v/>
      </c>
      <c r="S227" t="str">
        <f>IF(LEN(TRIM(E227))=0,"",IF(ISERROR(VLOOKUP(E227,'Manifest MDB data'!A:A,1,FALSE)),"OK","EXISTS!!!"))</f>
        <v/>
      </c>
    </row>
    <row r="228" spans="4:19" x14ac:dyDescent="0.25">
      <c r="D228" t="str">
        <f t="shared" si="14"/>
        <v/>
      </c>
      <c r="E228" t="str">
        <f t="shared" si="15"/>
        <v/>
      </c>
      <c r="F228" t="str">
        <f t="shared" si="16"/>
        <v/>
      </c>
      <c r="G228" t="str">
        <f>IF(LEN(TRIM(E228))=0, "", GetSampleTissueBySpecimenPrep(H228))</f>
        <v/>
      </c>
      <c r="H228" t="str">
        <f>IF(LEN(TRIM(E228))=0, "", GetSpecimenPrepName())</f>
        <v/>
      </c>
      <c r="I228" t="str">
        <f>IF(LEN(TRIM(E228))=0, "", GetSampleVolumeBySpecimenPrep(H228))</f>
        <v/>
      </c>
      <c r="L228" t="str">
        <f>IF(LEN(TRIM(E228))=0,"",VLOOKUP("Manifest Id",config!A:B,2,FALSE))</f>
        <v/>
      </c>
      <c r="M228" t="str">
        <f>IF(LEN(TRIM(E228))=0, "",VLOOKUP("Project Name",config!A:B,2,FALSE))</f>
        <v/>
      </c>
      <c r="N228" t="str">
        <f>IF(LEN(TRIM(E228))=0, "",VLOOKUP("Center Name",config!A:B,2,FALSE))</f>
        <v/>
      </c>
      <c r="O228" s="7" t="str">
        <f>IF(LEN(TRIM(E228))=0,"",VLOOKUP("Shipment Date",config!A:B,2,FALSE))</f>
        <v/>
      </c>
      <c r="P228" s="7" t="str">
        <f t="shared" si="13"/>
        <v/>
      </c>
      <c r="Q228" s="7" t="str">
        <f>IF(LEN(TRIM(D228))=0,"",GetConfigParameterValue("Collection Site"))</f>
        <v/>
      </c>
      <c r="R228" t="str">
        <f>IF(LEN(TRIM(E228))=0, "", GetManifestComments(H228))</f>
        <v/>
      </c>
      <c r="S228" t="str">
        <f>IF(LEN(TRIM(E228))=0,"",IF(ISERROR(VLOOKUP(E228,'Manifest MDB data'!A:A,1,FALSE)),"OK","EXISTS!!!"))</f>
        <v/>
      </c>
    </row>
    <row r="229" spans="4:19" x14ac:dyDescent="0.25">
      <c r="D229" t="str">
        <f t="shared" si="14"/>
        <v/>
      </c>
      <c r="E229" t="str">
        <f t="shared" si="15"/>
        <v/>
      </c>
      <c r="F229" t="str">
        <f t="shared" si="16"/>
        <v/>
      </c>
      <c r="G229" t="str">
        <f>IF(LEN(TRIM(E229))=0, "", GetSampleTissueBySpecimenPrep(H229))</f>
        <v/>
      </c>
      <c r="H229" t="str">
        <f>IF(LEN(TRIM(E229))=0, "", GetSpecimenPrepName())</f>
        <v/>
      </c>
      <c r="I229" t="str">
        <f>IF(LEN(TRIM(E229))=0, "", GetSampleVolumeBySpecimenPrep(H229))</f>
        <v/>
      </c>
      <c r="L229" t="str">
        <f>IF(LEN(TRIM(E229))=0,"",VLOOKUP("Manifest Id",config!A:B,2,FALSE))</f>
        <v/>
      </c>
      <c r="M229" t="str">
        <f>IF(LEN(TRIM(E229))=0, "",VLOOKUP("Project Name",config!A:B,2,FALSE))</f>
        <v/>
      </c>
      <c r="N229" t="str">
        <f>IF(LEN(TRIM(E229))=0, "",VLOOKUP("Center Name",config!A:B,2,FALSE))</f>
        <v/>
      </c>
      <c r="O229" s="7" t="str">
        <f>IF(LEN(TRIM(E229))=0,"",VLOOKUP("Shipment Date",config!A:B,2,FALSE))</f>
        <v/>
      </c>
      <c r="P229" s="7" t="str">
        <f t="shared" si="13"/>
        <v/>
      </c>
      <c r="Q229" s="7" t="str">
        <f>IF(LEN(TRIM(D229))=0,"",GetConfigParameterValue("Collection Site"))</f>
        <v/>
      </c>
      <c r="R229" t="str">
        <f>IF(LEN(TRIM(E229))=0, "", GetManifestComments(H229))</f>
        <v/>
      </c>
      <c r="S229" t="str">
        <f>IF(LEN(TRIM(E229))=0,"",IF(ISERROR(VLOOKUP(E229,'Manifest MDB data'!A:A,1,FALSE)),"OK","EXISTS!!!"))</f>
        <v/>
      </c>
    </row>
    <row r="230" spans="4:19" x14ac:dyDescent="0.25">
      <c r="D230" t="str">
        <f t="shared" si="14"/>
        <v/>
      </c>
      <c r="E230" t="str">
        <f t="shared" si="15"/>
        <v/>
      </c>
      <c r="F230" t="str">
        <f t="shared" si="16"/>
        <v/>
      </c>
      <c r="G230" t="str">
        <f>IF(LEN(TRIM(E230))=0, "", GetSampleTissueBySpecimenPrep(H230))</f>
        <v/>
      </c>
      <c r="H230" t="str">
        <f>IF(LEN(TRIM(E230))=0, "", GetSpecimenPrepName())</f>
        <v/>
      </c>
      <c r="I230" t="str">
        <f>IF(LEN(TRIM(E230))=0, "", GetSampleVolumeBySpecimenPrep(H230))</f>
        <v/>
      </c>
      <c r="L230" t="str">
        <f>IF(LEN(TRIM(E230))=0,"",VLOOKUP("Manifest Id",config!A:B,2,FALSE))</f>
        <v/>
      </c>
      <c r="M230" t="str">
        <f>IF(LEN(TRIM(E230))=0, "",VLOOKUP("Project Name",config!A:B,2,FALSE))</f>
        <v/>
      </c>
      <c r="N230" t="str">
        <f>IF(LEN(TRIM(E230))=0, "",VLOOKUP("Center Name",config!A:B,2,FALSE))</f>
        <v/>
      </c>
      <c r="O230" s="7" t="str">
        <f>IF(LEN(TRIM(E230))=0,"",VLOOKUP("Shipment Date",config!A:B,2,FALSE))</f>
        <v/>
      </c>
      <c r="P230" s="7" t="str">
        <f t="shared" si="13"/>
        <v/>
      </c>
      <c r="Q230" s="7" t="str">
        <f>IF(LEN(TRIM(D230))=0,"",GetConfigParameterValue("Collection Site"))</f>
        <v/>
      </c>
      <c r="R230" t="str">
        <f>IF(LEN(TRIM(E230))=0, "", GetManifestComments(H230))</f>
        <v/>
      </c>
      <c r="S230" t="str">
        <f>IF(LEN(TRIM(E230))=0,"",IF(ISERROR(VLOOKUP(E230,'Manifest MDB data'!A:A,1,FALSE)),"OK","EXISTS!!!"))</f>
        <v/>
      </c>
    </row>
    <row r="231" spans="4:19" x14ac:dyDescent="0.25">
      <c r="D231" t="str">
        <f t="shared" si="14"/>
        <v/>
      </c>
      <c r="E231" t="str">
        <f t="shared" si="15"/>
        <v/>
      </c>
      <c r="F231" t="str">
        <f t="shared" si="16"/>
        <v/>
      </c>
      <c r="G231" t="str">
        <f>IF(LEN(TRIM(E231))=0, "", GetSampleTissueBySpecimenPrep(H231))</f>
        <v/>
      </c>
      <c r="H231" t="str">
        <f>IF(LEN(TRIM(E231))=0, "", GetSpecimenPrepName())</f>
        <v/>
      </c>
      <c r="I231" t="str">
        <f>IF(LEN(TRIM(E231))=0, "", GetSampleVolumeBySpecimenPrep(H231))</f>
        <v/>
      </c>
      <c r="L231" t="str">
        <f>IF(LEN(TRIM(E231))=0,"",VLOOKUP("Manifest Id",config!A:B,2,FALSE))</f>
        <v/>
      </c>
      <c r="M231" t="str">
        <f>IF(LEN(TRIM(E231))=0, "",VLOOKUP("Project Name",config!A:B,2,FALSE))</f>
        <v/>
      </c>
      <c r="N231" t="str">
        <f>IF(LEN(TRIM(E231))=0, "",VLOOKUP("Center Name",config!A:B,2,FALSE))</f>
        <v/>
      </c>
      <c r="O231" s="7" t="str">
        <f>IF(LEN(TRIM(E231))=0,"",VLOOKUP("Shipment Date",config!A:B,2,FALSE))</f>
        <v/>
      </c>
      <c r="P231" s="7" t="str">
        <f t="shared" si="13"/>
        <v/>
      </c>
      <c r="Q231" s="7" t="str">
        <f>IF(LEN(TRIM(D231))=0,"",GetConfigParameterValue("Collection Site"))</f>
        <v/>
      </c>
      <c r="R231" t="str">
        <f>IF(LEN(TRIM(E231))=0, "", GetManifestComments(H231))</f>
        <v/>
      </c>
      <c r="S231" t="str">
        <f>IF(LEN(TRIM(E231))=0,"",IF(ISERROR(VLOOKUP(E231,'Manifest MDB data'!A:A,1,FALSE)),"OK","EXISTS!!!"))</f>
        <v/>
      </c>
    </row>
    <row r="232" spans="4:19" x14ac:dyDescent="0.25">
      <c r="D232" t="str">
        <f t="shared" si="14"/>
        <v/>
      </c>
      <c r="E232" t="str">
        <f t="shared" si="15"/>
        <v/>
      </c>
      <c r="F232" t="str">
        <f t="shared" si="16"/>
        <v/>
      </c>
      <c r="G232" t="str">
        <f>IF(LEN(TRIM(E232))=0, "", GetSampleTissueBySpecimenPrep(H232))</f>
        <v/>
      </c>
      <c r="H232" t="str">
        <f>IF(LEN(TRIM(E232))=0, "", GetSpecimenPrepName())</f>
        <v/>
      </c>
      <c r="I232" t="str">
        <f>IF(LEN(TRIM(E232))=0, "", GetSampleVolumeBySpecimenPrep(H232))</f>
        <v/>
      </c>
      <c r="L232" t="str">
        <f>IF(LEN(TRIM(E232))=0,"",VLOOKUP("Manifest Id",config!A:B,2,FALSE))</f>
        <v/>
      </c>
      <c r="M232" t="str">
        <f>IF(LEN(TRIM(E232))=0, "",VLOOKUP("Project Name",config!A:B,2,FALSE))</f>
        <v/>
      </c>
      <c r="N232" t="str">
        <f>IF(LEN(TRIM(E232))=0, "",VLOOKUP("Center Name",config!A:B,2,FALSE))</f>
        <v/>
      </c>
      <c r="O232" s="7" t="str">
        <f>IF(LEN(TRIM(E232))=0,"",VLOOKUP("Shipment Date",config!A:B,2,FALSE))</f>
        <v/>
      </c>
      <c r="P232" s="7" t="str">
        <f t="shared" si="13"/>
        <v/>
      </c>
      <c r="Q232" s="7" t="str">
        <f>IF(LEN(TRIM(D232))=0,"",GetConfigParameterValue("Collection Site"))</f>
        <v/>
      </c>
      <c r="R232" t="str">
        <f>IF(LEN(TRIM(E232))=0, "", GetManifestComments(H232))</f>
        <v/>
      </c>
      <c r="S232" t="str">
        <f>IF(LEN(TRIM(E232))=0,"",IF(ISERROR(VLOOKUP(E232,'Manifest MDB data'!A:A,1,FALSE)),"OK","EXISTS!!!"))</f>
        <v/>
      </c>
    </row>
    <row r="233" spans="4:19" x14ac:dyDescent="0.25">
      <c r="D233" t="str">
        <f t="shared" si="14"/>
        <v/>
      </c>
      <c r="E233" t="str">
        <f t="shared" si="15"/>
        <v/>
      </c>
      <c r="F233" t="str">
        <f t="shared" si="16"/>
        <v/>
      </c>
      <c r="G233" t="str">
        <f>IF(LEN(TRIM(E233))=0, "", GetSampleTissueBySpecimenPrep(H233))</f>
        <v/>
      </c>
      <c r="H233" t="str">
        <f>IF(LEN(TRIM(E233))=0, "", GetSpecimenPrepName())</f>
        <v/>
      </c>
      <c r="I233" t="str">
        <f>IF(LEN(TRIM(E233))=0, "", GetSampleVolumeBySpecimenPrep(H233))</f>
        <v/>
      </c>
      <c r="L233" t="str">
        <f>IF(LEN(TRIM(E233))=0,"",VLOOKUP("Manifest Id",config!A:B,2,FALSE))</f>
        <v/>
      </c>
      <c r="M233" t="str">
        <f>IF(LEN(TRIM(E233))=0, "",VLOOKUP("Project Name",config!A:B,2,FALSE))</f>
        <v/>
      </c>
      <c r="N233" t="str">
        <f>IF(LEN(TRIM(E233))=0, "",VLOOKUP("Center Name",config!A:B,2,FALSE))</f>
        <v/>
      </c>
      <c r="O233" s="7" t="str">
        <f>IF(LEN(TRIM(E233))=0,"",VLOOKUP("Shipment Date",config!A:B,2,FALSE))</f>
        <v/>
      </c>
      <c r="P233" s="7" t="str">
        <f t="shared" si="13"/>
        <v/>
      </c>
      <c r="Q233" s="7" t="str">
        <f>IF(LEN(TRIM(D233))=0,"",GetConfigParameterValue("Collection Site"))</f>
        <v/>
      </c>
      <c r="R233" t="str">
        <f>IF(LEN(TRIM(E233))=0, "", GetManifestComments(H233))</f>
        <v/>
      </c>
      <c r="S233" t="str">
        <f>IF(LEN(TRIM(E233))=0,"",IF(ISERROR(VLOOKUP(E233,'Manifest MDB data'!A:A,1,FALSE)),"OK","EXISTS!!!"))</f>
        <v/>
      </c>
    </row>
    <row r="234" spans="4:19" x14ac:dyDescent="0.25">
      <c r="D234" t="str">
        <f t="shared" si="14"/>
        <v/>
      </c>
      <c r="E234" t="str">
        <f t="shared" si="15"/>
        <v/>
      </c>
      <c r="F234" t="str">
        <f t="shared" si="16"/>
        <v/>
      </c>
      <c r="G234" t="str">
        <f>IF(LEN(TRIM(E234))=0, "", GetSampleTissueBySpecimenPrep(H234))</f>
        <v/>
      </c>
      <c r="H234" t="str">
        <f>IF(LEN(TRIM(E234))=0, "", GetSpecimenPrepName())</f>
        <v/>
      </c>
      <c r="I234" t="str">
        <f>IF(LEN(TRIM(E234))=0, "", GetSampleVolumeBySpecimenPrep(H234))</f>
        <v/>
      </c>
      <c r="L234" t="str">
        <f>IF(LEN(TRIM(E234))=0,"",VLOOKUP("Manifest Id",config!A:B,2,FALSE))</f>
        <v/>
      </c>
      <c r="M234" t="str">
        <f>IF(LEN(TRIM(E234))=0, "",VLOOKUP("Project Name",config!A:B,2,FALSE))</f>
        <v/>
      </c>
      <c r="N234" t="str">
        <f>IF(LEN(TRIM(E234))=0, "",VLOOKUP("Center Name",config!A:B,2,FALSE))</f>
        <v/>
      </c>
      <c r="O234" s="7" t="str">
        <f>IF(LEN(TRIM(E234))=0,"",VLOOKUP("Shipment Date",config!A:B,2,FALSE))</f>
        <v/>
      </c>
      <c r="P234" s="7" t="str">
        <f t="shared" si="13"/>
        <v/>
      </c>
      <c r="Q234" s="7" t="str">
        <f>IF(LEN(TRIM(D234))=0,"",GetConfigParameterValue("Collection Site"))</f>
        <v/>
      </c>
      <c r="R234" t="str">
        <f>IF(LEN(TRIM(E234))=0, "", GetManifestComments(H234))</f>
        <v/>
      </c>
      <c r="S234" t="str">
        <f>IF(LEN(TRIM(E234))=0,"",IF(ISERROR(VLOOKUP(E234,'Manifest MDB data'!A:A,1,FALSE)),"OK","EXISTS!!!"))</f>
        <v/>
      </c>
    </row>
    <row r="235" spans="4:19" x14ac:dyDescent="0.25">
      <c r="D235" t="str">
        <f t="shared" si="14"/>
        <v/>
      </c>
      <c r="E235" t="str">
        <f t="shared" si="15"/>
        <v/>
      </c>
      <c r="F235" t="str">
        <f t="shared" si="16"/>
        <v/>
      </c>
      <c r="G235" t="str">
        <f>IF(LEN(TRIM(E235))=0, "", GetSampleTissueBySpecimenPrep(H235))</f>
        <v/>
      </c>
      <c r="H235" t="str">
        <f>IF(LEN(TRIM(E235))=0, "", GetSpecimenPrepName())</f>
        <v/>
      </c>
      <c r="I235" t="str">
        <f>IF(LEN(TRIM(E235))=0, "", GetSampleVolumeBySpecimenPrep(H235))</f>
        <v/>
      </c>
      <c r="L235" t="str">
        <f>IF(LEN(TRIM(E235))=0,"",VLOOKUP("Manifest Id",config!A:B,2,FALSE))</f>
        <v/>
      </c>
      <c r="M235" t="str">
        <f>IF(LEN(TRIM(E235))=0, "",VLOOKUP("Project Name",config!A:B,2,FALSE))</f>
        <v/>
      </c>
      <c r="N235" t="str">
        <f>IF(LEN(TRIM(E235))=0, "",VLOOKUP("Center Name",config!A:B,2,FALSE))</f>
        <v/>
      </c>
      <c r="O235" s="7" t="str">
        <f>IF(LEN(TRIM(E235))=0,"",VLOOKUP("Shipment Date",config!A:B,2,FALSE))</f>
        <v/>
      </c>
      <c r="P235" s="7" t="str">
        <f t="shared" si="13"/>
        <v/>
      </c>
      <c r="Q235" s="7" t="str">
        <f>IF(LEN(TRIM(D235))=0,"",GetConfigParameterValue("Collection Site"))</f>
        <v/>
      </c>
      <c r="R235" t="str">
        <f>IF(LEN(TRIM(E235))=0, "", GetManifestComments(H235))</f>
        <v/>
      </c>
      <c r="S235" t="str">
        <f>IF(LEN(TRIM(E235))=0,"",IF(ISERROR(VLOOKUP(E235,'Manifest MDB data'!A:A,1,FALSE)),"OK","EXISTS!!!"))</f>
        <v/>
      </c>
    </row>
    <row r="236" spans="4:19" x14ac:dyDescent="0.25">
      <c r="D236" t="str">
        <f t="shared" si="14"/>
        <v/>
      </c>
      <c r="E236" t="str">
        <f t="shared" si="15"/>
        <v/>
      </c>
      <c r="F236" t="str">
        <f t="shared" si="16"/>
        <v/>
      </c>
      <c r="G236" t="str">
        <f>IF(LEN(TRIM(E236))=0, "", GetSampleTissueBySpecimenPrep(H236))</f>
        <v/>
      </c>
      <c r="H236" t="str">
        <f>IF(LEN(TRIM(E236))=0, "", GetSpecimenPrepName())</f>
        <v/>
      </c>
      <c r="I236" t="str">
        <f>IF(LEN(TRIM(E236))=0, "", GetSampleVolumeBySpecimenPrep(H236))</f>
        <v/>
      </c>
      <c r="L236" t="str">
        <f>IF(LEN(TRIM(E236))=0,"",VLOOKUP("Manifest Id",config!A:B,2,FALSE))</f>
        <v/>
      </c>
      <c r="M236" t="str">
        <f>IF(LEN(TRIM(E236))=0, "",VLOOKUP("Project Name",config!A:B,2,FALSE))</f>
        <v/>
      </c>
      <c r="N236" t="str">
        <f>IF(LEN(TRIM(E236))=0, "",VLOOKUP("Center Name",config!A:B,2,FALSE))</f>
        <v/>
      </c>
      <c r="O236" s="7" t="str">
        <f>IF(LEN(TRIM(E236))=0,"",VLOOKUP("Shipment Date",config!A:B,2,FALSE))</f>
        <v/>
      </c>
      <c r="P236" s="7" t="str">
        <f t="shared" si="13"/>
        <v/>
      </c>
      <c r="Q236" s="7" t="str">
        <f>IF(LEN(TRIM(D236))=0,"",GetConfigParameterValue("Collection Site"))</f>
        <v/>
      </c>
      <c r="R236" t="str">
        <f>IF(LEN(TRIM(E236))=0, "", GetManifestComments(H236))</f>
        <v/>
      </c>
      <c r="S236" t="str">
        <f>IF(LEN(TRIM(E236))=0,"",IF(ISERROR(VLOOKUP(E236,'Manifest MDB data'!A:A,1,FALSE)),"OK","EXISTS!!!"))</f>
        <v/>
      </c>
    </row>
    <row r="237" spans="4:19" x14ac:dyDescent="0.25">
      <c r="D237" t="str">
        <f t="shared" si="14"/>
        <v/>
      </c>
      <c r="E237" t="str">
        <f t="shared" si="15"/>
        <v/>
      </c>
      <c r="F237" t="str">
        <f t="shared" si="16"/>
        <v/>
      </c>
      <c r="G237" t="str">
        <f>IF(LEN(TRIM(E237))=0, "", GetSampleTissueBySpecimenPrep(H237))</f>
        <v/>
      </c>
      <c r="H237" t="str">
        <f>IF(LEN(TRIM(E237))=0, "", GetSpecimenPrepName())</f>
        <v/>
      </c>
      <c r="I237" t="str">
        <f>IF(LEN(TRIM(E237))=0, "", GetSampleVolumeBySpecimenPrep(H237))</f>
        <v/>
      </c>
      <c r="L237" t="str">
        <f>IF(LEN(TRIM(E237))=0,"",VLOOKUP("Manifest Id",config!A:B,2,FALSE))</f>
        <v/>
      </c>
      <c r="M237" t="str">
        <f>IF(LEN(TRIM(E237))=0, "",VLOOKUP("Project Name",config!A:B,2,FALSE))</f>
        <v/>
      </c>
      <c r="N237" t="str">
        <f>IF(LEN(TRIM(E237))=0, "",VLOOKUP("Center Name",config!A:B,2,FALSE))</f>
        <v/>
      </c>
      <c r="O237" s="7" t="str">
        <f>IF(LEN(TRIM(E237))=0,"",VLOOKUP("Shipment Date",config!A:B,2,FALSE))</f>
        <v/>
      </c>
      <c r="P237" s="7" t="str">
        <f t="shared" si="13"/>
        <v/>
      </c>
      <c r="Q237" s="7" t="str">
        <f>IF(LEN(TRIM(D237))=0,"",GetConfigParameterValue("Collection Site"))</f>
        <v/>
      </c>
      <c r="R237" t="str">
        <f>IF(LEN(TRIM(E237))=0, "", GetManifestComments(H237))</f>
        <v/>
      </c>
      <c r="S237" t="str">
        <f>IF(LEN(TRIM(E237))=0,"",IF(ISERROR(VLOOKUP(E237,'Manifest MDB data'!A:A,1,FALSE)),"OK","EXISTS!!!"))</f>
        <v/>
      </c>
    </row>
    <row r="238" spans="4:19" x14ac:dyDescent="0.25">
      <c r="D238" t="str">
        <f t="shared" si="14"/>
        <v/>
      </c>
      <c r="E238" t="str">
        <f t="shared" si="15"/>
        <v/>
      </c>
      <c r="F238" t="str">
        <f t="shared" si="16"/>
        <v/>
      </c>
      <c r="G238" t="str">
        <f>IF(LEN(TRIM(E238))=0, "", GetSampleTissueBySpecimenPrep(H238))</f>
        <v/>
      </c>
      <c r="H238" t="str">
        <f>IF(LEN(TRIM(E238))=0, "", GetSpecimenPrepName())</f>
        <v/>
      </c>
      <c r="I238" t="str">
        <f>IF(LEN(TRIM(E238))=0, "", GetSampleVolumeBySpecimenPrep(H238))</f>
        <v/>
      </c>
      <c r="L238" t="str">
        <f>IF(LEN(TRIM(E238))=0,"",VLOOKUP("Manifest Id",config!A:B,2,FALSE))</f>
        <v/>
      </c>
      <c r="M238" t="str">
        <f>IF(LEN(TRIM(E238))=0, "",VLOOKUP("Project Name",config!A:B,2,FALSE))</f>
        <v/>
      </c>
      <c r="N238" t="str">
        <f>IF(LEN(TRIM(E238))=0, "",VLOOKUP("Center Name",config!A:B,2,FALSE))</f>
        <v/>
      </c>
      <c r="O238" s="7" t="str">
        <f>IF(LEN(TRIM(E238))=0,"",VLOOKUP("Shipment Date",config!A:B,2,FALSE))</f>
        <v/>
      </c>
      <c r="P238" s="7" t="str">
        <f t="shared" si="13"/>
        <v/>
      </c>
      <c r="Q238" s="7" t="str">
        <f>IF(LEN(TRIM(D238))=0,"",GetConfigParameterValue("Collection Site"))</f>
        <v/>
      </c>
      <c r="R238" t="str">
        <f>IF(LEN(TRIM(E238))=0, "", GetManifestComments(H238))</f>
        <v/>
      </c>
      <c r="S238" t="str">
        <f>IF(LEN(TRIM(E238))=0,"",IF(ISERROR(VLOOKUP(E238,'Manifest MDB data'!A:A,1,FALSE)),"OK","EXISTS!!!"))</f>
        <v/>
      </c>
    </row>
    <row r="239" spans="4:19" x14ac:dyDescent="0.25">
      <c r="D239" t="str">
        <f t="shared" si="14"/>
        <v/>
      </c>
      <c r="E239" t="str">
        <f t="shared" si="15"/>
        <v/>
      </c>
      <c r="F239" t="str">
        <f t="shared" si="16"/>
        <v/>
      </c>
      <c r="G239" t="str">
        <f>IF(LEN(TRIM(E239))=0, "", GetSampleTissueBySpecimenPrep(H239))</f>
        <v/>
      </c>
      <c r="H239" t="str">
        <f>IF(LEN(TRIM(E239))=0, "", GetSpecimenPrepName())</f>
        <v/>
      </c>
      <c r="I239" t="str">
        <f>IF(LEN(TRIM(E239))=0, "", GetSampleVolumeBySpecimenPrep(H239))</f>
        <v/>
      </c>
      <c r="L239" t="str">
        <f>IF(LEN(TRIM(E239))=0,"",VLOOKUP("Manifest Id",config!A:B,2,FALSE))</f>
        <v/>
      </c>
      <c r="M239" t="str">
        <f>IF(LEN(TRIM(E239))=0, "",VLOOKUP("Project Name",config!A:B,2,FALSE))</f>
        <v/>
      </c>
      <c r="N239" t="str">
        <f>IF(LEN(TRIM(E239))=0, "",VLOOKUP("Center Name",config!A:B,2,FALSE))</f>
        <v/>
      </c>
      <c r="O239" s="7" t="str">
        <f>IF(LEN(TRIM(E239))=0,"",VLOOKUP("Shipment Date",config!A:B,2,FALSE))</f>
        <v/>
      </c>
      <c r="P239" s="7" t="str">
        <f t="shared" si="13"/>
        <v/>
      </c>
      <c r="Q239" s="7" t="str">
        <f>IF(LEN(TRIM(D239))=0,"",GetConfigParameterValue("Collection Site"))</f>
        <v/>
      </c>
      <c r="R239" t="str">
        <f>IF(LEN(TRIM(E239))=0, "", GetManifestComments(H239))</f>
        <v/>
      </c>
      <c r="S239" t="str">
        <f>IF(LEN(TRIM(E239))=0,"",IF(ISERROR(VLOOKUP(E239,'Manifest MDB data'!A:A,1,FALSE)),"OK","EXISTS!!!"))</f>
        <v/>
      </c>
    </row>
    <row r="240" spans="4:19" x14ac:dyDescent="0.25">
      <c r="D240" t="str">
        <f t="shared" si="14"/>
        <v/>
      </c>
      <c r="E240" t="str">
        <f t="shared" si="15"/>
        <v/>
      </c>
      <c r="F240" t="str">
        <f t="shared" si="16"/>
        <v/>
      </c>
      <c r="G240" t="str">
        <f>IF(LEN(TRIM(E240))=0, "", GetSampleTissueBySpecimenPrep(H240))</f>
        <v/>
      </c>
      <c r="H240" t="str">
        <f>IF(LEN(TRIM(E240))=0, "", GetSpecimenPrepName())</f>
        <v/>
      </c>
      <c r="I240" t="str">
        <f>IF(LEN(TRIM(E240))=0, "", GetSampleVolumeBySpecimenPrep(H240))</f>
        <v/>
      </c>
      <c r="L240" t="str">
        <f>IF(LEN(TRIM(E240))=0,"",VLOOKUP("Manifest Id",config!A:B,2,FALSE))</f>
        <v/>
      </c>
      <c r="M240" t="str">
        <f>IF(LEN(TRIM(E240))=0, "",VLOOKUP("Project Name",config!A:B,2,FALSE))</f>
        <v/>
      </c>
      <c r="N240" t="str">
        <f>IF(LEN(TRIM(E240))=0, "",VLOOKUP("Center Name",config!A:B,2,FALSE))</f>
        <v/>
      </c>
      <c r="O240" s="7" t="str">
        <f>IF(LEN(TRIM(E240))=0,"",VLOOKUP("Shipment Date",config!A:B,2,FALSE))</f>
        <v/>
      </c>
      <c r="P240" s="7" t="str">
        <f t="shared" si="13"/>
        <v/>
      </c>
      <c r="Q240" s="7" t="str">
        <f>IF(LEN(TRIM(D240))=0,"",GetConfigParameterValue("Collection Site"))</f>
        <v/>
      </c>
      <c r="R240" t="str">
        <f>IF(LEN(TRIM(E240))=0, "", GetManifestComments(H240))</f>
        <v/>
      </c>
      <c r="S240" t="str">
        <f>IF(LEN(TRIM(E240))=0,"",IF(ISERROR(VLOOKUP(E240,'Manifest MDB data'!A:A,1,FALSE)),"OK","EXISTS!!!"))</f>
        <v/>
      </c>
    </row>
    <row r="241" spans="4:19" x14ac:dyDescent="0.25">
      <c r="D241" t="str">
        <f t="shared" si="14"/>
        <v/>
      </c>
      <c r="E241" t="str">
        <f t="shared" si="15"/>
        <v/>
      </c>
      <c r="F241" t="str">
        <f t="shared" si="16"/>
        <v/>
      </c>
      <c r="G241" t="str">
        <f>IF(LEN(TRIM(E241))=0, "", GetSampleTissueBySpecimenPrep(H241))</f>
        <v/>
      </c>
      <c r="H241" t="str">
        <f>IF(LEN(TRIM(E241))=0, "", GetSpecimenPrepName())</f>
        <v/>
      </c>
      <c r="I241" t="str">
        <f>IF(LEN(TRIM(E241))=0, "", GetSampleVolumeBySpecimenPrep(H241))</f>
        <v/>
      </c>
      <c r="L241" t="str">
        <f>IF(LEN(TRIM(E241))=0,"",VLOOKUP("Manifest Id",config!A:B,2,FALSE))</f>
        <v/>
      </c>
      <c r="M241" t="str">
        <f>IF(LEN(TRIM(E241))=0, "",VLOOKUP("Project Name",config!A:B,2,FALSE))</f>
        <v/>
      </c>
      <c r="N241" t="str">
        <f>IF(LEN(TRIM(E241))=0, "",VLOOKUP("Center Name",config!A:B,2,FALSE))</f>
        <v/>
      </c>
      <c r="O241" s="7" t="str">
        <f>IF(LEN(TRIM(E241))=0,"",VLOOKUP("Shipment Date",config!A:B,2,FALSE))</f>
        <v/>
      </c>
      <c r="P241" s="7" t="str">
        <f t="shared" si="13"/>
        <v/>
      </c>
      <c r="Q241" s="7" t="str">
        <f>IF(LEN(TRIM(D241))=0,"",GetConfigParameterValue("Collection Site"))</f>
        <v/>
      </c>
      <c r="R241" t="str">
        <f>IF(LEN(TRIM(E241))=0, "", GetManifestComments(H241))</f>
        <v/>
      </c>
      <c r="S241" t="str">
        <f>IF(LEN(TRIM(E241))=0,"",IF(ISERROR(VLOOKUP(E241,'Manifest MDB data'!A:A,1,FALSE)),"OK","EXISTS!!!"))</f>
        <v/>
      </c>
    </row>
    <row r="242" spans="4:19" x14ac:dyDescent="0.25">
      <c r="D242" t="str">
        <f t="shared" si="14"/>
        <v/>
      </c>
      <c r="E242" t="str">
        <f t="shared" si="15"/>
        <v/>
      </c>
      <c r="F242" t="str">
        <f t="shared" si="16"/>
        <v/>
      </c>
      <c r="G242" t="str">
        <f>IF(LEN(TRIM(E242))=0, "", GetSampleTissueBySpecimenPrep(H242))</f>
        <v/>
      </c>
      <c r="H242" t="str">
        <f>IF(LEN(TRIM(E242))=0, "", GetSpecimenPrepName())</f>
        <v/>
      </c>
      <c r="I242" t="str">
        <f>IF(LEN(TRIM(E242))=0, "", GetSampleVolumeBySpecimenPrep(H242))</f>
        <v/>
      </c>
      <c r="L242" t="str">
        <f>IF(LEN(TRIM(E242))=0,"",VLOOKUP("Manifest Id",config!A:B,2,FALSE))</f>
        <v/>
      </c>
      <c r="M242" t="str">
        <f>IF(LEN(TRIM(E242))=0, "",VLOOKUP("Project Name",config!A:B,2,FALSE))</f>
        <v/>
      </c>
      <c r="N242" t="str">
        <f>IF(LEN(TRIM(E242))=0, "",VLOOKUP("Center Name",config!A:B,2,FALSE))</f>
        <v/>
      </c>
      <c r="O242" s="7" t="str">
        <f>IF(LEN(TRIM(E242))=0,"",VLOOKUP("Shipment Date",config!A:B,2,FALSE))</f>
        <v/>
      </c>
      <c r="P242" s="7" t="str">
        <f t="shared" si="13"/>
        <v/>
      </c>
      <c r="Q242" s="7" t="str">
        <f>IF(LEN(TRIM(D242))=0,"",GetConfigParameterValue("Collection Site"))</f>
        <v/>
      </c>
      <c r="R242" t="str">
        <f>IF(LEN(TRIM(E242))=0, "", GetManifestComments(H242))</f>
        <v/>
      </c>
      <c r="S242" t="str">
        <f>IF(LEN(TRIM(E242))=0,"",IF(ISERROR(VLOOKUP(E242,'Manifest MDB data'!A:A,1,FALSE)),"OK","EXISTS!!!"))</f>
        <v/>
      </c>
    </row>
    <row r="243" spans="4:19" x14ac:dyDescent="0.25">
      <c r="D243" t="str">
        <f t="shared" si="14"/>
        <v/>
      </c>
      <c r="E243" t="str">
        <f t="shared" si="15"/>
        <v/>
      </c>
      <c r="F243" t="str">
        <f t="shared" si="16"/>
        <v/>
      </c>
      <c r="G243" t="str">
        <f>IF(LEN(TRIM(E243))=0, "", GetSampleTissueBySpecimenPrep(H243))</f>
        <v/>
      </c>
      <c r="H243" t="str">
        <f>IF(LEN(TRIM(E243))=0, "", GetSpecimenPrepName())</f>
        <v/>
      </c>
      <c r="I243" t="str">
        <f>IF(LEN(TRIM(E243))=0, "", GetSampleVolumeBySpecimenPrep(H243))</f>
        <v/>
      </c>
      <c r="L243" t="str">
        <f>IF(LEN(TRIM(E243))=0,"",VLOOKUP("Manifest Id",config!A:B,2,FALSE))</f>
        <v/>
      </c>
      <c r="M243" t="str">
        <f>IF(LEN(TRIM(E243))=0, "",VLOOKUP("Project Name",config!A:B,2,FALSE))</f>
        <v/>
      </c>
      <c r="N243" t="str">
        <f>IF(LEN(TRIM(E243))=0, "",VLOOKUP("Center Name",config!A:B,2,FALSE))</f>
        <v/>
      </c>
      <c r="O243" s="7" t="str">
        <f>IF(LEN(TRIM(E243))=0,"",VLOOKUP("Shipment Date",config!A:B,2,FALSE))</f>
        <v/>
      </c>
      <c r="P243" s="7" t="str">
        <f t="shared" si="13"/>
        <v/>
      </c>
      <c r="Q243" s="7" t="str">
        <f>IF(LEN(TRIM(D243))=0,"",GetConfigParameterValue("Collection Site"))</f>
        <v/>
      </c>
      <c r="R243" t="str">
        <f>IF(LEN(TRIM(E243))=0, "", GetManifestComments(H243))</f>
        <v/>
      </c>
      <c r="S243" t="str">
        <f>IF(LEN(TRIM(E243))=0,"",IF(ISERROR(VLOOKUP(E243,'Manifest MDB data'!A:A,1,FALSE)),"OK","EXISTS!!!"))</f>
        <v/>
      </c>
    </row>
    <row r="244" spans="4:19" x14ac:dyDescent="0.25">
      <c r="D244" t="str">
        <f t="shared" si="14"/>
        <v/>
      </c>
      <c r="E244" t="str">
        <f t="shared" si="15"/>
        <v/>
      </c>
      <c r="F244" t="str">
        <f t="shared" si="16"/>
        <v/>
      </c>
      <c r="G244" t="str">
        <f>IF(LEN(TRIM(E244))=0, "", GetSampleTissueBySpecimenPrep(H244))</f>
        <v/>
      </c>
      <c r="H244" t="str">
        <f>IF(LEN(TRIM(E244))=0, "", GetSpecimenPrepName())</f>
        <v/>
      </c>
      <c r="I244" t="str">
        <f>IF(LEN(TRIM(E244))=0, "", GetSampleVolumeBySpecimenPrep(H244))</f>
        <v/>
      </c>
      <c r="L244" t="str">
        <f>IF(LEN(TRIM(E244))=0,"",VLOOKUP("Manifest Id",config!A:B,2,FALSE))</f>
        <v/>
      </c>
      <c r="M244" t="str">
        <f>IF(LEN(TRIM(E244))=0, "",VLOOKUP("Project Name",config!A:B,2,FALSE))</f>
        <v/>
      </c>
      <c r="N244" t="str">
        <f>IF(LEN(TRIM(E244))=0, "",VLOOKUP("Center Name",config!A:B,2,FALSE))</f>
        <v/>
      </c>
      <c r="O244" s="7" t="str">
        <f>IF(LEN(TRIM(E244))=0,"",VLOOKUP("Shipment Date",config!A:B,2,FALSE))</f>
        <v/>
      </c>
      <c r="P244" s="7" t="str">
        <f t="shared" si="13"/>
        <v/>
      </c>
      <c r="Q244" s="7" t="str">
        <f>IF(LEN(TRIM(D244))=0,"",GetConfigParameterValue("Collection Site"))</f>
        <v/>
      </c>
      <c r="R244" t="str">
        <f>IF(LEN(TRIM(E244))=0, "", GetManifestComments(H244))</f>
        <v/>
      </c>
      <c r="S244" t="str">
        <f>IF(LEN(TRIM(E244))=0,"",IF(ISERROR(VLOOKUP(E244,'Manifest MDB data'!A:A,1,FALSE)),"OK","EXISTS!!!"))</f>
        <v/>
      </c>
    </row>
    <row r="245" spans="4:19" x14ac:dyDescent="0.25">
      <c r="D245" t="str">
        <f t="shared" si="14"/>
        <v/>
      </c>
      <c r="E245" t="str">
        <f t="shared" si="15"/>
        <v/>
      </c>
      <c r="F245" t="str">
        <f t="shared" si="16"/>
        <v/>
      </c>
      <c r="G245" t="str">
        <f>IF(LEN(TRIM(E245))=0, "", GetSampleTissueBySpecimenPrep(H245))</f>
        <v/>
      </c>
      <c r="H245" t="str">
        <f>IF(LEN(TRIM(E245))=0, "", GetSpecimenPrepName())</f>
        <v/>
      </c>
      <c r="I245" t="str">
        <f>IF(LEN(TRIM(E245))=0, "", GetSampleVolumeBySpecimenPrep(H245))</f>
        <v/>
      </c>
      <c r="L245" t="str">
        <f>IF(LEN(TRIM(E245))=0,"",VLOOKUP("Manifest Id",config!A:B,2,FALSE))</f>
        <v/>
      </c>
      <c r="M245" t="str">
        <f>IF(LEN(TRIM(E245))=0, "",VLOOKUP("Project Name",config!A:B,2,FALSE))</f>
        <v/>
      </c>
      <c r="N245" t="str">
        <f>IF(LEN(TRIM(E245))=0, "",VLOOKUP("Center Name",config!A:B,2,FALSE))</f>
        <v/>
      </c>
      <c r="O245" s="7" t="str">
        <f>IF(LEN(TRIM(E245))=0,"",VLOOKUP("Shipment Date",config!A:B,2,FALSE))</f>
        <v/>
      </c>
      <c r="P245" s="7" t="str">
        <f t="shared" si="13"/>
        <v/>
      </c>
      <c r="Q245" s="7" t="str">
        <f>IF(LEN(TRIM(D245))=0,"",GetConfigParameterValue("Collection Site"))</f>
        <v/>
      </c>
      <c r="R245" t="str">
        <f>IF(LEN(TRIM(E245))=0, "", GetManifestComments(H245))</f>
        <v/>
      </c>
      <c r="S245" t="str">
        <f>IF(LEN(TRIM(E245))=0,"",IF(ISERROR(VLOOKUP(E245,'Manifest MDB data'!A:A,1,FALSE)),"OK","EXISTS!!!"))</f>
        <v/>
      </c>
    </row>
    <row r="246" spans="4:19" x14ac:dyDescent="0.25">
      <c r="D246" t="str">
        <f t="shared" si="14"/>
        <v/>
      </c>
      <c r="E246" t="str">
        <f t="shared" si="15"/>
        <v/>
      </c>
      <c r="F246" t="str">
        <f t="shared" si="16"/>
        <v/>
      </c>
      <c r="G246" t="str">
        <f>IF(LEN(TRIM(E246))=0, "", GetSampleTissueBySpecimenPrep(H246))</f>
        <v/>
      </c>
      <c r="H246" t="str">
        <f>IF(LEN(TRIM(E246))=0, "", GetSpecimenPrepName())</f>
        <v/>
      </c>
      <c r="I246" t="str">
        <f>IF(LEN(TRIM(E246))=0, "", GetSampleVolumeBySpecimenPrep(H246))</f>
        <v/>
      </c>
      <c r="L246" t="str">
        <f>IF(LEN(TRIM(E246))=0,"",VLOOKUP("Manifest Id",config!A:B,2,FALSE))</f>
        <v/>
      </c>
      <c r="M246" t="str">
        <f>IF(LEN(TRIM(E246))=0, "",VLOOKUP("Project Name",config!A:B,2,FALSE))</f>
        <v/>
      </c>
      <c r="N246" t="str">
        <f>IF(LEN(TRIM(E246))=0, "",VLOOKUP("Center Name",config!A:B,2,FALSE))</f>
        <v/>
      </c>
      <c r="O246" s="7" t="str">
        <f>IF(LEN(TRIM(E246))=0,"",VLOOKUP("Shipment Date",config!A:B,2,FALSE))</f>
        <v/>
      </c>
      <c r="P246" s="7" t="str">
        <f t="shared" si="13"/>
        <v/>
      </c>
      <c r="Q246" s="7" t="str">
        <f>IF(LEN(TRIM(D246))=0,"",GetConfigParameterValue("Collection Site"))</f>
        <v/>
      </c>
      <c r="R246" t="str">
        <f>IF(LEN(TRIM(E246))=0, "", GetManifestComments(H246))</f>
        <v/>
      </c>
      <c r="S246" t="str">
        <f>IF(LEN(TRIM(E246))=0,"",IF(ISERROR(VLOOKUP(E246,'Manifest MDB data'!A:A,1,FALSE)),"OK","EXISTS!!!"))</f>
        <v/>
      </c>
    </row>
    <row r="247" spans="4:19" x14ac:dyDescent="0.25">
      <c r="D247" t="str">
        <f t="shared" si="14"/>
        <v/>
      </c>
      <c r="E247" t="str">
        <f t="shared" si="15"/>
        <v/>
      </c>
      <c r="F247" t="str">
        <f t="shared" si="16"/>
        <v/>
      </c>
      <c r="G247" t="str">
        <f>IF(LEN(TRIM(E247))=0, "", GetSampleTissueBySpecimenPrep(H247))</f>
        <v/>
      </c>
      <c r="H247" t="str">
        <f>IF(LEN(TRIM(E247))=0, "", GetSpecimenPrepName())</f>
        <v/>
      </c>
      <c r="I247" t="str">
        <f>IF(LEN(TRIM(E247))=0, "", GetSampleVolumeBySpecimenPrep(H247))</f>
        <v/>
      </c>
      <c r="L247" t="str">
        <f>IF(LEN(TRIM(E247))=0,"",VLOOKUP("Manifest Id",config!A:B,2,FALSE))</f>
        <v/>
      </c>
      <c r="M247" t="str">
        <f>IF(LEN(TRIM(E247))=0, "",VLOOKUP("Project Name",config!A:B,2,FALSE))</f>
        <v/>
      </c>
      <c r="N247" t="str">
        <f>IF(LEN(TRIM(E247))=0, "",VLOOKUP("Center Name",config!A:B,2,FALSE))</f>
        <v/>
      </c>
      <c r="O247" s="7" t="str">
        <f>IF(LEN(TRIM(E247))=0,"",VLOOKUP("Shipment Date",config!A:B,2,FALSE))</f>
        <v/>
      </c>
      <c r="P247" s="7" t="str">
        <f t="shared" si="13"/>
        <v/>
      </c>
      <c r="Q247" s="7" t="str">
        <f>IF(LEN(TRIM(D247))=0,"",GetConfigParameterValue("Collection Site"))</f>
        <v/>
      </c>
      <c r="R247" t="str">
        <f>IF(LEN(TRIM(E247))=0, "", GetManifestComments(H247))</f>
        <v/>
      </c>
      <c r="S247" t="str">
        <f>IF(LEN(TRIM(E247))=0,"",IF(ISERROR(VLOOKUP(E247,'Manifest MDB data'!A:A,1,FALSE)),"OK","EXISTS!!!"))</f>
        <v/>
      </c>
    </row>
    <row r="248" spans="4:19" x14ac:dyDescent="0.25">
      <c r="D248" t="str">
        <f t="shared" si="14"/>
        <v/>
      </c>
      <c r="E248" t="str">
        <f t="shared" si="15"/>
        <v/>
      </c>
      <c r="F248" t="str">
        <f t="shared" si="16"/>
        <v/>
      </c>
      <c r="G248" t="str">
        <f>IF(LEN(TRIM(E248))=0, "", GetSampleTissueBySpecimenPrep(H248))</f>
        <v/>
      </c>
      <c r="H248" t="str">
        <f>IF(LEN(TRIM(E248))=0, "", GetSpecimenPrepName())</f>
        <v/>
      </c>
      <c r="I248" t="str">
        <f>IF(LEN(TRIM(E248))=0, "", GetSampleVolumeBySpecimenPrep(H248))</f>
        <v/>
      </c>
      <c r="L248" t="str">
        <f>IF(LEN(TRIM(E248))=0,"",VLOOKUP("Manifest Id",config!A:B,2,FALSE))</f>
        <v/>
      </c>
      <c r="M248" t="str">
        <f>IF(LEN(TRIM(E248))=0, "",VLOOKUP("Project Name",config!A:B,2,FALSE))</f>
        <v/>
      </c>
      <c r="N248" t="str">
        <f>IF(LEN(TRIM(E248))=0, "",VLOOKUP("Center Name",config!A:B,2,FALSE))</f>
        <v/>
      </c>
      <c r="O248" s="7" t="str">
        <f>IF(LEN(TRIM(E248))=0,"",VLOOKUP("Shipment Date",config!A:B,2,FALSE))</f>
        <v/>
      </c>
      <c r="P248" s="7" t="str">
        <f t="shared" si="13"/>
        <v/>
      </c>
      <c r="Q248" s="7" t="str">
        <f>IF(LEN(TRIM(D248))=0,"",GetConfigParameterValue("Collection Site"))</f>
        <v/>
      </c>
      <c r="R248" t="str">
        <f>IF(LEN(TRIM(E248))=0, "", GetManifestComments(H248))</f>
        <v/>
      </c>
      <c r="S248" t="str">
        <f>IF(LEN(TRIM(E248))=0,"",IF(ISERROR(VLOOKUP(E248,'Manifest MDB data'!A:A,1,FALSE)),"OK","EXISTS!!!"))</f>
        <v/>
      </c>
    </row>
    <row r="249" spans="4:19" x14ac:dyDescent="0.25">
      <c r="D249" t="str">
        <f t="shared" si="14"/>
        <v/>
      </c>
      <c r="E249" t="str">
        <f t="shared" si="15"/>
        <v/>
      </c>
      <c r="F249" t="str">
        <f t="shared" si="16"/>
        <v/>
      </c>
      <c r="G249" t="str">
        <f>IF(LEN(TRIM(E249))=0, "", GetSampleTissueBySpecimenPrep(H249))</f>
        <v/>
      </c>
      <c r="H249" t="str">
        <f>IF(LEN(TRIM(E249))=0, "", GetSpecimenPrepName())</f>
        <v/>
      </c>
      <c r="I249" t="str">
        <f>IF(LEN(TRIM(E249))=0, "", GetSampleVolumeBySpecimenPrep(H249))</f>
        <v/>
      </c>
      <c r="L249" t="str">
        <f>IF(LEN(TRIM(E249))=0,"",VLOOKUP("Manifest Id",config!A:B,2,FALSE))</f>
        <v/>
      </c>
      <c r="M249" t="str">
        <f>IF(LEN(TRIM(E249))=0, "",VLOOKUP("Project Name",config!A:B,2,FALSE))</f>
        <v/>
      </c>
      <c r="N249" t="str">
        <f>IF(LEN(TRIM(E249))=0, "",VLOOKUP("Center Name",config!A:B,2,FALSE))</f>
        <v/>
      </c>
      <c r="O249" s="7" t="str">
        <f>IF(LEN(TRIM(E249))=0,"",VLOOKUP("Shipment Date",config!A:B,2,FALSE))</f>
        <v/>
      </c>
      <c r="P249" s="7" t="str">
        <f t="shared" si="13"/>
        <v/>
      </c>
      <c r="Q249" s="7" t="str">
        <f>IF(LEN(TRIM(D249))=0,"",GetConfigParameterValue("Collection Site"))</f>
        <v/>
      </c>
      <c r="R249" t="str">
        <f>IF(LEN(TRIM(E249))=0, "", GetManifestComments(H249))</f>
        <v/>
      </c>
      <c r="S249" t="str">
        <f>IF(LEN(TRIM(E249))=0,"",IF(ISERROR(VLOOKUP(E249,'Manifest MDB data'!A:A,1,FALSE)),"OK","EXISTS!!!"))</f>
        <v/>
      </c>
    </row>
    <row r="250" spans="4:19" x14ac:dyDescent="0.25">
      <c r="D250" t="str">
        <f t="shared" si="14"/>
        <v/>
      </c>
      <c r="E250" t="str">
        <f t="shared" si="15"/>
        <v/>
      </c>
      <c r="F250" t="str">
        <f t="shared" si="16"/>
        <v/>
      </c>
      <c r="G250" t="str">
        <f>IF(LEN(TRIM(E250))=0, "", GetSampleTissueBySpecimenPrep(H250))</f>
        <v/>
      </c>
      <c r="H250" t="str">
        <f>IF(LEN(TRIM(E250))=0, "", GetSpecimenPrepName())</f>
        <v/>
      </c>
      <c r="I250" t="str">
        <f>IF(LEN(TRIM(E250))=0, "", GetSampleVolumeBySpecimenPrep(H250))</f>
        <v/>
      </c>
      <c r="L250" t="str">
        <f>IF(LEN(TRIM(E250))=0,"",VLOOKUP("Manifest Id",config!A:B,2,FALSE))</f>
        <v/>
      </c>
      <c r="M250" t="str">
        <f>IF(LEN(TRIM(E250))=0, "",VLOOKUP("Project Name",config!A:B,2,FALSE))</f>
        <v/>
      </c>
      <c r="N250" t="str">
        <f>IF(LEN(TRIM(E250))=0, "",VLOOKUP("Center Name",config!A:B,2,FALSE))</f>
        <v/>
      </c>
      <c r="O250" s="7" t="str">
        <f>IF(LEN(TRIM(E250))=0,"",VLOOKUP("Shipment Date",config!A:B,2,FALSE))</f>
        <v/>
      </c>
      <c r="P250" s="7" t="str">
        <f t="shared" si="13"/>
        <v/>
      </c>
      <c r="Q250" s="7" t="str">
        <f>IF(LEN(TRIM(D250))=0,"",GetConfigParameterValue("Collection Site"))</f>
        <v/>
      </c>
      <c r="R250" t="str">
        <f>IF(LEN(TRIM(E250))=0, "", GetManifestComments(H250))</f>
        <v/>
      </c>
      <c r="S250" t="str">
        <f>IF(LEN(TRIM(E250))=0,"",IF(ISERROR(VLOOKUP(E250,'Manifest MDB data'!A:A,1,FALSE)),"OK","EXISTS!!!"))</f>
        <v/>
      </c>
    </row>
    <row r="251" spans="4:19" x14ac:dyDescent="0.25">
      <c r="D251" t="str">
        <f t="shared" si="14"/>
        <v/>
      </c>
      <c r="E251" t="str">
        <f t="shared" si="15"/>
        <v/>
      </c>
      <c r="F251" t="str">
        <f t="shared" si="16"/>
        <v/>
      </c>
      <c r="G251" t="str">
        <f>IF(LEN(TRIM(E251))=0, "", GetSampleTissueBySpecimenPrep(H251))</f>
        <v/>
      </c>
      <c r="H251" t="str">
        <f>IF(LEN(TRIM(E251))=0, "", GetSpecimenPrepName())</f>
        <v/>
      </c>
      <c r="I251" t="str">
        <f>IF(LEN(TRIM(E251))=0, "", GetSampleVolumeBySpecimenPrep(H251))</f>
        <v/>
      </c>
      <c r="L251" t="str">
        <f>IF(LEN(TRIM(E251))=0,"",VLOOKUP("Manifest Id",config!A:B,2,FALSE))</f>
        <v/>
      </c>
      <c r="M251" t="str">
        <f>IF(LEN(TRIM(E251))=0, "",VLOOKUP("Project Name",config!A:B,2,FALSE))</f>
        <v/>
      </c>
      <c r="N251" t="str">
        <f>IF(LEN(TRIM(E251))=0, "",VLOOKUP("Center Name",config!A:B,2,FALSE))</f>
        <v/>
      </c>
      <c r="O251" s="7" t="str">
        <f>IF(LEN(TRIM(E251))=0,"",VLOOKUP("Shipment Date",config!A:B,2,FALSE))</f>
        <v/>
      </c>
      <c r="P251" s="7" t="str">
        <f t="shared" si="13"/>
        <v/>
      </c>
      <c r="Q251" s="7" t="str">
        <f>IF(LEN(TRIM(D251))=0,"",GetConfigParameterValue("Collection Site"))</f>
        <v/>
      </c>
      <c r="R251" t="str">
        <f>IF(LEN(TRIM(E251))=0, "", GetManifestComments(H251))</f>
        <v/>
      </c>
      <c r="S251" t="str">
        <f>IF(LEN(TRIM(E251))=0,"",IF(ISERROR(VLOOKUP(E251,'Manifest MDB data'!A:A,1,FALSE)),"OK","EXISTS!!!"))</f>
        <v/>
      </c>
    </row>
    <row r="252" spans="4:19" x14ac:dyDescent="0.25">
      <c r="D252" t="str">
        <f t="shared" si="14"/>
        <v/>
      </c>
      <c r="E252" t="str">
        <f t="shared" si="15"/>
        <v/>
      </c>
      <c r="F252" t="str">
        <f t="shared" si="16"/>
        <v/>
      </c>
      <c r="G252" t="str">
        <f>IF(LEN(TRIM(E252))=0, "", GetSampleTissueBySpecimenPrep(H252))</f>
        <v/>
      </c>
      <c r="H252" t="str">
        <f>IF(LEN(TRIM(E252))=0, "", GetSpecimenPrepName())</f>
        <v/>
      </c>
      <c r="I252" t="str">
        <f>IF(LEN(TRIM(E252))=0, "", GetSampleVolumeBySpecimenPrep(H252))</f>
        <v/>
      </c>
      <c r="L252" t="str">
        <f>IF(LEN(TRIM(E252))=0,"",VLOOKUP("Manifest Id",config!A:B,2,FALSE))</f>
        <v/>
      </c>
      <c r="M252" t="str">
        <f>IF(LEN(TRIM(E252))=0, "",VLOOKUP("Project Name",config!A:B,2,FALSE))</f>
        <v/>
      </c>
      <c r="N252" t="str">
        <f>IF(LEN(TRIM(E252))=0, "",VLOOKUP("Center Name",config!A:B,2,FALSE))</f>
        <v/>
      </c>
      <c r="O252" s="7" t="str">
        <f>IF(LEN(TRIM(E252))=0,"",VLOOKUP("Shipment Date",config!A:B,2,FALSE))</f>
        <v/>
      </c>
      <c r="P252" s="7" t="str">
        <f t="shared" si="13"/>
        <v/>
      </c>
      <c r="Q252" s="7" t="str">
        <f>IF(LEN(TRIM(D252))=0,"",GetConfigParameterValue("Collection Site"))</f>
        <v/>
      </c>
      <c r="R252" t="str">
        <f>IF(LEN(TRIM(E252))=0, "", GetManifestComments(H252))</f>
        <v/>
      </c>
      <c r="S252" t="str">
        <f>IF(LEN(TRIM(E252))=0,"",IF(ISERROR(VLOOKUP(E252,'Manifest MDB data'!A:A,1,FALSE)),"OK","EXISTS!!!"))</f>
        <v/>
      </c>
    </row>
    <row r="253" spans="4:19" x14ac:dyDescent="0.25">
      <c r="D253" t="str">
        <f t="shared" si="14"/>
        <v/>
      </c>
      <c r="E253" t="str">
        <f t="shared" si="15"/>
        <v/>
      </c>
      <c r="F253" t="str">
        <f t="shared" si="16"/>
        <v/>
      </c>
      <c r="G253" t="str">
        <f>IF(LEN(TRIM(E253))=0, "", GetSampleTissueBySpecimenPrep(H253))</f>
        <v/>
      </c>
      <c r="H253" t="str">
        <f>IF(LEN(TRIM(E253))=0, "", GetSpecimenPrepName())</f>
        <v/>
      </c>
      <c r="I253" t="str">
        <f>IF(LEN(TRIM(E253))=0, "", GetSampleVolumeBySpecimenPrep(H253))</f>
        <v/>
      </c>
      <c r="L253" t="str">
        <f>IF(LEN(TRIM(E253))=0,"",VLOOKUP("Manifest Id",config!A:B,2,FALSE))</f>
        <v/>
      </c>
      <c r="M253" t="str">
        <f>IF(LEN(TRIM(E253))=0, "",VLOOKUP("Project Name",config!A:B,2,FALSE))</f>
        <v/>
      </c>
      <c r="N253" t="str">
        <f>IF(LEN(TRIM(E253))=0, "",VLOOKUP("Center Name",config!A:B,2,FALSE))</f>
        <v/>
      </c>
      <c r="O253" s="7" t="str">
        <f>IF(LEN(TRIM(E253))=0,"",VLOOKUP("Shipment Date",config!A:B,2,FALSE))</f>
        <v/>
      </c>
      <c r="P253" s="7" t="str">
        <f t="shared" si="13"/>
        <v/>
      </c>
      <c r="Q253" s="7" t="str">
        <f>IF(LEN(TRIM(D253))=0,"",GetConfigParameterValue("Collection Site"))</f>
        <v/>
      </c>
      <c r="R253" t="str">
        <f>IF(LEN(TRIM(E253))=0, "", GetManifestComments(H253))</f>
        <v/>
      </c>
      <c r="S253" t="str">
        <f>IF(LEN(TRIM(E253))=0,"",IF(ISERROR(VLOOKUP(E253,'Manifest MDB data'!A:A,1,FALSE)),"OK","EXISTS!!!"))</f>
        <v/>
      </c>
    </row>
    <row r="254" spans="4:19" x14ac:dyDescent="0.25">
      <c r="D254" t="str">
        <f t="shared" si="14"/>
        <v/>
      </c>
      <c r="E254" t="str">
        <f t="shared" si="15"/>
        <v/>
      </c>
      <c r="F254" t="str">
        <f t="shared" si="16"/>
        <v/>
      </c>
      <c r="G254" t="str">
        <f>IF(LEN(TRIM(E254))=0, "", GetSampleTissueBySpecimenPrep(H254))</f>
        <v/>
      </c>
      <c r="H254" t="str">
        <f>IF(LEN(TRIM(E254))=0, "", GetSpecimenPrepName())</f>
        <v/>
      </c>
      <c r="I254" t="str">
        <f>IF(LEN(TRIM(E254))=0, "", GetSampleVolumeBySpecimenPrep(H254))</f>
        <v/>
      </c>
      <c r="L254" t="str">
        <f>IF(LEN(TRIM(E254))=0,"",VLOOKUP("Manifest Id",config!A:B,2,FALSE))</f>
        <v/>
      </c>
      <c r="M254" t="str">
        <f>IF(LEN(TRIM(E254))=0, "",VLOOKUP("Project Name",config!A:B,2,FALSE))</f>
        <v/>
      </c>
      <c r="N254" t="str">
        <f>IF(LEN(TRIM(E254))=0, "",VLOOKUP("Center Name",config!A:B,2,FALSE))</f>
        <v/>
      </c>
      <c r="O254" s="7" t="str">
        <f>IF(LEN(TRIM(E254))=0,"",VLOOKUP("Shipment Date",config!A:B,2,FALSE))</f>
        <v/>
      </c>
      <c r="P254" s="7" t="str">
        <f t="shared" si="13"/>
        <v/>
      </c>
      <c r="Q254" s="7" t="str">
        <f>IF(LEN(TRIM(D254))=0,"",GetConfigParameterValue("Collection Site"))</f>
        <v/>
      </c>
      <c r="R254" t="str">
        <f>IF(LEN(TRIM(E254))=0, "", GetManifestComments(H254))</f>
        <v/>
      </c>
      <c r="S254" t="str">
        <f>IF(LEN(TRIM(E254))=0,"",IF(ISERROR(VLOOKUP(E254,'Manifest MDB data'!A:A,1,FALSE)),"OK","EXISTS!!!"))</f>
        <v/>
      </c>
    </row>
    <row r="255" spans="4:19" x14ac:dyDescent="0.25">
      <c r="D255" t="str">
        <f t="shared" si="14"/>
        <v/>
      </c>
      <c r="E255" t="str">
        <f t="shared" si="15"/>
        <v/>
      </c>
      <c r="F255" t="str">
        <f t="shared" si="16"/>
        <v/>
      </c>
      <c r="G255" t="str">
        <f>IF(LEN(TRIM(E255))=0, "", GetSampleTissueBySpecimenPrep(H255))</f>
        <v/>
      </c>
      <c r="H255" t="str">
        <f>IF(LEN(TRIM(E255))=0, "", GetSpecimenPrepName())</f>
        <v/>
      </c>
      <c r="I255" t="str">
        <f>IF(LEN(TRIM(E255))=0, "", GetSampleVolumeBySpecimenPrep(H255))</f>
        <v/>
      </c>
      <c r="L255" t="str">
        <f>IF(LEN(TRIM(E255))=0,"",VLOOKUP("Manifest Id",config!A:B,2,FALSE))</f>
        <v/>
      </c>
      <c r="M255" t="str">
        <f>IF(LEN(TRIM(E255))=0, "",VLOOKUP("Project Name",config!A:B,2,FALSE))</f>
        <v/>
      </c>
      <c r="N255" t="str">
        <f>IF(LEN(TRIM(E255))=0, "",VLOOKUP("Center Name",config!A:B,2,FALSE))</f>
        <v/>
      </c>
      <c r="O255" s="7" t="str">
        <f>IF(LEN(TRIM(E255))=0,"",VLOOKUP("Shipment Date",config!A:B,2,FALSE))</f>
        <v/>
      </c>
      <c r="P255" s="7" t="str">
        <f t="shared" si="13"/>
        <v/>
      </c>
      <c r="Q255" s="7" t="str">
        <f>IF(LEN(TRIM(D255))=0,"",GetConfigParameterValue("Collection Site"))</f>
        <v/>
      </c>
      <c r="R255" t="str">
        <f>IF(LEN(TRIM(E255))=0, "", GetManifestComments(H255))</f>
        <v/>
      </c>
      <c r="S255" t="str">
        <f>IF(LEN(TRIM(E255))=0,"",IF(ISERROR(VLOOKUP(E255,'Manifest MDB data'!A:A,1,FALSE)),"OK","EXISTS!!!"))</f>
        <v/>
      </c>
    </row>
    <row r="256" spans="4:19" x14ac:dyDescent="0.25">
      <c r="D256" t="str">
        <f t="shared" si="14"/>
        <v/>
      </c>
      <c r="E256" t="str">
        <f t="shared" si="15"/>
        <v/>
      </c>
      <c r="F256" t="str">
        <f t="shared" si="16"/>
        <v/>
      </c>
      <c r="G256" t="str">
        <f>IF(LEN(TRIM(E256))=0, "", GetSampleTissueBySpecimenPrep(H256))</f>
        <v/>
      </c>
      <c r="H256" t="str">
        <f>IF(LEN(TRIM(E256))=0, "", GetSpecimenPrepName())</f>
        <v/>
      </c>
      <c r="I256" t="str">
        <f>IF(LEN(TRIM(E256))=0, "", GetSampleVolumeBySpecimenPrep(H256))</f>
        <v/>
      </c>
      <c r="L256" t="str">
        <f>IF(LEN(TRIM(E256))=0,"",VLOOKUP("Manifest Id",config!A:B,2,FALSE))</f>
        <v/>
      </c>
      <c r="M256" t="str">
        <f>IF(LEN(TRIM(E256))=0, "",VLOOKUP("Project Name",config!A:B,2,FALSE))</f>
        <v/>
      </c>
      <c r="N256" t="str">
        <f>IF(LEN(TRIM(E256))=0, "",VLOOKUP("Center Name",config!A:B,2,FALSE))</f>
        <v/>
      </c>
      <c r="O256" s="7" t="str">
        <f>IF(LEN(TRIM(E256))=0,"",VLOOKUP("Shipment Date",config!A:B,2,FALSE))</f>
        <v/>
      </c>
      <c r="P256" s="7" t="str">
        <f t="shared" si="13"/>
        <v/>
      </c>
      <c r="Q256" s="7" t="str">
        <f>IF(LEN(TRIM(D256))=0,"",GetConfigParameterValue("Collection Site"))</f>
        <v/>
      </c>
      <c r="R256" t="str">
        <f>IF(LEN(TRIM(E256))=0, "", GetManifestComments(H256))</f>
        <v/>
      </c>
      <c r="S256" t="str">
        <f>IF(LEN(TRIM(E256))=0,"",IF(ISERROR(VLOOKUP(E256,'Manifest MDB data'!A:A,1,FALSE)),"OK","EXISTS!!!"))</f>
        <v/>
      </c>
    </row>
    <row r="257" spans="4:19" x14ac:dyDescent="0.25">
      <c r="D257" t="str">
        <f t="shared" si="14"/>
        <v/>
      </c>
      <c r="E257" t="str">
        <f t="shared" si="15"/>
        <v/>
      </c>
      <c r="F257" t="str">
        <f t="shared" si="16"/>
        <v/>
      </c>
      <c r="G257" t="str">
        <f>IF(LEN(TRIM(E257))=0, "", GetSampleTissueBySpecimenPrep(H257))</f>
        <v/>
      </c>
      <c r="H257" t="str">
        <f>IF(LEN(TRIM(E257))=0, "", GetSpecimenPrepName())</f>
        <v/>
      </c>
      <c r="I257" t="str">
        <f>IF(LEN(TRIM(E257))=0, "", GetSampleVolumeBySpecimenPrep(H257))</f>
        <v/>
      </c>
      <c r="L257" t="str">
        <f>IF(LEN(TRIM(E257))=0,"",VLOOKUP("Manifest Id",config!A:B,2,FALSE))</f>
        <v/>
      </c>
      <c r="M257" t="str">
        <f>IF(LEN(TRIM(E257))=0, "",VLOOKUP("Project Name",config!A:B,2,FALSE))</f>
        <v/>
      </c>
      <c r="N257" t="str">
        <f>IF(LEN(TRIM(E257))=0, "",VLOOKUP("Center Name",config!A:B,2,FALSE))</f>
        <v/>
      </c>
      <c r="O257" s="7" t="str">
        <f>IF(LEN(TRIM(E257))=0,"",VLOOKUP("Shipment Date",config!A:B,2,FALSE))</f>
        <v/>
      </c>
      <c r="P257" s="7" t="str">
        <f t="shared" si="13"/>
        <v/>
      </c>
      <c r="Q257" s="7" t="str">
        <f>IF(LEN(TRIM(D257))=0,"",GetConfigParameterValue("Collection Site"))</f>
        <v/>
      </c>
      <c r="R257" t="str">
        <f>IF(LEN(TRIM(E257))=0, "", GetManifestComments(H257))</f>
        <v/>
      </c>
      <c r="S257" t="str">
        <f>IF(LEN(TRIM(E257))=0,"",IF(ISERROR(VLOOKUP(E257,'Manifest MDB data'!A:A,1,FALSE)),"OK","EXISTS!!!"))</f>
        <v/>
      </c>
    </row>
    <row r="258" spans="4:19" x14ac:dyDescent="0.25">
      <c r="D258" t="str">
        <f t="shared" si="14"/>
        <v/>
      </c>
      <c r="E258" t="str">
        <f t="shared" si="15"/>
        <v/>
      </c>
      <c r="F258" t="str">
        <f t="shared" si="16"/>
        <v/>
      </c>
      <c r="G258" t="str">
        <f>IF(LEN(TRIM(E258))=0, "", GetSampleTissueBySpecimenPrep(H258))</f>
        <v/>
      </c>
      <c r="H258" t="str">
        <f>IF(LEN(TRIM(E258))=0, "", GetSpecimenPrepName())</f>
        <v/>
      </c>
      <c r="I258" t="str">
        <f>IF(LEN(TRIM(E258))=0, "", GetSampleVolumeBySpecimenPrep(H258))</f>
        <v/>
      </c>
      <c r="L258" t="str">
        <f>IF(LEN(TRIM(E258))=0,"",VLOOKUP("Manifest Id",config!A:B,2,FALSE))</f>
        <v/>
      </c>
      <c r="M258" t="str">
        <f>IF(LEN(TRIM(E258))=0, "",VLOOKUP("Project Name",config!A:B,2,FALSE))</f>
        <v/>
      </c>
      <c r="N258" t="str">
        <f>IF(LEN(TRIM(E258))=0, "",VLOOKUP("Center Name",config!A:B,2,FALSE))</f>
        <v/>
      </c>
      <c r="O258" s="7" t="str">
        <f>IF(LEN(TRIM(E258))=0,"",VLOOKUP("Shipment Date",config!A:B,2,FALSE))</f>
        <v/>
      </c>
      <c r="P258" s="7" t="str">
        <f t="shared" ref="P258:P321" si="17">getColumnValueBySubjectID("Visit Date", RIGHT(LEFT(D258,7),4))</f>
        <v/>
      </c>
      <c r="Q258" s="7" t="str">
        <f>IF(LEN(TRIM(D258))=0,"",GetConfigParameterValue("Collection Site"))</f>
        <v/>
      </c>
      <c r="R258" t="str">
        <f>IF(LEN(TRIM(E258))=0, "", GetManifestComments(H258))</f>
        <v/>
      </c>
      <c r="S258" t="str">
        <f>IF(LEN(TRIM(E258))=0,"",IF(ISERROR(VLOOKUP(E258,'Manifest MDB data'!A:A,1,FALSE)),"OK","EXISTS!!!"))</f>
        <v/>
      </c>
    </row>
    <row r="259" spans="4:19" x14ac:dyDescent="0.25">
      <c r="D259" t="str">
        <f t="shared" ref="D259:D322" si="18">GetSampleId((ROW()))</f>
        <v/>
      </c>
      <c r="E259" t="str">
        <f t="shared" ref="E259:E322" si="19">GetAliquotId((ROW()))</f>
        <v/>
      </c>
      <c r="F259" t="str">
        <f t="shared" ref="F259:F322" si="20">IF(LEN(TRIM(E259))=0, "", "Human")</f>
        <v/>
      </c>
      <c r="G259" t="str">
        <f>IF(LEN(TRIM(E259))=0, "", GetSampleTissueBySpecimenPrep(H259))</f>
        <v/>
      </c>
      <c r="H259" t="str">
        <f>IF(LEN(TRIM(E259))=0, "", GetSpecimenPrepName())</f>
        <v/>
      </c>
      <c r="I259" t="str">
        <f>IF(LEN(TRIM(E259))=0, "", GetSampleVolumeBySpecimenPrep(H259))</f>
        <v/>
      </c>
      <c r="L259" t="str">
        <f>IF(LEN(TRIM(E259))=0,"",VLOOKUP("Manifest Id",config!A:B,2,FALSE))</f>
        <v/>
      </c>
      <c r="M259" t="str">
        <f>IF(LEN(TRIM(E259))=0, "",VLOOKUP("Project Name",config!A:B,2,FALSE))</f>
        <v/>
      </c>
      <c r="N259" t="str">
        <f>IF(LEN(TRIM(E259))=0, "",VLOOKUP("Center Name",config!A:B,2,FALSE))</f>
        <v/>
      </c>
      <c r="O259" s="7" t="str">
        <f>IF(LEN(TRIM(E259))=0,"",VLOOKUP("Shipment Date",config!A:B,2,FALSE))</f>
        <v/>
      </c>
      <c r="P259" s="7" t="str">
        <f t="shared" si="17"/>
        <v/>
      </c>
      <c r="Q259" s="7" t="str">
        <f>IF(LEN(TRIM(D259))=0,"",GetConfigParameterValue("Collection Site"))</f>
        <v/>
      </c>
      <c r="R259" t="str">
        <f>IF(LEN(TRIM(E259))=0, "", GetManifestComments(H259))</f>
        <v/>
      </c>
      <c r="S259" t="str">
        <f>IF(LEN(TRIM(E259))=0,"",IF(ISERROR(VLOOKUP(E259,'Manifest MDB data'!A:A,1,FALSE)),"OK","EXISTS!!!"))</f>
        <v/>
      </c>
    </row>
    <row r="260" spans="4:19" x14ac:dyDescent="0.25">
      <c r="D260" t="str">
        <f t="shared" si="18"/>
        <v/>
      </c>
      <c r="E260" t="str">
        <f t="shared" si="19"/>
        <v/>
      </c>
      <c r="F260" t="str">
        <f t="shared" si="20"/>
        <v/>
      </c>
      <c r="G260" t="str">
        <f>IF(LEN(TRIM(E260))=0, "", GetSampleTissueBySpecimenPrep(H260))</f>
        <v/>
      </c>
      <c r="H260" t="str">
        <f>IF(LEN(TRIM(E260))=0, "", GetSpecimenPrepName())</f>
        <v/>
      </c>
      <c r="I260" t="str">
        <f>IF(LEN(TRIM(E260))=0, "", GetSampleVolumeBySpecimenPrep(H260))</f>
        <v/>
      </c>
      <c r="L260" t="str">
        <f>IF(LEN(TRIM(E260))=0,"",VLOOKUP("Manifest Id",config!A:B,2,FALSE))</f>
        <v/>
      </c>
      <c r="M260" t="str">
        <f>IF(LEN(TRIM(E260))=0, "",VLOOKUP("Project Name",config!A:B,2,FALSE))</f>
        <v/>
      </c>
      <c r="N260" t="str">
        <f>IF(LEN(TRIM(E260))=0, "",VLOOKUP("Center Name",config!A:B,2,FALSE))</f>
        <v/>
      </c>
      <c r="O260" s="7" t="str">
        <f>IF(LEN(TRIM(E260))=0,"",VLOOKUP("Shipment Date",config!A:B,2,FALSE))</f>
        <v/>
      </c>
      <c r="P260" s="7" t="str">
        <f t="shared" si="17"/>
        <v/>
      </c>
      <c r="Q260" s="7" t="str">
        <f>IF(LEN(TRIM(D260))=0,"",GetConfigParameterValue("Collection Site"))</f>
        <v/>
      </c>
      <c r="R260" t="str">
        <f>IF(LEN(TRIM(E260))=0, "", GetManifestComments(H260))</f>
        <v/>
      </c>
      <c r="S260" t="str">
        <f>IF(LEN(TRIM(E260))=0,"",IF(ISERROR(VLOOKUP(E260,'Manifest MDB data'!A:A,1,FALSE)),"OK","EXISTS!!!"))</f>
        <v/>
      </c>
    </row>
    <row r="261" spans="4:19" x14ac:dyDescent="0.25">
      <c r="D261" t="str">
        <f t="shared" si="18"/>
        <v/>
      </c>
      <c r="E261" t="str">
        <f t="shared" si="19"/>
        <v/>
      </c>
      <c r="F261" t="str">
        <f t="shared" si="20"/>
        <v/>
      </c>
      <c r="G261" t="str">
        <f>IF(LEN(TRIM(E261))=0, "", GetSampleTissueBySpecimenPrep(H261))</f>
        <v/>
      </c>
      <c r="H261" t="str">
        <f>IF(LEN(TRIM(E261))=0, "", GetSpecimenPrepName())</f>
        <v/>
      </c>
      <c r="I261" t="str">
        <f>IF(LEN(TRIM(E261))=0, "", GetSampleVolumeBySpecimenPrep(H261))</f>
        <v/>
      </c>
      <c r="L261" t="str">
        <f>IF(LEN(TRIM(E261))=0,"",VLOOKUP("Manifest Id",config!A:B,2,FALSE))</f>
        <v/>
      </c>
      <c r="M261" t="str">
        <f>IF(LEN(TRIM(E261))=0, "",VLOOKUP("Project Name",config!A:B,2,FALSE))</f>
        <v/>
      </c>
      <c r="N261" t="str">
        <f>IF(LEN(TRIM(E261))=0, "",VLOOKUP("Center Name",config!A:B,2,FALSE))</f>
        <v/>
      </c>
      <c r="O261" s="7" t="str">
        <f>IF(LEN(TRIM(E261))=0,"",VLOOKUP("Shipment Date",config!A:B,2,FALSE))</f>
        <v/>
      </c>
      <c r="P261" s="7" t="str">
        <f t="shared" si="17"/>
        <v/>
      </c>
      <c r="Q261" s="7" t="str">
        <f>IF(LEN(TRIM(D261))=0,"",GetConfigParameterValue("Collection Site"))</f>
        <v/>
      </c>
      <c r="R261" t="str">
        <f>IF(LEN(TRIM(E261))=0, "", GetManifestComments(H261))</f>
        <v/>
      </c>
      <c r="S261" t="str">
        <f>IF(LEN(TRIM(E261))=0,"",IF(ISERROR(VLOOKUP(E261,'Manifest MDB data'!A:A,1,FALSE)),"OK","EXISTS!!!"))</f>
        <v/>
      </c>
    </row>
    <row r="262" spans="4:19" x14ac:dyDescent="0.25">
      <c r="D262" t="str">
        <f t="shared" si="18"/>
        <v/>
      </c>
      <c r="E262" t="str">
        <f t="shared" si="19"/>
        <v/>
      </c>
      <c r="F262" t="str">
        <f t="shared" si="20"/>
        <v/>
      </c>
      <c r="G262" t="str">
        <f>IF(LEN(TRIM(E262))=0, "", GetSampleTissueBySpecimenPrep(H262))</f>
        <v/>
      </c>
      <c r="H262" t="str">
        <f>IF(LEN(TRIM(E262))=0, "", GetSpecimenPrepName())</f>
        <v/>
      </c>
      <c r="I262" t="str">
        <f>IF(LEN(TRIM(E262))=0, "", GetSampleVolumeBySpecimenPrep(H262))</f>
        <v/>
      </c>
      <c r="L262" t="str">
        <f>IF(LEN(TRIM(E262))=0,"",VLOOKUP("Manifest Id",config!A:B,2,FALSE))</f>
        <v/>
      </c>
      <c r="M262" t="str">
        <f>IF(LEN(TRIM(E262))=0, "",VLOOKUP("Project Name",config!A:B,2,FALSE))</f>
        <v/>
      </c>
      <c r="N262" t="str">
        <f>IF(LEN(TRIM(E262))=0, "",VLOOKUP("Center Name",config!A:B,2,FALSE))</f>
        <v/>
      </c>
      <c r="O262" s="7" t="str">
        <f>IF(LEN(TRIM(E262))=0,"",VLOOKUP("Shipment Date",config!A:B,2,FALSE))</f>
        <v/>
      </c>
      <c r="P262" s="7" t="str">
        <f t="shared" si="17"/>
        <v/>
      </c>
      <c r="Q262" s="7" t="str">
        <f>IF(LEN(TRIM(D262))=0,"",GetConfigParameterValue("Collection Site"))</f>
        <v/>
      </c>
      <c r="R262" t="str">
        <f>IF(LEN(TRIM(E262))=0, "", GetManifestComments(H262))</f>
        <v/>
      </c>
      <c r="S262" t="str">
        <f>IF(LEN(TRIM(E262))=0,"",IF(ISERROR(VLOOKUP(E262,'Manifest MDB data'!A:A,1,FALSE)),"OK","EXISTS!!!"))</f>
        <v/>
      </c>
    </row>
    <row r="263" spans="4:19" x14ac:dyDescent="0.25">
      <c r="D263" t="str">
        <f t="shared" si="18"/>
        <v/>
      </c>
      <c r="E263" t="str">
        <f t="shared" si="19"/>
        <v/>
      </c>
      <c r="F263" t="str">
        <f t="shared" si="20"/>
        <v/>
      </c>
      <c r="G263" t="str">
        <f>IF(LEN(TRIM(E263))=0, "", GetSampleTissueBySpecimenPrep(H263))</f>
        <v/>
      </c>
      <c r="H263" t="str">
        <f>IF(LEN(TRIM(E263))=0, "", GetSpecimenPrepName())</f>
        <v/>
      </c>
      <c r="I263" t="str">
        <f>IF(LEN(TRIM(E263))=0, "", GetSampleVolumeBySpecimenPrep(H263))</f>
        <v/>
      </c>
      <c r="L263" t="str">
        <f>IF(LEN(TRIM(E263))=0,"",VLOOKUP("Manifest Id",config!A:B,2,FALSE))</f>
        <v/>
      </c>
      <c r="M263" t="str">
        <f>IF(LEN(TRIM(E263))=0, "",VLOOKUP("Project Name",config!A:B,2,FALSE))</f>
        <v/>
      </c>
      <c r="N263" t="str">
        <f>IF(LEN(TRIM(E263))=0, "",VLOOKUP("Center Name",config!A:B,2,FALSE))</f>
        <v/>
      </c>
      <c r="O263" s="7" t="str">
        <f>IF(LEN(TRIM(E263))=0,"",VLOOKUP("Shipment Date",config!A:B,2,FALSE))</f>
        <v/>
      </c>
      <c r="P263" s="7" t="str">
        <f t="shared" si="17"/>
        <v/>
      </c>
      <c r="Q263" s="7" t="str">
        <f>IF(LEN(TRIM(D263))=0,"",GetConfigParameterValue("Collection Site"))</f>
        <v/>
      </c>
      <c r="R263" t="str">
        <f>IF(LEN(TRIM(E263))=0, "", GetManifestComments(H263))</f>
        <v/>
      </c>
      <c r="S263" t="str">
        <f>IF(LEN(TRIM(E263))=0,"",IF(ISERROR(VLOOKUP(E263,'Manifest MDB data'!A:A,1,FALSE)),"OK","EXISTS!!!"))</f>
        <v/>
      </c>
    </row>
    <row r="264" spans="4:19" x14ac:dyDescent="0.25">
      <c r="D264" t="str">
        <f t="shared" si="18"/>
        <v/>
      </c>
      <c r="E264" t="str">
        <f t="shared" si="19"/>
        <v/>
      </c>
      <c r="F264" t="str">
        <f t="shared" si="20"/>
        <v/>
      </c>
      <c r="G264" t="str">
        <f>IF(LEN(TRIM(E264))=0, "", GetSampleTissueBySpecimenPrep(H264))</f>
        <v/>
      </c>
      <c r="H264" t="str">
        <f>IF(LEN(TRIM(E264))=0, "", GetSpecimenPrepName())</f>
        <v/>
      </c>
      <c r="I264" t="str">
        <f>IF(LEN(TRIM(E264))=0, "", GetSampleVolumeBySpecimenPrep(H264))</f>
        <v/>
      </c>
      <c r="L264" t="str">
        <f>IF(LEN(TRIM(E264))=0,"",VLOOKUP("Manifest Id",config!A:B,2,FALSE))</f>
        <v/>
      </c>
      <c r="M264" t="str">
        <f>IF(LEN(TRIM(E264))=0, "",VLOOKUP("Project Name",config!A:B,2,FALSE))</f>
        <v/>
      </c>
      <c r="N264" t="str">
        <f>IF(LEN(TRIM(E264))=0, "",VLOOKUP("Center Name",config!A:B,2,FALSE))</f>
        <v/>
      </c>
      <c r="O264" s="7" t="str">
        <f>IF(LEN(TRIM(E264))=0,"",VLOOKUP("Shipment Date",config!A:B,2,FALSE))</f>
        <v/>
      </c>
      <c r="P264" s="7" t="str">
        <f t="shared" si="17"/>
        <v/>
      </c>
      <c r="Q264" s="7" t="str">
        <f>IF(LEN(TRIM(D264))=0,"",GetConfigParameterValue("Collection Site"))</f>
        <v/>
      </c>
      <c r="R264" t="str">
        <f>IF(LEN(TRIM(E264))=0, "", GetManifestComments(H264))</f>
        <v/>
      </c>
      <c r="S264" t="str">
        <f>IF(LEN(TRIM(E264))=0,"",IF(ISERROR(VLOOKUP(E264,'Manifest MDB data'!A:A,1,FALSE)),"OK","EXISTS!!!"))</f>
        <v/>
      </c>
    </row>
    <row r="265" spans="4:19" x14ac:dyDescent="0.25">
      <c r="D265" t="str">
        <f t="shared" si="18"/>
        <v/>
      </c>
      <c r="E265" t="str">
        <f t="shared" si="19"/>
        <v/>
      </c>
      <c r="F265" t="str">
        <f t="shared" si="20"/>
        <v/>
      </c>
      <c r="G265" t="str">
        <f>IF(LEN(TRIM(E265))=0, "", GetSampleTissueBySpecimenPrep(H265))</f>
        <v/>
      </c>
      <c r="H265" t="str">
        <f>IF(LEN(TRIM(E265))=0, "", GetSpecimenPrepName())</f>
        <v/>
      </c>
      <c r="I265" t="str">
        <f>IF(LEN(TRIM(E265))=0, "", GetSampleVolumeBySpecimenPrep(H265))</f>
        <v/>
      </c>
      <c r="L265" t="str">
        <f>IF(LEN(TRIM(E265))=0,"",VLOOKUP("Manifest Id",config!A:B,2,FALSE))</f>
        <v/>
      </c>
      <c r="M265" t="str">
        <f>IF(LEN(TRIM(E265))=0, "",VLOOKUP("Project Name",config!A:B,2,FALSE))</f>
        <v/>
      </c>
      <c r="N265" t="str">
        <f>IF(LEN(TRIM(E265))=0, "",VLOOKUP("Center Name",config!A:B,2,FALSE))</f>
        <v/>
      </c>
      <c r="O265" s="7" t="str">
        <f>IF(LEN(TRIM(E265))=0,"",VLOOKUP("Shipment Date",config!A:B,2,FALSE))</f>
        <v/>
      </c>
      <c r="P265" s="7" t="str">
        <f t="shared" si="17"/>
        <v/>
      </c>
      <c r="Q265" s="7" t="str">
        <f>IF(LEN(TRIM(D265))=0,"",GetConfigParameterValue("Collection Site"))</f>
        <v/>
      </c>
      <c r="R265" t="str">
        <f>IF(LEN(TRIM(E265))=0, "", GetManifestComments(H265))</f>
        <v/>
      </c>
      <c r="S265" t="str">
        <f>IF(LEN(TRIM(E265))=0,"",IF(ISERROR(VLOOKUP(E265,'Manifest MDB data'!A:A,1,FALSE)),"OK","EXISTS!!!"))</f>
        <v/>
      </c>
    </row>
    <row r="266" spans="4:19" x14ac:dyDescent="0.25">
      <c r="D266" t="str">
        <f t="shared" si="18"/>
        <v/>
      </c>
      <c r="E266" t="str">
        <f t="shared" si="19"/>
        <v/>
      </c>
      <c r="F266" t="str">
        <f t="shared" si="20"/>
        <v/>
      </c>
      <c r="G266" t="str">
        <f>IF(LEN(TRIM(E266))=0, "", GetSampleTissueBySpecimenPrep(H266))</f>
        <v/>
      </c>
      <c r="H266" t="str">
        <f>IF(LEN(TRIM(E266))=0, "", GetSpecimenPrepName())</f>
        <v/>
      </c>
      <c r="I266" t="str">
        <f>IF(LEN(TRIM(E266))=0, "", GetSampleVolumeBySpecimenPrep(H266))</f>
        <v/>
      </c>
      <c r="L266" t="str">
        <f>IF(LEN(TRIM(E266))=0,"",VLOOKUP("Manifest Id",config!A:B,2,FALSE))</f>
        <v/>
      </c>
      <c r="M266" t="str">
        <f>IF(LEN(TRIM(E266))=0, "",VLOOKUP("Project Name",config!A:B,2,FALSE))</f>
        <v/>
      </c>
      <c r="N266" t="str">
        <f>IF(LEN(TRIM(E266))=0, "",VLOOKUP("Center Name",config!A:B,2,FALSE))</f>
        <v/>
      </c>
      <c r="O266" s="7" t="str">
        <f>IF(LEN(TRIM(E266))=0,"",VLOOKUP("Shipment Date",config!A:B,2,FALSE))</f>
        <v/>
      </c>
      <c r="P266" s="7" t="str">
        <f t="shared" si="17"/>
        <v/>
      </c>
      <c r="Q266" s="7" t="str">
        <f>IF(LEN(TRIM(D266))=0,"",GetConfigParameterValue("Collection Site"))</f>
        <v/>
      </c>
      <c r="R266" t="str">
        <f>IF(LEN(TRIM(E266))=0, "", GetManifestComments(H266))</f>
        <v/>
      </c>
      <c r="S266" t="str">
        <f>IF(LEN(TRIM(E266))=0,"",IF(ISERROR(VLOOKUP(E266,'Manifest MDB data'!A:A,1,FALSE)),"OK","EXISTS!!!"))</f>
        <v/>
      </c>
    </row>
    <row r="267" spans="4:19" x14ac:dyDescent="0.25">
      <c r="D267" t="str">
        <f t="shared" si="18"/>
        <v/>
      </c>
      <c r="E267" t="str">
        <f t="shared" si="19"/>
        <v/>
      </c>
      <c r="F267" t="str">
        <f t="shared" si="20"/>
        <v/>
      </c>
      <c r="G267" t="str">
        <f>IF(LEN(TRIM(E267))=0, "", GetSampleTissueBySpecimenPrep(H267))</f>
        <v/>
      </c>
      <c r="H267" t="str">
        <f>IF(LEN(TRIM(E267))=0, "", GetSpecimenPrepName())</f>
        <v/>
      </c>
      <c r="I267" t="str">
        <f>IF(LEN(TRIM(E267))=0, "", GetSampleVolumeBySpecimenPrep(H267))</f>
        <v/>
      </c>
      <c r="L267" t="str">
        <f>IF(LEN(TRIM(E267))=0,"",VLOOKUP("Manifest Id",config!A:B,2,FALSE))</f>
        <v/>
      </c>
      <c r="M267" t="str">
        <f>IF(LEN(TRIM(E267))=0, "",VLOOKUP("Project Name",config!A:B,2,FALSE))</f>
        <v/>
      </c>
      <c r="N267" t="str">
        <f>IF(LEN(TRIM(E267))=0, "",VLOOKUP("Center Name",config!A:B,2,FALSE))</f>
        <v/>
      </c>
      <c r="O267" s="7" t="str">
        <f>IF(LEN(TRIM(E267))=0,"",VLOOKUP("Shipment Date",config!A:B,2,FALSE))</f>
        <v/>
      </c>
      <c r="P267" s="7" t="str">
        <f t="shared" si="17"/>
        <v/>
      </c>
      <c r="Q267" s="7" t="str">
        <f>IF(LEN(TRIM(D267))=0,"",GetConfigParameterValue("Collection Site"))</f>
        <v/>
      </c>
      <c r="R267" t="str">
        <f>IF(LEN(TRIM(E267))=0, "", GetManifestComments(H267))</f>
        <v/>
      </c>
      <c r="S267" t="str">
        <f>IF(LEN(TRIM(E267))=0,"",IF(ISERROR(VLOOKUP(E267,'Manifest MDB data'!A:A,1,FALSE)),"OK","EXISTS!!!"))</f>
        <v/>
      </c>
    </row>
    <row r="268" spans="4:19" x14ac:dyDescent="0.25">
      <c r="D268" t="str">
        <f t="shared" si="18"/>
        <v/>
      </c>
      <c r="E268" t="str">
        <f t="shared" si="19"/>
        <v/>
      </c>
      <c r="F268" t="str">
        <f t="shared" si="20"/>
        <v/>
      </c>
      <c r="G268" t="str">
        <f>IF(LEN(TRIM(E268))=0, "", GetSampleTissueBySpecimenPrep(H268))</f>
        <v/>
      </c>
      <c r="H268" t="str">
        <f>IF(LEN(TRIM(E268))=0, "", GetSpecimenPrepName())</f>
        <v/>
      </c>
      <c r="I268" t="str">
        <f>IF(LEN(TRIM(E268))=0, "", GetSampleVolumeBySpecimenPrep(H268))</f>
        <v/>
      </c>
      <c r="L268" t="str">
        <f>IF(LEN(TRIM(E268))=0,"",VLOOKUP("Manifest Id",config!A:B,2,FALSE))</f>
        <v/>
      </c>
      <c r="M268" t="str">
        <f>IF(LEN(TRIM(E268))=0, "",VLOOKUP("Project Name",config!A:B,2,FALSE))</f>
        <v/>
      </c>
      <c r="N268" t="str">
        <f>IF(LEN(TRIM(E268))=0, "",VLOOKUP("Center Name",config!A:B,2,FALSE))</f>
        <v/>
      </c>
      <c r="O268" s="7" t="str">
        <f>IF(LEN(TRIM(E268))=0,"",VLOOKUP("Shipment Date",config!A:B,2,FALSE))</f>
        <v/>
      </c>
      <c r="P268" s="7" t="str">
        <f t="shared" si="17"/>
        <v/>
      </c>
      <c r="Q268" s="7" t="str">
        <f>IF(LEN(TRIM(D268))=0,"",GetConfigParameterValue("Collection Site"))</f>
        <v/>
      </c>
      <c r="R268" t="str">
        <f>IF(LEN(TRIM(E268))=0, "", GetManifestComments(H268))</f>
        <v/>
      </c>
      <c r="S268" t="str">
        <f>IF(LEN(TRIM(E268))=0,"",IF(ISERROR(VLOOKUP(E268,'Manifest MDB data'!A:A,1,FALSE)),"OK","EXISTS!!!"))</f>
        <v/>
      </c>
    </row>
    <row r="269" spans="4:19" x14ac:dyDescent="0.25">
      <c r="D269" t="str">
        <f t="shared" si="18"/>
        <v/>
      </c>
      <c r="E269" t="str">
        <f t="shared" si="19"/>
        <v/>
      </c>
      <c r="F269" t="str">
        <f t="shared" si="20"/>
        <v/>
      </c>
      <c r="G269" t="str">
        <f>IF(LEN(TRIM(E269))=0, "", GetSampleTissueBySpecimenPrep(H269))</f>
        <v/>
      </c>
      <c r="H269" t="str">
        <f>IF(LEN(TRIM(E269))=0, "", GetSpecimenPrepName())</f>
        <v/>
      </c>
      <c r="I269" t="str">
        <f>IF(LEN(TRIM(E269))=0, "", GetSampleVolumeBySpecimenPrep(H269))</f>
        <v/>
      </c>
      <c r="L269" t="str">
        <f>IF(LEN(TRIM(E269))=0,"",VLOOKUP("Manifest Id",config!A:B,2,FALSE))</f>
        <v/>
      </c>
      <c r="M269" t="str">
        <f>IF(LEN(TRIM(E269))=0, "",VLOOKUP("Project Name",config!A:B,2,FALSE))</f>
        <v/>
      </c>
      <c r="N269" t="str">
        <f>IF(LEN(TRIM(E269))=0, "",VLOOKUP("Center Name",config!A:B,2,FALSE))</f>
        <v/>
      </c>
      <c r="O269" s="7" t="str">
        <f>IF(LEN(TRIM(E269))=0,"",VLOOKUP("Shipment Date",config!A:B,2,FALSE))</f>
        <v/>
      </c>
      <c r="P269" s="7" t="str">
        <f t="shared" si="17"/>
        <v/>
      </c>
      <c r="Q269" s="7" t="str">
        <f>IF(LEN(TRIM(D269))=0,"",GetConfigParameterValue("Collection Site"))</f>
        <v/>
      </c>
      <c r="R269" t="str">
        <f>IF(LEN(TRIM(E269))=0, "", GetManifestComments(H269))</f>
        <v/>
      </c>
      <c r="S269" t="str">
        <f>IF(LEN(TRIM(E269))=0,"",IF(ISERROR(VLOOKUP(E269,'Manifest MDB data'!A:A,1,FALSE)),"OK","EXISTS!!!"))</f>
        <v/>
      </c>
    </row>
    <row r="270" spans="4:19" x14ac:dyDescent="0.25">
      <c r="D270" t="str">
        <f t="shared" si="18"/>
        <v/>
      </c>
      <c r="E270" t="str">
        <f t="shared" si="19"/>
        <v/>
      </c>
      <c r="F270" t="str">
        <f t="shared" si="20"/>
        <v/>
      </c>
      <c r="G270" t="str">
        <f>IF(LEN(TRIM(E270))=0, "", GetSampleTissueBySpecimenPrep(H270))</f>
        <v/>
      </c>
      <c r="H270" t="str">
        <f>IF(LEN(TRIM(E270))=0, "", GetSpecimenPrepName())</f>
        <v/>
      </c>
      <c r="I270" t="str">
        <f>IF(LEN(TRIM(E270))=0, "", GetSampleVolumeBySpecimenPrep(H270))</f>
        <v/>
      </c>
      <c r="L270" t="str">
        <f>IF(LEN(TRIM(E270))=0,"",VLOOKUP("Manifest Id",config!A:B,2,FALSE))</f>
        <v/>
      </c>
      <c r="M270" t="str">
        <f>IF(LEN(TRIM(E270))=0, "",VLOOKUP("Project Name",config!A:B,2,FALSE))</f>
        <v/>
      </c>
      <c r="N270" t="str">
        <f>IF(LEN(TRIM(E270))=0, "",VLOOKUP("Center Name",config!A:B,2,FALSE))</f>
        <v/>
      </c>
      <c r="O270" s="7" t="str">
        <f>IF(LEN(TRIM(E270))=0,"",VLOOKUP("Shipment Date",config!A:B,2,FALSE))</f>
        <v/>
      </c>
      <c r="P270" s="7" t="str">
        <f t="shared" si="17"/>
        <v/>
      </c>
      <c r="Q270" s="7" t="str">
        <f>IF(LEN(TRIM(D270))=0,"",GetConfigParameterValue("Collection Site"))</f>
        <v/>
      </c>
      <c r="R270" t="str">
        <f>IF(LEN(TRIM(E270))=0, "", GetManifestComments(H270))</f>
        <v/>
      </c>
      <c r="S270" t="str">
        <f>IF(LEN(TRIM(E270))=0,"",IF(ISERROR(VLOOKUP(E270,'Manifest MDB data'!A:A,1,FALSE)),"OK","EXISTS!!!"))</f>
        <v/>
      </c>
    </row>
    <row r="271" spans="4:19" x14ac:dyDescent="0.25">
      <c r="D271" t="str">
        <f t="shared" si="18"/>
        <v/>
      </c>
      <c r="E271" t="str">
        <f t="shared" si="19"/>
        <v/>
      </c>
      <c r="F271" t="str">
        <f t="shared" si="20"/>
        <v/>
      </c>
      <c r="G271" t="str">
        <f>IF(LEN(TRIM(E271))=0, "", GetSampleTissueBySpecimenPrep(H271))</f>
        <v/>
      </c>
      <c r="H271" t="str">
        <f>IF(LEN(TRIM(E271))=0, "", GetSpecimenPrepName())</f>
        <v/>
      </c>
      <c r="I271" t="str">
        <f>IF(LEN(TRIM(E271))=0, "", GetSampleVolumeBySpecimenPrep(H271))</f>
        <v/>
      </c>
      <c r="L271" t="str">
        <f>IF(LEN(TRIM(E271))=0,"",VLOOKUP("Manifest Id",config!A:B,2,FALSE))</f>
        <v/>
      </c>
      <c r="M271" t="str">
        <f>IF(LEN(TRIM(E271))=0, "",VLOOKUP("Project Name",config!A:B,2,FALSE))</f>
        <v/>
      </c>
      <c r="N271" t="str">
        <f>IF(LEN(TRIM(E271))=0, "",VLOOKUP("Center Name",config!A:B,2,FALSE))</f>
        <v/>
      </c>
      <c r="O271" s="7" t="str">
        <f>IF(LEN(TRIM(E271))=0,"",VLOOKUP("Shipment Date",config!A:B,2,FALSE))</f>
        <v/>
      </c>
      <c r="P271" s="7" t="str">
        <f t="shared" si="17"/>
        <v/>
      </c>
      <c r="Q271" s="7" t="str">
        <f>IF(LEN(TRIM(D271))=0,"",GetConfigParameterValue("Collection Site"))</f>
        <v/>
      </c>
      <c r="R271" t="str">
        <f>IF(LEN(TRIM(E271))=0, "", GetManifestComments(H271))</f>
        <v/>
      </c>
      <c r="S271" t="str">
        <f>IF(LEN(TRIM(E271))=0,"",IF(ISERROR(VLOOKUP(E271,'Manifest MDB data'!A:A,1,FALSE)),"OK","EXISTS!!!"))</f>
        <v/>
      </c>
    </row>
    <row r="272" spans="4:19" x14ac:dyDescent="0.25">
      <c r="D272" t="str">
        <f t="shared" si="18"/>
        <v/>
      </c>
      <c r="E272" t="str">
        <f t="shared" si="19"/>
        <v/>
      </c>
      <c r="F272" t="str">
        <f t="shared" si="20"/>
        <v/>
      </c>
      <c r="G272" t="str">
        <f>IF(LEN(TRIM(E272))=0, "", GetSampleTissueBySpecimenPrep(H272))</f>
        <v/>
      </c>
      <c r="H272" t="str">
        <f>IF(LEN(TRIM(E272))=0, "", GetSpecimenPrepName())</f>
        <v/>
      </c>
      <c r="I272" t="str">
        <f>IF(LEN(TRIM(E272))=0, "", GetSampleVolumeBySpecimenPrep(H272))</f>
        <v/>
      </c>
      <c r="L272" t="str">
        <f>IF(LEN(TRIM(E272))=0,"",VLOOKUP("Manifest Id",config!A:B,2,FALSE))</f>
        <v/>
      </c>
      <c r="M272" t="str">
        <f>IF(LEN(TRIM(E272))=0, "",VLOOKUP("Project Name",config!A:B,2,FALSE))</f>
        <v/>
      </c>
      <c r="N272" t="str">
        <f>IF(LEN(TRIM(E272))=0, "",VLOOKUP("Center Name",config!A:B,2,FALSE))</f>
        <v/>
      </c>
      <c r="O272" s="7" t="str">
        <f>IF(LEN(TRIM(E272))=0,"",VLOOKUP("Shipment Date",config!A:B,2,FALSE))</f>
        <v/>
      </c>
      <c r="P272" s="7" t="str">
        <f t="shared" si="17"/>
        <v/>
      </c>
      <c r="Q272" s="7" t="str">
        <f>IF(LEN(TRIM(D272))=0,"",GetConfigParameterValue("Collection Site"))</f>
        <v/>
      </c>
      <c r="R272" t="str">
        <f>IF(LEN(TRIM(E272))=0, "", GetManifestComments(H272))</f>
        <v/>
      </c>
      <c r="S272" t="str">
        <f>IF(LEN(TRIM(E272))=0,"",IF(ISERROR(VLOOKUP(E272,'Manifest MDB data'!A:A,1,FALSE)),"OK","EXISTS!!!"))</f>
        <v/>
      </c>
    </row>
    <row r="273" spans="4:19" x14ac:dyDescent="0.25">
      <c r="D273" t="str">
        <f t="shared" si="18"/>
        <v/>
      </c>
      <c r="E273" t="str">
        <f t="shared" si="19"/>
        <v/>
      </c>
      <c r="F273" t="str">
        <f t="shared" si="20"/>
        <v/>
      </c>
      <c r="G273" t="str">
        <f>IF(LEN(TRIM(E273))=0, "", GetSampleTissueBySpecimenPrep(H273))</f>
        <v/>
      </c>
      <c r="H273" t="str">
        <f>IF(LEN(TRIM(E273))=0, "", GetSpecimenPrepName())</f>
        <v/>
      </c>
      <c r="I273" t="str">
        <f>IF(LEN(TRIM(E273))=0, "", GetSampleVolumeBySpecimenPrep(H273))</f>
        <v/>
      </c>
      <c r="L273" t="str">
        <f>IF(LEN(TRIM(E273))=0,"",VLOOKUP("Manifest Id",config!A:B,2,FALSE))</f>
        <v/>
      </c>
      <c r="M273" t="str">
        <f>IF(LEN(TRIM(E273))=0, "",VLOOKUP("Project Name",config!A:B,2,FALSE))</f>
        <v/>
      </c>
      <c r="N273" t="str">
        <f>IF(LEN(TRIM(E273))=0, "",VLOOKUP("Center Name",config!A:B,2,FALSE))</f>
        <v/>
      </c>
      <c r="O273" s="7" t="str">
        <f>IF(LEN(TRIM(E273))=0,"",VLOOKUP("Shipment Date",config!A:B,2,FALSE))</f>
        <v/>
      </c>
      <c r="P273" s="7" t="str">
        <f t="shared" si="17"/>
        <v/>
      </c>
      <c r="Q273" s="7" t="str">
        <f>IF(LEN(TRIM(D273))=0,"",GetConfigParameterValue("Collection Site"))</f>
        <v/>
      </c>
      <c r="R273" t="str">
        <f>IF(LEN(TRIM(E273))=0, "", GetManifestComments(H273))</f>
        <v/>
      </c>
      <c r="S273" t="str">
        <f>IF(LEN(TRIM(E273))=0,"",IF(ISERROR(VLOOKUP(E273,'Manifest MDB data'!A:A,1,FALSE)),"OK","EXISTS!!!"))</f>
        <v/>
      </c>
    </row>
    <row r="274" spans="4:19" x14ac:dyDescent="0.25">
      <c r="D274" t="str">
        <f t="shared" si="18"/>
        <v/>
      </c>
      <c r="E274" t="str">
        <f t="shared" si="19"/>
        <v/>
      </c>
      <c r="F274" t="str">
        <f t="shared" si="20"/>
        <v/>
      </c>
      <c r="G274" t="str">
        <f>IF(LEN(TRIM(E274))=0, "", GetSampleTissueBySpecimenPrep(H274))</f>
        <v/>
      </c>
      <c r="H274" t="str">
        <f>IF(LEN(TRIM(E274))=0, "", GetSpecimenPrepName())</f>
        <v/>
      </c>
      <c r="I274" t="str">
        <f>IF(LEN(TRIM(E274))=0, "", GetSampleVolumeBySpecimenPrep(H274))</f>
        <v/>
      </c>
      <c r="L274" t="str">
        <f>IF(LEN(TRIM(E274))=0,"",VLOOKUP("Manifest Id",config!A:B,2,FALSE))</f>
        <v/>
      </c>
      <c r="M274" t="str">
        <f>IF(LEN(TRIM(E274))=0, "",VLOOKUP("Project Name",config!A:B,2,FALSE))</f>
        <v/>
      </c>
      <c r="N274" t="str">
        <f>IF(LEN(TRIM(E274))=0, "",VLOOKUP("Center Name",config!A:B,2,FALSE))</f>
        <v/>
      </c>
      <c r="O274" s="7" t="str">
        <f>IF(LEN(TRIM(E274))=0,"",VLOOKUP("Shipment Date",config!A:B,2,FALSE))</f>
        <v/>
      </c>
      <c r="P274" s="7" t="str">
        <f t="shared" si="17"/>
        <v/>
      </c>
      <c r="Q274" s="7" t="str">
        <f>IF(LEN(TRIM(D274))=0,"",GetConfigParameterValue("Collection Site"))</f>
        <v/>
      </c>
      <c r="R274" t="str">
        <f>IF(LEN(TRIM(E274))=0, "", GetManifestComments(H274))</f>
        <v/>
      </c>
      <c r="S274" t="str">
        <f>IF(LEN(TRIM(E274))=0,"",IF(ISERROR(VLOOKUP(E274,'Manifest MDB data'!A:A,1,FALSE)),"OK","EXISTS!!!"))</f>
        <v/>
      </c>
    </row>
    <row r="275" spans="4:19" x14ac:dyDescent="0.25">
      <c r="D275" t="str">
        <f t="shared" si="18"/>
        <v/>
      </c>
      <c r="E275" t="str">
        <f t="shared" si="19"/>
        <v/>
      </c>
      <c r="F275" t="str">
        <f t="shared" si="20"/>
        <v/>
      </c>
      <c r="G275" t="str">
        <f>IF(LEN(TRIM(E275))=0, "", GetSampleTissueBySpecimenPrep(H275))</f>
        <v/>
      </c>
      <c r="H275" t="str">
        <f>IF(LEN(TRIM(E275))=0, "", GetSpecimenPrepName())</f>
        <v/>
      </c>
      <c r="I275" t="str">
        <f>IF(LEN(TRIM(E275))=0, "", GetSampleVolumeBySpecimenPrep(H275))</f>
        <v/>
      </c>
      <c r="L275" t="str">
        <f>IF(LEN(TRIM(E275))=0,"",VLOOKUP("Manifest Id",config!A:B,2,FALSE))</f>
        <v/>
      </c>
      <c r="M275" t="str">
        <f>IF(LEN(TRIM(E275))=0, "",VLOOKUP("Project Name",config!A:B,2,FALSE))</f>
        <v/>
      </c>
      <c r="N275" t="str">
        <f>IF(LEN(TRIM(E275))=0, "",VLOOKUP("Center Name",config!A:B,2,FALSE))</f>
        <v/>
      </c>
      <c r="O275" s="7" t="str">
        <f>IF(LEN(TRIM(E275))=0,"",VLOOKUP("Shipment Date",config!A:B,2,FALSE))</f>
        <v/>
      </c>
      <c r="P275" s="7" t="str">
        <f t="shared" si="17"/>
        <v/>
      </c>
      <c r="Q275" s="7" t="str">
        <f>IF(LEN(TRIM(D275))=0,"",GetConfigParameterValue("Collection Site"))</f>
        <v/>
      </c>
      <c r="R275" t="str">
        <f>IF(LEN(TRIM(E275))=0, "", GetManifestComments(H275))</f>
        <v/>
      </c>
      <c r="S275" t="str">
        <f>IF(LEN(TRIM(E275))=0,"",IF(ISERROR(VLOOKUP(E275,'Manifest MDB data'!A:A,1,FALSE)),"OK","EXISTS!!!"))</f>
        <v/>
      </c>
    </row>
    <row r="276" spans="4:19" x14ac:dyDescent="0.25">
      <c r="D276" t="str">
        <f t="shared" si="18"/>
        <v/>
      </c>
      <c r="E276" t="str">
        <f t="shared" si="19"/>
        <v/>
      </c>
      <c r="F276" t="str">
        <f t="shared" si="20"/>
        <v/>
      </c>
      <c r="G276" t="str">
        <f>IF(LEN(TRIM(E276))=0, "", GetSampleTissueBySpecimenPrep(H276))</f>
        <v/>
      </c>
      <c r="H276" t="str">
        <f>IF(LEN(TRIM(E276))=0, "", GetSpecimenPrepName())</f>
        <v/>
      </c>
      <c r="I276" t="str">
        <f>IF(LEN(TRIM(E276))=0, "", GetSampleVolumeBySpecimenPrep(H276))</f>
        <v/>
      </c>
      <c r="L276" t="str">
        <f>IF(LEN(TRIM(E276))=0,"",VLOOKUP("Manifest Id",config!A:B,2,FALSE))</f>
        <v/>
      </c>
      <c r="M276" t="str">
        <f>IF(LEN(TRIM(E276))=0, "",VLOOKUP("Project Name",config!A:B,2,FALSE))</f>
        <v/>
      </c>
      <c r="N276" t="str">
        <f>IF(LEN(TRIM(E276))=0, "",VLOOKUP("Center Name",config!A:B,2,FALSE))</f>
        <v/>
      </c>
      <c r="O276" s="7" t="str">
        <f>IF(LEN(TRIM(E276))=0,"",VLOOKUP("Shipment Date",config!A:B,2,FALSE))</f>
        <v/>
      </c>
      <c r="P276" s="7" t="str">
        <f t="shared" si="17"/>
        <v/>
      </c>
      <c r="Q276" s="7" t="str">
        <f>IF(LEN(TRIM(D276))=0,"",GetConfigParameterValue("Collection Site"))</f>
        <v/>
      </c>
      <c r="R276" t="str">
        <f>IF(LEN(TRIM(E276))=0, "", GetManifestComments(H276))</f>
        <v/>
      </c>
      <c r="S276" t="str">
        <f>IF(LEN(TRIM(E276))=0,"",IF(ISERROR(VLOOKUP(E276,'Manifest MDB data'!A:A,1,FALSE)),"OK","EXISTS!!!"))</f>
        <v/>
      </c>
    </row>
    <row r="277" spans="4:19" x14ac:dyDescent="0.25">
      <c r="D277" t="str">
        <f t="shared" si="18"/>
        <v/>
      </c>
      <c r="E277" t="str">
        <f t="shared" si="19"/>
        <v/>
      </c>
      <c r="F277" t="str">
        <f t="shared" si="20"/>
        <v/>
      </c>
      <c r="G277" t="str">
        <f>IF(LEN(TRIM(E277))=0, "", GetSampleTissueBySpecimenPrep(H277))</f>
        <v/>
      </c>
      <c r="H277" t="str">
        <f>IF(LEN(TRIM(E277))=0, "", GetSpecimenPrepName())</f>
        <v/>
      </c>
      <c r="I277" t="str">
        <f>IF(LEN(TRIM(E277))=0, "", GetSampleVolumeBySpecimenPrep(H277))</f>
        <v/>
      </c>
      <c r="L277" t="str">
        <f>IF(LEN(TRIM(E277))=0,"",VLOOKUP("Manifest Id",config!A:B,2,FALSE))</f>
        <v/>
      </c>
      <c r="M277" t="str">
        <f>IF(LEN(TRIM(E277))=0, "",VLOOKUP("Project Name",config!A:B,2,FALSE))</f>
        <v/>
      </c>
      <c r="N277" t="str">
        <f>IF(LEN(TRIM(E277))=0, "",VLOOKUP("Center Name",config!A:B,2,FALSE))</f>
        <v/>
      </c>
      <c r="O277" s="7" t="str">
        <f>IF(LEN(TRIM(E277))=0,"",VLOOKUP("Shipment Date",config!A:B,2,FALSE))</f>
        <v/>
      </c>
      <c r="P277" s="7" t="str">
        <f t="shared" si="17"/>
        <v/>
      </c>
      <c r="Q277" s="7" t="str">
        <f>IF(LEN(TRIM(D277))=0,"",GetConfigParameterValue("Collection Site"))</f>
        <v/>
      </c>
      <c r="R277" t="str">
        <f>IF(LEN(TRIM(E277))=0, "", GetManifestComments(H277))</f>
        <v/>
      </c>
      <c r="S277" t="str">
        <f>IF(LEN(TRIM(E277))=0,"",IF(ISERROR(VLOOKUP(E277,'Manifest MDB data'!A:A,1,FALSE)),"OK","EXISTS!!!"))</f>
        <v/>
      </c>
    </row>
    <row r="278" spans="4:19" x14ac:dyDescent="0.25">
      <c r="D278" t="str">
        <f t="shared" si="18"/>
        <v/>
      </c>
      <c r="E278" t="str">
        <f t="shared" si="19"/>
        <v/>
      </c>
      <c r="F278" t="str">
        <f t="shared" si="20"/>
        <v/>
      </c>
      <c r="G278" t="str">
        <f>IF(LEN(TRIM(E278))=0, "", GetSampleTissueBySpecimenPrep(H278))</f>
        <v/>
      </c>
      <c r="H278" t="str">
        <f>IF(LEN(TRIM(E278))=0, "", GetSpecimenPrepName())</f>
        <v/>
      </c>
      <c r="I278" t="str">
        <f>IF(LEN(TRIM(E278))=0, "", GetSampleVolumeBySpecimenPrep(H278))</f>
        <v/>
      </c>
      <c r="L278" t="str">
        <f>IF(LEN(TRIM(E278))=0,"",VLOOKUP("Manifest Id",config!A:B,2,FALSE))</f>
        <v/>
      </c>
      <c r="M278" t="str">
        <f>IF(LEN(TRIM(E278))=0, "",VLOOKUP("Project Name",config!A:B,2,FALSE))</f>
        <v/>
      </c>
      <c r="N278" t="str">
        <f>IF(LEN(TRIM(E278))=0, "",VLOOKUP("Center Name",config!A:B,2,FALSE))</f>
        <v/>
      </c>
      <c r="O278" s="7" t="str">
        <f>IF(LEN(TRIM(E278))=0,"",VLOOKUP("Shipment Date",config!A:B,2,FALSE))</f>
        <v/>
      </c>
      <c r="P278" s="7" t="str">
        <f t="shared" si="17"/>
        <v/>
      </c>
      <c r="Q278" s="7" t="str">
        <f>IF(LEN(TRIM(D278))=0,"",GetConfigParameterValue("Collection Site"))</f>
        <v/>
      </c>
      <c r="R278" t="str">
        <f>IF(LEN(TRIM(E278))=0, "", GetManifestComments(H278))</f>
        <v/>
      </c>
      <c r="S278" t="str">
        <f>IF(LEN(TRIM(E278))=0,"",IF(ISERROR(VLOOKUP(E278,'Manifest MDB data'!A:A,1,FALSE)),"OK","EXISTS!!!"))</f>
        <v/>
      </c>
    </row>
    <row r="279" spans="4:19" x14ac:dyDescent="0.25">
      <c r="D279" t="str">
        <f t="shared" si="18"/>
        <v/>
      </c>
      <c r="E279" t="str">
        <f t="shared" si="19"/>
        <v/>
      </c>
      <c r="F279" t="str">
        <f t="shared" si="20"/>
        <v/>
      </c>
      <c r="G279" t="str">
        <f>IF(LEN(TRIM(E279))=0, "", GetSampleTissueBySpecimenPrep(H279))</f>
        <v/>
      </c>
      <c r="H279" t="str">
        <f>IF(LEN(TRIM(E279))=0, "", GetSpecimenPrepName())</f>
        <v/>
      </c>
      <c r="I279" t="str">
        <f>IF(LEN(TRIM(E279))=0, "", GetSampleVolumeBySpecimenPrep(H279))</f>
        <v/>
      </c>
      <c r="L279" t="str">
        <f>IF(LEN(TRIM(E279))=0,"",VLOOKUP("Manifest Id",config!A:B,2,FALSE))</f>
        <v/>
      </c>
      <c r="M279" t="str">
        <f>IF(LEN(TRIM(E279))=0, "",VLOOKUP("Project Name",config!A:B,2,FALSE))</f>
        <v/>
      </c>
      <c r="N279" t="str">
        <f>IF(LEN(TRIM(E279))=0, "",VLOOKUP("Center Name",config!A:B,2,FALSE))</f>
        <v/>
      </c>
      <c r="O279" s="7" t="str">
        <f>IF(LEN(TRIM(E279))=0,"",VLOOKUP("Shipment Date",config!A:B,2,FALSE))</f>
        <v/>
      </c>
      <c r="P279" s="7" t="str">
        <f t="shared" si="17"/>
        <v/>
      </c>
      <c r="Q279" s="7" t="str">
        <f>IF(LEN(TRIM(D279))=0,"",GetConfigParameterValue("Collection Site"))</f>
        <v/>
      </c>
      <c r="R279" t="str">
        <f>IF(LEN(TRIM(E279))=0, "", GetManifestComments(H279))</f>
        <v/>
      </c>
      <c r="S279" t="str">
        <f>IF(LEN(TRIM(E279))=0,"",IF(ISERROR(VLOOKUP(E279,'Manifest MDB data'!A:A,1,FALSE)),"OK","EXISTS!!!"))</f>
        <v/>
      </c>
    </row>
    <row r="280" spans="4:19" x14ac:dyDescent="0.25">
      <c r="D280" t="str">
        <f t="shared" si="18"/>
        <v/>
      </c>
      <c r="E280" t="str">
        <f t="shared" si="19"/>
        <v/>
      </c>
      <c r="F280" t="str">
        <f t="shared" si="20"/>
        <v/>
      </c>
      <c r="G280" t="str">
        <f>IF(LEN(TRIM(E280))=0, "", GetSampleTissueBySpecimenPrep(H280))</f>
        <v/>
      </c>
      <c r="H280" t="str">
        <f>IF(LEN(TRIM(E280))=0, "", GetSpecimenPrepName())</f>
        <v/>
      </c>
      <c r="I280" t="str">
        <f>IF(LEN(TRIM(E280))=0, "", GetSampleVolumeBySpecimenPrep(H280))</f>
        <v/>
      </c>
      <c r="L280" t="str">
        <f>IF(LEN(TRIM(E280))=0,"",VLOOKUP("Manifest Id",config!A:B,2,FALSE))</f>
        <v/>
      </c>
      <c r="M280" t="str">
        <f>IF(LEN(TRIM(E280))=0, "",VLOOKUP("Project Name",config!A:B,2,FALSE))</f>
        <v/>
      </c>
      <c r="N280" t="str">
        <f>IF(LEN(TRIM(E280))=0, "",VLOOKUP("Center Name",config!A:B,2,FALSE))</f>
        <v/>
      </c>
      <c r="O280" s="7" t="str">
        <f>IF(LEN(TRIM(E280))=0,"",VLOOKUP("Shipment Date",config!A:B,2,FALSE))</f>
        <v/>
      </c>
      <c r="P280" s="7" t="str">
        <f t="shared" si="17"/>
        <v/>
      </c>
      <c r="Q280" s="7" t="str">
        <f>IF(LEN(TRIM(D280))=0,"",GetConfigParameterValue("Collection Site"))</f>
        <v/>
      </c>
      <c r="R280" t="str">
        <f>IF(LEN(TRIM(E280))=0, "", GetManifestComments(H280))</f>
        <v/>
      </c>
      <c r="S280" t="str">
        <f>IF(LEN(TRIM(E280))=0,"",IF(ISERROR(VLOOKUP(E280,'Manifest MDB data'!A:A,1,FALSE)),"OK","EXISTS!!!"))</f>
        <v/>
      </c>
    </row>
    <row r="281" spans="4:19" x14ac:dyDescent="0.25">
      <c r="D281" t="str">
        <f t="shared" si="18"/>
        <v/>
      </c>
      <c r="E281" t="str">
        <f t="shared" si="19"/>
        <v/>
      </c>
      <c r="F281" t="str">
        <f t="shared" si="20"/>
        <v/>
      </c>
      <c r="G281" t="str">
        <f>IF(LEN(TRIM(E281))=0, "", GetSampleTissueBySpecimenPrep(H281))</f>
        <v/>
      </c>
      <c r="H281" t="str">
        <f>IF(LEN(TRIM(E281))=0, "", GetSpecimenPrepName())</f>
        <v/>
      </c>
      <c r="I281" t="str">
        <f>IF(LEN(TRIM(E281))=0, "", GetSampleVolumeBySpecimenPrep(H281))</f>
        <v/>
      </c>
      <c r="L281" t="str">
        <f>IF(LEN(TRIM(E281))=0,"",VLOOKUP("Manifest Id",config!A:B,2,FALSE))</f>
        <v/>
      </c>
      <c r="M281" t="str">
        <f>IF(LEN(TRIM(E281))=0, "",VLOOKUP("Project Name",config!A:B,2,FALSE))</f>
        <v/>
      </c>
      <c r="N281" t="str">
        <f>IF(LEN(TRIM(E281))=0, "",VLOOKUP("Center Name",config!A:B,2,FALSE))</f>
        <v/>
      </c>
      <c r="O281" s="7" t="str">
        <f>IF(LEN(TRIM(E281))=0,"",VLOOKUP("Shipment Date",config!A:B,2,FALSE))</f>
        <v/>
      </c>
      <c r="P281" s="7" t="str">
        <f t="shared" si="17"/>
        <v/>
      </c>
      <c r="Q281" s="7" t="str">
        <f>IF(LEN(TRIM(D281))=0,"",GetConfigParameterValue("Collection Site"))</f>
        <v/>
      </c>
      <c r="R281" t="str">
        <f>IF(LEN(TRIM(E281))=0, "", GetManifestComments(H281))</f>
        <v/>
      </c>
      <c r="S281" t="str">
        <f>IF(LEN(TRIM(E281))=0,"",IF(ISERROR(VLOOKUP(E281,'Manifest MDB data'!A:A,1,FALSE)),"OK","EXISTS!!!"))</f>
        <v/>
      </c>
    </row>
    <row r="282" spans="4:19" x14ac:dyDescent="0.25">
      <c r="D282" t="str">
        <f t="shared" si="18"/>
        <v/>
      </c>
      <c r="E282" t="str">
        <f t="shared" si="19"/>
        <v/>
      </c>
      <c r="F282" t="str">
        <f t="shared" si="20"/>
        <v/>
      </c>
      <c r="G282" t="str">
        <f>IF(LEN(TRIM(E282))=0, "", GetSampleTissueBySpecimenPrep(H282))</f>
        <v/>
      </c>
      <c r="H282" t="str">
        <f>IF(LEN(TRIM(E282))=0, "", GetSpecimenPrepName())</f>
        <v/>
      </c>
      <c r="I282" t="str">
        <f>IF(LEN(TRIM(E282))=0, "", GetSampleVolumeBySpecimenPrep(H282))</f>
        <v/>
      </c>
      <c r="L282" t="str">
        <f>IF(LEN(TRIM(E282))=0,"",VLOOKUP("Manifest Id",config!A:B,2,FALSE))</f>
        <v/>
      </c>
      <c r="M282" t="str">
        <f>IF(LEN(TRIM(E282))=0, "",VLOOKUP("Project Name",config!A:B,2,FALSE))</f>
        <v/>
      </c>
      <c r="N282" t="str">
        <f>IF(LEN(TRIM(E282))=0, "",VLOOKUP("Center Name",config!A:B,2,FALSE))</f>
        <v/>
      </c>
      <c r="O282" s="7" t="str">
        <f>IF(LEN(TRIM(E282))=0,"",VLOOKUP("Shipment Date",config!A:B,2,FALSE))</f>
        <v/>
      </c>
      <c r="P282" s="7" t="str">
        <f t="shared" si="17"/>
        <v/>
      </c>
      <c r="Q282" s="7" t="str">
        <f>IF(LEN(TRIM(D282))=0,"",GetConfigParameterValue("Collection Site"))</f>
        <v/>
      </c>
      <c r="R282" t="str">
        <f>IF(LEN(TRIM(E282))=0, "", GetManifestComments(H282))</f>
        <v/>
      </c>
      <c r="S282" t="str">
        <f>IF(LEN(TRIM(E282))=0,"",IF(ISERROR(VLOOKUP(E282,'Manifest MDB data'!A:A,1,FALSE)),"OK","EXISTS!!!"))</f>
        <v/>
      </c>
    </row>
    <row r="283" spans="4:19" x14ac:dyDescent="0.25">
      <c r="D283" t="str">
        <f t="shared" si="18"/>
        <v/>
      </c>
      <c r="E283" t="str">
        <f t="shared" si="19"/>
        <v/>
      </c>
      <c r="F283" t="str">
        <f t="shared" si="20"/>
        <v/>
      </c>
      <c r="G283" t="str">
        <f>IF(LEN(TRIM(E283))=0, "", GetSampleTissueBySpecimenPrep(H283))</f>
        <v/>
      </c>
      <c r="H283" t="str">
        <f>IF(LEN(TRIM(E283))=0, "", GetSpecimenPrepName())</f>
        <v/>
      </c>
      <c r="I283" t="str">
        <f>IF(LEN(TRIM(E283))=0, "", GetSampleVolumeBySpecimenPrep(H283))</f>
        <v/>
      </c>
      <c r="L283" t="str">
        <f>IF(LEN(TRIM(E283))=0,"",VLOOKUP("Manifest Id",config!A:B,2,FALSE))</f>
        <v/>
      </c>
      <c r="M283" t="str">
        <f>IF(LEN(TRIM(E283))=0, "",VLOOKUP("Project Name",config!A:B,2,FALSE))</f>
        <v/>
      </c>
      <c r="N283" t="str">
        <f>IF(LEN(TRIM(E283))=0, "",VLOOKUP("Center Name",config!A:B,2,FALSE))</f>
        <v/>
      </c>
      <c r="O283" s="7" t="str">
        <f>IF(LEN(TRIM(E283))=0,"",VLOOKUP("Shipment Date",config!A:B,2,FALSE))</f>
        <v/>
      </c>
      <c r="P283" s="7" t="str">
        <f t="shared" si="17"/>
        <v/>
      </c>
      <c r="Q283" s="7" t="str">
        <f>IF(LEN(TRIM(D283))=0,"",GetConfigParameterValue("Collection Site"))</f>
        <v/>
      </c>
      <c r="R283" t="str">
        <f>IF(LEN(TRIM(E283))=0, "", GetManifestComments(H283))</f>
        <v/>
      </c>
      <c r="S283" t="str">
        <f>IF(LEN(TRIM(E283))=0,"",IF(ISERROR(VLOOKUP(E283,'Manifest MDB data'!A:A,1,FALSE)),"OK","EXISTS!!!"))</f>
        <v/>
      </c>
    </row>
    <row r="284" spans="4:19" x14ac:dyDescent="0.25">
      <c r="D284" t="str">
        <f t="shared" si="18"/>
        <v/>
      </c>
      <c r="E284" t="str">
        <f t="shared" si="19"/>
        <v/>
      </c>
      <c r="F284" t="str">
        <f t="shared" si="20"/>
        <v/>
      </c>
      <c r="G284" t="str">
        <f>IF(LEN(TRIM(E284))=0, "", GetSampleTissueBySpecimenPrep(H284))</f>
        <v/>
      </c>
      <c r="H284" t="str">
        <f>IF(LEN(TRIM(E284))=0, "", GetSpecimenPrepName())</f>
        <v/>
      </c>
      <c r="I284" t="str">
        <f>IF(LEN(TRIM(E284))=0, "", GetSampleVolumeBySpecimenPrep(H284))</f>
        <v/>
      </c>
      <c r="L284" t="str">
        <f>IF(LEN(TRIM(E284))=0,"",VLOOKUP("Manifest Id",config!A:B,2,FALSE))</f>
        <v/>
      </c>
      <c r="M284" t="str">
        <f>IF(LEN(TRIM(E284))=0, "",VLOOKUP("Project Name",config!A:B,2,FALSE))</f>
        <v/>
      </c>
      <c r="N284" t="str">
        <f>IF(LEN(TRIM(E284))=0, "",VLOOKUP("Center Name",config!A:B,2,FALSE))</f>
        <v/>
      </c>
      <c r="O284" s="7" t="str">
        <f>IF(LEN(TRIM(E284))=0,"",VLOOKUP("Shipment Date",config!A:B,2,FALSE))</f>
        <v/>
      </c>
      <c r="P284" s="7" t="str">
        <f t="shared" si="17"/>
        <v/>
      </c>
      <c r="Q284" s="7" t="str">
        <f>IF(LEN(TRIM(D284))=0,"",GetConfigParameterValue("Collection Site"))</f>
        <v/>
      </c>
      <c r="R284" t="str">
        <f>IF(LEN(TRIM(E284))=0, "", GetManifestComments(H284))</f>
        <v/>
      </c>
      <c r="S284" t="str">
        <f>IF(LEN(TRIM(E284))=0,"",IF(ISERROR(VLOOKUP(E284,'Manifest MDB data'!A:A,1,FALSE)),"OK","EXISTS!!!"))</f>
        <v/>
      </c>
    </row>
    <row r="285" spans="4:19" x14ac:dyDescent="0.25">
      <c r="D285" t="str">
        <f t="shared" si="18"/>
        <v/>
      </c>
      <c r="E285" t="str">
        <f t="shared" si="19"/>
        <v/>
      </c>
      <c r="F285" t="str">
        <f t="shared" si="20"/>
        <v/>
      </c>
      <c r="G285" t="str">
        <f>IF(LEN(TRIM(E285))=0, "", GetSampleTissueBySpecimenPrep(H285))</f>
        <v/>
      </c>
      <c r="H285" t="str">
        <f>IF(LEN(TRIM(E285))=0, "", GetSpecimenPrepName())</f>
        <v/>
      </c>
      <c r="I285" t="str">
        <f>IF(LEN(TRIM(E285))=0, "", GetSampleVolumeBySpecimenPrep(H285))</f>
        <v/>
      </c>
      <c r="L285" t="str">
        <f>IF(LEN(TRIM(E285))=0,"",VLOOKUP("Manifest Id",config!A:B,2,FALSE))</f>
        <v/>
      </c>
      <c r="M285" t="str">
        <f>IF(LEN(TRIM(E285))=0, "",VLOOKUP("Project Name",config!A:B,2,FALSE))</f>
        <v/>
      </c>
      <c r="N285" t="str">
        <f>IF(LEN(TRIM(E285))=0, "",VLOOKUP("Center Name",config!A:B,2,FALSE))</f>
        <v/>
      </c>
      <c r="O285" s="7" t="str">
        <f>IF(LEN(TRIM(E285))=0,"",VLOOKUP("Shipment Date",config!A:B,2,FALSE))</f>
        <v/>
      </c>
      <c r="P285" s="7" t="str">
        <f t="shared" si="17"/>
        <v/>
      </c>
      <c r="Q285" s="7" t="str">
        <f>IF(LEN(TRIM(D285))=0,"",GetConfigParameterValue("Collection Site"))</f>
        <v/>
      </c>
      <c r="R285" t="str">
        <f>IF(LEN(TRIM(E285))=0, "", GetManifestComments(H285))</f>
        <v/>
      </c>
      <c r="S285" t="str">
        <f>IF(LEN(TRIM(E285))=0,"",IF(ISERROR(VLOOKUP(E285,'Manifest MDB data'!A:A,1,FALSE)),"OK","EXISTS!!!"))</f>
        <v/>
      </c>
    </row>
    <row r="286" spans="4:19" x14ac:dyDescent="0.25">
      <c r="D286" t="str">
        <f t="shared" si="18"/>
        <v/>
      </c>
      <c r="E286" t="str">
        <f t="shared" si="19"/>
        <v/>
      </c>
      <c r="F286" t="str">
        <f t="shared" si="20"/>
        <v/>
      </c>
      <c r="G286" t="str">
        <f>IF(LEN(TRIM(E286))=0, "", GetSampleTissueBySpecimenPrep(H286))</f>
        <v/>
      </c>
      <c r="H286" t="str">
        <f>IF(LEN(TRIM(E286))=0, "", GetSpecimenPrepName())</f>
        <v/>
      </c>
      <c r="I286" t="str">
        <f>IF(LEN(TRIM(E286))=0, "", GetSampleVolumeBySpecimenPrep(H286))</f>
        <v/>
      </c>
      <c r="L286" t="str">
        <f>IF(LEN(TRIM(E286))=0,"",VLOOKUP("Manifest Id",config!A:B,2,FALSE))</f>
        <v/>
      </c>
      <c r="M286" t="str">
        <f>IF(LEN(TRIM(E286))=0, "",VLOOKUP("Project Name",config!A:B,2,FALSE))</f>
        <v/>
      </c>
      <c r="N286" t="str">
        <f>IF(LEN(TRIM(E286))=0, "",VLOOKUP("Center Name",config!A:B,2,FALSE))</f>
        <v/>
      </c>
      <c r="O286" s="7" t="str">
        <f>IF(LEN(TRIM(E286))=0,"",VLOOKUP("Shipment Date",config!A:B,2,FALSE))</f>
        <v/>
      </c>
      <c r="P286" s="7" t="str">
        <f t="shared" si="17"/>
        <v/>
      </c>
      <c r="Q286" s="7" t="str">
        <f>IF(LEN(TRIM(D286))=0,"",GetConfigParameterValue("Collection Site"))</f>
        <v/>
      </c>
      <c r="R286" t="str">
        <f>IF(LEN(TRIM(E286))=0, "", GetManifestComments(H286))</f>
        <v/>
      </c>
      <c r="S286" t="str">
        <f>IF(LEN(TRIM(E286))=0,"",IF(ISERROR(VLOOKUP(E286,'Manifest MDB data'!A:A,1,FALSE)),"OK","EXISTS!!!"))</f>
        <v/>
      </c>
    </row>
    <row r="287" spans="4:19" x14ac:dyDescent="0.25">
      <c r="D287" t="str">
        <f t="shared" si="18"/>
        <v/>
      </c>
      <c r="E287" t="str">
        <f t="shared" si="19"/>
        <v/>
      </c>
      <c r="F287" t="str">
        <f t="shared" si="20"/>
        <v/>
      </c>
      <c r="G287" t="str">
        <f>IF(LEN(TRIM(E287))=0, "", GetSampleTissueBySpecimenPrep(H287))</f>
        <v/>
      </c>
      <c r="H287" t="str">
        <f>IF(LEN(TRIM(E287))=0, "", GetSpecimenPrepName())</f>
        <v/>
      </c>
      <c r="I287" t="str">
        <f>IF(LEN(TRIM(E287))=0, "", GetSampleVolumeBySpecimenPrep(H287))</f>
        <v/>
      </c>
      <c r="L287" t="str">
        <f>IF(LEN(TRIM(E287))=0,"",VLOOKUP("Manifest Id",config!A:B,2,FALSE))</f>
        <v/>
      </c>
      <c r="M287" t="str">
        <f>IF(LEN(TRIM(E287))=0, "",VLOOKUP("Project Name",config!A:B,2,FALSE))</f>
        <v/>
      </c>
      <c r="N287" t="str">
        <f>IF(LEN(TRIM(E287))=0, "",VLOOKUP("Center Name",config!A:B,2,FALSE))</f>
        <v/>
      </c>
      <c r="O287" s="7" t="str">
        <f>IF(LEN(TRIM(E287))=0,"",VLOOKUP("Shipment Date",config!A:B,2,FALSE))</f>
        <v/>
      </c>
      <c r="P287" s="7" t="str">
        <f t="shared" si="17"/>
        <v/>
      </c>
      <c r="Q287" s="7" t="str">
        <f>IF(LEN(TRIM(D287))=0,"",GetConfigParameterValue("Collection Site"))</f>
        <v/>
      </c>
      <c r="R287" t="str">
        <f>IF(LEN(TRIM(E287))=0, "", GetManifestComments(H287))</f>
        <v/>
      </c>
      <c r="S287" t="str">
        <f>IF(LEN(TRIM(E287))=0,"",IF(ISERROR(VLOOKUP(E287,'Manifest MDB data'!A:A,1,FALSE)),"OK","EXISTS!!!"))</f>
        <v/>
      </c>
    </row>
    <row r="288" spans="4:19" x14ac:dyDescent="0.25">
      <c r="D288" t="str">
        <f t="shared" si="18"/>
        <v/>
      </c>
      <c r="E288" t="str">
        <f t="shared" si="19"/>
        <v/>
      </c>
      <c r="F288" t="str">
        <f t="shared" si="20"/>
        <v/>
      </c>
      <c r="G288" t="str">
        <f>IF(LEN(TRIM(E288))=0, "", GetSampleTissueBySpecimenPrep(H288))</f>
        <v/>
      </c>
      <c r="H288" t="str">
        <f>IF(LEN(TRIM(E288))=0, "", GetSpecimenPrepName())</f>
        <v/>
      </c>
      <c r="I288" t="str">
        <f>IF(LEN(TRIM(E288))=0, "", GetSampleVolumeBySpecimenPrep(H288))</f>
        <v/>
      </c>
      <c r="L288" t="str">
        <f>IF(LEN(TRIM(E288))=0,"",VLOOKUP("Manifest Id",config!A:B,2,FALSE))</f>
        <v/>
      </c>
      <c r="M288" t="str">
        <f>IF(LEN(TRIM(E288))=0, "",VLOOKUP("Project Name",config!A:B,2,FALSE))</f>
        <v/>
      </c>
      <c r="N288" t="str">
        <f>IF(LEN(TRIM(E288))=0, "",VLOOKUP("Center Name",config!A:B,2,FALSE))</f>
        <v/>
      </c>
      <c r="O288" s="7" t="str">
        <f>IF(LEN(TRIM(E288))=0,"",VLOOKUP("Shipment Date",config!A:B,2,FALSE))</f>
        <v/>
      </c>
      <c r="P288" s="7" t="str">
        <f t="shared" si="17"/>
        <v/>
      </c>
      <c r="Q288" s="7" t="str">
        <f>IF(LEN(TRIM(D288))=0,"",GetConfigParameterValue("Collection Site"))</f>
        <v/>
      </c>
      <c r="R288" t="str">
        <f>IF(LEN(TRIM(E288))=0, "", GetManifestComments(H288))</f>
        <v/>
      </c>
      <c r="S288" t="str">
        <f>IF(LEN(TRIM(E288))=0,"",IF(ISERROR(VLOOKUP(E288,'Manifest MDB data'!A:A,1,FALSE)),"OK","EXISTS!!!"))</f>
        <v/>
      </c>
    </row>
    <row r="289" spans="4:19" x14ac:dyDescent="0.25">
      <c r="D289" t="str">
        <f t="shared" si="18"/>
        <v/>
      </c>
      <c r="E289" t="str">
        <f t="shared" si="19"/>
        <v/>
      </c>
      <c r="F289" t="str">
        <f t="shared" si="20"/>
        <v/>
      </c>
      <c r="G289" t="str">
        <f>IF(LEN(TRIM(E289))=0, "", GetSampleTissueBySpecimenPrep(H289))</f>
        <v/>
      </c>
      <c r="H289" t="str">
        <f>IF(LEN(TRIM(E289))=0, "", GetSpecimenPrepName())</f>
        <v/>
      </c>
      <c r="I289" t="str">
        <f>IF(LEN(TRIM(E289))=0, "", GetSampleVolumeBySpecimenPrep(H289))</f>
        <v/>
      </c>
      <c r="L289" t="str">
        <f>IF(LEN(TRIM(E289))=0,"",VLOOKUP("Manifest Id",config!A:B,2,FALSE))</f>
        <v/>
      </c>
      <c r="M289" t="str">
        <f>IF(LEN(TRIM(E289))=0, "",VLOOKUP("Project Name",config!A:B,2,FALSE))</f>
        <v/>
      </c>
      <c r="N289" t="str">
        <f>IF(LEN(TRIM(E289))=0, "",VLOOKUP("Center Name",config!A:B,2,FALSE))</f>
        <v/>
      </c>
      <c r="O289" s="7" t="str">
        <f>IF(LEN(TRIM(E289))=0,"",VLOOKUP("Shipment Date",config!A:B,2,FALSE))</f>
        <v/>
      </c>
      <c r="P289" s="7" t="str">
        <f t="shared" si="17"/>
        <v/>
      </c>
      <c r="Q289" s="7" t="str">
        <f>IF(LEN(TRIM(D289))=0,"",GetConfigParameterValue("Collection Site"))</f>
        <v/>
      </c>
      <c r="R289" t="str">
        <f>IF(LEN(TRIM(E289))=0, "", GetManifestComments(H289))</f>
        <v/>
      </c>
      <c r="S289" t="str">
        <f>IF(LEN(TRIM(E289))=0,"",IF(ISERROR(VLOOKUP(E289,'Manifest MDB data'!A:A,1,FALSE)),"OK","EXISTS!!!"))</f>
        <v/>
      </c>
    </row>
    <row r="290" spans="4:19" x14ac:dyDescent="0.25">
      <c r="D290" t="str">
        <f t="shared" si="18"/>
        <v/>
      </c>
      <c r="E290" t="str">
        <f t="shared" si="19"/>
        <v/>
      </c>
      <c r="F290" t="str">
        <f t="shared" si="20"/>
        <v/>
      </c>
      <c r="G290" t="str">
        <f>IF(LEN(TRIM(E290))=0, "", GetSampleTissueBySpecimenPrep(H290))</f>
        <v/>
      </c>
      <c r="H290" t="str">
        <f>IF(LEN(TRIM(E290))=0, "", GetSpecimenPrepName())</f>
        <v/>
      </c>
      <c r="I290" t="str">
        <f>IF(LEN(TRIM(E290))=0, "", GetSampleVolumeBySpecimenPrep(H290))</f>
        <v/>
      </c>
      <c r="L290" t="str">
        <f>IF(LEN(TRIM(E290))=0,"",VLOOKUP("Manifest Id",config!A:B,2,FALSE))</f>
        <v/>
      </c>
      <c r="M290" t="str">
        <f>IF(LEN(TRIM(E290))=0, "",VLOOKUP("Project Name",config!A:B,2,FALSE))</f>
        <v/>
      </c>
      <c r="N290" t="str">
        <f>IF(LEN(TRIM(E290))=0, "",VLOOKUP("Center Name",config!A:B,2,FALSE))</f>
        <v/>
      </c>
      <c r="O290" s="7" t="str">
        <f>IF(LEN(TRIM(E290))=0,"",VLOOKUP("Shipment Date",config!A:B,2,FALSE))</f>
        <v/>
      </c>
      <c r="P290" s="7" t="str">
        <f t="shared" si="17"/>
        <v/>
      </c>
      <c r="Q290" s="7" t="str">
        <f>IF(LEN(TRIM(D290))=0,"",GetConfigParameterValue("Collection Site"))</f>
        <v/>
      </c>
      <c r="R290" t="str">
        <f>IF(LEN(TRIM(E290))=0, "", GetManifestComments(H290))</f>
        <v/>
      </c>
      <c r="S290" t="str">
        <f>IF(LEN(TRIM(E290))=0,"",IF(ISERROR(VLOOKUP(E290,'Manifest MDB data'!A:A,1,FALSE)),"OK","EXISTS!!!"))</f>
        <v/>
      </c>
    </row>
    <row r="291" spans="4:19" x14ac:dyDescent="0.25">
      <c r="D291" t="str">
        <f t="shared" si="18"/>
        <v/>
      </c>
      <c r="E291" t="str">
        <f t="shared" si="19"/>
        <v/>
      </c>
      <c r="F291" t="str">
        <f t="shared" si="20"/>
        <v/>
      </c>
      <c r="G291" t="str">
        <f>IF(LEN(TRIM(E291))=0, "", GetSampleTissueBySpecimenPrep(H291))</f>
        <v/>
      </c>
      <c r="H291" t="str">
        <f>IF(LEN(TRIM(E291))=0, "", GetSpecimenPrepName())</f>
        <v/>
      </c>
      <c r="I291" t="str">
        <f>IF(LEN(TRIM(E291))=0, "", GetSampleVolumeBySpecimenPrep(H291))</f>
        <v/>
      </c>
      <c r="L291" t="str">
        <f>IF(LEN(TRIM(E291))=0,"",VLOOKUP("Manifest Id",config!A:B,2,FALSE))</f>
        <v/>
      </c>
      <c r="M291" t="str">
        <f>IF(LEN(TRIM(E291))=0, "",VLOOKUP("Project Name",config!A:B,2,FALSE))</f>
        <v/>
      </c>
      <c r="N291" t="str">
        <f>IF(LEN(TRIM(E291))=0, "",VLOOKUP("Center Name",config!A:B,2,FALSE))</f>
        <v/>
      </c>
      <c r="O291" s="7" t="str">
        <f>IF(LEN(TRIM(E291))=0,"",VLOOKUP("Shipment Date",config!A:B,2,FALSE))</f>
        <v/>
      </c>
      <c r="P291" s="7" t="str">
        <f t="shared" si="17"/>
        <v/>
      </c>
      <c r="Q291" s="7" t="str">
        <f>IF(LEN(TRIM(D291))=0,"",GetConfigParameterValue("Collection Site"))</f>
        <v/>
      </c>
      <c r="R291" t="str">
        <f>IF(LEN(TRIM(E291))=0, "", GetManifestComments(H291))</f>
        <v/>
      </c>
      <c r="S291" t="str">
        <f>IF(LEN(TRIM(E291))=0,"",IF(ISERROR(VLOOKUP(E291,'Manifest MDB data'!A:A,1,FALSE)),"OK","EXISTS!!!"))</f>
        <v/>
      </c>
    </row>
    <row r="292" spans="4:19" x14ac:dyDescent="0.25">
      <c r="D292" t="str">
        <f t="shared" si="18"/>
        <v/>
      </c>
      <c r="E292" t="str">
        <f t="shared" si="19"/>
        <v/>
      </c>
      <c r="F292" t="str">
        <f t="shared" si="20"/>
        <v/>
      </c>
      <c r="G292" t="str">
        <f>IF(LEN(TRIM(E292))=0, "", GetSampleTissueBySpecimenPrep(H292))</f>
        <v/>
      </c>
      <c r="H292" t="str">
        <f>IF(LEN(TRIM(E292))=0, "", GetSpecimenPrepName())</f>
        <v/>
      </c>
      <c r="I292" t="str">
        <f>IF(LEN(TRIM(E292))=0, "", GetSampleVolumeBySpecimenPrep(H292))</f>
        <v/>
      </c>
      <c r="L292" t="str">
        <f>IF(LEN(TRIM(E292))=0,"",VLOOKUP("Manifest Id",config!A:B,2,FALSE))</f>
        <v/>
      </c>
      <c r="M292" t="str">
        <f>IF(LEN(TRIM(E292))=0, "",VLOOKUP("Project Name",config!A:B,2,FALSE))</f>
        <v/>
      </c>
      <c r="N292" t="str">
        <f>IF(LEN(TRIM(E292))=0, "",VLOOKUP("Center Name",config!A:B,2,FALSE))</f>
        <v/>
      </c>
      <c r="O292" s="7" t="str">
        <f>IF(LEN(TRIM(E292))=0,"",VLOOKUP("Shipment Date",config!A:B,2,FALSE))</f>
        <v/>
      </c>
      <c r="P292" s="7" t="str">
        <f t="shared" si="17"/>
        <v/>
      </c>
      <c r="Q292" s="7" t="str">
        <f>IF(LEN(TRIM(D292))=0,"",GetConfigParameterValue("Collection Site"))</f>
        <v/>
      </c>
      <c r="R292" t="str">
        <f>IF(LEN(TRIM(E292))=0, "", GetManifestComments(H292))</f>
        <v/>
      </c>
      <c r="S292" t="str">
        <f>IF(LEN(TRIM(E292))=0,"",IF(ISERROR(VLOOKUP(E292,'Manifest MDB data'!A:A,1,FALSE)),"OK","EXISTS!!!"))</f>
        <v/>
      </c>
    </row>
    <row r="293" spans="4:19" x14ac:dyDescent="0.25">
      <c r="D293" t="str">
        <f t="shared" si="18"/>
        <v/>
      </c>
      <c r="E293" t="str">
        <f t="shared" si="19"/>
        <v/>
      </c>
      <c r="F293" t="str">
        <f t="shared" si="20"/>
        <v/>
      </c>
      <c r="G293" t="str">
        <f>IF(LEN(TRIM(E293))=0, "", GetSampleTissueBySpecimenPrep(H293))</f>
        <v/>
      </c>
      <c r="H293" t="str">
        <f>IF(LEN(TRIM(E293))=0, "", GetSpecimenPrepName())</f>
        <v/>
      </c>
      <c r="I293" t="str">
        <f>IF(LEN(TRIM(E293))=0, "", GetSampleVolumeBySpecimenPrep(H293))</f>
        <v/>
      </c>
      <c r="L293" t="str">
        <f>IF(LEN(TRIM(E293))=0,"",VLOOKUP("Manifest Id",config!A:B,2,FALSE))</f>
        <v/>
      </c>
      <c r="M293" t="str">
        <f>IF(LEN(TRIM(E293))=0, "",VLOOKUP("Project Name",config!A:B,2,FALSE))</f>
        <v/>
      </c>
      <c r="N293" t="str">
        <f>IF(LEN(TRIM(E293))=0, "",VLOOKUP("Center Name",config!A:B,2,FALSE))</f>
        <v/>
      </c>
      <c r="O293" s="7" t="str">
        <f>IF(LEN(TRIM(E293))=0,"",VLOOKUP("Shipment Date",config!A:B,2,FALSE))</f>
        <v/>
      </c>
      <c r="P293" s="7" t="str">
        <f t="shared" si="17"/>
        <v/>
      </c>
      <c r="Q293" s="7" t="str">
        <f>IF(LEN(TRIM(D293))=0,"",GetConfigParameterValue("Collection Site"))</f>
        <v/>
      </c>
      <c r="R293" t="str">
        <f>IF(LEN(TRIM(E293))=0, "", GetManifestComments(H293))</f>
        <v/>
      </c>
      <c r="S293" t="str">
        <f>IF(LEN(TRIM(E293))=0,"",IF(ISERROR(VLOOKUP(E293,'Manifest MDB data'!A:A,1,FALSE)),"OK","EXISTS!!!"))</f>
        <v/>
      </c>
    </row>
    <row r="294" spans="4:19" x14ac:dyDescent="0.25">
      <c r="D294" t="str">
        <f t="shared" si="18"/>
        <v/>
      </c>
      <c r="E294" t="str">
        <f t="shared" si="19"/>
        <v/>
      </c>
      <c r="F294" t="str">
        <f t="shared" si="20"/>
        <v/>
      </c>
      <c r="G294" t="str">
        <f>IF(LEN(TRIM(E294))=0, "", GetSampleTissueBySpecimenPrep(H294))</f>
        <v/>
      </c>
      <c r="H294" t="str">
        <f>IF(LEN(TRIM(E294))=0, "", GetSpecimenPrepName())</f>
        <v/>
      </c>
      <c r="I294" t="str">
        <f>IF(LEN(TRIM(E294))=0, "", GetSampleVolumeBySpecimenPrep(H294))</f>
        <v/>
      </c>
      <c r="L294" t="str">
        <f>IF(LEN(TRIM(E294))=0,"",VLOOKUP("Manifest Id",config!A:B,2,FALSE))</f>
        <v/>
      </c>
      <c r="M294" t="str">
        <f>IF(LEN(TRIM(E294))=0, "",VLOOKUP("Project Name",config!A:B,2,FALSE))</f>
        <v/>
      </c>
      <c r="N294" t="str">
        <f>IF(LEN(TRIM(E294))=0, "",VLOOKUP("Center Name",config!A:B,2,FALSE))</f>
        <v/>
      </c>
      <c r="O294" s="7" t="str">
        <f>IF(LEN(TRIM(E294))=0,"",VLOOKUP("Shipment Date",config!A:B,2,FALSE))</f>
        <v/>
      </c>
      <c r="P294" s="7" t="str">
        <f t="shared" si="17"/>
        <v/>
      </c>
      <c r="Q294" s="7" t="str">
        <f>IF(LEN(TRIM(D294))=0,"",GetConfigParameterValue("Collection Site"))</f>
        <v/>
      </c>
      <c r="R294" t="str">
        <f>IF(LEN(TRIM(E294))=0, "", GetManifestComments(H294))</f>
        <v/>
      </c>
      <c r="S294" t="str">
        <f>IF(LEN(TRIM(E294))=0,"",IF(ISERROR(VLOOKUP(E294,'Manifest MDB data'!A:A,1,FALSE)),"OK","EXISTS!!!"))</f>
        <v/>
      </c>
    </row>
    <row r="295" spans="4:19" x14ac:dyDescent="0.25">
      <c r="D295" t="str">
        <f t="shared" si="18"/>
        <v/>
      </c>
      <c r="E295" t="str">
        <f t="shared" si="19"/>
        <v/>
      </c>
      <c r="F295" t="str">
        <f t="shared" si="20"/>
        <v/>
      </c>
      <c r="G295" t="str">
        <f>IF(LEN(TRIM(E295))=0, "", GetSampleTissueBySpecimenPrep(H295))</f>
        <v/>
      </c>
      <c r="H295" t="str">
        <f>IF(LEN(TRIM(E295))=0, "", GetSpecimenPrepName())</f>
        <v/>
      </c>
      <c r="I295" t="str">
        <f>IF(LEN(TRIM(E295))=0, "", GetSampleVolumeBySpecimenPrep(H295))</f>
        <v/>
      </c>
      <c r="L295" t="str">
        <f>IF(LEN(TRIM(E295))=0,"",VLOOKUP("Manifest Id",config!A:B,2,FALSE))</f>
        <v/>
      </c>
      <c r="M295" t="str">
        <f>IF(LEN(TRIM(E295))=0, "",VLOOKUP("Project Name",config!A:B,2,FALSE))</f>
        <v/>
      </c>
      <c r="N295" t="str">
        <f>IF(LEN(TRIM(E295))=0, "",VLOOKUP("Center Name",config!A:B,2,FALSE))</f>
        <v/>
      </c>
      <c r="O295" s="7" t="str">
        <f>IF(LEN(TRIM(E295))=0,"",VLOOKUP("Shipment Date",config!A:B,2,FALSE))</f>
        <v/>
      </c>
      <c r="P295" s="7" t="str">
        <f t="shared" si="17"/>
        <v/>
      </c>
      <c r="Q295" s="7" t="str">
        <f>IF(LEN(TRIM(D295))=0,"",GetConfigParameterValue("Collection Site"))</f>
        <v/>
      </c>
      <c r="R295" t="str">
        <f>IF(LEN(TRIM(E295))=0, "", GetManifestComments(H295))</f>
        <v/>
      </c>
      <c r="S295" t="str">
        <f>IF(LEN(TRIM(E295))=0,"",IF(ISERROR(VLOOKUP(E295,'Manifest MDB data'!A:A,1,FALSE)),"OK","EXISTS!!!"))</f>
        <v/>
      </c>
    </row>
    <row r="296" spans="4:19" x14ac:dyDescent="0.25">
      <c r="D296" t="str">
        <f t="shared" si="18"/>
        <v/>
      </c>
      <c r="E296" t="str">
        <f t="shared" si="19"/>
        <v/>
      </c>
      <c r="F296" t="str">
        <f t="shared" si="20"/>
        <v/>
      </c>
      <c r="G296" t="str">
        <f>IF(LEN(TRIM(E296))=0, "", GetSampleTissueBySpecimenPrep(H296))</f>
        <v/>
      </c>
      <c r="H296" t="str">
        <f>IF(LEN(TRIM(E296))=0, "", GetSpecimenPrepName())</f>
        <v/>
      </c>
      <c r="I296" t="str">
        <f>IF(LEN(TRIM(E296))=0, "", GetSampleVolumeBySpecimenPrep(H296))</f>
        <v/>
      </c>
      <c r="L296" t="str">
        <f>IF(LEN(TRIM(E296))=0,"",VLOOKUP("Manifest Id",config!A:B,2,FALSE))</f>
        <v/>
      </c>
      <c r="M296" t="str">
        <f>IF(LEN(TRIM(E296))=0, "",VLOOKUP("Project Name",config!A:B,2,FALSE))</f>
        <v/>
      </c>
      <c r="N296" t="str">
        <f>IF(LEN(TRIM(E296))=0, "",VLOOKUP("Center Name",config!A:B,2,FALSE))</f>
        <v/>
      </c>
      <c r="O296" s="7" t="str">
        <f>IF(LEN(TRIM(E296))=0,"",VLOOKUP("Shipment Date",config!A:B,2,FALSE))</f>
        <v/>
      </c>
      <c r="P296" s="7" t="str">
        <f t="shared" si="17"/>
        <v/>
      </c>
      <c r="Q296" s="7" t="str">
        <f>IF(LEN(TRIM(D296))=0,"",GetConfigParameterValue("Collection Site"))</f>
        <v/>
      </c>
      <c r="R296" t="str">
        <f>IF(LEN(TRIM(E296))=0, "", GetManifestComments(H296))</f>
        <v/>
      </c>
      <c r="S296" t="str">
        <f>IF(LEN(TRIM(E296))=0,"",IF(ISERROR(VLOOKUP(E296,'Manifest MDB data'!A:A,1,FALSE)),"OK","EXISTS!!!"))</f>
        <v/>
      </c>
    </row>
    <row r="297" spans="4:19" x14ac:dyDescent="0.25">
      <c r="D297" t="str">
        <f t="shared" si="18"/>
        <v/>
      </c>
      <c r="E297" t="str">
        <f t="shared" si="19"/>
        <v/>
      </c>
      <c r="F297" t="str">
        <f t="shared" si="20"/>
        <v/>
      </c>
      <c r="G297" t="str">
        <f>IF(LEN(TRIM(E297))=0, "", GetSampleTissueBySpecimenPrep(H297))</f>
        <v/>
      </c>
      <c r="H297" t="str">
        <f>IF(LEN(TRIM(E297))=0, "", GetSpecimenPrepName())</f>
        <v/>
      </c>
      <c r="I297" t="str">
        <f>IF(LEN(TRIM(E297))=0, "", GetSampleVolumeBySpecimenPrep(H297))</f>
        <v/>
      </c>
      <c r="L297" t="str">
        <f>IF(LEN(TRIM(E297))=0,"",VLOOKUP("Manifest Id",config!A:B,2,FALSE))</f>
        <v/>
      </c>
      <c r="M297" t="str">
        <f>IF(LEN(TRIM(E297))=0, "",VLOOKUP("Project Name",config!A:B,2,FALSE))</f>
        <v/>
      </c>
      <c r="N297" t="str">
        <f>IF(LEN(TRIM(E297))=0, "",VLOOKUP("Center Name",config!A:B,2,FALSE))</f>
        <v/>
      </c>
      <c r="O297" s="7" t="str">
        <f>IF(LEN(TRIM(E297))=0,"",VLOOKUP("Shipment Date",config!A:B,2,FALSE))</f>
        <v/>
      </c>
      <c r="P297" s="7" t="str">
        <f t="shared" si="17"/>
        <v/>
      </c>
      <c r="Q297" s="7" t="str">
        <f>IF(LEN(TRIM(D297))=0,"",GetConfigParameterValue("Collection Site"))</f>
        <v/>
      </c>
      <c r="R297" t="str">
        <f>IF(LEN(TRIM(E297))=0, "", GetManifestComments(H297))</f>
        <v/>
      </c>
      <c r="S297" t="str">
        <f>IF(LEN(TRIM(E297))=0,"",IF(ISERROR(VLOOKUP(E297,'Manifest MDB data'!A:A,1,FALSE)),"OK","EXISTS!!!"))</f>
        <v/>
      </c>
    </row>
    <row r="298" spans="4:19" x14ac:dyDescent="0.25">
      <c r="D298" t="str">
        <f t="shared" si="18"/>
        <v/>
      </c>
      <c r="E298" t="str">
        <f t="shared" si="19"/>
        <v/>
      </c>
      <c r="F298" t="str">
        <f t="shared" si="20"/>
        <v/>
      </c>
      <c r="G298" t="str">
        <f>IF(LEN(TRIM(E298))=0, "", GetSampleTissueBySpecimenPrep(H298))</f>
        <v/>
      </c>
      <c r="H298" t="str">
        <f>IF(LEN(TRIM(E298))=0, "", GetSpecimenPrepName())</f>
        <v/>
      </c>
      <c r="I298" t="str">
        <f>IF(LEN(TRIM(E298))=0, "", GetSampleVolumeBySpecimenPrep(H298))</f>
        <v/>
      </c>
      <c r="L298" t="str">
        <f>IF(LEN(TRIM(E298))=0,"",VLOOKUP("Manifest Id",config!A:B,2,FALSE))</f>
        <v/>
      </c>
      <c r="M298" t="str">
        <f>IF(LEN(TRIM(E298))=0, "",VLOOKUP("Project Name",config!A:B,2,FALSE))</f>
        <v/>
      </c>
      <c r="N298" t="str">
        <f>IF(LEN(TRIM(E298))=0, "",VLOOKUP("Center Name",config!A:B,2,FALSE))</f>
        <v/>
      </c>
      <c r="O298" s="7" t="str">
        <f>IF(LEN(TRIM(E298))=0,"",VLOOKUP("Shipment Date",config!A:B,2,FALSE))</f>
        <v/>
      </c>
      <c r="P298" s="7" t="str">
        <f t="shared" si="17"/>
        <v/>
      </c>
      <c r="Q298" s="7" t="str">
        <f>IF(LEN(TRIM(D298))=0,"",GetConfigParameterValue("Collection Site"))</f>
        <v/>
      </c>
      <c r="R298" t="str">
        <f>IF(LEN(TRIM(E298))=0, "", GetManifestComments(H298))</f>
        <v/>
      </c>
      <c r="S298" t="str">
        <f>IF(LEN(TRIM(E298))=0,"",IF(ISERROR(VLOOKUP(E298,'Manifest MDB data'!A:A,1,FALSE)),"OK","EXISTS!!!"))</f>
        <v/>
      </c>
    </row>
    <row r="299" spans="4:19" x14ac:dyDescent="0.25">
      <c r="D299" t="str">
        <f t="shared" si="18"/>
        <v/>
      </c>
      <c r="E299" t="str">
        <f t="shared" si="19"/>
        <v/>
      </c>
      <c r="F299" t="str">
        <f t="shared" si="20"/>
        <v/>
      </c>
      <c r="G299" t="str">
        <f>IF(LEN(TRIM(E299))=0, "", GetSampleTissueBySpecimenPrep(H299))</f>
        <v/>
      </c>
      <c r="H299" t="str">
        <f>IF(LEN(TRIM(E299))=0, "", GetSpecimenPrepName())</f>
        <v/>
      </c>
      <c r="I299" t="str">
        <f>IF(LEN(TRIM(E299))=0, "", GetSampleVolumeBySpecimenPrep(H299))</f>
        <v/>
      </c>
      <c r="L299" t="str">
        <f>IF(LEN(TRIM(E299))=0,"",VLOOKUP("Manifest Id",config!A:B,2,FALSE))</f>
        <v/>
      </c>
      <c r="M299" t="str">
        <f>IF(LEN(TRIM(E299))=0, "",VLOOKUP("Project Name",config!A:B,2,FALSE))</f>
        <v/>
      </c>
      <c r="N299" t="str">
        <f>IF(LEN(TRIM(E299))=0, "",VLOOKUP("Center Name",config!A:B,2,FALSE))</f>
        <v/>
      </c>
      <c r="O299" s="7" t="str">
        <f>IF(LEN(TRIM(E299))=0,"",VLOOKUP("Shipment Date",config!A:B,2,FALSE))</f>
        <v/>
      </c>
      <c r="P299" s="7" t="str">
        <f t="shared" si="17"/>
        <v/>
      </c>
      <c r="Q299" s="7" t="str">
        <f>IF(LEN(TRIM(D299))=0,"",GetConfigParameterValue("Collection Site"))</f>
        <v/>
      </c>
      <c r="R299" t="str">
        <f>IF(LEN(TRIM(E299))=0, "", GetManifestComments(H299))</f>
        <v/>
      </c>
      <c r="S299" t="str">
        <f>IF(LEN(TRIM(E299))=0,"",IF(ISERROR(VLOOKUP(E299,'Manifest MDB data'!A:A,1,FALSE)),"OK","EXISTS!!!"))</f>
        <v/>
      </c>
    </row>
    <row r="300" spans="4:19" x14ac:dyDescent="0.25">
      <c r="D300" t="str">
        <f t="shared" si="18"/>
        <v/>
      </c>
      <c r="E300" t="str">
        <f t="shared" si="19"/>
        <v/>
      </c>
      <c r="F300" t="str">
        <f t="shared" si="20"/>
        <v/>
      </c>
      <c r="G300" t="str">
        <f>IF(LEN(TRIM(E300))=0, "", GetSampleTissueBySpecimenPrep(H300))</f>
        <v/>
      </c>
      <c r="H300" t="str">
        <f>IF(LEN(TRIM(E300))=0, "", GetSpecimenPrepName())</f>
        <v/>
      </c>
      <c r="I300" t="str">
        <f>IF(LEN(TRIM(E300))=0, "", GetSampleVolumeBySpecimenPrep(H300))</f>
        <v/>
      </c>
      <c r="L300" t="str">
        <f>IF(LEN(TRIM(E300))=0,"",VLOOKUP("Manifest Id",config!A:B,2,FALSE))</f>
        <v/>
      </c>
      <c r="M300" t="str">
        <f>IF(LEN(TRIM(E300))=0, "",VLOOKUP("Project Name",config!A:B,2,FALSE))</f>
        <v/>
      </c>
      <c r="N300" t="str">
        <f>IF(LEN(TRIM(E300))=0, "",VLOOKUP("Center Name",config!A:B,2,FALSE))</f>
        <v/>
      </c>
      <c r="O300" s="7" t="str">
        <f>IF(LEN(TRIM(E300))=0,"",VLOOKUP("Shipment Date",config!A:B,2,FALSE))</f>
        <v/>
      </c>
      <c r="P300" s="7" t="str">
        <f t="shared" si="17"/>
        <v/>
      </c>
      <c r="Q300" s="7" t="str">
        <f>IF(LEN(TRIM(D300))=0,"",GetConfigParameterValue("Collection Site"))</f>
        <v/>
      </c>
      <c r="R300" t="str">
        <f>IF(LEN(TRIM(E300))=0, "", GetManifestComments(H300))</f>
        <v/>
      </c>
      <c r="S300" t="str">
        <f>IF(LEN(TRIM(E300))=0,"",IF(ISERROR(VLOOKUP(E300,'Manifest MDB data'!A:A,1,FALSE)),"OK","EXISTS!!!"))</f>
        <v/>
      </c>
    </row>
    <row r="301" spans="4:19" x14ac:dyDescent="0.25">
      <c r="D301" t="str">
        <f t="shared" si="18"/>
        <v/>
      </c>
      <c r="E301" t="str">
        <f t="shared" si="19"/>
        <v/>
      </c>
      <c r="F301" t="str">
        <f t="shared" si="20"/>
        <v/>
      </c>
      <c r="G301" t="str">
        <f>IF(LEN(TRIM(E301))=0, "", GetSampleTissueBySpecimenPrep(H301))</f>
        <v/>
      </c>
      <c r="H301" t="str">
        <f>IF(LEN(TRIM(E301))=0, "", GetSpecimenPrepName())</f>
        <v/>
      </c>
      <c r="I301" t="str">
        <f>IF(LEN(TRIM(E301))=0, "", GetSampleVolumeBySpecimenPrep(H301))</f>
        <v/>
      </c>
      <c r="L301" t="str">
        <f>IF(LEN(TRIM(E301))=0,"",VLOOKUP("Manifest Id",config!A:B,2,FALSE))</f>
        <v/>
      </c>
      <c r="M301" t="str">
        <f>IF(LEN(TRIM(E301))=0, "",VLOOKUP("Project Name",config!A:B,2,FALSE))</f>
        <v/>
      </c>
      <c r="N301" t="str">
        <f>IF(LEN(TRIM(E301))=0, "",VLOOKUP("Center Name",config!A:B,2,FALSE))</f>
        <v/>
      </c>
      <c r="O301" s="7" t="str">
        <f>IF(LEN(TRIM(E301))=0,"",VLOOKUP("Shipment Date",config!A:B,2,FALSE))</f>
        <v/>
      </c>
      <c r="P301" s="7" t="str">
        <f t="shared" si="17"/>
        <v/>
      </c>
      <c r="Q301" s="7" t="str">
        <f>IF(LEN(TRIM(D301))=0,"",GetConfigParameterValue("Collection Site"))</f>
        <v/>
      </c>
      <c r="R301" t="str">
        <f>IF(LEN(TRIM(E301))=0, "", GetManifestComments(H301))</f>
        <v/>
      </c>
      <c r="S301" t="str">
        <f>IF(LEN(TRIM(E301))=0,"",IF(ISERROR(VLOOKUP(E301,'Manifest MDB data'!A:A,1,FALSE)),"OK","EXISTS!!!"))</f>
        <v/>
      </c>
    </row>
    <row r="302" spans="4:19" x14ac:dyDescent="0.25">
      <c r="D302" t="str">
        <f t="shared" si="18"/>
        <v/>
      </c>
      <c r="E302" t="str">
        <f t="shared" si="19"/>
        <v/>
      </c>
      <c r="F302" t="str">
        <f t="shared" si="20"/>
        <v/>
      </c>
      <c r="G302" t="str">
        <f>IF(LEN(TRIM(E302))=0, "", GetSampleTissueBySpecimenPrep(H302))</f>
        <v/>
      </c>
      <c r="H302" t="str">
        <f>IF(LEN(TRIM(E302))=0, "", GetSpecimenPrepName())</f>
        <v/>
      </c>
      <c r="I302" t="str">
        <f>IF(LEN(TRIM(E302))=0, "", GetSampleVolumeBySpecimenPrep(H302))</f>
        <v/>
      </c>
      <c r="L302" t="str">
        <f>IF(LEN(TRIM(E302))=0,"",VLOOKUP("Manifest Id",config!A:B,2,FALSE))</f>
        <v/>
      </c>
      <c r="M302" t="str">
        <f>IF(LEN(TRIM(E302))=0, "",VLOOKUP("Project Name",config!A:B,2,FALSE))</f>
        <v/>
      </c>
      <c r="N302" t="str">
        <f>IF(LEN(TRIM(E302))=0, "",VLOOKUP("Center Name",config!A:B,2,FALSE))</f>
        <v/>
      </c>
      <c r="O302" s="7" t="str">
        <f>IF(LEN(TRIM(E302))=0,"",VLOOKUP("Shipment Date",config!A:B,2,FALSE))</f>
        <v/>
      </c>
      <c r="P302" s="7" t="str">
        <f t="shared" si="17"/>
        <v/>
      </c>
      <c r="Q302" s="7" t="str">
        <f>IF(LEN(TRIM(D302))=0,"",GetConfigParameterValue("Collection Site"))</f>
        <v/>
      </c>
      <c r="R302" t="str">
        <f>IF(LEN(TRIM(E302))=0, "", GetManifestComments(H302))</f>
        <v/>
      </c>
      <c r="S302" t="str">
        <f>IF(LEN(TRIM(E302))=0,"",IF(ISERROR(VLOOKUP(E302,'Manifest MDB data'!A:A,1,FALSE)),"OK","EXISTS!!!"))</f>
        <v/>
      </c>
    </row>
    <row r="303" spans="4:19" x14ac:dyDescent="0.25">
      <c r="D303" t="str">
        <f t="shared" si="18"/>
        <v/>
      </c>
      <c r="E303" t="str">
        <f t="shared" si="19"/>
        <v/>
      </c>
      <c r="F303" t="str">
        <f t="shared" si="20"/>
        <v/>
      </c>
      <c r="G303" t="str">
        <f>IF(LEN(TRIM(E303))=0, "", GetSampleTissueBySpecimenPrep(H303))</f>
        <v/>
      </c>
      <c r="H303" t="str">
        <f>IF(LEN(TRIM(E303))=0, "", GetSpecimenPrepName())</f>
        <v/>
      </c>
      <c r="I303" t="str">
        <f>IF(LEN(TRIM(E303))=0, "", GetSampleVolumeBySpecimenPrep(H303))</f>
        <v/>
      </c>
      <c r="L303" t="str">
        <f>IF(LEN(TRIM(E303))=0,"",VLOOKUP("Manifest Id",config!A:B,2,FALSE))</f>
        <v/>
      </c>
      <c r="M303" t="str">
        <f>IF(LEN(TRIM(E303))=0, "",VLOOKUP("Project Name",config!A:B,2,FALSE))</f>
        <v/>
      </c>
      <c r="N303" t="str">
        <f>IF(LEN(TRIM(E303))=0, "",VLOOKUP("Center Name",config!A:B,2,FALSE))</f>
        <v/>
      </c>
      <c r="O303" s="7" t="str">
        <f>IF(LEN(TRIM(E303))=0,"",VLOOKUP("Shipment Date",config!A:B,2,FALSE))</f>
        <v/>
      </c>
      <c r="P303" s="7" t="str">
        <f t="shared" si="17"/>
        <v/>
      </c>
      <c r="Q303" s="7" t="str">
        <f>IF(LEN(TRIM(D303))=0,"",GetConfigParameterValue("Collection Site"))</f>
        <v/>
      </c>
      <c r="R303" t="str">
        <f>IF(LEN(TRIM(E303))=0, "", GetManifestComments(H303))</f>
        <v/>
      </c>
      <c r="S303" t="str">
        <f>IF(LEN(TRIM(E303))=0,"",IF(ISERROR(VLOOKUP(E303,'Manifest MDB data'!A:A,1,FALSE)),"OK","EXISTS!!!"))</f>
        <v/>
      </c>
    </row>
    <row r="304" spans="4:19" x14ac:dyDescent="0.25">
      <c r="D304" t="str">
        <f t="shared" si="18"/>
        <v/>
      </c>
      <c r="E304" t="str">
        <f t="shared" si="19"/>
        <v/>
      </c>
      <c r="F304" t="str">
        <f t="shared" si="20"/>
        <v/>
      </c>
      <c r="G304" t="str">
        <f>IF(LEN(TRIM(E304))=0, "", GetSampleTissueBySpecimenPrep(H304))</f>
        <v/>
      </c>
      <c r="H304" t="str">
        <f>IF(LEN(TRIM(E304))=0, "", GetSpecimenPrepName())</f>
        <v/>
      </c>
      <c r="I304" t="str">
        <f>IF(LEN(TRIM(E304))=0, "", GetSampleVolumeBySpecimenPrep(H304))</f>
        <v/>
      </c>
      <c r="L304" t="str">
        <f>IF(LEN(TRIM(E304))=0,"",VLOOKUP("Manifest Id",config!A:B,2,FALSE))</f>
        <v/>
      </c>
      <c r="M304" t="str">
        <f>IF(LEN(TRIM(E304))=0, "",VLOOKUP("Project Name",config!A:B,2,FALSE))</f>
        <v/>
      </c>
      <c r="N304" t="str">
        <f>IF(LEN(TRIM(E304))=0, "",VLOOKUP("Center Name",config!A:B,2,FALSE))</f>
        <v/>
      </c>
      <c r="O304" s="7" t="str">
        <f>IF(LEN(TRIM(E304))=0,"",VLOOKUP("Shipment Date",config!A:B,2,FALSE))</f>
        <v/>
      </c>
      <c r="P304" s="7" t="str">
        <f t="shared" si="17"/>
        <v/>
      </c>
      <c r="Q304" s="7" t="str">
        <f>IF(LEN(TRIM(D304))=0,"",GetConfigParameterValue("Collection Site"))</f>
        <v/>
      </c>
      <c r="R304" t="str">
        <f>IF(LEN(TRIM(E304))=0, "", GetManifestComments(H304))</f>
        <v/>
      </c>
      <c r="S304" t="str">
        <f>IF(LEN(TRIM(E304))=0,"",IF(ISERROR(VLOOKUP(E304,'Manifest MDB data'!A:A,1,FALSE)),"OK","EXISTS!!!"))</f>
        <v/>
      </c>
    </row>
    <row r="305" spans="4:19" x14ac:dyDescent="0.25">
      <c r="D305" t="str">
        <f t="shared" si="18"/>
        <v/>
      </c>
      <c r="E305" t="str">
        <f t="shared" si="19"/>
        <v/>
      </c>
      <c r="F305" t="str">
        <f t="shared" si="20"/>
        <v/>
      </c>
      <c r="G305" t="str">
        <f>IF(LEN(TRIM(E305))=0, "", GetSampleTissueBySpecimenPrep(H305))</f>
        <v/>
      </c>
      <c r="H305" t="str">
        <f>IF(LEN(TRIM(E305))=0, "", GetSpecimenPrepName())</f>
        <v/>
      </c>
      <c r="I305" t="str">
        <f>IF(LEN(TRIM(E305))=0, "", GetSampleVolumeBySpecimenPrep(H305))</f>
        <v/>
      </c>
      <c r="L305" t="str">
        <f>IF(LEN(TRIM(E305))=0,"",VLOOKUP("Manifest Id",config!A:B,2,FALSE))</f>
        <v/>
      </c>
      <c r="M305" t="str">
        <f>IF(LEN(TRIM(E305))=0, "",VLOOKUP("Project Name",config!A:B,2,FALSE))</f>
        <v/>
      </c>
      <c r="N305" t="str">
        <f>IF(LEN(TRIM(E305))=0, "",VLOOKUP("Center Name",config!A:B,2,FALSE))</f>
        <v/>
      </c>
      <c r="O305" s="7" t="str">
        <f>IF(LEN(TRIM(E305))=0,"",VLOOKUP("Shipment Date",config!A:B,2,FALSE))</f>
        <v/>
      </c>
      <c r="P305" s="7" t="str">
        <f t="shared" si="17"/>
        <v/>
      </c>
      <c r="Q305" s="7" t="str">
        <f>IF(LEN(TRIM(D305))=0,"",GetConfigParameterValue("Collection Site"))</f>
        <v/>
      </c>
      <c r="R305" t="str">
        <f>IF(LEN(TRIM(E305))=0, "", GetManifestComments(H305))</f>
        <v/>
      </c>
      <c r="S305" t="str">
        <f>IF(LEN(TRIM(E305))=0,"",IF(ISERROR(VLOOKUP(E305,'Manifest MDB data'!A:A,1,FALSE)),"OK","EXISTS!!!"))</f>
        <v/>
      </c>
    </row>
    <row r="306" spans="4:19" x14ac:dyDescent="0.25">
      <c r="D306" t="str">
        <f t="shared" si="18"/>
        <v/>
      </c>
      <c r="E306" t="str">
        <f t="shared" si="19"/>
        <v/>
      </c>
      <c r="F306" t="str">
        <f t="shared" si="20"/>
        <v/>
      </c>
      <c r="G306" t="str">
        <f>IF(LEN(TRIM(E306))=0, "", GetSampleTissueBySpecimenPrep(H306))</f>
        <v/>
      </c>
      <c r="H306" t="str">
        <f>IF(LEN(TRIM(E306))=0, "", GetSpecimenPrepName())</f>
        <v/>
      </c>
      <c r="I306" t="str">
        <f>IF(LEN(TRIM(E306))=0, "", GetSampleVolumeBySpecimenPrep(H306))</f>
        <v/>
      </c>
      <c r="L306" t="str">
        <f>IF(LEN(TRIM(E306))=0,"",VLOOKUP("Manifest Id",config!A:B,2,FALSE))</f>
        <v/>
      </c>
      <c r="M306" t="str">
        <f>IF(LEN(TRIM(E306))=0, "",VLOOKUP("Project Name",config!A:B,2,FALSE))</f>
        <v/>
      </c>
      <c r="N306" t="str">
        <f>IF(LEN(TRIM(E306))=0, "",VLOOKUP("Center Name",config!A:B,2,FALSE))</f>
        <v/>
      </c>
      <c r="O306" s="7" t="str">
        <f>IF(LEN(TRIM(E306))=0,"",VLOOKUP("Shipment Date",config!A:B,2,FALSE))</f>
        <v/>
      </c>
      <c r="P306" s="7" t="str">
        <f t="shared" si="17"/>
        <v/>
      </c>
      <c r="Q306" s="7" t="str">
        <f>IF(LEN(TRIM(D306))=0,"",GetConfigParameterValue("Collection Site"))</f>
        <v/>
      </c>
      <c r="R306" t="str">
        <f>IF(LEN(TRIM(E306))=0, "", GetManifestComments(H306))</f>
        <v/>
      </c>
      <c r="S306" t="str">
        <f>IF(LEN(TRIM(E306))=0,"",IF(ISERROR(VLOOKUP(E306,'Manifest MDB data'!A:A,1,FALSE)),"OK","EXISTS!!!"))</f>
        <v/>
      </c>
    </row>
    <row r="307" spans="4:19" x14ac:dyDescent="0.25">
      <c r="D307" t="str">
        <f t="shared" si="18"/>
        <v/>
      </c>
      <c r="E307" t="str">
        <f t="shared" si="19"/>
        <v/>
      </c>
      <c r="F307" t="str">
        <f t="shared" si="20"/>
        <v/>
      </c>
      <c r="G307" t="str">
        <f>IF(LEN(TRIM(E307))=0, "", GetSampleTissueBySpecimenPrep(H307))</f>
        <v/>
      </c>
      <c r="H307" t="str">
        <f>IF(LEN(TRIM(E307))=0, "", GetSpecimenPrepName())</f>
        <v/>
      </c>
      <c r="I307" t="str">
        <f>IF(LEN(TRIM(E307))=0, "", GetSampleVolumeBySpecimenPrep(H307))</f>
        <v/>
      </c>
      <c r="L307" t="str">
        <f>IF(LEN(TRIM(E307))=0,"",VLOOKUP("Manifest Id",config!A:B,2,FALSE))</f>
        <v/>
      </c>
      <c r="M307" t="str">
        <f>IF(LEN(TRIM(E307))=0, "",VLOOKUP("Project Name",config!A:B,2,FALSE))</f>
        <v/>
      </c>
      <c r="N307" t="str">
        <f>IF(LEN(TRIM(E307))=0, "",VLOOKUP("Center Name",config!A:B,2,FALSE))</f>
        <v/>
      </c>
      <c r="O307" s="7" t="str">
        <f>IF(LEN(TRIM(E307))=0,"",VLOOKUP("Shipment Date",config!A:B,2,FALSE))</f>
        <v/>
      </c>
      <c r="P307" s="7" t="str">
        <f t="shared" si="17"/>
        <v/>
      </c>
      <c r="Q307" s="7" t="str">
        <f>IF(LEN(TRIM(D307))=0,"",GetConfigParameterValue("Collection Site"))</f>
        <v/>
      </c>
      <c r="R307" t="str">
        <f>IF(LEN(TRIM(E307))=0, "", GetManifestComments(H307))</f>
        <v/>
      </c>
      <c r="S307" t="str">
        <f>IF(LEN(TRIM(E307))=0,"",IF(ISERROR(VLOOKUP(E307,'Manifest MDB data'!A:A,1,FALSE)),"OK","EXISTS!!!"))</f>
        <v/>
      </c>
    </row>
    <row r="308" spans="4:19" x14ac:dyDescent="0.25">
      <c r="D308" t="str">
        <f t="shared" si="18"/>
        <v/>
      </c>
      <c r="E308" t="str">
        <f t="shared" si="19"/>
        <v/>
      </c>
      <c r="F308" t="str">
        <f t="shared" si="20"/>
        <v/>
      </c>
      <c r="G308" t="str">
        <f>IF(LEN(TRIM(E308))=0, "", GetSampleTissueBySpecimenPrep(H308))</f>
        <v/>
      </c>
      <c r="H308" t="str">
        <f>IF(LEN(TRIM(E308))=0, "", GetSpecimenPrepName())</f>
        <v/>
      </c>
      <c r="I308" t="str">
        <f>IF(LEN(TRIM(E308))=0, "", GetSampleVolumeBySpecimenPrep(H308))</f>
        <v/>
      </c>
      <c r="L308" t="str">
        <f>IF(LEN(TRIM(E308))=0,"",VLOOKUP("Manifest Id",config!A:B,2,FALSE))</f>
        <v/>
      </c>
      <c r="M308" t="str">
        <f>IF(LEN(TRIM(E308))=0, "",VLOOKUP("Project Name",config!A:B,2,FALSE))</f>
        <v/>
      </c>
      <c r="N308" t="str">
        <f>IF(LEN(TRIM(E308))=0, "",VLOOKUP("Center Name",config!A:B,2,FALSE))</f>
        <v/>
      </c>
      <c r="O308" s="7" t="str">
        <f>IF(LEN(TRIM(E308))=0,"",VLOOKUP("Shipment Date",config!A:B,2,FALSE))</f>
        <v/>
      </c>
      <c r="P308" s="7" t="str">
        <f t="shared" si="17"/>
        <v/>
      </c>
      <c r="Q308" s="7" t="str">
        <f>IF(LEN(TRIM(D308))=0,"",GetConfigParameterValue("Collection Site"))</f>
        <v/>
      </c>
      <c r="R308" t="str">
        <f>IF(LEN(TRIM(E308))=0, "", GetManifestComments(H308))</f>
        <v/>
      </c>
      <c r="S308" t="str">
        <f>IF(LEN(TRIM(E308))=0,"",IF(ISERROR(VLOOKUP(E308,'Manifest MDB data'!A:A,1,FALSE)),"OK","EXISTS!!!"))</f>
        <v/>
      </c>
    </row>
    <row r="309" spans="4:19" x14ac:dyDescent="0.25">
      <c r="D309" t="str">
        <f t="shared" si="18"/>
        <v/>
      </c>
      <c r="E309" t="str">
        <f t="shared" si="19"/>
        <v/>
      </c>
      <c r="F309" t="str">
        <f t="shared" si="20"/>
        <v/>
      </c>
      <c r="G309" t="str">
        <f>IF(LEN(TRIM(E309))=0, "", GetSampleTissueBySpecimenPrep(H309))</f>
        <v/>
      </c>
      <c r="H309" t="str">
        <f>IF(LEN(TRIM(E309))=0, "", GetSpecimenPrepName())</f>
        <v/>
      </c>
      <c r="I309" t="str">
        <f>IF(LEN(TRIM(E309))=0, "", GetSampleVolumeBySpecimenPrep(H309))</f>
        <v/>
      </c>
      <c r="L309" t="str">
        <f>IF(LEN(TRIM(E309))=0,"",VLOOKUP("Manifest Id",config!A:B,2,FALSE))</f>
        <v/>
      </c>
      <c r="M309" t="str">
        <f>IF(LEN(TRIM(E309))=0, "",VLOOKUP("Project Name",config!A:B,2,FALSE))</f>
        <v/>
      </c>
      <c r="N309" t="str">
        <f>IF(LEN(TRIM(E309))=0, "",VLOOKUP("Center Name",config!A:B,2,FALSE))</f>
        <v/>
      </c>
      <c r="O309" s="7" t="str">
        <f>IF(LEN(TRIM(E309))=0,"",VLOOKUP("Shipment Date",config!A:B,2,FALSE))</f>
        <v/>
      </c>
      <c r="P309" s="7" t="str">
        <f t="shared" si="17"/>
        <v/>
      </c>
      <c r="Q309" s="7" t="str">
        <f>IF(LEN(TRIM(D309))=0,"",GetConfigParameterValue("Collection Site"))</f>
        <v/>
      </c>
      <c r="R309" t="str">
        <f>IF(LEN(TRIM(E309))=0, "", GetManifestComments(H309))</f>
        <v/>
      </c>
      <c r="S309" t="str">
        <f>IF(LEN(TRIM(E309))=0,"",IF(ISERROR(VLOOKUP(E309,'Manifest MDB data'!A:A,1,FALSE)),"OK","EXISTS!!!"))</f>
        <v/>
      </c>
    </row>
    <row r="310" spans="4:19" x14ac:dyDescent="0.25">
      <c r="D310" t="str">
        <f t="shared" si="18"/>
        <v/>
      </c>
      <c r="E310" t="str">
        <f t="shared" si="19"/>
        <v/>
      </c>
      <c r="F310" t="str">
        <f t="shared" si="20"/>
        <v/>
      </c>
      <c r="G310" t="str">
        <f>IF(LEN(TRIM(E310))=0, "", GetSampleTissueBySpecimenPrep(H310))</f>
        <v/>
      </c>
      <c r="H310" t="str">
        <f>IF(LEN(TRIM(E310))=0, "", GetSpecimenPrepName())</f>
        <v/>
      </c>
      <c r="I310" t="str">
        <f>IF(LEN(TRIM(E310))=0, "", GetSampleVolumeBySpecimenPrep(H310))</f>
        <v/>
      </c>
      <c r="L310" t="str">
        <f>IF(LEN(TRIM(E310))=0,"",VLOOKUP("Manifest Id",config!A:B,2,FALSE))</f>
        <v/>
      </c>
      <c r="M310" t="str">
        <f>IF(LEN(TRIM(E310))=0, "",VLOOKUP("Project Name",config!A:B,2,FALSE))</f>
        <v/>
      </c>
      <c r="N310" t="str">
        <f>IF(LEN(TRIM(E310))=0, "",VLOOKUP("Center Name",config!A:B,2,FALSE))</f>
        <v/>
      </c>
      <c r="O310" s="7" t="str">
        <f>IF(LEN(TRIM(E310))=0,"",VLOOKUP("Shipment Date",config!A:B,2,FALSE))</f>
        <v/>
      </c>
      <c r="P310" s="7" t="str">
        <f t="shared" si="17"/>
        <v/>
      </c>
      <c r="Q310" s="7" t="str">
        <f>IF(LEN(TRIM(D310))=0,"",GetConfigParameterValue("Collection Site"))</f>
        <v/>
      </c>
      <c r="R310" t="str">
        <f>IF(LEN(TRIM(E310))=0, "", GetManifestComments(H310))</f>
        <v/>
      </c>
      <c r="S310" t="str">
        <f>IF(LEN(TRIM(E310))=0,"",IF(ISERROR(VLOOKUP(E310,'Manifest MDB data'!A:A,1,FALSE)),"OK","EXISTS!!!"))</f>
        <v/>
      </c>
    </row>
    <row r="311" spans="4:19" x14ac:dyDescent="0.25">
      <c r="D311" t="str">
        <f t="shared" si="18"/>
        <v/>
      </c>
      <c r="E311" t="str">
        <f t="shared" si="19"/>
        <v/>
      </c>
      <c r="F311" t="str">
        <f t="shared" si="20"/>
        <v/>
      </c>
      <c r="G311" t="str">
        <f>IF(LEN(TRIM(E311))=0, "", GetSampleTissueBySpecimenPrep(H311))</f>
        <v/>
      </c>
      <c r="H311" t="str">
        <f>IF(LEN(TRIM(E311))=0, "", GetSpecimenPrepName())</f>
        <v/>
      </c>
      <c r="I311" t="str">
        <f>IF(LEN(TRIM(E311))=0, "", GetSampleVolumeBySpecimenPrep(H311))</f>
        <v/>
      </c>
      <c r="L311" t="str">
        <f>IF(LEN(TRIM(E311))=0,"",VLOOKUP("Manifest Id",config!A:B,2,FALSE))</f>
        <v/>
      </c>
      <c r="M311" t="str">
        <f>IF(LEN(TRIM(E311))=0, "",VLOOKUP("Project Name",config!A:B,2,FALSE))</f>
        <v/>
      </c>
      <c r="N311" t="str">
        <f>IF(LEN(TRIM(E311))=0, "",VLOOKUP("Center Name",config!A:B,2,FALSE))</f>
        <v/>
      </c>
      <c r="O311" s="7" t="str">
        <f>IF(LEN(TRIM(E311))=0,"",VLOOKUP("Shipment Date",config!A:B,2,FALSE))</f>
        <v/>
      </c>
      <c r="P311" s="7" t="str">
        <f t="shared" si="17"/>
        <v/>
      </c>
      <c r="Q311" s="7" t="str">
        <f>IF(LEN(TRIM(D311))=0,"",GetConfigParameterValue("Collection Site"))</f>
        <v/>
      </c>
      <c r="R311" t="str">
        <f>IF(LEN(TRIM(E311))=0, "", GetManifestComments(H311))</f>
        <v/>
      </c>
      <c r="S311" t="str">
        <f>IF(LEN(TRIM(E311))=0,"",IF(ISERROR(VLOOKUP(E311,'Manifest MDB data'!A:A,1,FALSE)),"OK","EXISTS!!!"))</f>
        <v/>
      </c>
    </row>
    <row r="312" spans="4:19" x14ac:dyDescent="0.25">
      <c r="D312" t="str">
        <f t="shared" si="18"/>
        <v/>
      </c>
      <c r="E312" t="str">
        <f t="shared" si="19"/>
        <v/>
      </c>
      <c r="F312" t="str">
        <f t="shared" si="20"/>
        <v/>
      </c>
      <c r="G312" t="str">
        <f>IF(LEN(TRIM(E312))=0, "", GetSampleTissueBySpecimenPrep(H312))</f>
        <v/>
      </c>
      <c r="H312" t="str">
        <f>IF(LEN(TRIM(E312))=0, "", GetSpecimenPrepName())</f>
        <v/>
      </c>
      <c r="I312" t="str">
        <f>IF(LEN(TRIM(E312))=0, "", GetSampleVolumeBySpecimenPrep(H312))</f>
        <v/>
      </c>
      <c r="L312" t="str">
        <f>IF(LEN(TRIM(E312))=0,"",VLOOKUP("Manifest Id",config!A:B,2,FALSE))</f>
        <v/>
      </c>
      <c r="M312" t="str">
        <f>IF(LEN(TRIM(E312))=0, "",VLOOKUP("Project Name",config!A:B,2,FALSE))</f>
        <v/>
      </c>
      <c r="N312" t="str">
        <f>IF(LEN(TRIM(E312))=0, "",VLOOKUP("Center Name",config!A:B,2,FALSE))</f>
        <v/>
      </c>
      <c r="O312" s="7" t="str">
        <f>IF(LEN(TRIM(E312))=0,"",VLOOKUP("Shipment Date",config!A:B,2,FALSE))</f>
        <v/>
      </c>
      <c r="P312" s="7" t="str">
        <f t="shared" si="17"/>
        <v/>
      </c>
      <c r="Q312" s="7" t="str">
        <f>IF(LEN(TRIM(D312))=0,"",GetConfigParameterValue("Collection Site"))</f>
        <v/>
      </c>
      <c r="R312" t="str">
        <f>IF(LEN(TRIM(E312))=0, "", GetManifestComments(H312))</f>
        <v/>
      </c>
      <c r="S312" t="str">
        <f>IF(LEN(TRIM(E312))=0,"",IF(ISERROR(VLOOKUP(E312,'Manifest MDB data'!A:A,1,FALSE)),"OK","EXISTS!!!"))</f>
        <v/>
      </c>
    </row>
    <row r="313" spans="4:19" x14ac:dyDescent="0.25">
      <c r="D313" t="str">
        <f t="shared" si="18"/>
        <v/>
      </c>
      <c r="E313" t="str">
        <f t="shared" si="19"/>
        <v/>
      </c>
      <c r="F313" t="str">
        <f t="shared" si="20"/>
        <v/>
      </c>
      <c r="G313" t="str">
        <f>IF(LEN(TRIM(E313))=0, "", GetSampleTissueBySpecimenPrep(H313))</f>
        <v/>
      </c>
      <c r="H313" t="str">
        <f>IF(LEN(TRIM(E313))=0, "", GetSpecimenPrepName())</f>
        <v/>
      </c>
      <c r="I313" t="str">
        <f>IF(LEN(TRIM(E313))=0, "", GetSampleVolumeBySpecimenPrep(H313))</f>
        <v/>
      </c>
      <c r="L313" t="str">
        <f>IF(LEN(TRIM(E313))=0,"",VLOOKUP("Manifest Id",config!A:B,2,FALSE))</f>
        <v/>
      </c>
      <c r="M313" t="str">
        <f>IF(LEN(TRIM(E313))=0, "",VLOOKUP("Project Name",config!A:B,2,FALSE))</f>
        <v/>
      </c>
      <c r="N313" t="str">
        <f>IF(LEN(TRIM(E313))=0, "",VLOOKUP("Center Name",config!A:B,2,FALSE))</f>
        <v/>
      </c>
      <c r="O313" s="7" t="str">
        <f>IF(LEN(TRIM(E313))=0,"",VLOOKUP("Shipment Date",config!A:B,2,FALSE))</f>
        <v/>
      </c>
      <c r="P313" s="7" t="str">
        <f t="shared" si="17"/>
        <v/>
      </c>
      <c r="Q313" s="7" t="str">
        <f>IF(LEN(TRIM(D313))=0,"",GetConfigParameterValue("Collection Site"))</f>
        <v/>
      </c>
      <c r="R313" t="str">
        <f>IF(LEN(TRIM(E313))=0, "", GetManifestComments(H313))</f>
        <v/>
      </c>
      <c r="S313" t="str">
        <f>IF(LEN(TRIM(E313))=0,"",IF(ISERROR(VLOOKUP(E313,'Manifest MDB data'!A:A,1,FALSE)),"OK","EXISTS!!!"))</f>
        <v/>
      </c>
    </row>
    <row r="314" spans="4:19" x14ac:dyDescent="0.25">
      <c r="D314" t="str">
        <f t="shared" si="18"/>
        <v/>
      </c>
      <c r="E314" t="str">
        <f t="shared" si="19"/>
        <v/>
      </c>
      <c r="F314" t="str">
        <f t="shared" si="20"/>
        <v/>
      </c>
      <c r="G314" t="str">
        <f>IF(LEN(TRIM(E314))=0, "", GetSampleTissueBySpecimenPrep(H314))</f>
        <v/>
      </c>
      <c r="H314" t="str">
        <f>IF(LEN(TRIM(E314))=0, "", GetSpecimenPrepName())</f>
        <v/>
      </c>
      <c r="I314" t="str">
        <f>IF(LEN(TRIM(E314))=0, "", GetSampleVolumeBySpecimenPrep(H314))</f>
        <v/>
      </c>
      <c r="L314" t="str">
        <f>IF(LEN(TRIM(E314))=0,"",VLOOKUP("Manifest Id",config!A:B,2,FALSE))</f>
        <v/>
      </c>
      <c r="M314" t="str">
        <f>IF(LEN(TRIM(E314))=0, "",VLOOKUP("Project Name",config!A:B,2,FALSE))</f>
        <v/>
      </c>
      <c r="N314" t="str">
        <f>IF(LEN(TRIM(E314))=0, "",VLOOKUP("Center Name",config!A:B,2,FALSE))</f>
        <v/>
      </c>
      <c r="O314" s="7" t="str">
        <f>IF(LEN(TRIM(E314))=0,"",VLOOKUP("Shipment Date",config!A:B,2,FALSE))</f>
        <v/>
      </c>
      <c r="P314" s="7" t="str">
        <f t="shared" si="17"/>
        <v/>
      </c>
      <c r="Q314" s="7" t="str">
        <f>IF(LEN(TRIM(D314))=0,"",GetConfigParameterValue("Collection Site"))</f>
        <v/>
      </c>
      <c r="R314" t="str">
        <f>IF(LEN(TRIM(E314))=0, "", GetManifestComments(H314))</f>
        <v/>
      </c>
      <c r="S314" t="str">
        <f>IF(LEN(TRIM(E314))=0,"",IF(ISERROR(VLOOKUP(E314,'Manifest MDB data'!A:A,1,FALSE)),"OK","EXISTS!!!"))</f>
        <v/>
      </c>
    </row>
    <row r="315" spans="4:19" x14ac:dyDescent="0.25">
      <c r="D315" t="str">
        <f t="shared" si="18"/>
        <v/>
      </c>
      <c r="E315" t="str">
        <f t="shared" si="19"/>
        <v/>
      </c>
      <c r="F315" t="str">
        <f t="shared" si="20"/>
        <v/>
      </c>
      <c r="G315" t="str">
        <f>IF(LEN(TRIM(E315))=0, "", GetSampleTissueBySpecimenPrep(H315))</f>
        <v/>
      </c>
      <c r="H315" t="str">
        <f>IF(LEN(TRIM(E315))=0, "", GetSpecimenPrepName())</f>
        <v/>
      </c>
      <c r="I315" t="str">
        <f>IF(LEN(TRIM(E315))=0, "", GetSampleVolumeBySpecimenPrep(H315))</f>
        <v/>
      </c>
      <c r="L315" t="str">
        <f>IF(LEN(TRIM(E315))=0,"",VLOOKUP("Manifest Id",config!A:B,2,FALSE))</f>
        <v/>
      </c>
      <c r="M315" t="str">
        <f>IF(LEN(TRIM(E315))=0, "",VLOOKUP("Project Name",config!A:B,2,FALSE))</f>
        <v/>
      </c>
      <c r="N315" t="str">
        <f>IF(LEN(TRIM(E315))=0, "",VLOOKUP("Center Name",config!A:B,2,FALSE))</f>
        <v/>
      </c>
      <c r="O315" s="7" t="str">
        <f>IF(LEN(TRIM(E315))=0,"",VLOOKUP("Shipment Date",config!A:B,2,FALSE))</f>
        <v/>
      </c>
      <c r="P315" s="7" t="str">
        <f t="shared" si="17"/>
        <v/>
      </c>
      <c r="Q315" s="7" t="str">
        <f>IF(LEN(TRIM(D315))=0,"",GetConfigParameterValue("Collection Site"))</f>
        <v/>
      </c>
      <c r="R315" t="str">
        <f>IF(LEN(TRIM(E315))=0, "", GetManifestComments(H315))</f>
        <v/>
      </c>
      <c r="S315" t="str">
        <f>IF(LEN(TRIM(E315))=0,"",IF(ISERROR(VLOOKUP(E315,'Manifest MDB data'!A:A,1,FALSE)),"OK","EXISTS!!!"))</f>
        <v/>
      </c>
    </row>
    <row r="316" spans="4:19" x14ac:dyDescent="0.25">
      <c r="D316" t="str">
        <f t="shared" si="18"/>
        <v/>
      </c>
      <c r="E316" t="str">
        <f t="shared" si="19"/>
        <v/>
      </c>
      <c r="F316" t="str">
        <f t="shared" si="20"/>
        <v/>
      </c>
      <c r="G316" t="str">
        <f>IF(LEN(TRIM(E316))=0, "", GetSampleTissueBySpecimenPrep(H316))</f>
        <v/>
      </c>
      <c r="H316" t="str">
        <f>IF(LEN(TRIM(E316))=0, "", GetSpecimenPrepName())</f>
        <v/>
      </c>
      <c r="I316" t="str">
        <f>IF(LEN(TRIM(E316))=0, "", GetSampleVolumeBySpecimenPrep(H316))</f>
        <v/>
      </c>
      <c r="L316" t="str">
        <f>IF(LEN(TRIM(E316))=0,"",VLOOKUP("Manifest Id",config!A:B,2,FALSE))</f>
        <v/>
      </c>
      <c r="M316" t="str">
        <f>IF(LEN(TRIM(E316))=0, "",VLOOKUP("Project Name",config!A:B,2,FALSE))</f>
        <v/>
      </c>
      <c r="N316" t="str">
        <f>IF(LEN(TRIM(E316))=0, "",VLOOKUP("Center Name",config!A:B,2,FALSE))</f>
        <v/>
      </c>
      <c r="O316" s="7" t="str">
        <f>IF(LEN(TRIM(E316))=0,"",VLOOKUP("Shipment Date",config!A:B,2,FALSE))</f>
        <v/>
      </c>
      <c r="P316" s="7" t="str">
        <f t="shared" si="17"/>
        <v/>
      </c>
      <c r="Q316" s="7" t="str">
        <f>IF(LEN(TRIM(D316))=0,"",GetConfigParameterValue("Collection Site"))</f>
        <v/>
      </c>
      <c r="R316" t="str">
        <f>IF(LEN(TRIM(E316))=0, "", GetManifestComments(H316))</f>
        <v/>
      </c>
      <c r="S316" t="str">
        <f>IF(LEN(TRIM(E316))=0,"",IF(ISERROR(VLOOKUP(E316,'Manifest MDB data'!A:A,1,FALSE)),"OK","EXISTS!!!"))</f>
        <v/>
      </c>
    </row>
    <row r="317" spans="4:19" x14ac:dyDescent="0.25">
      <c r="D317" t="str">
        <f t="shared" si="18"/>
        <v/>
      </c>
      <c r="E317" t="str">
        <f t="shared" si="19"/>
        <v/>
      </c>
      <c r="F317" t="str">
        <f t="shared" si="20"/>
        <v/>
      </c>
      <c r="G317" t="str">
        <f>IF(LEN(TRIM(E317))=0, "", GetSampleTissueBySpecimenPrep(H317))</f>
        <v/>
      </c>
      <c r="H317" t="str">
        <f>IF(LEN(TRIM(E317))=0, "", GetSpecimenPrepName())</f>
        <v/>
      </c>
      <c r="I317" t="str">
        <f>IF(LEN(TRIM(E317))=0, "", GetSampleVolumeBySpecimenPrep(H317))</f>
        <v/>
      </c>
      <c r="L317" t="str">
        <f>IF(LEN(TRIM(E317))=0,"",VLOOKUP("Manifest Id",config!A:B,2,FALSE))</f>
        <v/>
      </c>
      <c r="M317" t="str">
        <f>IF(LEN(TRIM(E317))=0, "",VLOOKUP("Project Name",config!A:B,2,FALSE))</f>
        <v/>
      </c>
      <c r="N317" t="str">
        <f>IF(LEN(TRIM(E317))=0, "",VLOOKUP("Center Name",config!A:B,2,FALSE))</f>
        <v/>
      </c>
      <c r="O317" s="7" t="str">
        <f>IF(LEN(TRIM(E317))=0,"",VLOOKUP("Shipment Date",config!A:B,2,FALSE))</f>
        <v/>
      </c>
      <c r="P317" s="7" t="str">
        <f t="shared" si="17"/>
        <v/>
      </c>
      <c r="Q317" s="7" t="str">
        <f>IF(LEN(TRIM(D317))=0,"",GetConfigParameterValue("Collection Site"))</f>
        <v/>
      </c>
      <c r="R317" t="str">
        <f>IF(LEN(TRIM(E317))=0, "", GetManifestComments(H317))</f>
        <v/>
      </c>
      <c r="S317" t="str">
        <f>IF(LEN(TRIM(E317))=0,"",IF(ISERROR(VLOOKUP(E317,'Manifest MDB data'!A:A,1,FALSE)),"OK","EXISTS!!!"))</f>
        <v/>
      </c>
    </row>
    <row r="318" spans="4:19" x14ac:dyDescent="0.25">
      <c r="D318" t="str">
        <f t="shared" si="18"/>
        <v/>
      </c>
      <c r="E318" t="str">
        <f t="shared" si="19"/>
        <v/>
      </c>
      <c r="F318" t="str">
        <f t="shared" si="20"/>
        <v/>
      </c>
      <c r="G318" t="str">
        <f>IF(LEN(TRIM(E318))=0, "", GetSampleTissueBySpecimenPrep(H318))</f>
        <v/>
      </c>
      <c r="H318" t="str">
        <f>IF(LEN(TRIM(E318))=0, "", GetSpecimenPrepName())</f>
        <v/>
      </c>
      <c r="I318" t="str">
        <f>IF(LEN(TRIM(E318))=0, "", GetSampleVolumeBySpecimenPrep(H318))</f>
        <v/>
      </c>
      <c r="L318" t="str">
        <f>IF(LEN(TRIM(E318))=0,"",VLOOKUP("Manifest Id",config!A:B,2,FALSE))</f>
        <v/>
      </c>
      <c r="M318" t="str">
        <f>IF(LEN(TRIM(E318))=0, "",VLOOKUP("Project Name",config!A:B,2,FALSE))</f>
        <v/>
      </c>
      <c r="N318" t="str">
        <f>IF(LEN(TRIM(E318))=0, "",VLOOKUP("Center Name",config!A:B,2,FALSE))</f>
        <v/>
      </c>
      <c r="O318" s="7" t="str">
        <f>IF(LEN(TRIM(E318))=0,"",VLOOKUP("Shipment Date",config!A:B,2,FALSE))</f>
        <v/>
      </c>
      <c r="P318" s="7" t="str">
        <f t="shared" si="17"/>
        <v/>
      </c>
      <c r="Q318" s="7" t="str">
        <f>IF(LEN(TRIM(D318))=0,"",GetConfigParameterValue("Collection Site"))</f>
        <v/>
      </c>
      <c r="R318" t="str">
        <f>IF(LEN(TRIM(E318))=0, "", GetManifestComments(H318))</f>
        <v/>
      </c>
      <c r="S318" t="str">
        <f>IF(LEN(TRIM(E318))=0,"",IF(ISERROR(VLOOKUP(E318,'Manifest MDB data'!A:A,1,FALSE)),"OK","EXISTS!!!"))</f>
        <v/>
      </c>
    </row>
    <row r="319" spans="4:19" x14ac:dyDescent="0.25">
      <c r="D319" t="str">
        <f t="shared" si="18"/>
        <v/>
      </c>
      <c r="E319" t="str">
        <f t="shared" si="19"/>
        <v/>
      </c>
      <c r="F319" t="str">
        <f t="shared" si="20"/>
        <v/>
      </c>
      <c r="G319" t="str">
        <f>IF(LEN(TRIM(E319))=0, "", GetSampleTissueBySpecimenPrep(H319))</f>
        <v/>
      </c>
      <c r="H319" t="str">
        <f>IF(LEN(TRIM(E319))=0, "", GetSpecimenPrepName())</f>
        <v/>
      </c>
      <c r="I319" t="str">
        <f>IF(LEN(TRIM(E319))=0, "", GetSampleVolumeBySpecimenPrep(H319))</f>
        <v/>
      </c>
      <c r="L319" t="str">
        <f>IF(LEN(TRIM(E319))=0,"",VLOOKUP("Manifest Id",config!A:B,2,FALSE))</f>
        <v/>
      </c>
      <c r="M319" t="str">
        <f>IF(LEN(TRIM(E319))=0, "",VLOOKUP("Project Name",config!A:B,2,FALSE))</f>
        <v/>
      </c>
      <c r="N319" t="str">
        <f>IF(LEN(TRIM(E319))=0, "",VLOOKUP("Center Name",config!A:B,2,FALSE))</f>
        <v/>
      </c>
      <c r="O319" s="7" t="str">
        <f>IF(LEN(TRIM(E319))=0,"",VLOOKUP("Shipment Date",config!A:B,2,FALSE))</f>
        <v/>
      </c>
      <c r="P319" s="7" t="str">
        <f t="shared" si="17"/>
        <v/>
      </c>
      <c r="Q319" s="7" t="str">
        <f>IF(LEN(TRIM(D319))=0,"",GetConfigParameterValue("Collection Site"))</f>
        <v/>
      </c>
      <c r="R319" t="str">
        <f>IF(LEN(TRIM(E319))=0, "", GetManifestComments(H319))</f>
        <v/>
      </c>
      <c r="S319" t="str">
        <f>IF(LEN(TRIM(E319))=0,"",IF(ISERROR(VLOOKUP(E319,'Manifest MDB data'!A:A,1,FALSE)),"OK","EXISTS!!!"))</f>
        <v/>
      </c>
    </row>
    <row r="320" spans="4:19" x14ac:dyDescent="0.25">
      <c r="D320" t="str">
        <f t="shared" si="18"/>
        <v/>
      </c>
      <c r="E320" t="str">
        <f t="shared" si="19"/>
        <v/>
      </c>
      <c r="F320" t="str">
        <f t="shared" si="20"/>
        <v/>
      </c>
      <c r="G320" t="str">
        <f>IF(LEN(TRIM(E320))=0, "", GetSampleTissueBySpecimenPrep(H320))</f>
        <v/>
      </c>
      <c r="H320" t="str">
        <f>IF(LEN(TRIM(E320))=0, "", GetSpecimenPrepName())</f>
        <v/>
      </c>
      <c r="I320" t="str">
        <f>IF(LEN(TRIM(E320))=0, "", GetSampleVolumeBySpecimenPrep(H320))</f>
        <v/>
      </c>
      <c r="L320" t="str">
        <f>IF(LEN(TRIM(E320))=0,"",VLOOKUP("Manifest Id",config!A:B,2,FALSE))</f>
        <v/>
      </c>
      <c r="M320" t="str">
        <f>IF(LEN(TRIM(E320))=0, "",VLOOKUP("Project Name",config!A:B,2,FALSE))</f>
        <v/>
      </c>
      <c r="N320" t="str">
        <f>IF(LEN(TRIM(E320))=0, "",VLOOKUP("Center Name",config!A:B,2,FALSE))</f>
        <v/>
      </c>
      <c r="O320" s="7" t="str">
        <f>IF(LEN(TRIM(E320))=0,"",VLOOKUP("Shipment Date",config!A:B,2,FALSE))</f>
        <v/>
      </c>
      <c r="P320" s="7" t="str">
        <f t="shared" si="17"/>
        <v/>
      </c>
      <c r="Q320" s="7" t="str">
        <f>IF(LEN(TRIM(D320))=0,"",GetConfigParameterValue("Collection Site"))</f>
        <v/>
      </c>
      <c r="R320" t="str">
        <f>IF(LEN(TRIM(E320))=0, "", GetManifestComments(H320))</f>
        <v/>
      </c>
      <c r="S320" t="str">
        <f>IF(LEN(TRIM(E320))=0,"",IF(ISERROR(VLOOKUP(E320,'Manifest MDB data'!A:A,1,FALSE)),"OK","EXISTS!!!"))</f>
        <v/>
      </c>
    </row>
    <row r="321" spans="4:19" x14ac:dyDescent="0.25">
      <c r="D321" t="str">
        <f t="shared" si="18"/>
        <v/>
      </c>
      <c r="E321" t="str">
        <f t="shared" si="19"/>
        <v/>
      </c>
      <c r="F321" t="str">
        <f t="shared" si="20"/>
        <v/>
      </c>
      <c r="G321" t="str">
        <f>IF(LEN(TRIM(E321))=0, "", GetSampleTissueBySpecimenPrep(H321))</f>
        <v/>
      </c>
      <c r="H321" t="str">
        <f>IF(LEN(TRIM(E321))=0, "", GetSpecimenPrepName())</f>
        <v/>
      </c>
      <c r="I321" t="str">
        <f>IF(LEN(TRIM(E321))=0, "", GetSampleVolumeBySpecimenPrep(H321))</f>
        <v/>
      </c>
      <c r="L321" t="str">
        <f>IF(LEN(TRIM(E321))=0,"",VLOOKUP("Manifest Id",config!A:B,2,FALSE))</f>
        <v/>
      </c>
      <c r="M321" t="str">
        <f>IF(LEN(TRIM(E321))=0, "",VLOOKUP("Project Name",config!A:B,2,FALSE))</f>
        <v/>
      </c>
      <c r="N321" t="str">
        <f>IF(LEN(TRIM(E321))=0, "",VLOOKUP("Center Name",config!A:B,2,FALSE))</f>
        <v/>
      </c>
      <c r="O321" s="7" t="str">
        <f>IF(LEN(TRIM(E321))=0,"",VLOOKUP("Shipment Date",config!A:B,2,FALSE))</f>
        <v/>
      </c>
      <c r="P321" s="7" t="str">
        <f t="shared" si="17"/>
        <v/>
      </c>
      <c r="Q321" s="7" t="str">
        <f>IF(LEN(TRIM(D321))=0,"",GetConfigParameterValue("Collection Site"))</f>
        <v/>
      </c>
      <c r="R321" t="str">
        <f>IF(LEN(TRIM(E321))=0, "", GetManifestComments(H321))</f>
        <v/>
      </c>
      <c r="S321" t="str">
        <f>IF(LEN(TRIM(E321))=0,"",IF(ISERROR(VLOOKUP(E321,'Manifest MDB data'!A:A,1,FALSE)),"OK","EXISTS!!!"))</f>
        <v/>
      </c>
    </row>
    <row r="322" spans="4:19" x14ac:dyDescent="0.25">
      <c r="D322" t="str">
        <f t="shared" si="18"/>
        <v/>
      </c>
      <c r="E322" t="str">
        <f t="shared" si="19"/>
        <v/>
      </c>
      <c r="F322" t="str">
        <f t="shared" si="20"/>
        <v/>
      </c>
      <c r="G322" t="str">
        <f>IF(LEN(TRIM(E322))=0, "", GetSampleTissueBySpecimenPrep(H322))</f>
        <v/>
      </c>
      <c r="H322" t="str">
        <f>IF(LEN(TRIM(E322))=0, "", GetSpecimenPrepName())</f>
        <v/>
      </c>
      <c r="I322" t="str">
        <f>IF(LEN(TRIM(E322))=0, "", GetSampleVolumeBySpecimenPrep(H322))</f>
        <v/>
      </c>
      <c r="L322" t="str">
        <f>IF(LEN(TRIM(E322))=0,"",VLOOKUP("Manifest Id",config!A:B,2,FALSE))</f>
        <v/>
      </c>
      <c r="M322" t="str">
        <f>IF(LEN(TRIM(E322))=0, "",VLOOKUP("Project Name",config!A:B,2,FALSE))</f>
        <v/>
      </c>
      <c r="N322" t="str">
        <f>IF(LEN(TRIM(E322))=0, "",VLOOKUP("Center Name",config!A:B,2,FALSE))</f>
        <v/>
      </c>
      <c r="O322" s="7" t="str">
        <f>IF(LEN(TRIM(E322))=0,"",VLOOKUP("Shipment Date",config!A:B,2,FALSE))</f>
        <v/>
      </c>
      <c r="P322" s="7" t="str">
        <f t="shared" ref="P322:P385" si="21">getColumnValueBySubjectID("Visit Date", RIGHT(LEFT(D322,7),4))</f>
        <v/>
      </c>
      <c r="Q322" s="7" t="str">
        <f>IF(LEN(TRIM(D322))=0,"",GetConfigParameterValue("Collection Site"))</f>
        <v/>
      </c>
      <c r="R322" t="str">
        <f>IF(LEN(TRIM(E322))=0, "", GetManifestComments(H322))</f>
        <v/>
      </c>
      <c r="S322" t="str">
        <f>IF(LEN(TRIM(E322))=0,"",IF(ISERROR(VLOOKUP(E322,'Manifest MDB data'!A:A,1,FALSE)),"OK","EXISTS!!!"))</f>
        <v/>
      </c>
    </row>
    <row r="323" spans="4:19" x14ac:dyDescent="0.25">
      <c r="D323" t="str">
        <f t="shared" ref="D323:D386" si="22">GetSampleId((ROW()))</f>
        <v/>
      </c>
      <c r="E323" t="str">
        <f t="shared" ref="E323:E386" si="23">GetAliquotId((ROW()))</f>
        <v/>
      </c>
      <c r="F323" t="str">
        <f t="shared" ref="F323:F386" si="24">IF(LEN(TRIM(E323))=0, "", "Human")</f>
        <v/>
      </c>
      <c r="G323" t="str">
        <f>IF(LEN(TRIM(E323))=0, "", GetSampleTissueBySpecimenPrep(H323))</f>
        <v/>
      </c>
      <c r="H323" t="str">
        <f>IF(LEN(TRIM(E323))=0, "", GetSpecimenPrepName())</f>
        <v/>
      </c>
      <c r="I323" t="str">
        <f>IF(LEN(TRIM(E323))=0, "", GetSampleVolumeBySpecimenPrep(H323))</f>
        <v/>
      </c>
      <c r="L323" t="str">
        <f>IF(LEN(TRIM(E323))=0,"",VLOOKUP("Manifest Id",config!A:B,2,FALSE))</f>
        <v/>
      </c>
      <c r="M323" t="str">
        <f>IF(LEN(TRIM(E323))=0, "",VLOOKUP("Project Name",config!A:B,2,FALSE))</f>
        <v/>
      </c>
      <c r="N323" t="str">
        <f>IF(LEN(TRIM(E323))=0, "",VLOOKUP("Center Name",config!A:B,2,FALSE))</f>
        <v/>
      </c>
      <c r="O323" s="7" t="str">
        <f>IF(LEN(TRIM(E323))=0,"",VLOOKUP("Shipment Date",config!A:B,2,FALSE))</f>
        <v/>
      </c>
      <c r="P323" s="7" t="str">
        <f t="shared" si="21"/>
        <v/>
      </c>
      <c r="Q323" s="7" t="str">
        <f>IF(LEN(TRIM(D323))=0,"",GetConfigParameterValue("Collection Site"))</f>
        <v/>
      </c>
      <c r="R323" t="str">
        <f>IF(LEN(TRIM(E323))=0, "", GetManifestComments(H323))</f>
        <v/>
      </c>
      <c r="S323" t="str">
        <f>IF(LEN(TRIM(E323))=0,"",IF(ISERROR(VLOOKUP(E323,'Manifest MDB data'!A:A,1,FALSE)),"OK","EXISTS!!!"))</f>
        <v/>
      </c>
    </row>
    <row r="324" spans="4:19" x14ac:dyDescent="0.25">
      <c r="D324" t="str">
        <f t="shared" si="22"/>
        <v/>
      </c>
      <c r="E324" t="str">
        <f t="shared" si="23"/>
        <v/>
      </c>
      <c r="F324" t="str">
        <f t="shared" si="24"/>
        <v/>
      </c>
      <c r="G324" t="str">
        <f>IF(LEN(TRIM(E324))=0, "", GetSampleTissueBySpecimenPrep(H324))</f>
        <v/>
      </c>
      <c r="H324" t="str">
        <f>IF(LEN(TRIM(E324))=0, "", GetSpecimenPrepName())</f>
        <v/>
      </c>
      <c r="I324" t="str">
        <f>IF(LEN(TRIM(E324))=0, "", GetSampleVolumeBySpecimenPrep(H324))</f>
        <v/>
      </c>
      <c r="L324" t="str">
        <f>IF(LEN(TRIM(E324))=0,"",VLOOKUP("Manifest Id",config!A:B,2,FALSE))</f>
        <v/>
      </c>
      <c r="M324" t="str">
        <f>IF(LEN(TRIM(E324))=0, "",VLOOKUP("Project Name",config!A:B,2,FALSE))</f>
        <v/>
      </c>
      <c r="N324" t="str">
        <f>IF(LEN(TRIM(E324))=0, "",VLOOKUP("Center Name",config!A:B,2,FALSE))</f>
        <v/>
      </c>
      <c r="O324" s="7" t="str">
        <f>IF(LEN(TRIM(E324))=0,"",VLOOKUP("Shipment Date",config!A:B,2,FALSE))</f>
        <v/>
      </c>
      <c r="P324" s="7" t="str">
        <f t="shared" si="21"/>
        <v/>
      </c>
      <c r="Q324" s="7" t="str">
        <f>IF(LEN(TRIM(D324))=0,"",GetConfigParameterValue("Collection Site"))</f>
        <v/>
      </c>
      <c r="R324" t="str">
        <f>IF(LEN(TRIM(E324))=0, "", GetManifestComments(H324))</f>
        <v/>
      </c>
      <c r="S324" t="str">
        <f>IF(LEN(TRIM(E324))=0,"",IF(ISERROR(VLOOKUP(E324,'Manifest MDB data'!A:A,1,FALSE)),"OK","EXISTS!!!"))</f>
        <v/>
      </c>
    </row>
    <row r="325" spans="4:19" x14ac:dyDescent="0.25">
      <c r="D325" t="str">
        <f t="shared" si="22"/>
        <v/>
      </c>
      <c r="E325" t="str">
        <f t="shared" si="23"/>
        <v/>
      </c>
      <c r="F325" t="str">
        <f t="shared" si="24"/>
        <v/>
      </c>
      <c r="G325" t="str">
        <f>IF(LEN(TRIM(E325))=0, "", GetSampleTissueBySpecimenPrep(H325))</f>
        <v/>
      </c>
      <c r="H325" t="str">
        <f>IF(LEN(TRIM(E325))=0, "", GetSpecimenPrepName())</f>
        <v/>
      </c>
      <c r="I325" t="str">
        <f>IF(LEN(TRIM(E325))=0, "", GetSampleVolumeBySpecimenPrep(H325))</f>
        <v/>
      </c>
      <c r="L325" t="str">
        <f>IF(LEN(TRIM(E325))=0,"",VLOOKUP("Manifest Id",config!A:B,2,FALSE))</f>
        <v/>
      </c>
      <c r="M325" t="str">
        <f>IF(LEN(TRIM(E325))=0, "",VLOOKUP("Project Name",config!A:B,2,FALSE))</f>
        <v/>
      </c>
      <c r="N325" t="str">
        <f>IF(LEN(TRIM(E325))=0, "",VLOOKUP("Center Name",config!A:B,2,FALSE))</f>
        <v/>
      </c>
      <c r="O325" s="7" t="str">
        <f>IF(LEN(TRIM(E325))=0,"",VLOOKUP("Shipment Date",config!A:B,2,FALSE))</f>
        <v/>
      </c>
      <c r="P325" s="7" t="str">
        <f t="shared" si="21"/>
        <v/>
      </c>
      <c r="Q325" s="7" t="str">
        <f>IF(LEN(TRIM(D325))=0,"",GetConfigParameterValue("Collection Site"))</f>
        <v/>
      </c>
      <c r="R325" t="str">
        <f>IF(LEN(TRIM(E325))=0, "", GetManifestComments(H325))</f>
        <v/>
      </c>
      <c r="S325" t="str">
        <f>IF(LEN(TRIM(E325))=0,"",IF(ISERROR(VLOOKUP(E325,'Manifest MDB data'!A:A,1,FALSE)),"OK","EXISTS!!!"))</f>
        <v/>
      </c>
    </row>
    <row r="326" spans="4:19" x14ac:dyDescent="0.25">
      <c r="D326" t="str">
        <f t="shared" si="22"/>
        <v/>
      </c>
      <c r="E326" t="str">
        <f t="shared" si="23"/>
        <v/>
      </c>
      <c r="F326" t="str">
        <f t="shared" si="24"/>
        <v/>
      </c>
      <c r="G326" t="str">
        <f>IF(LEN(TRIM(E326))=0, "", GetSampleTissueBySpecimenPrep(H326))</f>
        <v/>
      </c>
      <c r="H326" t="str">
        <f>IF(LEN(TRIM(E326))=0, "", GetSpecimenPrepName())</f>
        <v/>
      </c>
      <c r="I326" t="str">
        <f>IF(LEN(TRIM(E326))=0, "", GetSampleVolumeBySpecimenPrep(H326))</f>
        <v/>
      </c>
      <c r="L326" t="str">
        <f>IF(LEN(TRIM(E326))=0,"",VLOOKUP("Manifest Id",config!A:B,2,FALSE))</f>
        <v/>
      </c>
      <c r="M326" t="str">
        <f>IF(LEN(TRIM(E326))=0, "",VLOOKUP("Project Name",config!A:B,2,FALSE))</f>
        <v/>
      </c>
      <c r="N326" t="str">
        <f>IF(LEN(TRIM(E326))=0, "",VLOOKUP("Center Name",config!A:B,2,FALSE))</f>
        <v/>
      </c>
      <c r="O326" s="7" t="str">
        <f>IF(LEN(TRIM(E326))=0,"",VLOOKUP("Shipment Date",config!A:B,2,FALSE))</f>
        <v/>
      </c>
      <c r="P326" s="7" t="str">
        <f t="shared" si="21"/>
        <v/>
      </c>
      <c r="Q326" s="7" t="str">
        <f>IF(LEN(TRIM(D326))=0,"",GetConfigParameterValue("Collection Site"))</f>
        <v/>
      </c>
      <c r="R326" t="str">
        <f>IF(LEN(TRIM(E326))=0, "", GetManifestComments(H326))</f>
        <v/>
      </c>
      <c r="S326" t="str">
        <f>IF(LEN(TRIM(E326))=0,"",IF(ISERROR(VLOOKUP(E326,'Manifest MDB data'!A:A,1,FALSE)),"OK","EXISTS!!!"))</f>
        <v/>
      </c>
    </row>
    <row r="327" spans="4:19" x14ac:dyDescent="0.25">
      <c r="D327" t="str">
        <f t="shared" si="22"/>
        <v/>
      </c>
      <c r="E327" t="str">
        <f t="shared" si="23"/>
        <v/>
      </c>
      <c r="F327" t="str">
        <f t="shared" si="24"/>
        <v/>
      </c>
      <c r="G327" t="str">
        <f>IF(LEN(TRIM(E327))=0, "", GetSampleTissueBySpecimenPrep(H327))</f>
        <v/>
      </c>
      <c r="H327" t="str">
        <f>IF(LEN(TRIM(E327))=0, "", GetSpecimenPrepName())</f>
        <v/>
      </c>
      <c r="I327" t="str">
        <f>IF(LEN(TRIM(E327))=0, "", GetSampleVolumeBySpecimenPrep(H327))</f>
        <v/>
      </c>
      <c r="L327" t="str">
        <f>IF(LEN(TRIM(E327))=0,"",VLOOKUP("Manifest Id",config!A:B,2,FALSE))</f>
        <v/>
      </c>
      <c r="M327" t="str">
        <f>IF(LEN(TRIM(E327))=0, "",VLOOKUP("Project Name",config!A:B,2,FALSE))</f>
        <v/>
      </c>
      <c r="N327" t="str">
        <f>IF(LEN(TRIM(E327))=0, "",VLOOKUP("Center Name",config!A:B,2,FALSE))</f>
        <v/>
      </c>
      <c r="O327" s="7" t="str">
        <f>IF(LEN(TRIM(E327))=0,"",VLOOKUP("Shipment Date",config!A:B,2,FALSE))</f>
        <v/>
      </c>
      <c r="P327" s="7" t="str">
        <f t="shared" si="21"/>
        <v/>
      </c>
      <c r="Q327" s="7" t="str">
        <f>IF(LEN(TRIM(D327))=0,"",GetConfigParameterValue("Collection Site"))</f>
        <v/>
      </c>
      <c r="R327" t="str">
        <f>IF(LEN(TRIM(E327))=0, "", GetManifestComments(H327))</f>
        <v/>
      </c>
      <c r="S327" t="str">
        <f>IF(LEN(TRIM(E327))=0,"",IF(ISERROR(VLOOKUP(E327,'Manifest MDB data'!A:A,1,FALSE)),"OK","EXISTS!!!"))</f>
        <v/>
      </c>
    </row>
    <row r="328" spans="4:19" x14ac:dyDescent="0.25">
      <c r="D328" t="str">
        <f t="shared" si="22"/>
        <v/>
      </c>
      <c r="E328" t="str">
        <f t="shared" si="23"/>
        <v/>
      </c>
      <c r="F328" t="str">
        <f t="shared" si="24"/>
        <v/>
      </c>
      <c r="G328" t="str">
        <f>IF(LEN(TRIM(E328))=0, "", GetSampleTissueBySpecimenPrep(H328))</f>
        <v/>
      </c>
      <c r="H328" t="str">
        <f>IF(LEN(TRIM(E328))=0, "", GetSpecimenPrepName())</f>
        <v/>
      </c>
      <c r="I328" t="str">
        <f>IF(LEN(TRIM(E328))=0, "", GetSampleVolumeBySpecimenPrep(H328))</f>
        <v/>
      </c>
      <c r="L328" t="str">
        <f>IF(LEN(TRIM(E328))=0,"",VLOOKUP("Manifest Id",config!A:B,2,FALSE))</f>
        <v/>
      </c>
      <c r="M328" t="str">
        <f>IF(LEN(TRIM(E328))=0, "",VLOOKUP("Project Name",config!A:B,2,FALSE))</f>
        <v/>
      </c>
      <c r="N328" t="str">
        <f>IF(LEN(TRIM(E328))=0, "",VLOOKUP("Center Name",config!A:B,2,FALSE))</f>
        <v/>
      </c>
      <c r="O328" s="7" t="str">
        <f>IF(LEN(TRIM(E328))=0,"",VLOOKUP("Shipment Date",config!A:B,2,FALSE))</f>
        <v/>
      </c>
      <c r="P328" s="7" t="str">
        <f t="shared" si="21"/>
        <v/>
      </c>
      <c r="Q328" s="7" t="str">
        <f>IF(LEN(TRIM(D328))=0,"",GetConfigParameterValue("Collection Site"))</f>
        <v/>
      </c>
      <c r="R328" t="str">
        <f>IF(LEN(TRIM(E328))=0, "", GetManifestComments(H328))</f>
        <v/>
      </c>
      <c r="S328" t="str">
        <f>IF(LEN(TRIM(E328))=0,"",IF(ISERROR(VLOOKUP(E328,'Manifest MDB data'!A:A,1,FALSE)),"OK","EXISTS!!!"))</f>
        <v/>
      </c>
    </row>
    <row r="329" spans="4:19" x14ac:dyDescent="0.25">
      <c r="D329" t="str">
        <f t="shared" si="22"/>
        <v/>
      </c>
      <c r="E329" t="str">
        <f t="shared" si="23"/>
        <v/>
      </c>
      <c r="F329" t="str">
        <f t="shared" si="24"/>
        <v/>
      </c>
      <c r="G329" t="str">
        <f>IF(LEN(TRIM(E329))=0, "", GetSampleTissueBySpecimenPrep(H329))</f>
        <v/>
      </c>
      <c r="H329" t="str">
        <f>IF(LEN(TRIM(E329))=0, "", GetSpecimenPrepName())</f>
        <v/>
      </c>
      <c r="I329" t="str">
        <f>IF(LEN(TRIM(E329))=0, "", GetSampleVolumeBySpecimenPrep(H329))</f>
        <v/>
      </c>
      <c r="L329" t="str">
        <f>IF(LEN(TRIM(E329))=0,"",VLOOKUP("Manifest Id",config!A:B,2,FALSE))</f>
        <v/>
      </c>
      <c r="M329" t="str">
        <f>IF(LEN(TRIM(E329))=0, "",VLOOKUP("Project Name",config!A:B,2,FALSE))</f>
        <v/>
      </c>
      <c r="N329" t="str">
        <f>IF(LEN(TRIM(E329))=0, "",VLOOKUP("Center Name",config!A:B,2,FALSE))</f>
        <v/>
      </c>
      <c r="O329" s="7" t="str">
        <f>IF(LEN(TRIM(E329))=0,"",VLOOKUP("Shipment Date",config!A:B,2,FALSE))</f>
        <v/>
      </c>
      <c r="P329" s="7" t="str">
        <f t="shared" si="21"/>
        <v/>
      </c>
      <c r="Q329" s="7" t="str">
        <f>IF(LEN(TRIM(D329))=0,"",GetConfigParameterValue("Collection Site"))</f>
        <v/>
      </c>
      <c r="R329" t="str">
        <f>IF(LEN(TRIM(E329))=0, "", GetManifestComments(H329))</f>
        <v/>
      </c>
      <c r="S329" t="str">
        <f>IF(LEN(TRIM(E329))=0,"",IF(ISERROR(VLOOKUP(E329,'Manifest MDB data'!A:A,1,FALSE)),"OK","EXISTS!!!"))</f>
        <v/>
      </c>
    </row>
    <row r="330" spans="4:19" x14ac:dyDescent="0.25">
      <c r="D330" t="str">
        <f t="shared" si="22"/>
        <v/>
      </c>
      <c r="E330" t="str">
        <f t="shared" si="23"/>
        <v/>
      </c>
      <c r="F330" t="str">
        <f t="shared" si="24"/>
        <v/>
      </c>
      <c r="G330" t="str">
        <f>IF(LEN(TRIM(E330))=0, "", GetSampleTissueBySpecimenPrep(H330))</f>
        <v/>
      </c>
      <c r="H330" t="str">
        <f>IF(LEN(TRIM(E330))=0, "", GetSpecimenPrepName())</f>
        <v/>
      </c>
      <c r="I330" t="str">
        <f>IF(LEN(TRIM(E330))=0, "", GetSampleVolumeBySpecimenPrep(H330))</f>
        <v/>
      </c>
      <c r="L330" t="str">
        <f>IF(LEN(TRIM(E330))=0,"",VLOOKUP("Manifest Id",config!A:B,2,FALSE))</f>
        <v/>
      </c>
      <c r="M330" t="str">
        <f>IF(LEN(TRIM(E330))=0, "",VLOOKUP("Project Name",config!A:B,2,FALSE))</f>
        <v/>
      </c>
      <c r="N330" t="str">
        <f>IF(LEN(TRIM(E330))=0, "",VLOOKUP("Center Name",config!A:B,2,FALSE))</f>
        <v/>
      </c>
      <c r="O330" s="7" t="str">
        <f>IF(LEN(TRIM(E330))=0,"",VLOOKUP("Shipment Date",config!A:B,2,FALSE))</f>
        <v/>
      </c>
      <c r="P330" s="7" t="str">
        <f t="shared" si="21"/>
        <v/>
      </c>
      <c r="Q330" s="7" t="str">
        <f>IF(LEN(TRIM(D330))=0,"",GetConfigParameterValue("Collection Site"))</f>
        <v/>
      </c>
      <c r="R330" t="str">
        <f>IF(LEN(TRIM(E330))=0, "", GetManifestComments(H330))</f>
        <v/>
      </c>
      <c r="S330" t="str">
        <f>IF(LEN(TRIM(E330))=0,"",IF(ISERROR(VLOOKUP(E330,'Manifest MDB data'!A:A,1,FALSE)),"OK","EXISTS!!!"))</f>
        <v/>
      </c>
    </row>
    <row r="331" spans="4:19" x14ac:dyDescent="0.25">
      <c r="D331" t="str">
        <f t="shared" si="22"/>
        <v/>
      </c>
      <c r="E331" t="str">
        <f t="shared" si="23"/>
        <v/>
      </c>
      <c r="F331" t="str">
        <f t="shared" si="24"/>
        <v/>
      </c>
      <c r="G331" t="str">
        <f>IF(LEN(TRIM(E331))=0, "", GetSampleTissueBySpecimenPrep(H331))</f>
        <v/>
      </c>
      <c r="H331" t="str">
        <f>IF(LEN(TRIM(E331))=0, "", GetSpecimenPrepName())</f>
        <v/>
      </c>
      <c r="I331" t="str">
        <f>IF(LEN(TRIM(E331))=0, "", GetSampleVolumeBySpecimenPrep(H331))</f>
        <v/>
      </c>
      <c r="L331" t="str">
        <f>IF(LEN(TRIM(E331))=0,"",VLOOKUP("Manifest Id",config!A:B,2,FALSE))</f>
        <v/>
      </c>
      <c r="M331" t="str">
        <f>IF(LEN(TRIM(E331))=0, "",VLOOKUP("Project Name",config!A:B,2,FALSE))</f>
        <v/>
      </c>
      <c r="N331" t="str">
        <f>IF(LEN(TRIM(E331))=0, "",VLOOKUP("Center Name",config!A:B,2,FALSE))</f>
        <v/>
      </c>
      <c r="O331" s="7" t="str">
        <f>IF(LEN(TRIM(E331))=0,"",VLOOKUP("Shipment Date",config!A:B,2,FALSE))</f>
        <v/>
      </c>
      <c r="P331" s="7" t="str">
        <f t="shared" si="21"/>
        <v/>
      </c>
      <c r="Q331" s="7" t="str">
        <f>IF(LEN(TRIM(D331))=0,"",GetConfigParameterValue("Collection Site"))</f>
        <v/>
      </c>
      <c r="R331" t="str">
        <f>IF(LEN(TRIM(E331))=0, "", GetManifestComments(H331))</f>
        <v/>
      </c>
      <c r="S331" t="str">
        <f>IF(LEN(TRIM(E331))=0,"",IF(ISERROR(VLOOKUP(E331,'Manifest MDB data'!A:A,1,FALSE)),"OK","EXISTS!!!"))</f>
        <v/>
      </c>
    </row>
    <row r="332" spans="4:19" x14ac:dyDescent="0.25">
      <c r="D332" t="str">
        <f t="shared" si="22"/>
        <v/>
      </c>
      <c r="E332" t="str">
        <f t="shared" si="23"/>
        <v/>
      </c>
      <c r="F332" t="str">
        <f t="shared" si="24"/>
        <v/>
      </c>
      <c r="G332" t="str">
        <f>IF(LEN(TRIM(E332))=0, "", GetSampleTissueBySpecimenPrep(H332))</f>
        <v/>
      </c>
      <c r="H332" t="str">
        <f>IF(LEN(TRIM(E332))=0, "", GetSpecimenPrepName())</f>
        <v/>
      </c>
      <c r="I332" t="str">
        <f>IF(LEN(TRIM(E332))=0, "", GetSampleVolumeBySpecimenPrep(H332))</f>
        <v/>
      </c>
      <c r="L332" t="str">
        <f>IF(LEN(TRIM(E332))=0,"",VLOOKUP("Manifest Id",config!A:B,2,FALSE))</f>
        <v/>
      </c>
      <c r="M332" t="str">
        <f>IF(LEN(TRIM(E332))=0, "",VLOOKUP("Project Name",config!A:B,2,FALSE))</f>
        <v/>
      </c>
      <c r="N332" t="str">
        <f>IF(LEN(TRIM(E332))=0, "",VLOOKUP("Center Name",config!A:B,2,FALSE))</f>
        <v/>
      </c>
      <c r="O332" s="7" t="str">
        <f>IF(LEN(TRIM(E332))=0,"",VLOOKUP("Shipment Date",config!A:B,2,FALSE))</f>
        <v/>
      </c>
      <c r="P332" s="7" t="str">
        <f t="shared" si="21"/>
        <v/>
      </c>
      <c r="Q332" s="7" t="str">
        <f>IF(LEN(TRIM(D332))=0,"",GetConfigParameterValue("Collection Site"))</f>
        <v/>
      </c>
      <c r="R332" t="str">
        <f>IF(LEN(TRIM(E332))=0, "", GetManifestComments(H332))</f>
        <v/>
      </c>
      <c r="S332" t="str">
        <f>IF(LEN(TRIM(E332))=0,"",IF(ISERROR(VLOOKUP(E332,'Manifest MDB data'!A:A,1,FALSE)),"OK","EXISTS!!!"))</f>
        <v/>
      </c>
    </row>
    <row r="333" spans="4:19" x14ac:dyDescent="0.25">
      <c r="D333" t="str">
        <f t="shared" si="22"/>
        <v/>
      </c>
      <c r="E333" t="str">
        <f t="shared" si="23"/>
        <v/>
      </c>
      <c r="F333" t="str">
        <f t="shared" si="24"/>
        <v/>
      </c>
      <c r="G333" t="str">
        <f>IF(LEN(TRIM(E333))=0, "", GetSampleTissueBySpecimenPrep(H333))</f>
        <v/>
      </c>
      <c r="H333" t="str">
        <f>IF(LEN(TRIM(E333))=0, "", GetSpecimenPrepName())</f>
        <v/>
      </c>
      <c r="I333" t="str">
        <f>IF(LEN(TRIM(E333))=0, "", GetSampleVolumeBySpecimenPrep(H333))</f>
        <v/>
      </c>
      <c r="L333" t="str">
        <f>IF(LEN(TRIM(E333))=0,"",VLOOKUP("Manifest Id",config!A:B,2,FALSE))</f>
        <v/>
      </c>
      <c r="M333" t="str">
        <f>IF(LEN(TRIM(E333))=0, "",VLOOKUP("Project Name",config!A:B,2,FALSE))</f>
        <v/>
      </c>
      <c r="N333" t="str">
        <f>IF(LEN(TRIM(E333))=0, "",VLOOKUP("Center Name",config!A:B,2,FALSE))</f>
        <v/>
      </c>
      <c r="O333" s="7" t="str">
        <f>IF(LEN(TRIM(E333))=0,"",VLOOKUP("Shipment Date",config!A:B,2,FALSE))</f>
        <v/>
      </c>
      <c r="P333" s="7" t="str">
        <f t="shared" si="21"/>
        <v/>
      </c>
      <c r="Q333" s="7" t="str">
        <f>IF(LEN(TRIM(D333))=0,"",GetConfigParameterValue("Collection Site"))</f>
        <v/>
      </c>
      <c r="R333" t="str">
        <f>IF(LEN(TRIM(E333))=0, "", GetManifestComments(H333))</f>
        <v/>
      </c>
      <c r="S333" t="str">
        <f>IF(LEN(TRIM(E333))=0,"",IF(ISERROR(VLOOKUP(E333,'Manifest MDB data'!A:A,1,FALSE)),"OK","EXISTS!!!"))</f>
        <v/>
      </c>
    </row>
    <row r="334" spans="4:19" x14ac:dyDescent="0.25">
      <c r="D334" t="str">
        <f t="shared" si="22"/>
        <v/>
      </c>
      <c r="E334" t="str">
        <f t="shared" si="23"/>
        <v/>
      </c>
      <c r="F334" t="str">
        <f t="shared" si="24"/>
        <v/>
      </c>
      <c r="G334" t="str">
        <f>IF(LEN(TRIM(E334))=0, "", GetSampleTissueBySpecimenPrep(H334))</f>
        <v/>
      </c>
      <c r="H334" t="str">
        <f>IF(LEN(TRIM(E334))=0, "", GetSpecimenPrepName())</f>
        <v/>
      </c>
      <c r="I334" t="str">
        <f>IF(LEN(TRIM(E334))=0, "", GetSampleVolumeBySpecimenPrep(H334))</f>
        <v/>
      </c>
      <c r="L334" t="str">
        <f>IF(LEN(TRIM(E334))=0,"",VLOOKUP("Manifest Id",config!A:B,2,FALSE))</f>
        <v/>
      </c>
      <c r="M334" t="str">
        <f>IF(LEN(TRIM(E334))=0, "",VLOOKUP("Project Name",config!A:B,2,FALSE))</f>
        <v/>
      </c>
      <c r="N334" t="str">
        <f>IF(LEN(TRIM(E334))=0, "",VLOOKUP("Center Name",config!A:B,2,FALSE))</f>
        <v/>
      </c>
      <c r="O334" s="7" t="str">
        <f>IF(LEN(TRIM(E334))=0,"",VLOOKUP("Shipment Date",config!A:B,2,FALSE))</f>
        <v/>
      </c>
      <c r="P334" s="7" t="str">
        <f t="shared" si="21"/>
        <v/>
      </c>
      <c r="Q334" s="7" t="str">
        <f>IF(LEN(TRIM(D334))=0,"",GetConfigParameterValue("Collection Site"))</f>
        <v/>
      </c>
      <c r="R334" t="str">
        <f>IF(LEN(TRIM(E334))=0, "", GetManifestComments(H334))</f>
        <v/>
      </c>
      <c r="S334" t="str">
        <f>IF(LEN(TRIM(E334))=0,"",IF(ISERROR(VLOOKUP(E334,'Manifest MDB data'!A:A,1,FALSE)),"OK","EXISTS!!!"))</f>
        <v/>
      </c>
    </row>
    <row r="335" spans="4:19" x14ac:dyDescent="0.25">
      <c r="D335" t="str">
        <f t="shared" si="22"/>
        <v/>
      </c>
      <c r="E335" t="str">
        <f t="shared" si="23"/>
        <v/>
      </c>
      <c r="F335" t="str">
        <f t="shared" si="24"/>
        <v/>
      </c>
      <c r="G335" t="str">
        <f>IF(LEN(TRIM(E335))=0, "", GetSampleTissueBySpecimenPrep(H335))</f>
        <v/>
      </c>
      <c r="H335" t="str">
        <f>IF(LEN(TRIM(E335))=0, "", GetSpecimenPrepName())</f>
        <v/>
      </c>
      <c r="I335" t="str">
        <f>IF(LEN(TRIM(E335))=0, "", GetSampleVolumeBySpecimenPrep(H335))</f>
        <v/>
      </c>
      <c r="L335" t="str">
        <f>IF(LEN(TRIM(E335))=0,"",VLOOKUP("Manifest Id",config!A:B,2,FALSE))</f>
        <v/>
      </c>
      <c r="M335" t="str">
        <f>IF(LEN(TRIM(E335))=0, "",VLOOKUP("Project Name",config!A:B,2,FALSE))</f>
        <v/>
      </c>
      <c r="N335" t="str">
        <f>IF(LEN(TRIM(E335))=0, "",VLOOKUP("Center Name",config!A:B,2,FALSE))</f>
        <v/>
      </c>
      <c r="O335" s="7" t="str">
        <f>IF(LEN(TRIM(E335))=0,"",VLOOKUP("Shipment Date",config!A:B,2,FALSE))</f>
        <v/>
      </c>
      <c r="P335" s="7" t="str">
        <f t="shared" si="21"/>
        <v/>
      </c>
      <c r="Q335" s="7" t="str">
        <f>IF(LEN(TRIM(D335))=0,"",GetConfigParameterValue("Collection Site"))</f>
        <v/>
      </c>
      <c r="R335" t="str">
        <f>IF(LEN(TRIM(E335))=0, "", GetManifestComments(H335))</f>
        <v/>
      </c>
      <c r="S335" t="str">
        <f>IF(LEN(TRIM(E335))=0,"",IF(ISERROR(VLOOKUP(E335,'Manifest MDB data'!A:A,1,FALSE)),"OK","EXISTS!!!"))</f>
        <v/>
      </c>
    </row>
    <row r="336" spans="4:19" x14ac:dyDescent="0.25">
      <c r="D336" t="str">
        <f t="shared" si="22"/>
        <v/>
      </c>
      <c r="E336" t="str">
        <f t="shared" si="23"/>
        <v/>
      </c>
      <c r="F336" t="str">
        <f t="shared" si="24"/>
        <v/>
      </c>
      <c r="G336" t="str">
        <f>IF(LEN(TRIM(E336))=0, "", GetSampleTissueBySpecimenPrep(H336))</f>
        <v/>
      </c>
      <c r="H336" t="str">
        <f>IF(LEN(TRIM(E336))=0, "", GetSpecimenPrepName())</f>
        <v/>
      </c>
      <c r="I336" t="str">
        <f>IF(LEN(TRIM(E336))=0, "", GetSampleVolumeBySpecimenPrep(H336))</f>
        <v/>
      </c>
      <c r="L336" t="str">
        <f>IF(LEN(TRIM(E336))=0,"",VLOOKUP("Manifest Id",config!A:B,2,FALSE))</f>
        <v/>
      </c>
      <c r="M336" t="str">
        <f>IF(LEN(TRIM(E336))=0, "",VLOOKUP("Project Name",config!A:B,2,FALSE))</f>
        <v/>
      </c>
      <c r="N336" t="str">
        <f>IF(LEN(TRIM(E336))=0, "",VLOOKUP("Center Name",config!A:B,2,FALSE))</f>
        <v/>
      </c>
      <c r="O336" s="7" t="str">
        <f>IF(LEN(TRIM(E336))=0,"",VLOOKUP("Shipment Date",config!A:B,2,FALSE))</f>
        <v/>
      </c>
      <c r="P336" s="7" t="str">
        <f t="shared" si="21"/>
        <v/>
      </c>
      <c r="Q336" s="7" t="str">
        <f>IF(LEN(TRIM(D336))=0,"",GetConfigParameterValue("Collection Site"))</f>
        <v/>
      </c>
      <c r="R336" t="str">
        <f>IF(LEN(TRIM(E336))=0, "", GetManifestComments(H336))</f>
        <v/>
      </c>
      <c r="S336" t="str">
        <f>IF(LEN(TRIM(E336))=0,"",IF(ISERROR(VLOOKUP(E336,'Manifest MDB data'!A:A,1,FALSE)),"OK","EXISTS!!!"))</f>
        <v/>
      </c>
    </row>
    <row r="337" spans="4:19" x14ac:dyDescent="0.25">
      <c r="D337" t="str">
        <f t="shared" si="22"/>
        <v/>
      </c>
      <c r="E337" t="str">
        <f t="shared" si="23"/>
        <v/>
      </c>
      <c r="F337" t="str">
        <f t="shared" si="24"/>
        <v/>
      </c>
      <c r="G337" t="str">
        <f>IF(LEN(TRIM(E337))=0, "", GetSampleTissueBySpecimenPrep(H337))</f>
        <v/>
      </c>
      <c r="H337" t="str">
        <f>IF(LEN(TRIM(E337))=0, "", GetSpecimenPrepName())</f>
        <v/>
      </c>
      <c r="I337" t="str">
        <f>IF(LEN(TRIM(E337))=0, "", GetSampleVolumeBySpecimenPrep(H337))</f>
        <v/>
      </c>
      <c r="L337" t="str">
        <f>IF(LEN(TRIM(E337))=0,"",VLOOKUP("Manifest Id",config!A:B,2,FALSE))</f>
        <v/>
      </c>
      <c r="M337" t="str">
        <f>IF(LEN(TRIM(E337))=0, "",VLOOKUP("Project Name",config!A:B,2,FALSE))</f>
        <v/>
      </c>
      <c r="N337" t="str">
        <f>IF(LEN(TRIM(E337))=0, "",VLOOKUP("Center Name",config!A:B,2,FALSE))</f>
        <v/>
      </c>
      <c r="O337" s="7" t="str">
        <f>IF(LEN(TRIM(E337))=0,"",VLOOKUP("Shipment Date",config!A:B,2,FALSE))</f>
        <v/>
      </c>
      <c r="P337" s="7" t="str">
        <f t="shared" si="21"/>
        <v/>
      </c>
      <c r="Q337" s="7" t="str">
        <f>IF(LEN(TRIM(D337))=0,"",GetConfigParameterValue("Collection Site"))</f>
        <v/>
      </c>
      <c r="R337" t="str">
        <f>IF(LEN(TRIM(E337))=0, "", GetManifestComments(H337))</f>
        <v/>
      </c>
      <c r="S337" t="str">
        <f>IF(LEN(TRIM(E337))=0,"",IF(ISERROR(VLOOKUP(E337,'Manifest MDB data'!A:A,1,FALSE)),"OK","EXISTS!!!"))</f>
        <v/>
      </c>
    </row>
    <row r="338" spans="4:19" x14ac:dyDescent="0.25">
      <c r="D338" t="str">
        <f t="shared" si="22"/>
        <v/>
      </c>
      <c r="E338" t="str">
        <f t="shared" si="23"/>
        <v/>
      </c>
      <c r="F338" t="str">
        <f t="shared" si="24"/>
        <v/>
      </c>
      <c r="G338" t="str">
        <f>IF(LEN(TRIM(E338))=0, "", GetSampleTissueBySpecimenPrep(H338))</f>
        <v/>
      </c>
      <c r="H338" t="str">
        <f>IF(LEN(TRIM(E338))=0, "", GetSpecimenPrepName())</f>
        <v/>
      </c>
      <c r="I338" t="str">
        <f>IF(LEN(TRIM(E338))=0, "", GetSampleVolumeBySpecimenPrep(H338))</f>
        <v/>
      </c>
      <c r="L338" t="str">
        <f>IF(LEN(TRIM(E338))=0,"",VLOOKUP("Manifest Id",config!A:B,2,FALSE))</f>
        <v/>
      </c>
      <c r="M338" t="str">
        <f>IF(LEN(TRIM(E338))=0, "",VLOOKUP("Project Name",config!A:B,2,FALSE))</f>
        <v/>
      </c>
      <c r="N338" t="str">
        <f>IF(LEN(TRIM(E338))=0, "",VLOOKUP("Center Name",config!A:B,2,FALSE))</f>
        <v/>
      </c>
      <c r="O338" s="7" t="str">
        <f>IF(LEN(TRIM(E338))=0,"",VLOOKUP("Shipment Date",config!A:B,2,FALSE))</f>
        <v/>
      </c>
      <c r="P338" s="7" t="str">
        <f t="shared" si="21"/>
        <v/>
      </c>
      <c r="Q338" s="7" t="str">
        <f>IF(LEN(TRIM(D338))=0,"",GetConfigParameterValue("Collection Site"))</f>
        <v/>
      </c>
      <c r="R338" t="str">
        <f>IF(LEN(TRIM(E338))=0, "", GetManifestComments(H338))</f>
        <v/>
      </c>
      <c r="S338" t="str">
        <f>IF(LEN(TRIM(E338))=0,"",IF(ISERROR(VLOOKUP(E338,'Manifest MDB data'!A:A,1,FALSE)),"OK","EXISTS!!!"))</f>
        <v/>
      </c>
    </row>
    <row r="339" spans="4:19" x14ac:dyDescent="0.25">
      <c r="D339" t="str">
        <f t="shared" si="22"/>
        <v/>
      </c>
      <c r="E339" t="str">
        <f t="shared" si="23"/>
        <v/>
      </c>
      <c r="F339" t="str">
        <f t="shared" si="24"/>
        <v/>
      </c>
      <c r="G339" t="str">
        <f>IF(LEN(TRIM(E339))=0, "", GetSampleTissueBySpecimenPrep(H339))</f>
        <v/>
      </c>
      <c r="H339" t="str">
        <f>IF(LEN(TRIM(E339))=0, "", GetSpecimenPrepName())</f>
        <v/>
      </c>
      <c r="I339" t="str">
        <f>IF(LEN(TRIM(E339))=0, "", GetSampleVolumeBySpecimenPrep(H339))</f>
        <v/>
      </c>
      <c r="L339" t="str">
        <f>IF(LEN(TRIM(E339))=0,"",VLOOKUP("Manifest Id",config!A:B,2,FALSE))</f>
        <v/>
      </c>
      <c r="M339" t="str">
        <f>IF(LEN(TRIM(E339))=0, "",VLOOKUP("Project Name",config!A:B,2,FALSE))</f>
        <v/>
      </c>
      <c r="N339" t="str">
        <f>IF(LEN(TRIM(E339))=0, "",VLOOKUP("Center Name",config!A:B,2,FALSE))</f>
        <v/>
      </c>
      <c r="O339" s="7" t="str">
        <f>IF(LEN(TRIM(E339))=0,"",VLOOKUP("Shipment Date",config!A:B,2,FALSE))</f>
        <v/>
      </c>
      <c r="P339" s="7" t="str">
        <f t="shared" si="21"/>
        <v/>
      </c>
      <c r="Q339" s="7" t="str">
        <f>IF(LEN(TRIM(D339))=0,"",GetConfigParameterValue("Collection Site"))</f>
        <v/>
      </c>
      <c r="R339" t="str">
        <f>IF(LEN(TRIM(E339))=0, "", GetManifestComments(H339))</f>
        <v/>
      </c>
      <c r="S339" t="str">
        <f>IF(LEN(TRIM(E339))=0,"",IF(ISERROR(VLOOKUP(E339,'Manifest MDB data'!A:A,1,FALSE)),"OK","EXISTS!!!"))</f>
        <v/>
      </c>
    </row>
    <row r="340" spans="4:19" x14ac:dyDescent="0.25">
      <c r="D340" t="str">
        <f t="shared" si="22"/>
        <v/>
      </c>
      <c r="E340" t="str">
        <f t="shared" si="23"/>
        <v/>
      </c>
      <c r="F340" t="str">
        <f t="shared" si="24"/>
        <v/>
      </c>
      <c r="G340" t="str">
        <f>IF(LEN(TRIM(E340))=0, "", GetSampleTissueBySpecimenPrep(H340))</f>
        <v/>
      </c>
      <c r="H340" t="str">
        <f>IF(LEN(TRIM(E340))=0, "", GetSpecimenPrepName())</f>
        <v/>
      </c>
      <c r="I340" t="str">
        <f>IF(LEN(TRIM(E340))=0, "", GetSampleVolumeBySpecimenPrep(H340))</f>
        <v/>
      </c>
      <c r="L340" t="str">
        <f>IF(LEN(TRIM(E340))=0,"",VLOOKUP("Manifest Id",config!A:B,2,FALSE))</f>
        <v/>
      </c>
      <c r="M340" t="str">
        <f>IF(LEN(TRIM(E340))=0, "",VLOOKUP("Project Name",config!A:B,2,FALSE))</f>
        <v/>
      </c>
      <c r="N340" t="str">
        <f>IF(LEN(TRIM(E340))=0, "",VLOOKUP("Center Name",config!A:B,2,FALSE))</f>
        <v/>
      </c>
      <c r="O340" s="7" t="str">
        <f>IF(LEN(TRIM(E340))=0,"",VLOOKUP("Shipment Date",config!A:B,2,FALSE))</f>
        <v/>
      </c>
      <c r="P340" s="7" t="str">
        <f t="shared" si="21"/>
        <v/>
      </c>
      <c r="Q340" s="7" t="str">
        <f>IF(LEN(TRIM(D340))=0,"",GetConfigParameterValue("Collection Site"))</f>
        <v/>
      </c>
      <c r="R340" t="str">
        <f>IF(LEN(TRIM(E340))=0, "", GetManifestComments(H340))</f>
        <v/>
      </c>
      <c r="S340" t="str">
        <f>IF(LEN(TRIM(E340))=0,"",IF(ISERROR(VLOOKUP(E340,'Manifest MDB data'!A:A,1,FALSE)),"OK","EXISTS!!!"))</f>
        <v/>
      </c>
    </row>
    <row r="341" spans="4:19" x14ac:dyDescent="0.25">
      <c r="D341" t="str">
        <f t="shared" si="22"/>
        <v/>
      </c>
      <c r="E341" t="str">
        <f t="shared" si="23"/>
        <v/>
      </c>
      <c r="F341" t="str">
        <f t="shared" si="24"/>
        <v/>
      </c>
      <c r="G341" t="str">
        <f>IF(LEN(TRIM(E341))=0, "", GetSampleTissueBySpecimenPrep(H341))</f>
        <v/>
      </c>
      <c r="H341" t="str">
        <f>IF(LEN(TRIM(E341))=0, "", GetSpecimenPrepName())</f>
        <v/>
      </c>
      <c r="I341" t="str">
        <f>IF(LEN(TRIM(E341))=0, "", GetSampleVolumeBySpecimenPrep(H341))</f>
        <v/>
      </c>
      <c r="L341" t="str">
        <f>IF(LEN(TRIM(E341))=0,"",VLOOKUP("Manifest Id",config!A:B,2,FALSE))</f>
        <v/>
      </c>
      <c r="M341" t="str">
        <f>IF(LEN(TRIM(E341))=0, "",VLOOKUP("Project Name",config!A:B,2,FALSE))</f>
        <v/>
      </c>
      <c r="N341" t="str">
        <f>IF(LEN(TRIM(E341))=0, "",VLOOKUP("Center Name",config!A:B,2,FALSE))</f>
        <v/>
      </c>
      <c r="O341" s="7" t="str">
        <f>IF(LEN(TRIM(E341))=0,"",VLOOKUP("Shipment Date",config!A:B,2,FALSE))</f>
        <v/>
      </c>
      <c r="P341" s="7" t="str">
        <f t="shared" si="21"/>
        <v/>
      </c>
      <c r="Q341" s="7" t="str">
        <f>IF(LEN(TRIM(D341))=0,"",GetConfigParameterValue("Collection Site"))</f>
        <v/>
      </c>
      <c r="R341" t="str">
        <f>IF(LEN(TRIM(E341))=0, "", GetManifestComments(H341))</f>
        <v/>
      </c>
      <c r="S341" t="str">
        <f>IF(LEN(TRIM(E341))=0,"",IF(ISERROR(VLOOKUP(E341,'Manifest MDB data'!A:A,1,FALSE)),"OK","EXISTS!!!"))</f>
        <v/>
      </c>
    </row>
    <row r="342" spans="4:19" x14ac:dyDescent="0.25">
      <c r="D342" t="str">
        <f t="shared" si="22"/>
        <v/>
      </c>
      <c r="E342" t="str">
        <f t="shared" si="23"/>
        <v/>
      </c>
      <c r="F342" t="str">
        <f t="shared" si="24"/>
        <v/>
      </c>
      <c r="G342" t="str">
        <f>IF(LEN(TRIM(E342))=0, "", GetSampleTissueBySpecimenPrep(H342))</f>
        <v/>
      </c>
      <c r="H342" t="str">
        <f>IF(LEN(TRIM(E342))=0, "", GetSpecimenPrepName())</f>
        <v/>
      </c>
      <c r="I342" t="str">
        <f>IF(LEN(TRIM(E342))=0, "", GetSampleVolumeBySpecimenPrep(H342))</f>
        <v/>
      </c>
      <c r="L342" t="str">
        <f>IF(LEN(TRIM(E342))=0,"",VLOOKUP("Manifest Id",config!A:B,2,FALSE))</f>
        <v/>
      </c>
      <c r="M342" t="str">
        <f>IF(LEN(TRIM(E342))=0, "",VLOOKUP("Project Name",config!A:B,2,FALSE))</f>
        <v/>
      </c>
      <c r="N342" t="str">
        <f>IF(LEN(TRIM(E342))=0, "",VLOOKUP("Center Name",config!A:B,2,FALSE))</f>
        <v/>
      </c>
      <c r="O342" s="7" t="str">
        <f>IF(LEN(TRIM(E342))=0,"",VLOOKUP("Shipment Date",config!A:B,2,FALSE))</f>
        <v/>
      </c>
      <c r="P342" s="7" t="str">
        <f t="shared" si="21"/>
        <v/>
      </c>
      <c r="Q342" s="7" t="str">
        <f>IF(LEN(TRIM(D342))=0,"",GetConfigParameterValue("Collection Site"))</f>
        <v/>
      </c>
      <c r="R342" t="str">
        <f>IF(LEN(TRIM(E342))=0, "", GetManifestComments(H342))</f>
        <v/>
      </c>
      <c r="S342" t="str">
        <f>IF(LEN(TRIM(E342))=0,"",IF(ISERROR(VLOOKUP(E342,'Manifest MDB data'!A:A,1,FALSE)),"OK","EXISTS!!!"))</f>
        <v/>
      </c>
    </row>
    <row r="343" spans="4:19" x14ac:dyDescent="0.25">
      <c r="D343" t="str">
        <f t="shared" si="22"/>
        <v/>
      </c>
      <c r="E343" t="str">
        <f t="shared" si="23"/>
        <v/>
      </c>
      <c r="F343" t="str">
        <f t="shared" si="24"/>
        <v/>
      </c>
      <c r="G343" t="str">
        <f>IF(LEN(TRIM(E343))=0, "", GetSampleTissueBySpecimenPrep(H343))</f>
        <v/>
      </c>
      <c r="H343" t="str">
        <f>IF(LEN(TRIM(E343))=0, "", GetSpecimenPrepName())</f>
        <v/>
      </c>
      <c r="I343" t="str">
        <f>IF(LEN(TRIM(E343))=0, "", GetSampleVolumeBySpecimenPrep(H343))</f>
        <v/>
      </c>
      <c r="L343" t="str">
        <f>IF(LEN(TRIM(E343))=0,"",VLOOKUP("Manifest Id",config!A:B,2,FALSE))</f>
        <v/>
      </c>
      <c r="M343" t="str">
        <f>IF(LEN(TRIM(E343))=0, "",VLOOKUP("Project Name",config!A:B,2,FALSE))</f>
        <v/>
      </c>
      <c r="N343" t="str">
        <f>IF(LEN(TRIM(E343))=0, "",VLOOKUP("Center Name",config!A:B,2,FALSE))</f>
        <v/>
      </c>
      <c r="O343" s="7" t="str">
        <f>IF(LEN(TRIM(E343))=0,"",VLOOKUP("Shipment Date",config!A:B,2,FALSE))</f>
        <v/>
      </c>
      <c r="P343" s="7" t="str">
        <f t="shared" si="21"/>
        <v/>
      </c>
      <c r="Q343" s="7" t="str">
        <f>IF(LEN(TRIM(D343))=0,"",GetConfigParameterValue("Collection Site"))</f>
        <v/>
      </c>
      <c r="R343" t="str">
        <f>IF(LEN(TRIM(E343))=0, "", GetManifestComments(H343))</f>
        <v/>
      </c>
      <c r="S343" t="str">
        <f>IF(LEN(TRIM(E343))=0,"",IF(ISERROR(VLOOKUP(E343,'Manifest MDB data'!A:A,1,FALSE)),"OK","EXISTS!!!"))</f>
        <v/>
      </c>
    </row>
    <row r="344" spans="4:19" x14ac:dyDescent="0.25">
      <c r="D344" t="str">
        <f t="shared" si="22"/>
        <v/>
      </c>
      <c r="E344" t="str">
        <f t="shared" si="23"/>
        <v/>
      </c>
      <c r="F344" t="str">
        <f t="shared" si="24"/>
        <v/>
      </c>
      <c r="G344" t="str">
        <f>IF(LEN(TRIM(E344))=0, "", GetSampleTissueBySpecimenPrep(H344))</f>
        <v/>
      </c>
      <c r="H344" t="str">
        <f>IF(LEN(TRIM(E344))=0, "", GetSpecimenPrepName())</f>
        <v/>
      </c>
      <c r="I344" t="str">
        <f>IF(LEN(TRIM(E344))=0, "", GetSampleVolumeBySpecimenPrep(H344))</f>
        <v/>
      </c>
      <c r="L344" t="str">
        <f>IF(LEN(TRIM(E344))=0,"",VLOOKUP("Manifest Id",config!A:B,2,FALSE))</f>
        <v/>
      </c>
      <c r="M344" t="str">
        <f>IF(LEN(TRIM(E344))=0, "",VLOOKUP("Project Name",config!A:B,2,FALSE))</f>
        <v/>
      </c>
      <c r="N344" t="str">
        <f>IF(LEN(TRIM(E344))=0, "",VLOOKUP("Center Name",config!A:B,2,FALSE))</f>
        <v/>
      </c>
      <c r="O344" s="7" t="str">
        <f>IF(LEN(TRIM(E344))=0,"",VLOOKUP("Shipment Date",config!A:B,2,FALSE))</f>
        <v/>
      </c>
      <c r="P344" s="7" t="str">
        <f t="shared" si="21"/>
        <v/>
      </c>
      <c r="Q344" s="7" t="str">
        <f>IF(LEN(TRIM(D344))=0,"",GetConfigParameterValue("Collection Site"))</f>
        <v/>
      </c>
      <c r="R344" t="str">
        <f>IF(LEN(TRIM(E344))=0, "", GetManifestComments(H344))</f>
        <v/>
      </c>
      <c r="S344" t="str">
        <f>IF(LEN(TRIM(E344))=0,"",IF(ISERROR(VLOOKUP(E344,'Manifest MDB data'!A:A,1,FALSE)),"OK","EXISTS!!!"))</f>
        <v/>
      </c>
    </row>
    <row r="345" spans="4:19" x14ac:dyDescent="0.25">
      <c r="D345" t="str">
        <f t="shared" si="22"/>
        <v/>
      </c>
      <c r="E345" t="str">
        <f t="shared" si="23"/>
        <v/>
      </c>
      <c r="F345" t="str">
        <f t="shared" si="24"/>
        <v/>
      </c>
      <c r="G345" t="str">
        <f>IF(LEN(TRIM(E345))=0, "", GetSampleTissueBySpecimenPrep(H345))</f>
        <v/>
      </c>
      <c r="H345" t="str">
        <f>IF(LEN(TRIM(E345))=0, "", GetSpecimenPrepName())</f>
        <v/>
      </c>
      <c r="I345" t="str">
        <f>IF(LEN(TRIM(E345))=0, "", GetSampleVolumeBySpecimenPrep(H345))</f>
        <v/>
      </c>
      <c r="L345" t="str">
        <f>IF(LEN(TRIM(E345))=0,"",VLOOKUP("Manifest Id",config!A:B,2,FALSE))</f>
        <v/>
      </c>
      <c r="M345" t="str">
        <f>IF(LEN(TRIM(E345))=0, "",VLOOKUP("Project Name",config!A:B,2,FALSE))</f>
        <v/>
      </c>
      <c r="N345" t="str">
        <f>IF(LEN(TRIM(E345))=0, "",VLOOKUP("Center Name",config!A:B,2,FALSE))</f>
        <v/>
      </c>
      <c r="O345" s="7" t="str">
        <f>IF(LEN(TRIM(E345))=0,"",VLOOKUP("Shipment Date",config!A:B,2,FALSE))</f>
        <v/>
      </c>
      <c r="P345" s="7" t="str">
        <f t="shared" si="21"/>
        <v/>
      </c>
      <c r="Q345" s="7" t="str">
        <f>IF(LEN(TRIM(D345))=0,"",GetConfigParameterValue("Collection Site"))</f>
        <v/>
      </c>
      <c r="R345" t="str">
        <f>IF(LEN(TRIM(E345))=0, "", GetManifestComments(H345))</f>
        <v/>
      </c>
      <c r="S345" t="str">
        <f>IF(LEN(TRIM(E345))=0,"",IF(ISERROR(VLOOKUP(E345,'Manifest MDB data'!A:A,1,FALSE)),"OK","EXISTS!!!"))</f>
        <v/>
      </c>
    </row>
    <row r="346" spans="4:19" x14ac:dyDescent="0.25">
      <c r="D346" t="str">
        <f t="shared" si="22"/>
        <v/>
      </c>
      <c r="E346" t="str">
        <f t="shared" si="23"/>
        <v/>
      </c>
      <c r="F346" t="str">
        <f t="shared" si="24"/>
        <v/>
      </c>
      <c r="G346" t="str">
        <f>IF(LEN(TRIM(E346))=0, "", GetSampleTissueBySpecimenPrep(H346))</f>
        <v/>
      </c>
      <c r="H346" t="str">
        <f>IF(LEN(TRIM(E346))=0, "", GetSpecimenPrepName())</f>
        <v/>
      </c>
      <c r="I346" t="str">
        <f>IF(LEN(TRIM(E346))=0, "", GetSampleVolumeBySpecimenPrep(H346))</f>
        <v/>
      </c>
      <c r="L346" t="str">
        <f>IF(LEN(TRIM(E346))=0,"",VLOOKUP("Manifest Id",config!A:B,2,FALSE))</f>
        <v/>
      </c>
      <c r="M346" t="str">
        <f>IF(LEN(TRIM(E346))=0, "",VLOOKUP("Project Name",config!A:B,2,FALSE))</f>
        <v/>
      </c>
      <c r="N346" t="str">
        <f>IF(LEN(TRIM(E346))=0, "",VLOOKUP("Center Name",config!A:B,2,FALSE))</f>
        <v/>
      </c>
      <c r="O346" s="7" t="str">
        <f>IF(LEN(TRIM(E346))=0,"",VLOOKUP("Shipment Date",config!A:B,2,FALSE))</f>
        <v/>
      </c>
      <c r="P346" s="7" t="str">
        <f t="shared" si="21"/>
        <v/>
      </c>
      <c r="Q346" s="7" t="str">
        <f>IF(LEN(TRIM(D346))=0,"",GetConfigParameterValue("Collection Site"))</f>
        <v/>
      </c>
      <c r="R346" t="str">
        <f>IF(LEN(TRIM(E346))=0, "", GetManifestComments(H346))</f>
        <v/>
      </c>
      <c r="S346" t="str">
        <f>IF(LEN(TRIM(E346))=0,"",IF(ISERROR(VLOOKUP(E346,'Manifest MDB data'!A:A,1,FALSE)),"OK","EXISTS!!!"))</f>
        <v/>
      </c>
    </row>
    <row r="347" spans="4:19" x14ac:dyDescent="0.25">
      <c r="D347" t="str">
        <f t="shared" si="22"/>
        <v/>
      </c>
      <c r="E347" t="str">
        <f t="shared" si="23"/>
        <v/>
      </c>
      <c r="F347" t="str">
        <f t="shared" si="24"/>
        <v/>
      </c>
      <c r="G347" t="str">
        <f>IF(LEN(TRIM(E347))=0, "", GetSampleTissueBySpecimenPrep(H347))</f>
        <v/>
      </c>
      <c r="H347" t="str">
        <f>IF(LEN(TRIM(E347))=0, "", GetSpecimenPrepName())</f>
        <v/>
      </c>
      <c r="I347" t="str">
        <f>IF(LEN(TRIM(E347))=0, "", GetSampleVolumeBySpecimenPrep(H347))</f>
        <v/>
      </c>
      <c r="L347" t="str">
        <f>IF(LEN(TRIM(E347))=0,"",VLOOKUP("Manifest Id",config!A:B,2,FALSE))</f>
        <v/>
      </c>
      <c r="M347" t="str">
        <f>IF(LEN(TRIM(E347))=0, "",VLOOKUP("Project Name",config!A:B,2,FALSE))</f>
        <v/>
      </c>
      <c r="N347" t="str">
        <f>IF(LEN(TRIM(E347))=0, "",VLOOKUP("Center Name",config!A:B,2,FALSE))</f>
        <v/>
      </c>
      <c r="O347" s="7" t="str">
        <f>IF(LEN(TRIM(E347))=0,"",VLOOKUP("Shipment Date",config!A:B,2,FALSE))</f>
        <v/>
      </c>
      <c r="P347" s="7" t="str">
        <f t="shared" si="21"/>
        <v/>
      </c>
      <c r="Q347" s="7" t="str">
        <f>IF(LEN(TRIM(D347))=0,"",GetConfigParameterValue("Collection Site"))</f>
        <v/>
      </c>
      <c r="R347" t="str">
        <f>IF(LEN(TRIM(E347))=0, "", GetManifestComments(H347))</f>
        <v/>
      </c>
      <c r="S347" t="str">
        <f>IF(LEN(TRIM(E347))=0,"",IF(ISERROR(VLOOKUP(E347,'Manifest MDB data'!A:A,1,FALSE)),"OK","EXISTS!!!"))</f>
        <v/>
      </c>
    </row>
    <row r="348" spans="4:19" x14ac:dyDescent="0.25">
      <c r="D348" t="str">
        <f t="shared" si="22"/>
        <v/>
      </c>
      <c r="E348" t="str">
        <f t="shared" si="23"/>
        <v/>
      </c>
      <c r="F348" t="str">
        <f t="shared" si="24"/>
        <v/>
      </c>
      <c r="G348" t="str">
        <f>IF(LEN(TRIM(E348))=0, "", GetSampleTissueBySpecimenPrep(H348))</f>
        <v/>
      </c>
      <c r="H348" t="str">
        <f>IF(LEN(TRIM(E348))=0, "", GetSpecimenPrepName())</f>
        <v/>
      </c>
      <c r="I348" t="str">
        <f>IF(LEN(TRIM(E348))=0, "", GetSampleVolumeBySpecimenPrep(H348))</f>
        <v/>
      </c>
      <c r="L348" t="str">
        <f>IF(LEN(TRIM(E348))=0,"",VLOOKUP("Manifest Id",config!A:B,2,FALSE))</f>
        <v/>
      </c>
      <c r="M348" t="str">
        <f>IF(LEN(TRIM(E348))=0, "",VLOOKUP("Project Name",config!A:B,2,FALSE))</f>
        <v/>
      </c>
      <c r="N348" t="str">
        <f>IF(LEN(TRIM(E348))=0, "",VLOOKUP("Center Name",config!A:B,2,FALSE))</f>
        <v/>
      </c>
      <c r="O348" s="7" t="str">
        <f>IF(LEN(TRIM(E348))=0,"",VLOOKUP("Shipment Date",config!A:B,2,FALSE))</f>
        <v/>
      </c>
      <c r="P348" s="7" t="str">
        <f t="shared" si="21"/>
        <v/>
      </c>
      <c r="Q348" s="7" t="str">
        <f>IF(LEN(TRIM(D348))=0,"",GetConfigParameterValue("Collection Site"))</f>
        <v/>
      </c>
      <c r="R348" t="str">
        <f>IF(LEN(TRIM(E348))=0, "", GetManifestComments(H348))</f>
        <v/>
      </c>
      <c r="S348" t="str">
        <f>IF(LEN(TRIM(E348))=0,"",IF(ISERROR(VLOOKUP(E348,'Manifest MDB data'!A:A,1,FALSE)),"OK","EXISTS!!!"))</f>
        <v/>
      </c>
    </row>
    <row r="349" spans="4:19" x14ac:dyDescent="0.25">
      <c r="D349" t="str">
        <f t="shared" si="22"/>
        <v/>
      </c>
      <c r="E349" t="str">
        <f t="shared" si="23"/>
        <v/>
      </c>
      <c r="F349" t="str">
        <f t="shared" si="24"/>
        <v/>
      </c>
      <c r="G349" t="str">
        <f>IF(LEN(TRIM(E349))=0, "", GetSampleTissueBySpecimenPrep(H349))</f>
        <v/>
      </c>
      <c r="H349" t="str">
        <f>IF(LEN(TRIM(E349))=0, "", GetSpecimenPrepName())</f>
        <v/>
      </c>
      <c r="I349" t="str">
        <f>IF(LEN(TRIM(E349))=0, "", GetSampleVolumeBySpecimenPrep(H349))</f>
        <v/>
      </c>
      <c r="L349" t="str">
        <f>IF(LEN(TRIM(E349))=0,"",VLOOKUP("Manifest Id",config!A:B,2,FALSE))</f>
        <v/>
      </c>
      <c r="M349" t="str">
        <f>IF(LEN(TRIM(E349))=0, "",VLOOKUP("Project Name",config!A:B,2,FALSE))</f>
        <v/>
      </c>
      <c r="N349" t="str">
        <f>IF(LEN(TRIM(E349))=0, "",VLOOKUP("Center Name",config!A:B,2,FALSE))</f>
        <v/>
      </c>
      <c r="O349" s="7" t="str">
        <f>IF(LEN(TRIM(E349))=0,"",VLOOKUP("Shipment Date",config!A:B,2,FALSE))</f>
        <v/>
      </c>
      <c r="P349" s="7" t="str">
        <f t="shared" si="21"/>
        <v/>
      </c>
      <c r="Q349" s="7" t="str">
        <f>IF(LEN(TRIM(D349))=0,"",GetConfigParameterValue("Collection Site"))</f>
        <v/>
      </c>
      <c r="R349" t="str">
        <f>IF(LEN(TRIM(E349))=0, "", GetManifestComments(H349))</f>
        <v/>
      </c>
      <c r="S349" t="str">
        <f>IF(LEN(TRIM(E349))=0,"",IF(ISERROR(VLOOKUP(E349,'Manifest MDB data'!A:A,1,FALSE)),"OK","EXISTS!!!"))</f>
        <v/>
      </c>
    </row>
    <row r="350" spans="4:19" x14ac:dyDescent="0.25">
      <c r="D350" t="str">
        <f t="shared" si="22"/>
        <v/>
      </c>
      <c r="E350" t="str">
        <f t="shared" si="23"/>
        <v/>
      </c>
      <c r="F350" t="str">
        <f t="shared" si="24"/>
        <v/>
      </c>
      <c r="G350" t="str">
        <f>IF(LEN(TRIM(E350))=0, "", GetSampleTissueBySpecimenPrep(H350))</f>
        <v/>
      </c>
      <c r="H350" t="str">
        <f>IF(LEN(TRIM(E350))=0, "", GetSpecimenPrepName())</f>
        <v/>
      </c>
      <c r="I350" t="str">
        <f>IF(LEN(TRIM(E350))=0, "", GetSampleVolumeBySpecimenPrep(H350))</f>
        <v/>
      </c>
      <c r="L350" t="str">
        <f>IF(LEN(TRIM(E350))=0,"",VLOOKUP("Manifest Id",config!A:B,2,FALSE))</f>
        <v/>
      </c>
      <c r="M350" t="str">
        <f>IF(LEN(TRIM(E350))=0, "",VLOOKUP("Project Name",config!A:B,2,FALSE))</f>
        <v/>
      </c>
      <c r="N350" t="str">
        <f>IF(LEN(TRIM(E350))=0, "",VLOOKUP("Center Name",config!A:B,2,FALSE))</f>
        <v/>
      </c>
      <c r="O350" s="7" t="str">
        <f>IF(LEN(TRIM(E350))=0,"",VLOOKUP("Shipment Date",config!A:B,2,FALSE))</f>
        <v/>
      </c>
      <c r="P350" s="7" t="str">
        <f t="shared" si="21"/>
        <v/>
      </c>
      <c r="Q350" s="7" t="str">
        <f>IF(LEN(TRIM(D350))=0,"",GetConfigParameterValue("Collection Site"))</f>
        <v/>
      </c>
      <c r="R350" t="str">
        <f>IF(LEN(TRIM(E350))=0, "", GetManifestComments(H350))</f>
        <v/>
      </c>
      <c r="S350" t="str">
        <f>IF(LEN(TRIM(E350))=0,"",IF(ISERROR(VLOOKUP(E350,'Manifest MDB data'!A:A,1,FALSE)),"OK","EXISTS!!!"))</f>
        <v/>
      </c>
    </row>
    <row r="351" spans="4:19" x14ac:dyDescent="0.25">
      <c r="D351" t="str">
        <f t="shared" si="22"/>
        <v/>
      </c>
      <c r="E351" t="str">
        <f t="shared" si="23"/>
        <v/>
      </c>
      <c r="F351" t="str">
        <f t="shared" si="24"/>
        <v/>
      </c>
      <c r="G351" t="str">
        <f>IF(LEN(TRIM(E351))=0, "", GetSampleTissueBySpecimenPrep(H351))</f>
        <v/>
      </c>
      <c r="H351" t="str">
        <f>IF(LEN(TRIM(E351))=0, "", GetSpecimenPrepName())</f>
        <v/>
      </c>
      <c r="I351" t="str">
        <f>IF(LEN(TRIM(E351))=0, "", GetSampleVolumeBySpecimenPrep(H351))</f>
        <v/>
      </c>
      <c r="L351" t="str">
        <f>IF(LEN(TRIM(E351))=0,"",VLOOKUP("Manifest Id",config!A:B,2,FALSE))</f>
        <v/>
      </c>
      <c r="M351" t="str">
        <f>IF(LEN(TRIM(E351))=0, "",VLOOKUP("Project Name",config!A:B,2,FALSE))</f>
        <v/>
      </c>
      <c r="N351" t="str">
        <f>IF(LEN(TRIM(E351))=0, "",VLOOKUP("Center Name",config!A:B,2,FALSE))</f>
        <v/>
      </c>
      <c r="O351" s="7" t="str">
        <f>IF(LEN(TRIM(E351))=0,"",VLOOKUP("Shipment Date",config!A:B,2,FALSE))</f>
        <v/>
      </c>
      <c r="P351" s="7" t="str">
        <f t="shared" si="21"/>
        <v/>
      </c>
      <c r="Q351" s="7" t="str">
        <f>IF(LEN(TRIM(D351))=0,"",GetConfigParameterValue("Collection Site"))</f>
        <v/>
      </c>
      <c r="R351" t="str">
        <f>IF(LEN(TRIM(E351))=0, "", GetManifestComments(H351))</f>
        <v/>
      </c>
      <c r="S351" t="str">
        <f>IF(LEN(TRIM(E351))=0,"",IF(ISERROR(VLOOKUP(E351,'Manifest MDB data'!A:A,1,FALSE)),"OK","EXISTS!!!"))</f>
        <v/>
      </c>
    </row>
    <row r="352" spans="4:19" x14ac:dyDescent="0.25">
      <c r="D352" t="str">
        <f t="shared" si="22"/>
        <v/>
      </c>
      <c r="E352" t="str">
        <f t="shared" si="23"/>
        <v/>
      </c>
      <c r="F352" t="str">
        <f t="shared" si="24"/>
        <v/>
      </c>
      <c r="G352" t="str">
        <f>IF(LEN(TRIM(E352))=0, "", GetSampleTissueBySpecimenPrep(H352))</f>
        <v/>
      </c>
      <c r="H352" t="str">
        <f>IF(LEN(TRIM(E352))=0, "", GetSpecimenPrepName())</f>
        <v/>
      </c>
      <c r="I352" t="str">
        <f>IF(LEN(TRIM(E352))=0, "", GetSampleVolumeBySpecimenPrep(H352))</f>
        <v/>
      </c>
      <c r="L352" t="str">
        <f>IF(LEN(TRIM(E352))=0,"",VLOOKUP("Manifest Id",config!A:B,2,FALSE))</f>
        <v/>
      </c>
      <c r="M352" t="str">
        <f>IF(LEN(TRIM(E352))=0, "",VLOOKUP("Project Name",config!A:B,2,FALSE))</f>
        <v/>
      </c>
      <c r="N352" t="str">
        <f>IF(LEN(TRIM(E352))=0, "",VLOOKUP("Center Name",config!A:B,2,FALSE))</f>
        <v/>
      </c>
      <c r="O352" s="7" t="str">
        <f>IF(LEN(TRIM(E352))=0,"",VLOOKUP("Shipment Date",config!A:B,2,FALSE))</f>
        <v/>
      </c>
      <c r="P352" s="7" t="str">
        <f t="shared" si="21"/>
        <v/>
      </c>
      <c r="Q352" s="7" t="str">
        <f>IF(LEN(TRIM(D352))=0,"",GetConfigParameterValue("Collection Site"))</f>
        <v/>
      </c>
      <c r="R352" t="str">
        <f>IF(LEN(TRIM(E352))=0, "", GetManifestComments(H352))</f>
        <v/>
      </c>
      <c r="S352" t="str">
        <f>IF(LEN(TRIM(E352))=0,"",IF(ISERROR(VLOOKUP(E352,'Manifest MDB data'!A:A,1,FALSE)),"OK","EXISTS!!!"))</f>
        <v/>
      </c>
    </row>
    <row r="353" spans="4:19" x14ac:dyDescent="0.25">
      <c r="D353" t="str">
        <f t="shared" si="22"/>
        <v/>
      </c>
      <c r="E353" t="str">
        <f t="shared" si="23"/>
        <v/>
      </c>
      <c r="F353" t="str">
        <f t="shared" si="24"/>
        <v/>
      </c>
      <c r="G353" t="str">
        <f>IF(LEN(TRIM(E353))=0, "", GetSampleTissueBySpecimenPrep(H353))</f>
        <v/>
      </c>
      <c r="H353" t="str">
        <f>IF(LEN(TRIM(E353))=0, "", GetSpecimenPrepName())</f>
        <v/>
      </c>
      <c r="I353" t="str">
        <f>IF(LEN(TRIM(E353))=0, "", GetSampleVolumeBySpecimenPrep(H353))</f>
        <v/>
      </c>
      <c r="L353" t="str">
        <f>IF(LEN(TRIM(E353))=0,"",VLOOKUP("Manifest Id",config!A:B,2,FALSE))</f>
        <v/>
      </c>
      <c r="M353" t="str">
        <f>IF(LEN(TRIM(E353))=0, "",VLOOKUP("Project Name",config!A:B,2,FALSE))</f>
        <v/>
      </c>
      <c r="N353" t="str">
        <f>IF(LEN(TRIM(E353))=0, "",VLOOKUP("Center Name",config!A:B,2,FALSE))</f>
        <v/>
      </c>
      <c r="O353" s="7" t="str">
        <f>IF(LEN(TRIM(E353))=0,"",VLOOKUP("Shipment Date",config!A:B,2,FALSE))</f>
        <v/>
      </c>
      <c r="P353" s="7" t="str">
        <f t="shared" si="21"/>
        <v/>
      </c>
      <c r="Q353" s="7" t="str">
        <f>IF(LEN(TRIM(D353))=0,"",GetConfigParameterValue("Collection Site"))</f>
        <v/>
      </c>
      <c r="R353" t="str">
        <f>IF(LEN(TRIM(E353))=0, "", GetManifestComments(H353))</f>
        <v/>
      </c>
      <c r="S353" t="str">
        <f>IF(LEN(TRIM(E353))=0,"",IF(ISERROR(VLOOKUP(E353,'Manifest MDB data'!A:A,1,FALSE)),"OK","EXISTS!!!"))</f>
        <v/>
      </c>
    </row>
    <row r="354" spans="4:19" x14ac:dyDescent="0.25">
      <c r="D354" t="str">
        <f t="shared" si="22"/>
        <v/>
      </c>
      <c r="E354" t="str">
        <f t="shared" si="23"/>
        <v/>
      </c>
      <c r="F354" t="str">
        <f t="shared" si="24"/>
        <v/>
      </c>
      <c r="G354" t="str">
        <f>IF(LEN(TRIM(E354))=0, "", GetSampleTissueBySpecimenPrep(H354))</f>
        <v/>
      </c>
      <c r="H354" t="str">
        <f>IF(LEN(TRIM(E354))=0, "", GetSpecimenPrepName())</f>
        <v/>
      </c>
      <c r="I354" t="str">
        <f>IF(LEN(TRIM(E354))=0, "", GetSampleVolumeBySpecimenPrep(H354))</f>
        <v/>
      </c>
      <c r="L354" t="str">
        <f>IF(LEN(TRIM(E354))=0,"",VLOOKUP("Manifest Id",config!A:B,2,FALSE))</f>
        <v/>
      </c>
      <c r="M354" t="str">
        <f>IF(LEN(TRIM(E354))=0, "",VLOOKUP("Project Name",config!A:B,2,FALSE))</f>
        <v/>
      </c>
      <c r="N354" t="str">
        <f>IF(LEN(TRIM(E354))=0, "",VLOOKUP("Center Name",config!A:B,2,FALSE))</f>
        <v/>
      </c>
      <c r="O354" s="7" t="str">
        <f>IF(LEN(TRIM(E354))=0,"",VLOOKUP("Shipment Date",config!A:B,2,FALSE))</f>
        <v/>
      </c>
      <c r="P354" s="7" t="str">
        <f t="shared" si="21"/>
        <v/>
      </c>
      <c r="Q354" s="7" t="str">
        <f>IF(LEN(TRIM(D354))=0,"",GetConfigParameterValue("Collection Site"))</f>
        <v/>
      </c>
      <c r="R354" t="str">
        <f>IF(LEN(TRIM(E354))=0, "", GetManifestComments(H354))</f>
        <v/>
      </c>
      <c r="S354" t="str">
        <f>IF(LEN(TRIM(E354))=0,"",IF(ISERROR(VLOOKUP(E354,'Manifest MDB data'!A:A,1,FALSE)),"OK","EXISTS!!!"))</f>
        <v/>
      </c>
    </row>
    <row r="355" spans="4:19" x14ac:dyDescent="0.25">
      <c r="D355" t="str">
        <f t="shared" si="22"/>
        <v/>
      </c>
      <c r="E355" t="str">
        <f t="shared" si="23"/>
        <v/>
      </c>
      <c r="F355" t="str">
        <f t="shared" si="24"/>
        <v/>
      </c>
      <c r="G355" t="str">
        <f>IF(LEN(TRIM(E355))=0, "", GetSampleTissueBySpecimenPrep(H355))</f>
        <v/>
      </c>
      <c r="H355" t="str">
        <f>IF(LEN(TRIM(E355))=0, "", GetSpecimenPrepName())</f>
        <v/>
      </c>
      <c r="I355" t="str">
        <f>IF(LEN(TRIM(E355))=0, "", GetSampleVolumeBySpecimenPrep(H355))</f>
        <v/>
      </c>
      <c r="L355" t="str">
        <f>IF(LEN(TRIM(E355))=0,"",VLOOKUP("Manifest Id",config!A:B,2,FALSE))</f>
        <v/>
      </c>
      <c r="M355" t="str">
        <f>IF(LEN(TRIM(E355))=0, "",VLOOKUP("Project Name",config!A:B,2,FALSE))</f>
        <v/>
      </c>
      <c r="N355" t="str">
        <f>IF(LEN(TRIM(E355))=0, "",VLOOKUP("Center Name",config!A:B,2,FALSE))</f>
        <v/>
      </c>
      <c r="O355" s="7" t="str">
        <f>IF(LEN(TRIM(E355))=0,"",VLOOKUP("Shipment Date",config!A:B,2,FALSE))</f>
        <v/>
      </c>
      <c r="P355" s="7" t="str">
        <f t="shared" si="21"/>
        <v/>
      </c>
      <c r="Q355" s="7" t="str">
        <f>IF(LEN(TRIM(D355))=0,"",GetConfigParameterValue("Collection Site"))</f>
        <v/>
      </c>
      <c r="R355" t="str">
        <f>IF(LEN(TRIM(E355))=0, "", GetManifestComments(H355))</f>
        <v/>
      </c>
      <c r="S355" t="str">
        <f>IF(LEN(TRIM(E355))=0,"",IF(ISERROR(VLOOKUP(E355,'Manifest MDB data'!A:A,1,FALSE)),"OK","EXISTS!!!"))</f>
        <v/>
      </c>
    </row>
    <row r="356" spans="4:19" x14ac:dyDescent="0.25">
      <c r="D356" t="str">
        <f t="shared" si="22"/>
        <v/>
      </c>
      <c r="E356" t="str">
        <f t="shared" si="23"/>
        <v/>
      </c>
      <c r="F356" t="str">
        <f t="shared" si="24"/>
        <v/>
      </c>
      <c r="G356" t="str">
        <f>IF(LEN(TRIM(E356))=0, "", GetSampleTissueBySpecimenPrep(H356))</f>
        <v/>
      </c>
      <c r="H356" t="str">
        <f>IF(LEN(TRIM(E356))=0, "", GetSpecimenPrepName())</f>
        <v/>
      </c>
      <c r="I356" t="str">
        <f>IF(LEN(TRIM(E356))=0, "", GetSampleVolumeBySpecimenPrep(H356))</f>
        <v/>
      </c>
      <c r="L356" t="str">
        <f>IF(LEN(TRIM(E356))=0,"",VLOOKUP("Manifest Id",config!A:B,2,FALSE))</f>
        <v/>
      </c>
      <c r="M356" t="str">
        <f>IF(LEN(TRIM(E356))=0, "",VLOOKUP("Project Name",config!A:B,2,FALSE))</f>
        <v/>
      </c>
      <c r="N356" t="str">
        <f>IF(LEN(TRIM(E356))=0, "",VLOOKUP("Center Name",config!A:B,2,FALSE))</f>
        <v/>
      </c>
      <c r="O356" s="7" t="str">
        <f>IF(LEN(TRIM(E356))=0,"",VLOOKUP("Shipment Date",config!A:B,2,FALSE))</f>
        <v/>
      </c>
      <c r="P356" s="7" t="str">
        <f t="shared" si="21"/>
        <v/>
      </c>
      <c r="Q356" s="7" t="str">
        <f>IF(LEN(TRIM(D356))=0,"",GetConfigParameterValue("Collection Site"))</f>
        <v/>
      </c>
      <c r="R356" t="str">
        <f>IF(LEN(TRIM(E356))=0, "", GetManifestComments(H356))</f>
        <v/>
      </c>
      <c r="S356" t="str">
        <f>IF(LEN(TRIM(E356))=0,"",IF(ISERROR(VLOOKUP(E356,'Manifest MDB data'!A:A,1,FALSE)),"OK","EXISTS!!!"))</f>
        <v/>
      </c>
    </row>
    <row r="357" spans="4:19" x14ac:dyDescent="0.25">
      <c r="D357" t="str">
        <f t="shared" si="22"/>
        <v/>
      </c>
      <c r="E357" t="str">
        <f t="shared" si="23"/>
        <v/>
      </c>
      <c r="F357" t="str">
        <f t="shared" si="24"/>
        <v/>
      </c>
      <c r="G357" t="str">
        <f>IF(LEN(TRIM(E357))=0, "", GetSampleTissueBySpecimenPrep(H357))</f>
        <v/>
      </c>
      <c r="H357" t="str">
        <f>IF(LEN(TRIM(E357))=0, "", GetSpecimenPrepName())</f>
        <v/>
      </c>
      <c r="I357" t="str">
        <f>IF(LEN(TRIM(E357))=0, "", GetSampleVolumeBySpecimenPrep(H357))</f>
        <v/>
      </c>
      <c r="L357" t="str">
        <f>IF(LEN(TRIM(E357))=0,"",VLOOKUP("Manifest Id",config!A:B,2,FALSE))</f>
        <v/>
      </c>
      <c r="M357" t="str">
        <f>IF(LEN(TRIM(E357))=0, "",VLOOKUP("Project Name",config!A:B,2,FALSE))</f>
        <v/>
      </c>
      <c r="N357" t="str">
        <f>IF(LEN(TRIM(E357))=0, "",VLOOKUP("Center Name",config!A:B,2,FALSE))</f>
        <v/>
      </c>
      <c r="O357" s="7" t="str">
        <f>IF(LEN(TRIM(E357))=0,"",VLOOKUP("Shipment Date",config!A:B,2,FALSE))</f>
        <v/>
      </c>
      <c r="P357" s="7" t="str">
        <f t="shared" si="21"/>
        <v/>
      </c>
      <c r="Q357" s="7" t="str">
        <f>IF(LEN(TRIM(D357))=0,"",GetConfigParameterValue("Collection Site"))</f>
        <v/>
      </c>
      <c r="R357" t="str">
        <f>IF(LEN(TRIM(E357))=0, "", GetManifestComments(H357))</f>
        <v/>
      </c>
      <c r="S357" t="str">
        <f>IF(LEN(TRIM(E357))=0,"",IF(ISERROR(VLOOKUP(E357,'Manifest MDB data'!A:A,1,FALSE)),"OK","EXISTS!!!"))</f>
        <v/>
      </c>
    </row>
    <row r="358" spans="4:19" x14ac:dyDescent="0.25">
      <c r="D358" t="str">
        <f t="shared" si="22"/>
        <v/>
      </c>
      <c r="E358" t="str">
        <f t="shared" si="23"/>
        <v/>
      </c>
      <c r="F358" t="str">
        <f t="shared" si="24"/>
        <v/>
      </c>
      <c r="G358" t="str">
        <f>IF(LEN(TRIM(E358))=0, "", GetSampleTissueBySpecimenPrep(H358))</f>
        <v/>
      </c>
      <c r="H358" t="str">
        <f>IF(LEN(TRIM(E358))=0, "", GetSpecimenPrepName())</f>
        <v/>
      </c>
      <c r="I358" t="str">
        <f>IF(LEN(TRIM(E358))=0, "", GetSampleVolumeBySpecimenPrep(H358))</f>
        <v/>
      </c>
      <c r="L358" t="str">
        <f>IF(LEN(TRIM(E358))=0,"",VLOOKUP("Manifest Id",config!A:B,2,FALSE))</f>
        <v/>
      </c>
      <c r="M358" t="str">
        <f>IF(LEN(TRIM(E358))=0, "",VLOOKUP("Project Name",config!A:B,2,FALSE))</f>
        <v/>
      </c>
      <c r="N358" t="str">
        <f>IF(LEN(TRIM(E358))=0, "",VLOOKUP("Center Name",config!A:B,2,FALSE))</f>
        <v/>
      </c>
      <c r="O358" s="7" t="str">
        <f>IF(LEN(TRIM(E358))=0,"",VLOOKUP("Shipment Date",config!A:B,2,FALSE))</f>
        <v/>
      </c>
      <c r="P358" s="7" t="str">
        <f t="shared" si="21"/>
        <v/>
      </c>
      <c r="Q358" s="7" t="str">
        <f>IF(LEN(TRIM(D358))=0,"",GetConfigParameterValue("Collection Site"))</f>
        <v/>
      </c>
      <c r="R358" t="str">
        <f>IF(LEN(TRIM(E358))=0, "", GetManifestComments(H358))</f>
        <v/>
      </c>
      <c r="S358" t="str">
        <f>IF(LEN(TRIM(E358))=0,"",IF(ISERROR(VLOOKUP(E358,'Manifest MDB data'!A:A,1,FALSE)),"OK","EXISTS!!!"))</f>
        <v/>
      </c>
    </row>
    <row r="359" spans="4:19" x14ac:dyDescent="0.25">
      <c r="D359" t="str">
        <f t="shared" si="22"/>
        <v/>
      </c>
      <c r="E359" t="str">
        <f t="shared" si="23"/>
        <v/>
      </c>
      <c r="F359" t="str">
        <f t="shared" si="24"/>
        <v/>
      </c>
      <c r="G359" t="str">
        <f>IF(LEN(TRIM(E359))=0, "", GetSampleTissueBySpecimenPrep(H359))</f>
        <v/>
      </c>
      <c r="H359" t="str">
        <f>IF(LEN(TRIM(E359))=0, "", GetSpecimenPrepName())</f>
        <v/>
      </c>
      <c r="I359" t="str">
        <f>IF(LEN(TRIM(E359))=0, "", GetSampleVolumeBySpecimenPrep(H359))</f>
        <v/>
      </c>
      <c r="L359" t="str">
        <f>IF(LEN(TRIM(E359))=0,"",VLOOKUP("Manifest Id",config!A:B,2,FALSE))</f>
        <v/>
      </c>
      <c r="M359" t="str">
        <f>IF(LEN(TRIM(E359))=0, "",VLOOKUP("Project Name",config!A:B,2,FALSE))</f>
        <v/>
      </c>
      <c r="N359" t="str">
        <f>IF(LEN(TRIM(E359))=0, "",VLOOKUP("Center Name",config!A:B,2,FALSE))</f>
        <v/>
      </c>
      <c r="O359" s="7" t="str">
        <f>IF(LEN(TRIM(E359))=0,"",VLOOKUP("Shipment Date",config!A:B,2,FALSE))</f>
        <v/>
      </c>
      <c r="P359" s="7" t="str">
        <f t="shared" si="21"/>
        <v/>
      </c>
      <c r="Q359" s="7" t="str">
        <f>IF(LEN(TRIM(D359))=0,"",GetConfigParameterValue("Collection Site"))</f>
        <v/>
      </c>
      <c r="R359" t="str">
        <f>IF(LEN(TRIM(E359))=0, "", GetManifestComments(H359))</f>
        <v/>
      </c>
      <c r="S359" t="str">
        <f>IF(LEN(TRIM(E359))=0,"",IF(ISERROR(VLOOKUP(E359,'Manifest MDB data'!A:A,1,FALSE)),"OK","EXISTS!!!"))</f>
        <v/>
      </c>
    </row>
    <row r="360" spans="4:19" x14ac:dyDescent="0.25">
      <c r="D360" t="str">
        <f t="shared" si="22"/>
        <v/>
      </c>
      <c r="E360" t="str">
        <f t="shared" si="23"/>
        <v/>
      </c>
      <c r="F360" t="str">
        <f t="shared" si="24"/>
        <v/>
      </c>
      <c r="G360" t="str">
        <f>IF(LEN(TRIM(E360))=0, "", GetSampleTissueBySpecimenPrep(H360))</f>
        <v/>
      </c>
      <c r="H360" t="str">
        <f>IF(LEN(TRIM(E360))=0, "", GetSpecimenPrepName())</f>
        <v/>
      </c>
      <c r="I360" t="str">
        <f>IF(LEN(TRIM(E360))=0, "", GetSampleVolumeBySpecimenPrep(H360))</f>
        <v/>
      </c>
      <c r="L360" t="str">
        <f>IF(LEN(TRIM(E360))=0,"",VLOOKUP("Manifest Id",config!A:B,2,FALSE))</f>
        <v/>
      </c>
      <c r="M360" t="str">
        <f>IF(LEN(TRIM(E360))=0, "",VLOOKUP("Project Name",config!A:B,2,FALSE))</f>
        <v/>
      </c>
      <c r="N360" t="str">
        <f>IF(LEN(TRIM(E360))=0, "",VLOOKUP("Center Name",config!A:B,2,FALSE))</f>
        <v/>
      </c>
      <c r="O360" s="7" t="str">
        <f>IF(LEN(TRIM(E360))=0,"",VLOOKUP("Shipment Date",config!A:B,2,FALSE))</f>
        <v/>
      </c>
      <c r="P360" s="7" t="str">
        <f t="shared" si="21"/>
        <v/>
      </c>
      <c r="Q360" s="7" t="str">
        <f>IF(LEN(TRIM(D360))=0,"",GetConfigParameterValue("Collection Site"))</f>
        <v/>
      </c>
      <c r="R360" t="str">
        <f>IF(LEN(TRIM(E360))=0, "", GetManifestComments(H360))</f>
        <v/>
      </c>
      <c r="S360" t="str">
        <f>IF(LEN(TRIM(E360))=0,"",IF(ISERROR(VLOOKUP(E360,'Manifest MDB data'!A:A,1,FALSE)),"OK","EXISTS!!!"))</f>
        <v/>
      </c>
    </row>
    <row r="361" spans="4:19" x14ac:dyDescent="0.25">
      <c r="D361" t="str">
        <f t="shared" si="22"/>
        <v/>
      </c>
      <c r="E361" t="str">
        <f t="shared" si="23"/>
        <v/>
      </c>
      <c r="F361" t="str">
        <f t="shared" si="24"/>
        <v/>
      </c>
      <c r="G361" t="str">
        <f>IF(LEN(TRIM(E361))=0, "", GetSampleTissueBySpecimenPrep(H361))</f>
        <v/>
      </c>
      <c r="H361" t="str">
        <f>IF(LEN(TRIM(E361))=0, "", GetSpecimenPrepName())</f>
        <v/>
      </c>
      <c r="I361" t="str">
        <f>IF(LEN(TRIM(E361))=0, "", GetSampleVolumeBySpecimenPrep(H361))</f>
        <v/>
      </c>
      <c r="L361" t="str">
        <f>IF(LEN(TRIM(E361))=0,"",VLOOKUP("Manifest Id",config!A:B,2,FALSE))</f>
        <v/>
      </c>
      <c r="M361" t="str">
        <f>IF(LEN(TRIM(E361))=0, "",VLOOKUP("Project Name",config!A:B,2,FALSE))</f>
        <v/>
      </c>
      <c r="N361" t="str">
        <f>IF(LEN(TRIM(E361))=0, "",VLOOKUP("Center Name",config!A:B,2,FALSE))</f>
        <v/>
      </c>
      <c r="O361" s="7" t="str">
        <f>IF(LEN(TRIM(E361))=0,"",VLOOKUP("Shipment Date",config!A:B,2,FALSE))</f>
        <v/>
      </c>
      <c r="P361" s="7" t="str">
        <f t="shared" si="21"/>
        <v/>
      </c>
      <c r="Q361" s="7" t="str">
        <f>IF(LEN(TRIM(D361))=0,"",GetConfigParameterValue("Collection Site"))</f>
        <v/>
      </c>
      <c r="R361" t="str">
        <f>IF(LEN(TRIM(E361))=0, "", GetManifestComments(H361))</f>
        <v/>
      </c>
      <c r="S361" t="str">
        <f>IF(LEN(TRIM(E361))=0,"",IF(ISERROR(VLOOKUP(E361,'Manifest MDB data'!A:A,1,FALSE)),"OK","EXISTS!!!"))</f>
        <v/>
      </c>
    </row>
    <row r="362" spans="4:19" x14ac:dyDescent="0.25">
      <c r="D362" t="str">
        <f t="shared" si="22"/>
        <v/>
      </c>
      <c r="E362" t="str">
        <f t="shared" si="23"/>
        <v/>
      </c>
      <c r="F362" t="str">
        <f t="shared" si="24"/>
        <v/>
      </c>
      <c r="G362" t="str">
        <f>IF(LEN(TRIM(E362))=0, "", GetSampleTissueBySpecimenPrep(H362))</f>
        <v/>
      </c>
      <c r="H362" t="str">
        <f>IF(LEN(TRIM(E362))=0, "", GetSpecimenPrepName())</f>
        <v/>
      </c>
      <c r="I362" t="str">
        <f>IF(LEN(TRIM(E362))=0, "", GetSampleVolumeBySpecimenPrep(H362))</f>
        <v/>
      </c>
      <c r="L362" t="str">
        <f>IF(LEN(TRIM(E362))=0,"",VLOOKUP("Manifest Id",config!A:B,2,FALSE))</f>
        <v/>
      </c>
      <c r="M362" t="str">
        <f>IF(LEN(TRIM(E362))=0, "",VLOOKUP("Project Name",config!A:B,2,FALSE))</f>
        <v/>
      </c>
      <c r="N362" t="str">
        <f>IF(LEN(TRIM(E362))=0, "",VLOOKUP("Center Name",config!A:B,2,FALSE))</f>
        <v/>
      </c>
      <c r="O362" s="7" t="str">
        <f>IF(LEN(TRIM(E362))=0,"",VLOOKUP("Shipment Date",config!A:B,2,FALSE))</f>
        <v/>
      </c>
      <c r="P362" s="7" t="str">
        <f t="shared" si="21"/>
        <v/>
      </c>
      <c r="Q362" s="7" t="str">
        <f>IF(LEN(TRIM(D362))=0,"",GetConfigParameterValue("Collection Site"))</f>
        <v/>
      </c>
      <c r="R362" t="str">
        <f>IF(LEN(TRIM(E362))=0, "", GetManifestComments(H362))</f>
        <v/>
      </c>
      <c r="S362" t="str">
        <f>IF(LEN(TRIM(E362))=0,"",IF(ISERROR(VLOOKUP(E362,'Manifest MDB data'!A:A,1,FALSE)),"OK","EXISTS!!!"))</f>
        <v/>
      </c>
    </row>
    <row r="363" spans="4:19" x14ac:dyDescent="0.25">
      <c r="D363" t="str">
        <f t="shared" si="22"/>
        <v/>
      </c>
      <c r="E363" t="str">
        <f t="shared" si="23"/>
        <v/>
      </c>
      <c r="F363" t="str">
        <f t="shared" si="24"/>
        <v/>
      </c>
      <c r="G363" t="str">
        <f>IF(LEN(TRIM(E363))=0, "", GetSampleTissueBySpecimenPrep(H363))</f>
        <v/>
      </c>
      <c r="H363" t="str">
        <f>IF(LEN(TRIM(E363))=0, "", GetSpecimenPrepName())</f>
        <v/>
      </c>
      <c r="I363" t="str">
        <f>IF(LEN(TRIM(E363))=0, "", GetSampleVolumeBySpecimenPrep(H363))</f>
        <v/>
      </c>
      <c r="L363" t="str">
        <f>IF(LEN(TRIM(E363))=0,"",VLOOKUP("Manifest Id",config!A:B,2,FALSE))</f>
        <v/>
      </c>
      <c r="M363" t="str">
        <f>IF(LEN(TRIM(E363))=0, "",VLOOKUP("Project Name",config!A:B,2,FALSE))</f>
        <v/>
      </c>
      <c r="N363" t="str">
        <f>IF(LEN(TRIM(E363))=0, "",VLOOKUP("Center Name",config!A:B,2,FALSE))</f>
        <v/>
      </c>
      <c r="O363" s="7" t="str">
        <f>IF(LEN(TRIM(E363))=0,"",VLOOKUP("Shipment Date",config!A:B,2,FALSE))</f>
        <v/>
      </c>
      <c r="P363" s="7" t="str">
        <f t="shared" si="21"/>
        <v/>
      </c>
      <c r="Q363" s="7" t="str">
        <f>IF(LEN(TRIM(D363))=0,"",GetConfigParameterValue("Collection Site"))</f>
        <v/>
      </c>
      <c r="R363" t="str">
        <f>IF(LEN(TRIM(E363))=0, "", GetManifestComments(H363))</f>
        <v/>
      </c>
      <c r="S363" t="str">
        <f>IF(LEN(TRIM(E363))=0,"",IF(ISERROR(VLOOKUP(E363,'Manifest MDB data'!A:A,1,FALSE)),"OK","EXISTS!!!"))</f>
        <v/>
      </c>
    </row>
    <row r="364" spans="4:19" x14ac:dyDescent="0.25">
      <c r="D364" t="str">
        <f t="shared" si="22"/>
        <v/>
      </c>
      <c r="E364" t="str">
        <f t="shared" si="23"/>
        <v/>
      </c>
      <c r="F364" t="str">
        <f t="shared" si="24"/>
        <v/>
      </c>
      <c r="G364" t="str">
        <f>IF(LEN(TRIM(E364))=0, "", GetSampleTissueBySpecimenPrep(H364))</f>
        <v/>
      </c>
      <c r="H364" t="str">
        <f>IF(LEN(TRIM(E364))=0, "", GetSpecimenPrepName())</f>
        <v/>
      </c>
      <c r="I364" t="str">
        <f>IF(LEN(TRIM(E364))=0, "", GetSampleVolumeBySpecimenPrep(H364))</f>
        <v/>
      </c>
      <c r="L364" t="str">
        <f>IF(LEN(TRIM(E364))=0,"",VLOOKUP("Manifest Id",config!A:B,2,FALSE))</f>
        <v/>
      </c>
      <c r="M364" t="str">
        <f>IF(LEN(TRIM(E364))=0, "",VLOOKUP("Project Name",config!A:B,2,FALSE))</f>
        <v/>
      </c>
      <c r="N364" t="str">
        <f>IF(LEN(TRIM(E364))=0, "",VLOOKUP("Center Name",config!A:B,2,FALSE))</f>
        <v/>
      </c>
      <c r="O364" s="7" t="str">
        <f>IF(LEN(TRIM(E364))=0,"",VLOOKUP("Shipment Date",config!A:B,2,FALSE))</f>
        <v/>
      </c>
      <c r="P364" s="7" t="str">
        <f t="shared" si="21"/>
        <v/>
      </c>
      <c r="Q364" s="7" t="str">
        <f>IF(LEN(TRIM(D364))=0,"",GetConfigParameterValue("Collection Site"))</f>
        <v/>
      </c>
      <c r="R364" t="str">
        <f>IF(LEN(TRIM(E364))=0, "", GetManifestComments(H364))</f>
        <v/>
      </c>
      <c r="S364" t="str">
        <f>IF(LEN(TRIM(E364))=0,"",IF(ISERROR(VLOOKUP(E364,'Manifest MDB data'!A:A,1,FALSE)),"OK","EXISTS!!!"))</f>
        <v/>
      </c>
    </row>
    <row r="365" spans="4:19" x14ac:dyDescent="0.25">
      <c r="D365" t="str">
        <f t="shared" si="22"/>
        <v/>
      </c>
      <c r="E365" t="str">
        <f t="shared" si="23"/>
        <v/>
      </c>
      <c r="F365" t="str">
        <f t="shared" si="24"/>
        <v/>
      </c>
      <c r="G365" t="str">
        <f>IF(LEN(TRIM(E365))=0, "", GetSampleTissueBySpecimenPrep(H365))</f>
        <v/>
      </c>
      <c r="H365" t="str">
        <f>IF(LEN(TRIM(E365))=0, "", GetSpecimenPrepName())</f>
        <v/>
      </c>
      <c r="I365" t="str">
        <f>IF(LEN(TRIM(E365))=0, "", GetSampleVolumeBySpecimenPrep(H365))</f>
        <v/>
      </c>
      <c r="L365" t="str">
        <f>IF(LEN(TRIM(E365))=0,"",VLOOKUP("Manifest Id",config!A:B,2,FALSE))</f>
        <v/>
      </c>
      <c r="M365" t="str">
        <f>IF(LEN(TRIM(E365))=0, "",VLOOKUP("Project Name",config!A:B,2,FALSE))</f>
        <v/>
      </c>
      <c r="N365" t="str">
        <f>IF(LEN(TRIM(E365))=0, "",VLOOKUP("Center Name",config!A:B,2,FALSE))</f>
        <v/>
      </c>
      <c r="O365" s="7" t="str">
        <f>IF(LEN(TRIM(E365))=0,"",VLOOKUP("Shipment Date",config!A:B,2,FALSE))</f>
        <v/>
      </c>
      <c r="P365" s="7" t="str">
        <f t="shared" si="21"/>
        <v/>
      </c>
      <c r="Q365" s="7" t="str">
        <f>IF(LEN(TRIM(D365))=0,"",GetConfigParameterValue("Collection Site"))</f>
        <v/>
      </c>
      <c r="R365" t="str">
        <f>IF(LEN(TRIM(E365))=0, "", GetManifestComments(H365))</f>
        <v/>
      </c>
      <c r="S365" t="str">
        <f>IF(LEN(TRIM(E365))=0,"",IF(ISERROR(VLOOKUP(E365,'Manifest MDB data'!A:A,1,FALSE)),"OK","EXISTS!!!"))</f>
        <v/>
      </c>
    </row>
    <row r="366" spans="4:19" x14ac:dyDescent="0.25">
      <c r="D366" t="str">
        <f t="shared" si="22"/>
        <v/>
      </c>
      <c r="E366" t="str">
        <f t="shared" si="23"/>
        <v/>
      </c>
      <c r="F366" t="str">
        <f t="shared" si="24"/>
        <v/>
      </c>
      <c r="G366" t="str">
        <f>IF(LEN(TRIM(E366))=0, "", GetSampleTissueBySpecimenPrep(H366))</f>
        <v/>
      </c>
      <c r="H366" t="str">
        <f>IF(LEN(TRIM(E366))=0, "", GetSpecimenPrepName())</f>
        <v/>
      </c>
      <c r="I366" t="str">
        <f>IF(LEN(TRIM(E366))=0, "", GetSampleVolumeBySpecimenPrep(H366))</f>
        <v/>
      </c>
      <c r="L366" t="str">
        <f>IF(LEN(TRIM(E366))=0,"",VLOOKUP("Manifest Id",config!A:B,2,FALSE))</f>
        <v/>
      </c>
      <c r="M366" t="str">
        <f>IF(LEN(TRIM(E366))=0, "",VLOOKUP("Project Name",config!A:B,2,FALSE))</f>
        <v/>
      </c>
      <c r="N366" t="str">
        <f>IF(LEN(TRIM(E366))=0, "",VLOOKUP("Center Name",config!A:B,2,FALSE))</f>
        <v/>
      </c>
      <c r="O366" s="7" t="str">
        <f>IF(LEN(TRIM(E366))=0,"",VLOOKUP("Shipment Date",config!A:B,2,FALSE))</f>
        <v/>
      </c>
      <c r="P366" s="7" t="str">
        <f t="shared" si="21"/>
        <v/>
      </c>
      <c r="Q366" s="7" t="str">
        <f>IF(LEN(TRIM(D366))=0,"",GetConfigParameterValue("Collection Site"))</f>
        <v/>
      </c>
      <c r="R366" t="str">
        <f>IF(LEN(TRIM(E366))=0, "", GetManifestComments(H366))</f>
        <v/>
      </c>
      <c r="S366" t="str">
        <f>IF(LEN(TRIM(E366))=0,"",IF(ISERROR(VLOOKUP(E366,'Manifest MDB data'!A:A,1,FALSE)),"OK","EXISTS!!!"))</f>
        <v/>
      </c>
    </row>
    <row r="367" spans="4:19" x14ac:dyDescent="0.25">
      <c r="D367" t="str">
        <f t="shared" si="22"/>
        <v/>
      </c>
      <c r="E367" t="str">
        <f t="shared" si="23"/>
        <v/>
      </c>
      <c r="F367" t="str">
        <f t="shared" si="24"/>
        <v/>
      </c>
      <c r="G367" t="str">
        <f>IF(LEN(TRIM(E367))=0, "", GetSampleTissueBySpecimenPrep(H367))</f>
        <v/>
      </c>
      <c r="H367" t="str">
        <f>IF(LEN(TRIM(E367))=0, "", GetSpecimenPrepName())</f>
        <v/>
      </c>
      <c r="I367" t="str">
        <f>IF(LEN(TRIM(E367))=0, "", GetSampleVolumeBySpecimenPrep(H367))</f>
        <v/>
      </c>
      <c r="L367" t="str">
        <f>IF(LEN(TRIM(E367))=0,"",VLOOKUP("Manifest Id",config!A:B,2,FALSE))</f>
        <v/>
      </c>
      <c r="M367" t="str">
        <f>IF(LEN(TRIM(E367))=0, "",VLOOKUP("Project Name",config!A:B,2,FALSE))</f>
        <v/>
      </c>
      <c r="N367" t="str">
        <f>IF(LEN(TRIM(E367))=0, "",VLOOKUP("Center Name",config!A:B,2,FALSE))</f>
        <v/>
      </c>
      <c r="O367" s="7" t="str">
        <f>IF(LEN(TRIM(E367))=0,"",VLOOKUP("Shipment Date",config!A:B,2,FALSE))</f>
        <v/>
      </c>
      <c r="P367" s="7" t="str">
        <f t="shared" si="21"/>
        <v/>
      </c>
      <c r="Q367" s="7" t="str">
        <f>IF(LEN(TRIM(D367))=0,"",GetConfigParameterValue("Collection Site"))</f>
        <v/>
      </c>
      <c r="R367" t="str">
        <f>IF(LEN(TRIM(E367))=0, "", GetManifestComments(H367))</f>
        <v/>
      </c>
      <c r="S367" t="str">
        <f>IF(LEN(TRIM(E367))=0,"",IF(ISERROR(VLOOKUP(E367,'Manifest MDB data'!A:A,1,FALSE)),"OK","EXISTS!!!"))</f>
        <v/>
      </c>
    </row>
    <row r="368" spans="4:19" x14ac:dyDescent="0.25">
      <c r="D368" t="str">
        <f t="shared" si="22"/>
        <v/>
      </c>
      <c r="E368" t="str">
        <f t="shared" si="23"/>
        <v/>
      </c>
      <c r="F368" t="str">
        <f t="shared" si="24"/>
        <v/>
      </c>
      <c r="G368" t="str">
        <f>IF(LEN(TRIM(E368))=0, "", GetSampleTissueBySpecimenPrep(H368))</f>
        <v/>
      </c>
      <c r="H368" t="str">
        <f>IF(LEN(TRIM(E368))=0, "", GetSpecimenPrepName())</f>
        <v/>
      </c>
      <c r="I368" t="str">
        <f>IF(LEN(TRIM(E368))=0, "", GetSampleVolumeBySpecimenPrep(H368))</f>
        <v/>
      </c>
      <c r="L368" t="str">
        <f>IF(LEN(TRIM(E368))=0,"",VLOOKUP("Manifest Id",config!A:B,2,FALSE))</f>
        <v/>
      </c>
      <c r="M368" t="str">
        <f>IF(LEN(TRIM(E368))=0, "",VLOOKUP("Project Name",config!A:B,2,FALSE))</f>
        <v/>
      </c>
      <c r="N368" t="str">
        <f>IF(LEN(TRIM(E368))=0, "",VLOOKUP("Center Name",config!A:B,2,FALSE))</f>
        <v/>
      </c>
      <c r="O368" s="7" t="str">
        <f>IF(LEN(TRIM(E368))=0,"",VLOOKUP("Shipment Date",config!A:B,2,FALSE))</f>
        <v/>
      </c>
      <c r="P368" s="7" t="str">
        <f t="shared" si="21"/>
        <v/>
      </c>
      <c r="Q368" s="7" t="str">
        <f>IF(LEN(TRIM(D368))=0,"",GetConfigParameterValue("Collection Site"))</f>
        <v/>
      </c>
      <c r="R368" t="str">
        <f>IF(LEN(TRIM(E368))=0, "", GetManifestComments(H368))</f>
        <v/>
      </c>
      <c r="S368" t="str">
        <f>IF(LEN(TRIM(E368))=0,"",IF(ISERROR(VLOOKUP(E368,'Manifest MDB data'!A:A,1,FALSE)),"OK","EXISTS!!!"))</f>
        <v/>
      </c>
    </row>
    <row r="369" spans="4:19" x14ac:dyDescent="0.25">
      <c r="D369" t="str">
        <f t="shared" si="22"/>
        <v/>
      </c>
      <c r="E369" t="str">
        <f t="shared" si="23"/>
        <v/>
      </c>
      <c r="F369" t="str">
        <f t="shared" si="24"/>
        <v/>
      </c>
      <c r="G369" t="str">
        <f>IF(LEN(TRIM(E369))=0, "", GetSampleTissueBySpecimenPrep(H369))</f>
        <v/>
      </c>
      <c r="H369" t="str">
        <f>IF(LEN(TRIM(E369))=0, "", GetSpecimenPrepName())</f>
        <v/>
      </c>
      <c r="I369" t="str">
        <f>IF(LEN(TRIM(E369))=0, "", GetSampleVolumeBySpecimenPrep(H369))</f>
        <v/>
      </c>
      <c r="L369" t="str">
        <f>IF(LEN(TRIM(E369))=0,"",VLOOKUP("Manifest Id",config!A:B,2,FALSE))</f>
        <v/>
      </c>
      <c r="M369" t="str">
        <f>IF(LEN(TRIM(E369))=0, "",VLOOKUP("Project Name",config!A:B,2,FALSE))</f>
        <v/>
      </c>
      <c r="N369" t="str">
        <f>IF(LEN(TRIM(E369))=0, "",VLOOKUP("Center Name",config!A:B,2,FALSE))</f>
        <v/>
      </c>
      <c r="O369" s="7" t="str">
        <f>IF(LEN(TRIM(E369))=0,"",VLOOKUP("Shipment Date",config!A:B,2,FALSE))</f>
        <v/>
      </c>
      <c r="P369" s="7" t="str">
        <f t="shared" si="21"/>
        <v/>
      </c>
      <c r="Q369" s="7" t="str">
        <f>IF(LEN(TRIM(D369))=0,"",GetConfigParameterValue("Collection Site"))</f>
        <v/>
      </c>
      <c r="R369" t="str">
        <f>IF(LEN(TRIM(E369))=0, "", GetManifestComments(H369))</f>
        <v/>
      </c>
      <c r="S369" t="str">
        <f>IF(LEN(TRIM(E369))=0,"",IF(ISERROR(VLOOKUP(E369,'Manifest MDB data'!A:A,1,FALSE)),"OK","EXISTS!!!"))</f>
        <v/>
      </c>
    </row>
    <row r="370" spans="4:19" x14ac:dyDescent="0.25">
      <c r="D370" t="str">
        <f t="shared" si="22"/>
        <v/>
      </c>
      <c r="E370" t="str">
        <f t="shared" si="23"/>
        <v/>
      </c>
      <c r="F370" t="str">
        <f t="shared" si="24"/>
        <v/>
      </c>
      <c r="G370" t="str">
        <f>IF(LEN(TRIM(E370))=0, "", GetSampleTissueBySpecimenPrep(H370))</f>
        <v/>
      </c>
      <c r="H370" t="str">
        <f>IF(LEN(TRIM(E370))=0, "", GetSpecimenPrepName())</f>
        <v/>
      </c>
      <c r="I370" t="str">
        <f>IF(LEN(TRIM(E370))=0, "", GetSampleVolumeBySpecimenPrep(H370))</f>
        <v/>
      </c>
      <c r="L370" t="str">
        <f>IF(LEN(TRIM(E370))=0,"",VLOOKUP("Manifest Id",config!A:B,2,FALSE))</f>
        <v/>
      </c>
      <c r="M370" t="str">
        <f>IF(LEN(TRIM(E370))=0, "",VLOOKUP("Project Name",config!A:B,2,FALSE))</f>
        <v/>
      </c>
      <c r="N370" t="str">
        <f>IF(LEN(TRIM(E370))=0, "",VLOOKUP("Center Name",config!A:B,2,FALSE))</f>
        <v/>
      </c>
      <c r="O370" s="7" t="str">
        <f>IF(LEN(TRIM(E370))=0,"",VLOOKUP("Shipment Date",config!A:B,2,FALSE))</f>
        <v/>
      </c>
      <c r="P370" s="7" t="str">
        <f t="shared" si="21"/>
        <v/>
      </c>
      <c r="Q370" s="7" t="str">
        <f>IF(LEN(TRIM(D370))=0,"",GetConfigParameterValue("Collection Site"))</f>
        <v/>
      </c>
      <c r="R370" t="str">
        <f>IF(LEN(TRIM(E370))=0, "", GetManifestComments(H370))</f>
        <v/>
      </c>
      <c r="S370" t="str">
        <f>IF(LEN(TRIM(E370))=0,"",IF(ISERROR(VLOOKUP(E370,'Manifest MDB data'!A:A,1,FALSE)),"OK","EXISTS!!!"))</f>
        <v/>
      </c>
    </row>
    <row r="371" spans="4:19" x14ac:dyDescent="0.25">
      <c r="D371" t="str">
        <f t="shared" si="22"/>
        <v/>
      </c>
      <c r="E371" t="str">
        <f t="shared" si="23"/>
        <v/>
      </c>
      <c r="F371" t="str">
        <f t="shared" si="24"/>
        <v/>
      </c>
      <c r="G371" t="str">
        <f>IF(LEN(TRIM(E371))=0, "", GetSampleTissueBySpecimenPrep(H371))</f>
        <v/>
      </c>
      <c r="H371" t="str">
        <f>IF(LEN(TRIM(E371))=0, "", GetSpecimenPrepName())</f>
        <v/>
      </c>
      <c r="I371" t="str">
        <f>IF(LEN(TRIM(E371))=0, "", GetSampleVolumeBySpecimenPrep(H371))</f>
        <v/>
      </c>
      <c r="L371" t="str">
        <f>IF(LEN(TRIM(E371))=0,"",VLOOKUP("Manifest Id",config!A:B,2,FALSE))</f>
        <v/>
      </c>
      <c r="M371" t="str">
        <f>IF(LEN(TRIM(E371))=0, "",VLOOKUP("Project Name",config!A:B,2,FALSE))</f>
        <v/>
      </c>
      <c r="N371" t="str">
        <f>IF(LEN(TRIM(E371))=0, "",VLOOKUP("Center Name",config!A:B,2,FALSE))</f>
        <v/>
      </c>
      <c r="O371" s="7" t="str">
        <f>IF(LEN(TRIM(E371))=0,"",VLOOKUP("Shipment Date",config!A:B,2,FALSE))</f>
        <v/>
      </c>
      <c r="P371" s="7" t="str">
        <f t="shared" si="21"/>
        <v/>
      </c>
      <c r="Q371" s="7" t="str">
        <f>IF(LEN(TRIM(D371))=0,"",GetConfigParameterValue("Collection Site"))</f>
        <v/>
      </c>
      <c r="R371" t="str">
        <f>IF(LEN(TRIM(E371))=0, "", GetManifestComments(H371))</f>
        <v/>
      </c>
      <c r="S371" t="str">
        <f>IF(LEN(TRIM(E371))=0,"",IF(ISERROR(VLOOKUP(E371,'Manifest MDB data'!A:A,1,FALSE)),"OK","EXISTS!!!"))</f>
        <v/>
      </c>
    </row>
    <row r="372" spans="4:19" x14ac:dyDescent="0.25">
      <c r="D372" t="str">
        <f t="shared" si="22"/>
        <v/>
      </c>
      <c r="E372" t="str">
        <f t="shared" si="23"/>
        <v/>
      </c>
      <c r="F372" t="str">
        <f t="shared" si="24"/>
        <v/>
      </c>
      <c r="G372" t="str">
        <f>IF(LEN(TRIM(E372))=0, "", GetSampleTissueBySpecimenPrep(H372))</f>
        <v/>
      </c>
      <c r="H372" t="str">
        <f>IF(LEN(TRIM(E372))=0, "", GetSpecimenPrepName())</f>
        <v/>
      </c>
      <c r="I372" t="str">
        <f>IF(LEN(TRIM(E372))=0, "", GetSampleVolumeBySpecimenPrep(H372))</f>
        <v/>
      </c>
      <c r="L372" t="str">
        <f>IF(LEN(TRIM(E372))=0,"",VLOOKUP("Manifest Id",config!A:B,2,FALSE))</f>
        <v/>
      </c>
      <c r="M372" t="str">
        <f>IF(LEN(TRIM(E372))=0, "",VLOOKUP("Project Name",config!A:B,2,FALSE))</f>
        <v/>
      </c>
      <c r="N372" t="str">
        <f>IF(LEN(TRIM(E372))=0, "",VLOOKUP("Center Name",config!A:B,2,FALSE))</f>
        <v/>
      </c>
      <c r="O372" s="7" t="str">
        <f>IF(LEN(TRIM(E372))=0,"",VLOOKUP("Shipment Date",config!A:B,2,FALSE))</f>
        <v/>
      </c>
      <c r="P372" s="7" t="str">
        <f t="shared" si="21"/>
        <v/>
      </c>
      <c r="Q372" s="7" t="str">
        <f>IF(LEN(TRIM(D372))=0,"",GetConfigParameterValue("Collection Site"))</f>
        <v/>
      </c>
      <c r="R372" t="str">
        <f>IF(LEN(TRIM(E372))=0, "", GetManifestComments(H372))</f>
        <v/>
      </c>
      <c r="S372" t="str">
        <f>IF(LEN(TRIM(E372))=0,"",IF(ISERROR(VLOOKUP(E372,'Manifest MDB data'!A:A,1,FALSE)),"OK","EXISTS!!!"))</f>
        <v/>
      </c>
    </row>
    <row r="373" spans="4:19" x14ac:dyDescent="0.25">
      <c r="D373" t="str">
        <f t="shared" si="22"/>
        <v/>
      </c>
      <c r="E373" t="str">
        <f t="shared" si="23"/>
        <v/>
      </c>
      <c r="F373" t="str">
        <f t="shared" si="24"/>
        <v/>
      </c>
      <c r="G373" t="str">
        <f>IF(LEN(TRIM(E373))=0, "", GetSampleTissueBySpecimenPrep(H373))</f>
        <v/>
      </c>
      <c r="H373" t="str">
        <f>IF(LEN(TRIM(E373))=0, "", GetSpecimenPrepName())</f>
        <v/>
      </c>
      <c r="I373" t="str">
        <f>IF(LEN(TRIM(E373))=0, "", GetSampleVolumeBySpecimenPrep(H373))</f>
        <v/>
      </c>
      <c r="L373" t="str">
        <f>IF(LEN(TRIM(E373))=0,"",VLOOKUP("Manifest Id",config!A:B,2,FALSE))</f>
        <v/>
      </c>
      <c r="M373" t="str">
        <f>IF(LEN(TRIM(E373))=0, "",VLOOKUP("Project Name",config!A:B,2,FALSE))</f>
        <v/>
      </c>
      <c r="N373" t="str">
        <f>IF(LEN(TRIM(E373))=0, "",VLOOKUP("Center Name",config!A:B,2,FALSE))</f>
        <v/>
      </c>
      <c r="O373" s="7" t="str">
        <f>IF(LEN(TRIM(E373))=0,"",VLOOKUP("Shipment Date",config!A:B,2,FALSE))</f>
        <v/>
      </c>
      <c r="P373" s="7" t="str">
        <f t="shared" si="21"/>
        <v/>
      </c>
      <c r="Q373" s="7" t="str">
        <f>IF(LEN(TRIM(D373))=0,"",GetConfigParameterValue("Collection Site"))</f>
        <v/>
      </c>
      <c r="R373" t="str">
        <f>IF(LEN(TRIM(E373))=0, "", GetManifestComments(H373))</f>
        <v/>
      </c>
      <c r="S373" t="str">
        <f>IF(LEN(TRIM(E373))=0,"",IF(ISERROR(VLOOKUP(E373,'Manifest MDB data'!A:A,1,FALSE)),"OK","EXISTS!!!"))</f>
        <v/>
      </c>
    </row>
    <row r="374" spans="4:19" x14ac:dyDescent="0.25">
      <c r="D374" t="str">
        <f t="shared" si="22"/>
        <v/>
      </c>
      <c r="E374" t="str">
        <f t="shared" si="23"/>
        <v/>
      </c>
      <c r="F374" t="str">
        <f t="shared" si="24"/>
        <v/>
      </c>
      <c r="G374" t="str">
        <f>IF(LEN(TRIM(E374))=0, "", GetSampleTissueBySpecimenPrep(H374))</f>
        <v/>
      </c>
      <c r="H374" t="str">
        <f>IF(LEN(TRIM(E374))=0, "", GetSpecimenPrepName())</f>
        <v/>
      </c>
      <c r="I374" t="str">
        <f>IF(LEN(TRIM(E374))=0, "", GetSampleVolumeBySpecimenPrep(H374))</f>
        <v/>
      </c>
      <c r="L374" t="str">
        <f>IF(LEN(TRIM(E374))=0,"",VLOOKUP("Manifest Id",config!A:B,2,FALSE))</f>
        <v/>
      </c>
      <c r="M374" t="str">
        <f>IF(LEN(TRIM(E374))=0, "",VLOOKUP("Project Name",config!A:B,2,FALSE))</f>
        <v/>
      </c>
      <c r="N374" t="str">
        <f>IF(LEN(TRIM(E374))=0, "",VLOOKUP("Center Name",config!A:B,2,FALSE))</f>
        <v/>
      </c>
      <c r="O374" s="7" t="str">
        <f>IF(LEN(TRIM(E374))=0,"",VLOOKUP("Shipment Date",config!A:B,2,FALSE))</f>
        <v/>
      </c>
      <c r="P374" s="7" t="str">
        <f t="shared" si="21"/>
        <v/>
      </c>
      <c r="Q374" s="7" t="str">
        <f>IF(LEN(TRIM(D374))=0,"",GetConfigParameterValue("Collection Site"))</f>
        <v/>
      </c>
      <c r="R374" t="str">
        <f>IF(LEN(TRIM(E374))=0, "", GetManifestComments(H374))</f>
        <v/>
      </c>
      <c r="S374" t="str">
        <f>IF(LEN(TRIM(E374))=0,"",IF(ISERROR(VLOOKUP(E374,'Manifest MDB data'!A:A,1,FALSE)),"OK","EXISTS!!!"))</f>
        <v/>
      </c>
    </row>
    <row r="375" spans="4:19" x14ac:dyDescent="0.25">
      <c r="D375" t="str">
        <f t="shared" si="22"/>
        <v/>
      </c>
      <c r="E375" t="str">
        <f t="shared" si="23"/>
        <v/>
      </c>
      <c r="F375" t="str">
        <f t="shared" si="24"/>
        <v/>
      </c>
      <c r="G375" t="str">
        <f>IF(LEN(TRIM(E375))=0, "", GetSampleTissueBySpecimenPrep(H375))</f>
        <v/>
      </c>
      <c r="H375" t="str">
        <f>IF(LEN(TRIM(E375))=0, "", GetSpecimenPrepName())</f>
        <v/>
      </c>
      <c r="I375" t="str">
        <f>IF(LEN(TRIM(E375))=0, "", GetSampleVolumeBySpecimenPrep(H375))</f>
        <v/>
      </c>
      <c r="L375" t="str">
        <f>IF(LEN(TRIM(E375))=0,"",VLOOKUP("Manifest Id",config!A:B,2,FALSE))</f>
        <v/>
      </c>
      <c r="M375" t="str">
        <f>IF(LEN(TRIM(E375))=0, "",VLOOKUP("Project Name",config!A:B,2,FALSE))</f>
        <v/>
      </c>
      <c r="N375" t="str">
        <f>IF(LEN(TRIM(E375))=0, "",VLOOKUP("Center Name",config!A:B,2,FALSE))</f>
        <v/>
      </c>
      <c r="O375" s="7" t="str">
        <f>IF(LEN(TRIM(E375))=0,"",VLOOKUP("Shipment Date",config!A:B,2,FALSE))</f>
        <v/>
      </c>
      <c r="P375" s="7" t="str">
        <f t="shared" si="21"/>
        <v/>
      </c>
      <c r="Q375" s="7" t="str">
        <f>IF(LEN(TRIM(D375))=0,"",GetConfigParameterValue("Collection Site"))</f>
        <v/>
      </c>
      <c r="R375" t="str">
        <f>IF(LEN(TRIM(E375))=0, "", GetManifestComments(H375))</f>
        <v/>
      </c>
      <c r="S375" t="str">
        <f>IF(LEN(TRIM(E375))=0,"",IF(ISERROR(VLOOKUP(E375,'Manifest MDB data'!A:A,1,FALSE)),"OK","EXISTS!!!"))</f>
        <v/>
      </c>
    </row>
    <row r="376" spans="4:19" x14ac:dyDescent="0.25">
      <c r="D376" t="str">
        <f t="shared" si="22"/>
        <v/>
      </c>
      <c r="E376" t="str">
        <f t="shared" si="23"/>
        <v/>
      </c>
      <c r="F376" t="str">
        <f t="shared" si="24"/>
        <v/>
      </c>
      <c r="G376" t="str">
        <f>IF(LEN(TRIM(E376))=0, "", GetSampleTissueBySpecimenPrep(H376))</f>
        <v/>
      </c>
      <c r="H376" t="str">
        <f>IF(LEN(TRIM(E376))=0, "", GetSpecimenPrepName())</f>
        <v/>
      </c>
      <c r="I376" t="str">
        <f>IF(LEN(TRIM(E376))=0, "", GetSampleVolumeBySpecimenPrep(H376))</f>
        <v/>
      </c>
      <c r="L376" t="str">
        <f>IF(LEN(TRIM(E376))=0,"",VLOOKUP("Manifest Id",config!A:B,2,FALSE))</f>
        <v/>
      </c>
      <c r="M376" t="str">
        <f>IF(LEN(TRIM(E376))=0, "",VLOOKUP("Project Name",config!A:B,2,FALSE))</f>
        <v/>
      </c>
      <c r="N376" t="str">
        <f>IF(LEN(TRIM(E376))=0, "",VLOOKUP("Center Name",config!A:B,2,FALSE))</f>
        <v/>
      </c>
      <c r="O376" s="7" t="str">
        <f>IF(LEN(TRIM(E376))=0,"",VLOOKUP("Shipment Date",config!A:B,2,FALSE))</f>
        <v/>
      </c>
      <c r="P376" s="7" t="str">
        <f t="shared" si="21"/>
        <v/>
      </c>
      <c r="Q376" s="7" t="str">
        <f>IF(LEN(TRIM(D376))=0,"",GetConfigParameterValue("Collection Site"))</f>
        <v/>
      </c>
      <c r="R376" t="str">
        <f>IF(LEN(TRIM(E376))=0, "", GetManifestComments(H376))</f>
        <v/>
      </c>
      <c r="S376" t="str">
        <f>IF(LEN(TRIM(E376))=0,"",IF(ISERROR(VLOOKUP(E376,'Manifest MDB data'!A:A,1,FALSE)),"OK","EXISTS!!!"))</f>
        <v/>
      </c>
    </row>
    <row r="377" spans="4:19" x14ac:dyDescent="0.25">
      <c r="D377" t="str">
        <f t="shared" si="22"/>
        <v/>
      </c>
      <c r="E377" t="str">
        <f t="shared" si="23"/>
        <v/>
      </c>
      <c r="F377" t="str">
        <f t="shared" si="24"/>
        <v/>
      </c>
      <c r="G377" t="str">
        <f>IF(LEN(TRIM(E377))=0, "", GetSampleTissueBySpecimenPrep(H377))</f>
        <v/>
      </c>
      <c r="H377" t="str">
        <f>IF(LEN(TRIM(E377))=0, "", GetSpecimenPrepName())</f>
        <v/>
      </c>
      <c r="I377" t="str">
        <f>IF(LEN(TRIM(E377))=0, "", GetSampleVolumeBySpecimenPrep(H377))</f>
        <v/>
      </c>
      <c r="L377" t="str">
        <f>IF(LEN(TRIM(E377))=0,"",VLOOKUP("Manifest Id",config!A:B,2,FALSE))</f>
        <v/>
      </c>
      <c r="M377" t="str">
        <f>IF(LEN(TRIM(E377))=0, "",VLOOKUP("Project Name",config!A:B,2,FALSE))</f>
        <v/>
      </c>
      <c r="N377" t="str">
        <f>IF(LEN(TRIM(E377))=0, "",VLOOKUP("Center Name",config!A:B,2,FALSE))</f>
        <v/>
      </c>
      <c r="O377" s="7" t="str">
        <f>IF(LEN(TRIM(E377))=0,"",VLOOKUP("Shipment Date",config!A:B,2,FALSE))</f>
        <v/>
      </c>
      <c r="P377" s="7" t="str">
        <f t="shared" si="21"/>
        <v/>
      </c>
      <c r="Q377" s="7" t="str">
        <f>IF(LEN(TRIM(D377))=0,"",GetConfigParameterValue("Collection Site"))</f>
        <v/>
      </c>
      <c r="R377" t="str">
        <f>IF(LEN(TRIM(E377))=0, "", GetManifestComments(H377))</f>
        <v/>
      </c>
      <c r="S377" t="str">
        <f>IF(LEN(TRIM(E377))=0,"",IF(ISERROR(VLOOKUP(E377,'Manifest MDB data'!A:A,1,FALSE)),"OK","EXISTS!!!"))</f>
        <v/>
      </c>
    </row>
    <row r="378" spans="4:19" x14ac:dyDescent="0.25">
      <c r="D378" t="str">
        <f t="shared" si="22"/>
        <v/>
      </c>
      <c r="E378" t="str">
        <f t="shared" si="23"/>
        <v/>
      </c>
      <c r="F378" t="str">
        <f t="shared" si="24"/>
        <v/>
      </c>
      <c r="G378" t="str">
        <f>IF(LEN(TRIM(E378))=0, "", GetSampleTissueBySpecimenPrep(H378))</f>
        <v/>
      </c>
      <c r="H378" t="str">
        <f>IF(LEN(TRIM(E378))=0, "", GetSpecimenPrepName())</f>
        <v/>
      </c>
      <c r="I378" t="str">
        <f>IF(LEN(TRIM(E378))=0, "", GetSampleVolumeBySpecimenPrep(H378))</f>
        <v/>
      </c>
      <c r="L378" t="str">
        <f>IF(LEN(TRIM(E378))=0,"",VLOOKUP("Manifest Id",config!A:B,2,FALSE))</f>
        <v/>
      </c>
      <c r="M378" t="str">
        <f>IF(LEN(TRIM(E378))=0, "",VLOOKUP("Project Name",config!A:B,2,FALSE))</f>
        <v/>
      </c>
      <c r="N378" t="str">
        <f>IF(LEN(TRIM(E378))=0, "",VLOOKUP("Center Name",config!A:B,2,FALSE))</f>
        <v/>
      </c>
      <c r="O378" s="7" t="str">
        <f>IF(LEN(TRIM(E378))=0,"",VLOOKUP("Shipment Date",config!A:B,2,FALSE))</f>
        <v/>
      </c>
      <c r="P378" s="7" t="str">
        <f t="shared" si="21"/>
        <v/>
      </c>
      <c r="Q378" s="7" t="str">
        <f>IF(LEN(TRIM(D378))=0,"",GetConfigParameterValue("Collection Site"))</f>
        <v/>
      </c>
      <c r="R378" t="str">
        <f>IF(LEN(TRIM(E378))=0, "", GetManifestComments(H378))</f>
        <v/>
      </c>
      <c r="S378" t="str">
        <f>IF(LEN(TRIM(E378))=0,"",IF(ISERROR(VLOOKUP(E378,'Manifest MDB data'!A:A,1,FALSE)),"OK","EXISTS!!!"))</f>
        <v/>
      </c>
    </row>
    <row r="379" spans="4:19" x14ac:dyDescent="0.25">
      <c r="D379" t="str">
        <f t="shared" si="22"/>
        <v/>
      </c>
      <c r="E379" t="str">
        <f t="shared" si="23"/>
        <v/>
      </c>
      <c r="F379" t="str">
        <f t="shared" si="24"/>
        <v/>
      </c>
      <c r="G379" t="str">
        <f>IF(LEN(TRIM(E379))=0, "", GetSampleTissueBySpecimenPrep(H379))</f>
        <v/>
      </c>
      <c r="H379" t="str">
        <f>IF(LEN(TRIM(E379))=0, "", GetSpecimenPrepName())</f>
        <v/>
      </c>
      <c r="I379" t="str">
        <f>IF(LEN(TRIM(E379))=0, "", GetSampleVolumeBySpecimenPrep(H379))</f>
        <v/>
      </c>
      <c r="L379" t="str">
        <f>IF(LEN(TRIM(E379))=0,"",VLOOKUP("Manifest Id",config!A:B,2,FALSE))</f>
        <v/>
      </c>
      <c r="M379" t="str">
        <f>IF(LEN(TRIM(E379))=0, "",VLOOKUP("Project Name",config!A:B,2,FALSE))</f>
        <v/>
      </c>
      <c r="N379" t="str">
        <f>IF(LEN(TRIM(E379))=0, "",VLOOKUP("Center Name",config!A:B,2,FALSE))</f>
        <v/>
      </c>
      <c r="O379" s="7" t="str">
        <f>IF(LEN(TRIM(E379))=0,"",VLOOKUP("Shipment Date",config!A:B,2,FALSE))</f>
        <v/>
      </c>
      <c r="P379" s="7" t="str">
        <f t="shared" si="21"/>
        <v/>
      </c>
      <c r="Q379" s="7" t="str">
        <f>IF(LEN(TRIM(D379))=0,"",GetConfigParameterValue("Collection Site"))</f>
        <v/>
      </c>
      <c r="R379" t="str">
        <f>IF(LEN(TRIM(E379))=0, "", GetManifestComments(H379))</f>
        <v/>
      </c>
      <c r="S379" t="str">
        <f>IF(LEN(TRIM(E379))=0,"",IF(ISERROR(VLOOKUP(E379,'Manifest MDB data'!A:A,1,FALSE)),"OK","EXISTS!!!"))</f>
        <v/>
      </c>
    </row>
    <row r="380" spans="4:19" x14ac:dyDescent="0.25">
      <c r="D380" t="str">
        <f t="shared" si="22"/>
        <v/>
      </c>
      <c r="E380" t="str">
        <f t="shared" si="23"/>
        <v/>
      </c>
      <c r="F380" t="str">
        <f t="shared" si="24"/>
        <v/>
      </c>
      <c r="G380" t="str">
        <f>IF(LEN(TRIM(E380))=0, "", GetSampleTissueBySpecimenPrep(H380))</f>
        <v/>
      </c>
      <c r="H380" t="str">
        <f>IF(LEN(TRIM(E380))=0, "", GetSpecimenPrepName())</f>
        <v/>
      </c>
      <c r="I380" t="str">
        <f>IF(LEN(TRIM(E380))=0, "", GetSampleVolumeBySpecimenPrep(H380))</f>
        <v/>
      </c>
      <c r="L380" t="str">
        <f>IF(LEN(TRIM(E380))=0,"",VLOOKUP("Manifest Id",config!A:B,2,FALSE))</f>
        <v/>
      </c>
      <c r="M380" t="str">
        <f>IF(LEN(TRIM(E380))=0, "",VLOOKUP("Project Name",config!A:B,2,FALSE))</f>
        <v/>
      </c>
      <c r="N380" t="str">
        <f>IF(LEN(TRIM(E380))=0, "",VLOOKUP("Center Name",config!A:B,2,FALSE))</f>
        <v/>
      </c>
      <c r="O380" s="7" t="str">
        <f>IF(LEN(TRIM(E380))=0,"",VLOOKUP("Shipment Date",config!A:B,2,FALSE))</f>
        <v/>
      </c>
      <c r="P380" s="7" t="str">
        <f t="shared" si="21"/>
        <v/>
      </c>
      <c r="Q380" s="7" t="str">
        <f>IF(LEN(TRIM(D380))=0,"",GetConfigParameterValue("Collection Site"))</f>
        <v/>
      </c>
      <c r="R380" t="str">
        <f>IF(LEN(TRIM(E380))=0, "", GetManifestComments(H380))</f>
        <v/>
      </c>
      <c r="S380" t="str">
        <f>IF(LEN(TRIM(E380))=0,"",IF(ISERROR(VLOOKUP(E380,'Manifest MDB data'!A:A,1,FALSE)),"OK","EXISTS!!!"))</f>
        <v/>
      </c>
    </row>
    <row r="381" spans="4:19" x14ac:dyDescent="0.25">
      <c r="D381" t="str">
        <f t="shared" si="22"/>
        <v/>
      </c>
      <c r="E381" t="str">
        <f t="shared" si="23"/>
        <v/>
      </c>
      <c r="F381" t="str">
        <f t="shared" si="24"/>
        <v/>
      </c>
      <c r="G381" t="str">
        <f>IF(LEN(TRIM(E381))=0, "", GetSampleTissueBySpecimenPrep(H381))</f>
        <v/>
      </c>
      <c r="H381" t="str">
        <f>IF(LEN(TRIM(E381))=0, "", GetSpecimenPrepName())</f>
        <v/>
      </c>
      <c r="I381" t="str">
        <f>IF(LEN(TRIM(E381))=0, "", GetSampleVolumeBySpecimenPrep(H381))</f>
        <v/>
      </c>
      <c r="L381" t="str">
        <f>IF(LEN(TRIM(E381))=0,"",VLOOKUP("Manifest Id",config!A:B,2,FALSE))</f>
        <v/>
      </c>
      <c r="M381" t="str">
        <f>IF(LEN(TRIM(E381))=0, "",VLOOKUP("Project Name",config!A:B,2,FALSE))</f>
        <v/>
      </c>
      <c r="N381" t="str">
        <f>IF(LEN(TRIM(E381))=0, "",VLOOKUP("Center Name",config!A:B,2,FALSE))</f>
        <v/>
      </c>
      <c r="O381" s="7" t="str">
        <f>IF(LEN(TRIM(E381))=0,"",VLOOKUP("Shipment Date",config!A:B,2,FALSE))</f>
        <v/>
      </c>
      <c r="P381" s="7" t="str">
        <f t="shared" si="21"/>
        <v/>
      </c>
      <c r="Q381" s="7" t="str">
        <f>IF(LEN(TRIM(D381))=0,"",GetConfigParameterValue("Collection Site"))</f>
        <v/>
      </c>
      <c r="R381" t="str">
        <f>IF(LEN(TRIM(E381))=0, "", GetManifestComments(H381))</f>
        <v/>
      </c>
      <c r="S381" t="str">
        <f>IF(LEN(TRIM(E381))=0,"",IF(ISERROR(VLOOKUP(E381,'Manifest MDB data'!A:A,1,FALSE)),"OK","EXISTS!!!"))</f>
        <v/>
      </c>
    </row>
    <row r="382" spans="4:19" x14ac:dyDescent="0.25">
      <c r="D382" t="str">
        <f t="shared" si="22"/>
        <v/>
      </c>
      <c r="E382" t="str">
        <f t="shared" si="23"/>
        <v/>
      </c>
      <c r="F382" t="str">
        <f t="shared" si="24"/>
        <v/>
      </c>
      <c r="G382" t="str">
        <f>IF(LEN(TRIM(E382))=0, "", GetSampleTissueBySpecimenPrep(H382))</f>
        <v/>
      </c>
      <c r="H382" t="str">
        <f>IF(LEN(TRIM(E382))=0, "", GetSpecimenPrepName())</f>
        <v/>
      </c>
      <c r="I382" t="str">
        <f>IF(LEN(TRIM(E382))=0, "", GetSampleVolumeBySpecimenPrep(H382))</f>
        <v/>
      </c>
      <c r="L382" t="str">
        <f>IF(LEN(TRIM(E382))=0,"",VLOOKUP("Manifest Id",config!A:B,2,FALSE))</f>
        <v/>
      </c>
      <c r="M382" t="str">
        <f>IF(LEN(TRIM(E382))=0, "",VLOOKUP("Project Name",config!A:B,2,FALSE))</f>
        <v/>
      </c>
      <c r="N382" t="str">
        <f>IF(LEN(TRIM(E382))=0, "",VLOOKUP("Center Name",config!A:B,2,FALSE))</f>
        <v/>
      </c>
      <c r="O382" s="7" t="str">
        <f>IF(LEN(TRIM(E382))=0,"",VLOOKUP("Shipment Date",config!A:B,2,FALSE))</f>
        <v/>
      </c>
      <c r="P382" s="7" t="str">
        <f t="shared" si="21"/>
        <v/>
      </c>
      <c r="Q382" s="7" t="str">
        <f>IF(LEN(TRIM(D382))=0,"",GetConfigParameterValue("Collection Site"))</f>
        <v/>
      </c>
      <c r="R382" t="str">
        <f>IF(LEN(TRIM(E382))=0, "", GetManifestComments(H382))</f>
        <v/>
      </c>
      <c r="S382" t="str">
        <f>IF(LEN(TRIM(E382))=0,"",IF(ISERROR(VLOOKUP(E382,'Manifest MDB data'!A:A,1,FALSE)),"OK","EXISTS!!!"))</f>
        <v/>
      </c>
    </row>
    <row r="383" spans="4:19" x14ac:dyDescent="0.25">
      <c r="D383" t="str">
        <f t="shared" si="22"/>
        <v/>
      </c>
      <c r="E383" t="str">
        <f t="shared" si="23"/>
        <v/>
      </c>
      <c r="F383" t="str">
        <f t="shared" si="24"/>
        <v/>
      </c>
      <c r="G383" t="str">
        <f>IF(LEN(TRIM(E383))=0, "", GetSampleTissueBySpecimenPrep(H383))</f>
        <v/>
      </c>
      <c r="H383" t="str">
        <f>IF(LEN(TRIM(E383))=0, "", GetSpecimenPrepName())</f>
        <v/>
      </c>
      <c r="I383" t="str">
        <f>IF(LEN(TRIM(E383))=0, "", GetSampleVolumeBySpecimenPrep(H383))</f>
        <v/>
      </c>
      <c r="L383" t="str">
        <f>IF(LEN(TRIM(E383))=0,"",VLOOKUP("Manifest Id",config!A:B,2,FALSE))</f>
        <v/>
      </c>
      <c r="M383" t="str">
        <f>IF(LEN(TRIM(E383))=0, "",VLOOKUP("Project Name",config!A:B,2,FALSE))</f>
        <v/>
      </c>
      <c r="N383" t="str">
        <f>IF(LEN(TRIM(E383))=0, "",VLOOKUP("Center Name",config!A:B,2,FALSE))</f>
        <v/>
      </c>
      <c r="O383" s="7" t="str">
        <f>IF(LEN(TRIM(E383))=0,"",VLOOKUP("Shipment Date",config!A:B,2,FALSE))</f>
        <v/>
      </c>
      <c r="P383" s="7" t="str">
        <f t="shared" si="21"/>
        <v/>
      </c>
      <c r="Q383" s="7" t="str">
        <f>IF(LEN(TRIM(D383))=0,"",GetConfigParameterValue("Collection Site"))</f>
        <v/>
      </c>
      <c r="R383" t="str">
        <f>IF(LEN(TRIM(E383))=0, "", GetManifestComments(H383))</f>
        <v/>
      </c>
      <c r="S383" t="str">
        <f>IF(LEN(TRIM(E383))=0,"",IF(ISERROR(VLOOKUP(E383,'Manifest MDB data'!A:A,1,FALSE)),"OK","EXISTS!!!"))</f>
        <v/>
      </c>
    </row>
    <row r="384" spans="4:19" x14ac:dyDescent="0.25">
      <c r="D384" t="str">
        <f t="shared" si="22"/>
        <v/>
      </c>
      <c r="E384" t="str">
        <f t="shared" si="23"/>
        <v/>
      </c>
      <c r="F384" t="str">
        <f t="shared" si="24"/>
        <v/>
      </c>
      <c r="G384" t="str">
        <f>IF(LEN(TRIM(E384))=0, "", GetSampleTissueBySpecimenPrep(H384))</f>
        <v/>
      </c>
      <c r="H384" t="str">
        <f>IF(LEN(TRIM(E384))=0, "", GetSpecimenPrepName())</f>
        <v/>
      </c>
      <c r="I384" t="str">
        <f>IF(LEN(TRIM(E384))=0, "", GetSampleVolumeBySpecimenPrep(H384))</f>
        <v/>
      </c>
      <c r="L384" t="str">
        <f>IF(LEN(TRIM(E384))=0,"",VLOOKUP("Manifest Id",config!A:B,2,FALSE))</f>
        <v/>
      </c>
      <c r="M384" t="str">
        <f>IF(LEN(TRIM(E384))=0, "",VLOOKUP("Project Name",config!A:B,2,FALSE))</f>
        <v/>
      </c>
      <c r="N384" t="str">
        <f>IF(LEN(TRIM(E384))=0, "",VLOOKUP("Center Name",config!A:B,2,FALSE))</f>
        <v/>
      </c>
      <c r="O384" s="7" t="str">
        <f>IF(LEN(TRIM(E384))=0,"",VLOOKUP("Shipment Date",config!A:B,2,FALSE))</f>
        <v/>
      </c>
      <c r="P384" s="7" t="str">
        <f t="shared" si="21"/>
        <v/>
      </c>
      <c r="Q384" s="7" t="str">
        <f>IF(LEN(TRIM(D384))=0,"",GetConfigParameterValue("Collection Site"))</f>
        <v/>
      </c>
      <c r="R384" t="str">
        <f>IF(LEN(TRIM(E384))=0, "", GetManifestComments(H384))</f>
        <v/>
      </c>
      <c r="S384" t="str">
        <f>IF(LEN(TRIM(E384))=0,"",IF(ISERROR(VLOOKUP(E384,'Manifest MDB data'!A:A,1,FALSE)),"OK","EXISTS!!!"))</f>
        <v/>
      </c>
    </row>
    <row r="385" spans="4:19" x14ac:dyDescent="0.25">
      <c r="D385" t="str">
        <f t="shared" si="22"/>
        <v/>
      </c>
      <c r="E385" t="str">
        <f t="shared" si="23"/>
        <v/>
      </c>
      <c r="F385" t="str">
        <f t="shared" si="24"/>
        <v/>
      </c>
      <c r="G385" t="str">
        <f>IF(LEN(TRIM(E385))=0, "", GetSampleTissueBySpecimenPrep(H385))</f>
        <v/>
      </c>
      <c r="H385" t="str">
        <f>IF(LEN(TRIM(E385))=0, "", GetSpecimenPrepName())</f>
        <v/>
      </c>
      <c r="I385" t="str">
        <f>IF(LEN(TRIM(E385))=0, "", GetSampleVolumeBySpecimenPrep(H385))</f>
        <v/>
      </c>
      <c r="L385" t="str">
        <f>IF(LEN(TRIM(E385))=0,"",VLOOKUP("Manifest Id",config!A:B,2,FALSE))</f>
        <v/>
      </c>
      <c r="M385" t="str">
        <f>IF(LEN(TRIM(E385))=0, "",VLOOKUP("Project Name",config!A:B,2,FALSE))</f>
        <v/>
      </c>
      <c r="N385" t="str">
        <f>IF(LEN(TRIM(E385))=0, "",VLOOKUP("Center Name",config!A:B,2,FALSE))</f>
        <v/>
      </c>
      <c r="O385" s="7" t="str">
        <f>IF(LEN(TRIM(E385))=0,"",VLOOKUP("Shipment Date",config!A:B,2,FALSE))</f>
        <v/>
      </c>
      <c r="P385" s="7" t="str">
        <f t="shared" si="21"/>
        <v/>
      </c>
      <c r="Q385" s="7" t="str">
        <f>IF(LEN(TRIM(D385))=0,"",GetConfigParameterValue("Collection Site"))</f>
        <v/>
      </c>
      <c r="R385" t="str">
        <f>IF(LEN(TRIM(E385))=0, "", GetManifestComments(H385))</f>
        <v/>
      </c>
      <c r="S385" t="str">
        <f>IF(LEN(TRIM(E385))=0,"",IF(ISERROR(VLOOKUP(E385,'Manifest MDB data'!A:A,1,FALSE)),"OK","EXISTS!!!"))</f>
        <v/>
      </c>
    </row>
    <row r="386" spans="4:19" x14ac:dyDescent="0.25">
      <c r="D386" t="str">
        <f t="shared" si="22"/>
        <v/>
      </c>
      <c r="E386" t="str">
        <f t="shared" si="23"/>
        <v/>
      </c>
      <c r="F386" t="str">
        <f t="shared" si="24"/>
        <v/>
      </c>
      <c r="G386" t="str">
        <f>IF(LEN(TRIM(E386))=0, "", GetSampleTissueBySpecimenPrep(H386))</f>
        <v/>
      </c>
      <c r="H386" t="str">
        <f>IF(LEN(TRIM(E386))=0, "", GetSpecimenPrepName())</f>
        <v/>
      </c>
      <c r="I386" t="str">
        <f>IF(LEN(TRIM(E386))=0, "", GetSampleVolumeBySpecimenPrep(H386))</f>
        <v/>
      </c>
      <c r="L386" t="str">
        <f>IF(LEN(TRIM(E386))=0,"",VLOOKUP("Manifest Id",config!A:B,2,FALSE))</f>
        <v/>
      </c>
      <c r="M386" t="str">
        <f>IF(LEN(TRIM(E386))=0, "",VLOOKUP("Project Name",config!A:B,2,FALSE))</f>
        <v/>
      </c>
      <c r="N386" t="str">
        <f>IF(LEN(TRIM(E386))=0, "",VLOOKUP("Center Name",config!A:B,2,FALSE))</f>
        <v/>
      </c>
      <c r="O386" s="7" t="str">
        <f>IF(LEN(TRIM(E386))=0,"",VLOOKUP("Shipment Date",config!A:B,2,FALSE))</f>
        <v/>
      </c>
      <c r="P386" s="7" t="str">
        <f t="shared" ref="P386:P449" si="25">getColumnValueBySubjectID("Visit Date", RIGHT(LEFT(D386,7),4))</f>
        <v/>
      </c>
      <c r="Q386" s="7" t="str">
        <f>IF(LEN(TRIM(D386))=0,"",GetConfigParameterValue("Collection Site"))</f>
        <v/>
      </c>
      <c r="R386" t="str">
        <f>IF(LEN(TRIM(E386))=0, "", GetManifestComments(H386))</f>
        <v/>
      </c>
      <c r="S386" t="str">
        <f>IF(LEN(TRIM(E386))=0,"",IF(ISERROR(VLOOKUP(E386,'Manifest MDB data'!A:A,1,FALSE)),"OK","EXISTS!!!"))</f>
        <v/>
      </c>
    </row>
    <row r="387" spans="4:19" x14ac:dyDescent="0.25">
      <c r="D387" t="str">
        <f t="shared" ref="D387:D450" si="26">GetSampleId((ROW()))</f>
        <v/>
      </c>
      <c r="E387" t="str">
        <f t="shared" ref="E387:E450" si="27">GetAliquotId((ROW()))</f>
        <v/>
      </c>
      <c r="F387" t="str">
        <f t="shared" ref="F387:F450" si="28">IF(LEN(TRIM(E387))=0, "", "Human")</f>
        <v/>
      </c>
      <c r="G387" t="str">
        <f>IF(LEN(TRIM(E387))=0, "", GetSampleTissueBySpecimenPrep(H387))</f>
        <v/>
      </c>
      <c r="H387" t="str">
        <f>IF(LEN(TRIM(E387))=0, "", GetSpecimenPrepName())</f>
        <v/>
      </c>
      <c r="I387" t="str">
        <f>IF(LEN(TRIM(E387))=0, "", GetSampleVolumeBySpecimenPrep(H387))</f>
        <v/>
      </c>
      <c r="L387" t="str">
        <f>IF(LEN(TRIM(E387))=0,"",VLOOKUP("Manifest Id",config!A:B,2,FALSE))</f>
        <v/>
      </c>
      <c r="M387" t="str">
        <f>IF(LEN(TRIM(E387))=0, "",VLOOKUP("Project Name",config!A:B,2,FALSE))</f>
        <v/>
      </c>
      <c r="N387" t="str">
        <f>IF(LEN(TRIM(E387))=0, "",VLOOKUP("Center Name",config!A:B,2,FALSE))</f>
        <v/>
      </c>
      <c r="O387" s="7" t="str">
        <f>IF(LEN(TRIM(E387))=0,"",VLOOKUP("Shipment Date",config!A:B,2,FALSE))</f>
        <v/>
      </c>
      <c r="P387" s="7" t="str">
        <f t="shared" si="25"/>
        <v/>
      </c>
      <c r="Q387" s="7" t="str">
        <f>IF(LEN(TRIM(D387))=0,"",GetConfigParameterValue("Collection Site"))</f>
        <v/>
      </c>
      <c r="R387" t="str">
        <f>IF(LEN(TRIM(E387))=0, "", GetManifestComments(H387))</f>
        <v/>
      </c>
      <c r="S387" t="str">
        <f>IF(LEN(TRIM(E387))=0,"",IF(ISERROR(VLOOKUP(E387,'Manifest MDB data'!A:A,1,FALSE)),"OK","EXISTS!!!"))</f>
        <v/>
      </c>
    </row>
    <row r="388" spans="4:19" x14ac:dyDescent="0.25">
      <c r="D388" t="str">
        <f t="shared" si="26"/>
        <v/>
      </c>
      <c r="E388" t="str">
        <f t="shared" si="27"/>
        <v/>
      </c>
      <c r="F388" t="str">
        <f t="shared" si="28"/>
        <v/>
      </c>
      <c r="G388" t="str">
        <f>IF(LEN(TRIM(E388))=0, "", GetSampleTissueBySpecimenPrep(H388))</f>
        <v/>
      </c>
      <c r="H388" t="str">
        <f>IF(LEN(TRIM(E388))=0, "", GetSpecimenPrepName())</f>
        <v/>
      </c>
      <c r="I388" t="str">
        <f>IF(LEN(TRIM(E388))=0, "", GetSampleVolumeBySpecimenPrep(H388))</f>
        <v/>
      </c>
      <c r="L388" t="str">
        <f>IF(LEN(TRIM(E388))=0,"",VLOOKUP("Manifest Id",config!A:B,2,FALSE))</f>
        <v/>
      </c>
      <c r="M388" t="str">
        <f>IF(LEN(TRIM(E388))=0, "",VLOOKUP("Project Name",config!A:B,2,FALSE))</f>
        <v/>
      </c>
      <c r="N388" t="str">
        <f>IF(LEN(TRIM(E388))=0, "",VLOOKUP("Center Name",config!A:B,2,FALSE))</f>
        <v/>
      </c>
      <c r="O388" s="7" t="str">
        <f>IF(LEN(TRIM(E388))=0,"",VLOOKUP("Shipment Date",config!A:B,2,FALSE))</f>
        <v/>
      </c>
      <c r="P388" s="7" t="str">
        <f t="shared" si="25"/>
        <v/>
      </c>
      <c r="Q388" s="7" t="str">
        <f>IF(LEN(TRIM(D388))=0,"",GetConfigParameterValue("Collection Site"))</f>
        <v/>
      </c>
      <c r="R388" t="str">
        <f>IF(LEN(TRIM(E388))=0, "", GetManifestComments(H388))</f>
        <v/>
      </c>
      <c r="S388" t="str">
        <f>IF(LEN(TRIM(E388))=0,"",IF(ISERROR(VLOOKUP(E388,'Manifest MDB data'!A:A,1,FALSE)),"OK","EXISTS!!!"))</f>
        <v/>
      </c>
    </row>
    <row r="389" spans="4:19" x14ac:dyDescent="0.25">
      <c r="D389" t="str">
        <f t="shared" si="26"/>
        <v/>
      </c>
      <c r="E389" t="str">
        <f t="shared" si="27"/>
        <v/>
      </c>
      <c r="F389" t="str">
        <f t="shared" si="28"/>
        <v/>
      </c>
      <c r="G389" t="str">
        <f>IF(LEN(TRIM(E389))=0, "", GetSampleTissueBySpecimenPrep(H389))</f>
        <v/>
      </c>
      <c r="H389" t="str">
        <f>IF(LEN(TRIM(E389))=0, "", GetSpecimenPrepName())</f>
        <v/>
      </c>
      <c r="I389" t="str">
        <f>IF(LEN(TRIM(E389))=0, "", GetSampleVolumeBySpecimenPrep(H389))</f>
        <v/>
      </c>
      <c r="L389" t="str">
        <f>IF(LEN(TRIM(E389))=0,"",VLOOKUP("Manifest Id",config!A:B,2,FALSE))</f>
        <v/>
      </c>
      <c r="M389" t="str">
        <f>IF(LEN(TRIM(E389))=0, "",VLOOKUP("Project Name",config!A:B,2,FALSE))</f>
        <v/>
      </c>
      <c r="N389" t="str">
        <f>IF(LEN(TRIM(E389))=0, "",VLOOKUP("Center Name",config!A:B,2,FALSE))</f>
        <v/>
      </c>
      <c r="O389" s="7" t="str">
        <f>IF(LEN(TRIM(E389))=0,"",VLOOKUP("Shipment Date",config!A:B,2,FALSE))</f>
        <v/>
      </c>
      <c r="P389" s="7" t="str">
        <f t="shared" si="25"/>
        <v/>
      </c>
      <c r="Q389" s="7" t="str">
        <f>IF(LEN(TRIM(D389))=0,"",GetConfigParameterValue("Collection Site"))</f>
        <v/>
      </c>
      <c r="R389" t="str">
        <f>IF(LEN(TRIM(E389))=0, "", GetManifestComments(H389))</f>
        <v/>
      </c>
      <c r="S389" t="str">
        <f>IF(LEN(TRIM(E389))=0,"",IF(ISERROR(VLOOKUP(E389,'Manifest MDB data'!A:A,1,FALSE)),"OK","EXISTS!!!"))</f>
        <v/>
      </c>
    </row>
    <row r="390" spans="4:19" x14ac:dyDescent="0.25">
      <c r="D390" t="str">
        <f t="shared" si="26"/>
        <v/>
      </c>
      <c r="E390" t="str">
        <f t="shared" si="27"/>
        <v/>
      </c>
      <c r="F390" t="str">
        <f t="shared" si="28"/>
        <v/>
      </c>
      <c r="G390" t="str">
        <f>IF(LEN(TRIM(E390))=0, "", GetSampleTissueBySpecimenPrep(H390))</f>
        <v/>
      </c>
      <c r="H390" t="str">
        <f>IF(LEN(TRIM(E390))=0, "", GetSpecimenPrepName())</f>
        <v/>
      </c>
      <c r="I390" t="str">
        <f>IF(LEN(TRIM(E390))=0, "", GetSampleVolumeBySpecimenPrep(H390))</f>
        <v/>
      </c>
      <c r="L390" t="str">
        <f>IF(LEN(TRIM(E390))=0,"",VLOOKUP("Manifest Id",config!A:B,2,FALSE))</f>
        <v/>
      </c>
      <c r="M390" t="str">
        <f>IF(LEN(TRIM(E390))=0, "",VLOOKUP("Project Name",config!A:B,2,FALSE))</f>
        <v/>
      </c>
      <c r="N390" t="str">
        <f>IF(LEN(TRIM(E390))=0, "",VLOOKUP("Center Name",config!A:B,2,FALSE))</f>
        <v/>
      </c>
      <c r="O390" s="7" t="str">
        <f>IF(LEN(TRIM(E390))=0,"",VLOOKUP("Shipment Date",config!A:B,2,FALSE))</f>
        <v/>
      </c>
      <c r="P390" s="7" t="str">
        <f t="shared" si="25"/>
        <v/>
      </c>
      <c r="Q390" s="7" t="str">
        <f>IF(LEN(TRIM(D390))=0,"",GetConfigParameterValue("Collection Site"))</f>
        <v/>
      </c>
      <c r="R390" t="str">
        <f>IF(LEN(TRIM(E390))=0, "", GetManifestComments(H390))</f>
        <v/>
      </c>
      <c r="S390" t="str">
        <f>IF(LEN(TRIM(E390))=0,"",IF(ISERROR(VLOOKUP(E390,'Manifest MDB data'!A:A,1,FALSE)),"OK","EXISTS!!!"))</f>
        <v/>
      </c>
    </row>
    <row r="391" spans="4:19" x14ac:dyDescent="0.25">
      <c r="D391" t="str">
        <f t="shared" si="26"/>
        <v/>
      </c>
      <c r="E391" t="str">
        <f t="shared" si="27"/>
        <v/>
      </c>
      <c r="F391" t="str">
        <f t="shared" si="28"/>
        <v/>
      </c>
      <c r="G391" t="str">
        <f>IF(LEN(TRIM(E391))=0, "", GetSampleTissueBySpecimenPrep(H391))</f>
        <v/>
      </c>
      <c r="H391" t="str">
        <f>IF(LEN(TRIM(E391))=0, "", GetSpecimenPrepName())</f>
        <v/>
      </c>
      <c r="I391" t="str">
        <f>IF(LEN(TRIM(E391))=0, "", GetSampleVolumeBySpecimenPrep(H391))</f>
        <v/>
      </c>
      <c r="L391" t="str">
        <f>IF(LEN(TRIM(E391))=0,"",VLOOKUP("Manifest Id",config!A:B,2,FALSE))</f>
        <v/>
      </c>
      <c r="M391" t="str">
        <f>IF(LEN(TRIM(E391))=0, "",VLOOKUP("Project Name",config!A:B,2,FALSE))</f>
        <v/>
      </c>
      <c r="N391" t="str">
        <f>IF(LEN(TRIM(E391))=0, "",VLOOKUP("Center Name",config!A:B,2,FALSE))</f>
        <v/>
      </c>
      <c r="O391" s="7" t="str">
        <f>IF(LEN(TRIM(E391))=0,"",VLOOKUP("Shipment Date",config!A:B,2,FALSE))</f>
        <v/>
      </c>
      <c r="P391" s="7" t="str">
        <f t="shared" si="25"/>
        <v/>
      </c>
      <c r="Q391" s="7" t="str">
        <f>IF(LEN(TRIM(D391))=0,"",GetConfigParameterValue("Collection Site"))</f>
        <v/>
      </c>
      <c r="R391" t="str">
        <f>IF(LEN(TRIM(E391))=0, "", GetManifestComments(H391))</f>
        <v/>
      </c>
      <c r="S391" t="str">
        <f>IF(LEN(TRIM(E391))=0,"",IF(ISERROR(VLOOKUP(E391,'Manifest MDB data'!A:A,1,FALSE)),"OK","EXISTS!!!"))</f>
        <v/>
      </c>
    </row>
    <row r="392" spans="4:19" x14ac:dyDescent="0.25">
      <c r="D392" t="str">
        <f t="shared" si="26"/>
        <v/>
      </c>
      <c r="E392" t="str">
        <f t="shared" si="27"/>
        <v/>
      </c>
      <c r="F392" t="str">
        <f t="shared" si="28"/>
        <v/>
      </c>
      <c r="G392" t="str">
        <f>IF(LEN(TRIM(E392))=0, "", GetSampleTissueBySpecimenPrep(H392))</f>
        <v/>
      </c>
      <c r="H392" t="str">
        <f>IF(LEN(TRIM(E392))=0, "", GetSpecimenPrepName())</f>
        <v/>
      </c>
      <c r="I392" t="str">
        <f>IF(LEN(TRIM(E392))=0, "", GetSampleVolumeBySpecimenPrep(H392))</f>
        <v/>
      </c>
      <c r="L392" t="str">
        <f>IF(LEN(TRIM(E392))=0,"",VLOOKUP("Manifest Id",config!A:B,2,FALSE))</f>
        <v/>
      </c>
      <c r="M392" t="str">
        <f>IF(LEN(TRIM(E392))=0, "",VLOOKUP("Project Name",config!A:B,2,FALSE))</f>
        <v/>
      </c>
      <c r="N392" t="str">
        <f>IF(LEN(TRIM(E392))=0, "",VLOOKUP("Center Name",config!A:B,2,FALSE))</f>
        <v/>
      </c>
      <c r="O392" s="7" t="str">
        <f>IF(LEN(TRIM(E392))=0,"",VLOOKUP("Shipment Date",config!A:B,2,FALSE))</f>
        <v/>
      </c>
      <c r="P392" s="7" t="str">
        <f t="shared" si="25"/>
        <v/>
      </c>
      <c r="Q392" s="7" t="str">
        <f>IF(LEN(TRIM(D392))=0,"",GetConfigParameterValue("Collection Site"))</f>
        <v/>
      </c>
      <c r="R392" t="str">
        <f>IF(LEN(TRIM(E392))=0, "", GetManifestComments(H392))</f>
        <v/>
      </c>
      <c r="S392" t="str">
        <f>IF(LEN(TRIM(E392))=0,"",IF(ISERROR(VLOOKUP(E392,'Manifest MDB data'!A:A,1,FALSE)),"OK","EXISTS!!!"))</f>
        <v/>
      </c>
    </row>
    <row r="393" spans="4:19" x14ac:dyDescent="0.25">
      <c r="D393" t="str">
        <f t="shared" si="26"/>
        <v/>
      </c>
      <c r="E393" t="str">
        <f t="shared" si="27"/>
        <v/>
      </c>
      <c r="F393" t="str">
        <f t="shared" si="28"/>
        <v/>
      </c>
      <c r="G393" t="str">
        <f>IF(LEN(TRIM(E393))=0, "", GetSampleTissueBySpecimenPrep(H393))</f>
        <v/>
      </c>
      <c r="H393" t="str">
        <f>IF(LEN(TRIM(E393))=0, "", GetSpecimenPrepName())</f>
        <v/>
      </c>
      <c r="I393" t="str">
        <f>IF(LEN(TRIM(E393))=0, "", GetSampleVolumeBySpecimenPrep(H393))</f>
        <v/>
      </c>
      <c r="L393" t="str">
        <f>IF(LEN(TRIM(E393))=0,"",VLOOKUP("Manifest Id",config!A:B,2,FALSE))</f>
        <v/>
      </c>
      <c r="M393" t="str">
        <f>IF(LEN(TRIM(E393))=0, "",VLOOKUP("Project Name",config!A:B,2,FALSE))</f>
        <v/>
      </c>
      <c r="N393" t="str">
        <f>IF(LEN(TRIM(E393))=0, "",VLOOKUP("Center Name",config!A:B,2,FALSE))</f>
        <v/>
      </c>
      <c r="O393" s="7" t="str">
        <f>IF(LEN(TRIM(E393))=0,"",VLOOKUP("Shipment Date",config!A:B,2,FALSE))</f>
        <v/>
      </c>
      <c r="P393" s="7" t="str">
        <f t="shared" si="25"/>
        <v/>
      </c>
      <c r="Q393" s="7" t="str">
        <f>IF(LEN(TRIM(D393))=0,"",GetConfigParameterValue("Collection Site"))</f>
        <v/>
      </c>
      <c r="R393" t="str">
        <f>IF(LEN(TRIM(E393))=0, "", GetManifestComments(H393))</f>
        <v/>
      </c>
      <c r="S393" t="str">
        <f>IF(LEN(TRIM(E393))=0,"",IF(ISERROR(VLOOKUP(E393,'Manifest MDB data'!A:A,1,FALSE)),"OK","EXISTS!!!"))</f>
        <v/>
      </c>
    </row>
    <row r="394" spans="4:19" x14ac:dyDescent="0.25">
      <c r="D394" t="str">
        <f t="shared" si="26"/>
        <v/>
      </c>
      <c r="E394" t="str">
        <f t="shared" si="27"/>
        <v/>
      </c>
      <c r="F394" t="str">
        <f t="shared" si="28"/>
        <v/>
      </c>
      <c r="G394" t="str">
        <f>IF(LEN(TRIM(E394))=0, "", GetSampleTissueBySpecimenPrep(H394))</f>
        <v/>
      </c>
      <c r="H394" t="str">
        <f>IF(LEN(TRIM(E394))=0, "", GetSpecimenPrepName())</f>
        <v/>
      </c>
      <c r="I394" t="str">
        <f>IF(LEN(TRIM(E394))=0, "", GetSampleVolumeBySpecimenPrep(H394))</f>
        <v/>
      </c>
      <c r="L394" t="str">
        <f>IF(LEN(TRIM(E394))=0,"",VLOOKUP("Manifest Id",config!A:B,2,FALSE))</f>
        <v/>
      </c>
      <c r="M394" t="str">
        <f>IF(LEN(TRIM(E394))=0, "",VLOOKUP("Project Name",config!A:B,2,FALSE))</f>
        <v/>
      </c>
      <c r="N394" t="str">
        <f>IF(LEN(TRIM(E394))=0, "",VLOOKUP("Center Name",config!A:B,2,FALSE))</f>
        <v/>
      </c>
      <c r="O394" s="7" t="str">
        <f>IF(LEN(TRIM(E394))=0,"",VLOOKUP("Shipment Date",config!A:B,2,FALSE))</f>
        <v/>
      </c>
      <c r="P394" s="7" t="str">
        <f t="shared" si="25"/>
        <v/>
      </c>
      <c r="Q394" s="7" t="str">
        <f>IF(LEN(TRIM(D394))=0,"",GetConfigParameterValue("Collection Site"))</f>
        <v/>
      </c>
      <c r="R394" t="str">
        <f>IF(LEN(TRIM(E394))=0, "", GetManifestComments(H394))</f>
        <v/>
      </c>
      <c r="S394" t="str">
        <f>IF(LEN(TRIM(E394))=0,"",IF(ISERROR(VLOOKUP(E394,'Manifest MDB data'!A:A,1,FALSE)),"OK","EXISTS!!!"))</f>
        <v/>
      </c>
    </row>
    <row r="395" spans="4:19" x14ac:dyDescent="0.25">
      <c r="D395" t="str">
        <f t="shared" si="26"/>
        <v/>
      </c>
      <c r="E395" t="str">
        <f t="shared" si="27"/>
        <v/>
      </c>
      <c r="F395" t="str">
        <f t="shared" si="28"/>
        <v/>
      </c>
      <c r="G395" t="str">
        <f>IF(LEN(TRIM(E395))=0, "", GetSampleTissueBySpecimenPrep(H395))</f>
        <v/>
      </c>
      <c r="H395" t="str">
        <f>IF(LEN(TRIM(E395))=0, "", GetSpecimenPrepName())</f>
        <v/>
      </c>
      <c r="I395" t="str">
        <f>IF(LEN(TRIM(E395))=0, "", GetSampleVolumeBySpecimenPrep(H395))</f>
        <v/>
      </c>
      <c r="L395" t="str">
        <f>IF(LEN(TRIM(E395))=0,"",VLOOKUP("Manifest Id",config!A:B,2,FALSE))</f>
        <v/>
      </c>
      <c r="M395" t="str">
        <f>IF(LEN(TRIM(E395))=0, "",VLOOKUP("Project Name",config!A:B,2,FALSE))</f>
        <v/>
      </c>
      <c r="N395" t="str">
        <f>IF(LEN(TRIM(E395))=0, "",VLOOKUP("Center Name",config!A:B,2,FALSE))</f>
        <v/>
      </c>
      <c r="O395" s="7" t="str">
        <f>IF(LEN(TRIM(E395))=0,"",VLOOKUP("Shipment Date",config!A:B,2,FALSE))</f>
        <v/>
      </c>
      <c r="P395" s="7" t="str">
        <f t="shared" si="25"/>
        <v/>
      </c>
      <c r="Q395" s="7" t="str">
        <f>IF(LEN(TRIM(D395))=0,"",GetConfigParameterValue("Collection Site"))</f>
        <v/>
      </c>
      <c r="R395" t="str">
        <f>IF(LEN(TRIM(E395))=0, "", GetManifestComments(H395))</f>
        <v/>
      </c>
      <c r="S395" t="str">
        <f>IF(LEN(TRIM(E395))=0,"",IF(ISERROR(VLOOKUP(E395,'Manifest MDB data'!A:A,1,FALSE)),"OK","EXISTS!!!"))</f>
        <v/>
      </c>
    </row>
    <row r="396" spans="4:19" x14ac:dyDescent="0.25">
      <c r="D396" t="str">
        <f t="shared" si="26"/>
        <v/>
      </c>
      <c r="E396" t="str">
        <f t="shared" si="27"/>
        <v/>
      </c>
      <c r="F396" t="str">
        <f t="shared" si="28"/>
        <v/>
      </c>
      <c r="G396" t="str">
        <f>IF(LEN(TRIM(E396))=0, "", GetSampleTissueBySpecimenPrep(H396))</f>
        <v/>
      </c>
      <c r="H396" t="str">
        <f>IF(LEN(TRIM(E396))=0, "", GetSpecimenPrepName())</f>
        <v/>
      </c>
      <c r="I396" t="str">
        <f>IF(LEN(TRIM(E396))=0, "", GetSampleVolumeBySpecimenPrep(H396))</f>
        <v/>
      </c>
      <c r="L396" t="str">
        <f>IF(LEN(TRIM(E396))=0,"",VLOOKUP("Manifest Id",config!A:B,2,FALSE))</f>
        <v/>
      </c>
      <c r="M396" t="str">
        <f>IF(LEN(TRIM(E396))=0, "",VLOOKUP("Project Name",config!A:B,2,FALSE))</f>
        <v/>
      </c>
      <c r="N396" t="str">
        <f>IF(LEN(TRIM(E396))=0, "",VLOOKUP("Center Name",config!A:B,2,FALSE))</f>
        <v/>
      </c>
      <c r="O396" s="7" t="str">
        <f>IF(LEN(TRIM(E396))=0,"",VLOOKUP("Shipment Date",config!A:B,2,FALSE))</f>
        <v/>
      </c>
      <c r="P396" s="7" t="str">
        <f t="shared" si="25"/>
        <v/>
      </c>
      <c r="Q396" s="7" t="str">
        <f>IF(LEN(TRIM(D396))=0,"",GetConfigParameterValue("Collection Site"))</f>
        <v/>
      </c>
      <c r="R396" t="str">
        <f>IF(LEN(TRIM(E396))=0, "", GetManifestComments(H396))</f>
        <v/>
      </c>
      <c r="S396" t="str">
        <f>IF(LEN(TRIM(E396))=0,"",IF(ISERROR(VLOOKUP(E396,'Manifest MDB data'!A:A,1,FALSE)),"OK","EXISTS!!!"))</f>
        <v/>
      </c>
    </row>
    <row r="397" spans="4:19" x14ac:dyDescent="0.25">
      <c r="D397" t="str">
        <f t="shared" si="26"/>
        <v/>
      </c>
      <c r="E397" t="str">
        <f t="shared" si="27"/>
        <v/>
      </c>
      <c r="F397" t="str">
        <f t="shared" si="28"/>
        <v/>
      </c>
      <c r="G397" t="str">
        <f>IF(LEN(TRIM(E397))=0, "", GetSampleTissueBySpecimenPrep(H397))</f>
        <v/>
      </c>
      <c r="H397" t="str">
        <f>IF(LEN(TRIM(E397))=0, "", GetSpecimenPrepName())</f>
        <v/>
      </c>
      <c r="I397" t="str">
        <f>IF(LEN(TRIM(E397))=0, "", GetSampleVolumeBySpecimenPrep(H397))</f>
        <v/>
      </c>
      <c r="L397" t="str">
        <f>IF(LEN(TRIM(E397))=0,"",VLOOKUP("Manifest Id",config!A:B,2,FALSE))</f>
        <v/>
      </c>
      <c r="M397" t="str">
        <f>IF(LEN(TRIM(E397))=0, "",VLOOKUP("Project Name",config!A:B,2,FALSE))</f>
        <v/>
      </c>
      <c r="N397" t="str">
        <f>IF(LEN(TRIM(E397))=0, "",VLOOKUP("Center Name",config!A:B,2,FALSE))</f>
        <v/>
      </c>
      <c r="O397" s="7" t="str">
        <f>IF(LEN(TRIM(E397))=0,"",VLOOKUP("Shipment Date",config!A:B,2,FALSE))</f>
        <v/>
      </c>
      <c r="P397" s="7" t="str">
        <f t="shared" si="25"/>
        <v/>
      </c>
      <c r="Q397" s="7" t="str">
        <f>IF(LEN(TRIM(D397))=0,"",GetConfigParameterValue("Collection Site"))</f>
        <v/>
      </c>
      <c r="R397" t="str">
        <f>IF(LEN(TRIM(E397))=0, "", GetManifestComments(H397))</f>
        <v/>
      </c>
      <c r="S397" t="str">
        <f>IF(LEN(TRIM(E397))=0,"",IF(ISERROR(VLOOKUP(E397,'Manifest MDB data'!A:A,1,FALSE)),"OK","EXISTS!!!"))</f>
        <v/>
      </c>
    </row>
    <row r="398" spans="4:19" x14ac:dyDescent="0.25">
      <c r="D398" t="str">
        <f t="shared" si="26"/>
        <v/>
      </c>
      <c r="E398" t="str">
        <f t="shared" si="27"/>
        <v/>
      </c>
      <c r="F398" t="str">
        <f t="shared" si="28"/>
        <v/>
      </c>
      <c r="G398" t="str">
        <f>IF(LEN(TRIM(E398))=0, "", GetSampleTissueBySpecimenPrep(H398))</f>
        <v/>
      </c>
      <c r="H398" t="str">
        <f>IF(LEN(TRIM(E398))=0, "", GetSpecimenPrepName())</f>
        <v/>
      </c>
      <c r="I398" t="str">
        <f>IF(LEN(TRIM(E398))=0, "", GetSampleVolumeBySpecimenPrep(H398))</f>
        <v/>
      </c>
      <c r="L398" t="str">
        <f>IF(LEN(TRIM(E398))=0,"",VLOOKUP("Manifest Id",config!A:B,2,FALSE))</f>
        <v/>
      </c>
      <c r="M398" t="str">
        <f>IF(LEN(TRIM(E398))=0, "",VLOOKUP("Project Name",config!A:B,2,FALSE))</f>
        <v/>
      </c>
      <c r="N398" t="str">
        <f>IF(LEN(TRIM(E398))=0, "",VLOOKUP("Center Name",config!A:B,2,FALSE))</f>
        <v/>
      </c>
      <c r="O398" s="7" t="str">
        <f>IF(LEN(TRIM(E398))=0,"",VLOOKUP("Shipment Date",config!A:B,2,FALSE))</f>
        <v/>
      </c>
      <c r="P398" s="7" t="str">
        <f t="shared" si="25"/>
        <v/>
      </c>
      <c r="Q398" s="7" t="str">
        <f>IF(LEN(TRIM(D398))=0,"",GetConfigParameterValue("Collection Site"))</f>
        <v/>
      </c>
      <c r="R398" t="str">
        <f>IF(LEN(TRIM(E398))=0, "", GetManifestComments(H398))</f>
        <v/>
      </c>
      <c r="S398" t="str">
        <f>IF(LEN(TRIM(E398))=0,"",IF(ISERROR(VLOOKUP(E398,'Manifest MDB data'!A:A,1,FALSE)),"OK","EXISTS!!!"))</f>
        <v/>
      </c>
    </row>
    <row r="399" spans="4:19" x14ac:dyDescent="0.25">
      <c r="D399" t="str">
        <f t="shared" si="26"/>
        <v/>
      </c>
      <c r="E399" t="str">
        <f t="shared" si="27"/>
        <v/>
      </c>
      <c r="F399" t="str">
        <f t="shared" si="28"/>
        <v/>
      </c>
      <c r="G399" t="str">
        <f>IF(LEN(TRIM(E399))=0, "", GetSampleTissueBySpecimenPrep(H399))</f>
        <v/>
      </c>
      <c r="H399" t="str">
        <f>IF(LEN(TRIM(E399))=0, "", GetSpecimenPrepName())</f>
        <v/>
      </c>
      <c r="I399" t="str">
        <f>IF(LEN(TRIM(E399))=0, "", GetSampleVolumeBySpecimenPrep(H399))</f>
        <v/>
      </c>
      <c r="L399" t="str">
        <f>IF(LEN(TRIM(E399))=0,"",VLOOKUP("Manifest Id",config!A:B,2,FALSE))</f>
        <v/>
      </c>
      <c r="M399" t="str">
        <f>IF(LEN(TRIM(E399))=0, "",VLOOKUP("Project Name",config!A:B,2,FALSE))</f>
        <v/>
      </c>
      <c r="N399" t="str">
        <f>IF(LEN(TRIM(E399))=0, "",VLOOKUP("Center Name",config!A:B,2,FALSE))</f>
        <v/>
      </c>
      <c r="O399" s="7" t="str">
        <f>IF(LEN(TRIM(E399))=0,"",VLOOKUP("Shipment Date",config!A:B,2,FALSE))</f>
        <v/>
      </c>
      <c r="P399" s="7" t="str">
        <f t="shared" si="25"/>
        <v/>
      </c>
      <c r="Q399" s="7" t="str">
        <f>IF(LEN(TRIM(D399))=0,"",GetConfigParameterValue("Collection Site"))</f>
        <v/>
      </c>
      <c r="R399" t="str">
        <f>IF(LEN(TRIM(E399))=0, "", GetManifestComments(H399))</f>
        <v/>
      </c>
      <c r="S399" t="str">
        <f>IF(LEN(TRIM(E399))=0,"",IF(ISERROR(VLOOKUP(E399,'Manifest MDB data'!A:A,1,FALSE)),"OK","EXISTS!!!"))</f>
        <v/>
      </c>
    </row>
    <row r="400" spans="4:19" x14ac:dyDescent="0.25">
      <c r="D400" t="str">
        <f t="shared" si="26"/>
        <v/>
      </c>
      <c r="E400" t="str">
        <f t="shared" si="27"/>
        <v/>
      </c>
      <c r="F400" t="str">
        <f t="shared" si="28"/>
        <v/>
      </c>
      <c r="G400" t="str">
        <f>IF(LEN(TRIM(E400))=0, "", GetSampleTissueBySpecimenPrep(H400))</f>
        <v/>
      </c>
      <c r="H400" t="str">
        <f>IF(LEN(TRIM(E400))=0, "", GetSpecimenPrepName())</f>
        <v/>
      </c>
      <c r="I400" t="str">
        <f>IF(LEN(TRIM(E400))=0, "", GetSampleVolumeBySpecimenPrep(H400))</f>
        <v/>
      </c>
      <c r="L400" t="str">
        <f>IF(LEN(TRIM(E400))=0,"",VLOOKUP("Manifest Id",config!A:B,2,FALSE))</f>
        <v/>
      </c>
      <c r="M400" t="str">
        <f>IF(LEN(TRIM(E400))=0, "",VLOOKUP("Project Name",config!A:B,2,FALSE))</f>
        <v/>
      </c>
      <c r="N400" t="str">
        <f>IF(LEN(TRIM(E400))=0, "",VLOOKUP("Center Name",config!A:B,2,FALSE))</f>
        <v/>
      </c>
      <c r="O400" s="7" t="str">
        <f>IF(LEN(TRIM(E400))=0,"",VLOOKUP("Shipment Date",config!A:B,2,FALSE))</f>
        <v/>
      </c>
      <c r="P400" s="7" t="str">
        <f t="shared" si="25"/>
        <v/>
      </c>
      <c r="Q400" s="7" t="str">
        <f>IF(LEN(TRIM(D400))=0,"",GetConfigParameterValue("Collection Site"))</f>
        <v/>
      </c>
      <c r="R400" t="str">
        <f>IF(LEN(TRIM(E400))=0, "", GetManifestComments(H400))</f>
        <v/>
      </c>
      <c r="S400" t="str">
        <f>IF(LEN(TRIM(E400))=0,"",IF(ISERROR(VLOOKUP(E400,'Manifest MDB data'!A:A,1,FALSE)),"OK","EXISTS!!!"))</f>
        <v/>
      </c>
    </row>
    <row r="401" spans="4:19" x14ac:dyDescent="0.25">
      <c r="D401" t="str">
        <f t="shared" si="26"/>
        <v/>
      </c>
      <c r="E401" t="str">
        <f t="shared" si="27"/>
        <v/>
      </c>
      <c r="F401" t="str">
        <f t="shared" si="28"/>
        <v/>
      </c>
      <c r="G401" t="str">
        <f>IF(LEN(TRIM(E401))=0, "", GetSampleTissueBySpecimenPrep(H401))</f>
        <v/>
      </c>
      <c r="H401" t="str">
        <f>IF(LEN(TRIM(E401))=0, "", GetSpecimenPrepName())</f>
        <v/>
      </c>
      <c r="I401" t="str">
        <f>IF(LEN(TRIM(E401))=0, "", GetSampleVolumeBySpecimenPrep(H401))</f>
        <v/>
      </c>
      <c r="L401" t="str">
        <f>IF(LEN(TRIM(E401))=0,"",VLOOKUP("Manifest Id",config!A:B,2,FALSE))</f>
        <v/>
      </c>
      <c r="M401" t="str">
        <f>IF(LEN(TRIM(E401))=0, "",VLOOKUP("Project Name",config!A:B,2,FALSE))</f>
        <v/>
      </c>
      <c r="N401" t="str">
        <f>IF(LEN(TRIM(E401))=0, "",VLOOKUP("Center Name",config!A:B,2,FALSE))</f>
        <v/>
      </c>
      <c r="O401" s="7" t="str">
        <f>IF(LEN(TRIM(E401))=0,"",VLOOKUP("Shipment Date",config!A:B,2,FALSE))</f>
        <v/>
      </c>
      <c r="P401" s="7" t="str">
        <f t="shared" si="25"/>
        <v/>
      </c>
      <c r="Q401" s="7" t="str">
        <f>IF(LEN(TRIM(D401))=0,"",GetConfigParameterValue("Collection Site"))</f>
        <v/>
      </c>
      <c r="R401" t="str">
        <f>IF(LEN(TRIM(E401))=0, "", GetManifestComments(H401))</f>
        <v/>
      </c>
      <c r="S401" t="str">
        <f>IF(LEN(TRIM(E401))=0,"",IF(ISERROR(VLOOKUP(E401,'Manifest MDB data'!A:A,1,FALSE)),"OK","EXISTS!!!"))</f>
        <v/>
      </c>
    </row>
    <row r="402" spans="4:19" x14ac:dyDescent="0.25">
      <c r="D402" t="str">
        <f t="shared" si="26"/>
        <v/>
      </c>
      <c r="E402" t="str">
        <f t="shared" si="27"/>
        <v/>
      </c>
      <c r="F402" t="str">
        <f t="shared" si="28"/>
        <v/>
      </c>
      <c r="G402" t="str">
        <f>IF(LEN(TRIM(E402))=0, "", GetSampleTissueBySpecimenPrep(H402))</f>
        <v/>
      </c>
      <c r="H402" t="str">
        <f>IF(LEN(TRIM(E402))=0, "", GetSpecimenPrepName())</f>
        <v/>
      </c>
      <c r="I402" t="str">
        <f>IF(LEN(TRIM(E402))=0, "", GetSampleVolumeBySpecimenPrep(H402))</f>
        <v/>
      </c>
      <c r="L402" t="str">
        <f>IF(LEN(TRIM(E402))=0,"",VLOOKUP("Manifest Id",config!A:B,2,FALSE))</f>
        <v/>
      </c>
      <c r="M402" t="str">
        <f>IF(LEN(TRIM(E402))=0, "",VLOOKUP("Project Name",config!A:B,2,FALSE))</f>
        <v/>
      </c>
      <c r="N402" t="str">
        <f>IF(LEN(TRIM(E402))=0, "",VLOOKUP("Center Name",config!A:B,2,FALSE))</f>
        <v/>
      </c>
      <c r="O402" s="7" t="str">
        <f>IF(LEN(TRIM(E402))=0,"",VLOOKUP("Shipment Date",config!A:B,2,FALSE))</f>
        <v/>
      </c>
      <c r="P402" s="7" t="str">
        <f t="shared" si="25"/>
        <v/>
      </c>
      <c r="Q402" s="7" t="str">
        <f>IF(LEN(TRIM(D402))=0,"",GetConfigParameterValue("Collection Site"))</f>
        <v/>
      </c>
      <c r="R402" t="str">
        <f>IF(LEN(TRIM(E402))=0, "", GetManifestComments(H402))</f>
        <v/>
      </c>
      <c r="S402" t="str">
        <f>IF(LEN(TRIM(E402))=0,"",IF(ISERROR(VLOOKUP(E402,'Manifest MDB data'!A:A,1,FALSE)),"OK","EXISTS!!!"))</f>
        <v/>
      </c>
    </row>
    <row r="403" spans="4:19" x14ac:dyDescent="0.25">
      <c r="D403" t="str">
        <f t="shared" si="26"/>
        <v/>
      </c>
      <c r="E403" t="str">
        <f t="shared" si="27"/>
        <v/>
      </c>
      <c r="F403" t="str">
        <f t="shared" si="28"/>
        <v/>
      </c>
      <c r="G403" t="str">
        <f>IF(LEN(TRIM(E403))=0, "", GetSampleTissueBySpecimenPrep(H403))</f>
        <v/>
      </c>
      <c r="H403" t="str">
        <f>IF(LEN(TRIM(E403))=0, "", GetSpecimenPrepName())</f>
        <v/>
      </c>
      <c r="I403" t="str">
        <f>IF(LEN(TRIM(E403))=0, "", GetSampleVolumeBySpecimenPrep(H403))</f>
        <v/>
      </c>
      <c r="L403" t="str">
        <f>IF(LEN(TRIM(E403))=0,"",VLOOKUP("Manifest Id",config!A:B,2,FALSE))</f>
        <v/>
      </c>
      <c r="M403" t="str">
        <f>IF(LEN(TRIM(E403))=0, "",VLOOKUP("Project Name",config!A:B,2,FALSE))</f>
        <v/>
      </c>
      <c r="N403" t="str">
        <f>IF(LEN(TRIM(E403))=0, "",VLOOKUP("Center Name",config!A:B,2,FALSE))</f>
        <v/>
      </c>
      <c r="O403" s="7" t="str">
        <f>IF(LEN(TRIM(E403))=0,"",VLOOKUP("Shipment Date",config!A:B,2,FALSE))</f>
        <v/>
      </c>
      <c r="P403" s="7" t="str">
        <f t="shared" si="25"/>
        <v/>
      </c>
      <c r="Q403" s="7" t="str">
        <f>IF(LEN(TRIM(D403))=0,"",GetConfigParameterValue("Collection Site"))</f>
        <v/>
      </c>
      <c r="R403" t="str">
        <f>IF(LEN(TRIM(E403))=0, "", GetManifestComments(H403))</f>
        <v/>
      </c>
      <c r="S403" t="str">
        <f>IF(LEN(TRIM(E403))=0,"",IF(ISERROR(VLOOKUP(E403,'Manifest MDB data'!A:A,1,FALSE)),"OK","EXISTS!!!"))</f>
        <v/>
      </c>
    </row>
    <row r="404" spans="4:19" x14ac:dyDescent="0.25">
      <c r="D404" t="str">
        <f t="shared" si="26"/>
        <v/>
      </c>
      <c r="E404" t="str">
        <f t="shared" si="27"/>
        <v/>
      </c>
      <c r="F404" t="str">
        <f t="shared" si="28"/>
        <v/>
      </c>
      <c r="G404" t="str">
        <f>IF(LEN(TRIM(E404))=0, "", GetSampleTissueBySpecimenPrep(H404))</f>
        <v/>
      </c>
      <c r="H404" t="str">
        <f>IF(LEN(TRIM(E404))=0, "", GetSpecimenPrepName())</f>
        <v/>
      </c>
      <c r="I404" t="str">
        <f>IF(LEN(TRIM(E404))=0, "", GetSampleVolumeBySpecimenPrep(H404))</f>
        <v/>
      </c>
      <c r="L404" t="str">
        <f>IF(LEN(TRIM(E404))=0,"",VLOOKUP("Manifest Id",config!A:B,2,FALSE))</f>
        <v/>
      </c>
      <c r="M404" t="str">
        <f>IF(LEN(TRIM(E404))=0, "",VLOOKUP("Project Name",config!A:B,2,FALSE))</f>
        <v/>
      </c>
      <c r="N404" t="str">
        <f>IF(LEN(TRIM(E404))=0, "",VLOOKUP("Center Name",config!A:B,2,FALSE))</f>
        <v/>
      </c>
      <c r="O404" s="7" t="str">
        <f>IF(LEN(TRIM(E404))=0,"",VLOOKUP("Shipment Date",config!A:B,2,FALSE))</f>
        <v/>
      </c>
      <c r="P404" s="7" t="str">
        <f t="shared" si="25"/>
        <v/>
      </c>
      <c r="Q404" s="7" t="str">
        <f>IF(LEN(TRIM(D404))=0,"",GetConfigParameterValue("Collection Site"))</f>
        <v/>
      </c>
      <c r="R404" t="str">
        <f>IF(LEN(TRIM(E404))=0, "", GetManifestComments(H404))</f>
        <v/>
      </c>
      <c r="S404" t="str">
        <f>IF(LEN(TRIM(E404))=0,"",IF(ISERROR(VLOOKUP(E404,'Manifest MDB data'!A:A,1,FALSE)),"OK","EXISTS!!!"))</f>
        <v/>
      </c>
    </row>
    <row r="405" spans="4:19" x14ac:dyDescent="0.25">
      <c r="D405" t="str">
        <f t="shared" si="26"/>
        <v/>
      </c>
      <c r="E405" t="str">
        <f t="shared" si="27"/>
        <v/>
      </c>
      <c r="F405" t="str">
        <f t="shared" si="28"/>
        <v/>
      </c>
      <c r="G405" t="str">
        <f>IF(LEN(TRIM(E405))=0, "", GetSampleTissueBySpecimenPrep(H405))</f>
        <v/>
      </c>
      <c r="H405" t="str">
        <f>IF(LEN(TRIM(E405))=0, "", GetSpecimenPrepName())</f>
        <v/>
      </c>
      <c r="I405" t="str">
        <f>IF(LEN(TRIM(E405))=0, "", GetSampleVolumeBySpecimenPrep(H405))</f>
        <v/>
      </c>
      <c r="L405" t="str">
        <f>IF(LEN(TRIM(E405))=0,"",VLOOKUP("Manifest Id",config!A:B,2,FALSE))</f>
        <v/>
      </c>
      <c r="M405" t="str">
        <f>IF(LEN(TRIM(E405))=0, "",VLOOKUP("Project Name",config!A:B,2,FALSE))</f>
        <v/>
      </c>
      <c r="N405" t="str">
        <f>IF(LEN(TRIM(E405))=0, "",VLOOKUP("Center Name",config!A:B,2,FALSE))</f>
        <v/>
      </c>
      <c r="O405" s="7" t="str">
        <f>IF(LEN(TRIM(E405))=0,"",VLOOKUP("Shipment Date",config!A:B,2,FALSE))</f>
        <v/>
      </c>
      <c r="P405" s="7" t="str">
        <f t="shared" si="25"/>
        <v/>
      </c>
      <c r="Q405" s="7" t="str">
        <f>IF(LEN(TRIM(D405))=0,"",GetConfigParameterValue("Collection Site"))</f>
        <v/>
      </c>
      <c r="R405" t="str">
        <f>IF(LEN(TRIM(E405))=0, "", GetManifestComments(H405))</f>
        <v/>
      </c>
      <c r="S405" t="str">
        <f>IF(LEN(TRIM(E405))=0,"",IF(ISERROR(VLOOKUP(E405,'Manifest MDB data'!A:A,1,FALSE)),"OK","EXISTS!!!"))</f>
        <v/>
      </c>
    </row>
    <row r="406" spans="4:19" x14ac:dyDescent="0.25">
      <c r="D406" t="str">
        <f t="shared" si="26"/>
        <v/>
      </c>
      <c r="E406" t="str">
        <f t="shared" si="27"/>
        <v/>
      </c>
      <c r="F406" t="str">
        <f t="shared" si="28"/>
        <v/>
      </c>
      <c r="G406" t="str">
        <f>IF(LEN(TRIM(E406))=0, "", GetSampleTissueBySpecimenPrep(H406))</f>
        <v/>
      </c>
      <c r="H406" t="str">
        <f>IF(LEN(TRIM(E406))=0, "", GetSpecimenPrepName())</f>
        <v/>
      </c>
      <c r="I406" t="str">
        <f>IF(LEN(TRIM(E406))=0, "", GetSampleVolumeBySpecimenPrep(H406))</f>
        <v/>
      </c>
      <c r="L406" t="str">
        <f>IF(LEN(TRIM(E406))=0,"",VLOOKUP("Manifest Id",config!A:B,2,FALSE))</f>
        <v/>
      </c>
      <c r="M406" t="str">
        <f>IF(LEN(TRIM(E406))=0, "",VLOOKUP("Project Name",config!A:B,2,FALSE))</f>
        <v/>
      </c>
      <c r="N406" t="str">
        <f>IF(LEN(TRIM(E406))=0, "",VLOOKUP("Center Name",config!A:B,2,FALSE))</f>
        <v/>
      </c>
      <c r="O406" s="7" t="str">
        <f>IF(LEN(TRIM(E406))=0,"",VLOOKUP("Shipment Date",config!A:B,2,FALSE))</f>
        <v/>
      </c>
      <c r="P406" s="7" t="str">
        <f t="shared" si="25"/>
        <v/>
      </c>
      <c r="Q406" s="7" t="str">
        <f>IF(LEN(TRIM(D406))=0,"",GetConfigParameterValue("Collection Site"))</f>
        <v/>
      </c>
      <c r="R406" t="str">
        <f>IF(LEN(TRIM(E406))=0, "", GetManifestComments(H406))</f>
        <v/>
      </c>
      <c r="S406" t="str">
        <f>IF(LEN(TRIM(E406))=0,"",IF(ISERROR(VLOOKUP(E406,'Manifest MDB data'!A:A,1,FALSE)),"OK","EXISTS!!!"))</f>
        <v/>
      </c>
    </row>
    <row r="407" spans="4:19" x14ac:dyDescent="0.25">
      <c r="D407" t="str">
        <f t="shared" si="26"/>
        <v/>
      </c>
      <c r="E407" t="str">
        <f t="shared" si="27"/>
        <v/>
      </c>
      <c r="F407" t="str">
        <f t="shared" si="28"/>
        <v/>
      </c>
      <c r="G407" t="str">
        <f>IF(LEN(TRIM(E407))=0, "", GetSampleTissueBySpecimenPrep(H407))</f>
        <v/>
      </c>
      <c r="H407" t="str">
        <f>IF(LEN(TRIM(E407))=0, "", GetSpecimenPrepName())</f>
        <v/>
      </c>
      <c r="I407" t="str">
        <f>IF(LEN(TRIM(E407))=0, "", GetSampleVolumeBySpecimenPrep(H407))</f>
        <v/>
      </c>
      <c r="L407" t="str">
        <f>IF(LEN(TRIM(E407))=0,"",VLOOKUP("Manifest Id",config!A:B,2,FALSE))</f>
        <v/>
      </c>
      <c r="M407" t="str">
        <f>IF(LEN(TRIM(E407))=0, "",VLOOKUP("Project Name",config!A:B,2,FALSE))</f>
        <v/>
      </c>
      <c r="N407" t="str">
        <f>IF(LEN(TRIM(E407))=0, "",VLOOKUP("Center Name",config!A:B,2,FALSE))</f>
        <v/>
      </c>
      <c r="O407" s="7" t="str">
        <f>IF(LEN(TRIM(E407))=0,"",VLOOKUP("Shipment Date",config!A:B,2,FALSE))</f>
        <v/>
      </c>
      <c r="P407" s="7" t="str">
        <f t="shared" si="25"/>
        <v/>
      </c>
      <c r="Q407" s="7" t="str">
        <f>IF(LEN(TRIM(D407))=0,"",GetConfigParameterValue("Collection Site"))</f>
        <v/>
      </c>
      <c r="R407" t="str">
        <f>IF(LEN(TRIM(E407))=0, "", GetManifestComments(H407))</f>
        <v/>
      </c>
      <c r="S407" t="str">
        <f>IF(LEN(TRIM(E407))=0,"",IF(ISERROR(VLOOKUP(E407,'Manifest MDB data'!A:A,1,FALSE)),"OK","EXISTS!!!"))</f>
        <v/>
      </c>
    </row>
    <row r="408" spans="4:19" x14ac:dyDescent="0.25">
      <c r="D408" t="str">
        <f t="shared" si="26"/>
        <v/>
      </c>
      <c r="E408" t="str">
        <f t="shared" si="27"/>
        <v/>
      </c>
      <c r="F408" t="str">
        <f t="shared" si="28"/>
        <v/>
      </c>
      <c r="G408" t="str">
        <f>IF(LEN(TRIM(E408))=0, "", GetSampleTissueBySpecimenPrep(H408))</f>
        <v/>
      </c>
      <c r="H408" t="str">
        <f>IF(LEN(TRIM(E408))=0, "", GetSpecimenPrepName())</f>
        <v/>
      </c>
      <c r="I408" t="str">
        <f>IF(LEN(TRIM(E408))=0, "", GetSampleVolumeBySpecimenPrep(H408))</f>
        <v/>
      </c>
      <c r="L408" t="str">
        <f>IF(LEN(TRIM(E408))=0,"",VLOOKUP("Manifest Id",config!A:B,2,FALSE))</f>
        <v/>
      </c>
      <c r="M408" t="str">
        <f>IF(LEN(TRIM(E408))=0, "",VLOOKUP("Project Name",config!A:B,2,FALSE))</f>
        <v/>
      </c>
      <c r="N408" t="str">
        <f>IF(LEN(TRIM(E408))=0, "",VLOOKUP("Center Name",config!A:B,2,FALSE))</f>
        <v/>
      </c>
      <c r="O408" s="7" t="str">
        <f>IF(LEN(TRIM(E408))=0,"",VLOOKUP("Shipment Date",config!A:B,2,FALSE))</f>
        <v/>
      </c>
      <c r="P408" s="7" t="str">
        <f t="shared" si="25"/>
        <v/>
      </c>
      <c r="Q408" s="7" t="str">
        <f>IF(LEN(TRIM(D408))=0,"",GetConfigParameterValue("Collection Site"))</f>
        <v/>
      </c>
      <c r="R408" t="str">
        <f>IF(LEN(TRIM(E408))=0, "", GetManifestComments(H408))</f>
        <v/>
      </c>
      <c r="S408" t="str">
        <f>IF(LEN(TRIM(E408))=0,"",IF(ISERROR(VLOOKUP(E408,'Manifest MDB data'!A:A,1,FALSE)),"OK","EXISTS!!!"))</f>
        <v/>
      </c>
    </row>
    <row r="409" spans="4:19" x14ac:dyDescent="0.25">
      <c r="D409" t="str">
        <f t="shared" si="26"/>
        <v/>
      </c>
      <c r="E409" t="str">
        <f t="shared" si="27"/>
        <v/>
      </c>
      <c r="F409" t="str">
        <f t="shared" si="28"/>
        <v/>
      </c>
      <c r="G409" t="str">
        <f>IF(LEN(TRIM(E409))=0, "", GetSampleTissueBySpecimenPrep(H409))</f>
        <v/>
      </c>
      <c r="H409" t="str">
        <f>IF(LEN(TRIM(E409))=0, "", GetSpecimenPrepName())</f>
        <v/>
      </c>
      <c r="I409" t="str">
        <f>IF(LEN(TRIM(E409))=0, "", GetSampleVolumeBySpecimenPrep(H409))</f>
        <v/>
      </c>
      <c r="L409" t="str">
        <f>IF(LEN(TRIM(E409))=0,"",VLOOKUP("Manifest Id",config!A:B,2,FALSE))</f>
        <v/>
      </c>
      <c r="M409" t="str">
        <f>IF(LEN(TRIM(E409))=0, "",VLOOKUP("Project Name",config!A:B,2,FALSE))</f>
        <v/>
      </c>
      <c r="N409" t="str">
        <f>IF(LEN(TRIM(E409))=0, "",VLOOKUP("Center Name",config!A:B,2,FALSE))</f>
        <v/>
      </c>
      <c r="O409" s="7" t="str">
        <f>IF(LEN(TRIM(E409))=0,"",VLOOKUP("Shipment Date",config!A:B,2,FALSE))</f>
        <v/>
      </c>
      <c r="P409" s="7" t="str">
        <f t="shared" si="25"/>
        <v/>
      </c>
      <c r="Q409" s="7" t="str">
        <f>IF(LEN(TRIM(D409))=0,"",GetConfigParameterValue("Collection Site"))</f>
        <v/>
      </c>
      <c r="R409" t="str">
        <f>IF(LEN(TRIM(E409))=0, "", GetManifestComments(H409))</f>
        <v/>
      </c>
      <c r="S409" t="str">
        <f>IF(LEN(TRIM(E409))=0,"",IF(ISERROR(VLOOKUP(E409,'Manifest MDB data'!A:A,1,FALSE)),"OK","EXISTS!!!"))</f>
        <v/>
      </c>
    </row>
    <row r="410" spans="4:19" x14ac:dyDescent="0.25">
      <c r="D410" t="str">
        <f t="shared" si="26"/>
        <v/>
      </c>
      <c r="E410" t="str">
        <f t="shared" si="27"/>
        <v/>
      </c>
      <c r="F410" t="str">
        <f t="shared" si="28"/>
        <v/>
      </c>
      <c r="G410" t="str">
        <f>IF(LEN(TRIM(E410))=0, "", GetSampleTissueBySpecimenPrep(H410))</f>
        <v/>
      </c>
      <c r="H410" t="str">
        <f>IF(LEN(TRIM(E410))=0, "", GetSpecimenPrepName())</f>
        <v/>
      </c>
      <c r="I410" t="str">
        <f>IF(LEN(TRIM(E410))=0, "", GetSampleVolumeBySpecimenPrep(H410))</f>
        <v/>
      </c>
      <c r="L410" t="str">
        <f>IF(LEN(TRIM(E410))=0,"",VLOOKUP("Manifest Id",config!A:B,2,FALSE))</f>
        <v/>
      </c>
      <c r="M410" t="str">
        <f>IF(LEN(TRIM(E410))=0, "",VLOOKUP("Project Name",config!A:B,2,FALSE))</f>
        <v/>
      </c>
      <c r="N410" t="str">
        <f>IF(LEN(TRIM(E410))=0, "",VLOOKUP("Center Name",config!A:B,2,FALSE))</f>
        <v/>
      </c>
      <c r="O410" s="7" t="str">
        <f>IF(LEN(TRIM(E410))=0,"",VLOOKUP("Shipment Date",config!A:B,2,FALSE))</f>
        <v/>
      </c>
      <c r="P410" s="7" t="str">
        <f t="shared" si="25"/>
        <v/>
      </c>
      <c r="Q410" s="7" t="str">
        <f>IF(LEN(TRIM(D410))=0,"",GetConfigParameterValue("Collection Site"))</f>
        <v/>
      </c>
      <c r="R410" t="str">
        <f>IF(LEN(TRIM(E410))=0, "", GetManifestComments(H410))</f>
        <v/>
      </c>
      <c r="S410" t="str">
        <f>IF(LEN(TRIM(E410))=0,"",IF(ISERROR(VLOOKUP(E410,'Manifest MDB data'!A:A,1,FALSE)),"OK","EXISTS!!!"))</f>
        <v/>
      </c>
    </row>
    <row r="411" spans="4:19" x14ac:dyDescent="0.25">
      <c r="D411" t="str">
        <f t="shared" si="26"/>
        <v/>
      </c>
      <c r="E411" t="str">
        <f t="shared" si="27"/>
        <v/>
      </c>
      <c r="F411" t="str">
        <f t="shared" si="28"/>
        <v/>
      </c>
      <c r="G411" t="str">
        <f>IF(LEN(TRIM(E411))=0, "", GetSampleTissueBySpecimenPrep(H411))</f>
        <v/>
      </c>
      <c r="H411" t="str">
        <f>IF(LEN(TRIM(E411))=0, "", GetSpecimenPrepName())</f>
        <v/>
      </c>
      <c r="I411" t="str">
        <f>IF(LEN(TRIM(E411))=0, "", GetSampleVolumeBySpecimenPrep(H411))</f>
        <v/>
      </c>
      <c r="L411" t="str">
        <f>IF(LEN(TRIM(E411))=0,"",VLOOKUP("Manifest Id",config!A:B,2,FALSE))</f>
        <v/>
      </c>
      <c r="M411" t="str">
        <f>IF(LEN(TRIM(E411))=0, "",VLOOKUP("Project Name",config!A:B,2,FALSE))</f>
        <v/>
      </c>
      <c r="N411" t="str">
        <f>IF(LEN(TRIM(E411))=0, "",VLOOKUP("Center Name",config!A:B,2,FALSE))</f>
        <v/>
      </c>
      <c r="O411" s="7" t="str">
        <f>IF(LEN(TRIM(E411))=0,"",VLOOKUP("Shipment Date",config!A:B,2,FALSE))</f>
        <v/>
      </c>
      <c r="P411" s="7" t="str">
        <f t="shared" si="25"/>
        <v/>
      </c>
      <c r="Q411" s="7" t="str">
        <f>IF(LEN(TRIM(D411))=0,"",GetConfigParameterValue("Collection Site"))</f>
        <v/>
      </c>
      <c r="R411" t="str">
        <f>IF(LEN(TRIM(E411))=0, "", GetManifestComments(H411))</f>
        <v/>
      </c>
      <c r="S411" t="str">
        <f>IF(LEN(TRIM(E411))=0,"",IF(ISERROR(VLOOKUP(E411,'Manifest MDB data'!A:A,1,FALSE)),"OK","EXISTS!!!"))</f>
        <v/>
      </c>
    </row>
    <row r="412" spans="4:19" x14ac:dyDescent="0.25">
      <c r="D412" t="str">
        <f t="shared" si="26"/>
        <v/>
      </c>
      <c r="E412" t="str">
        <f t="shared" si="27"/>
        <v/>
      </c>
      <c r="F412" t="str">
        <f t="shared" si="28"/>
        <v/>
      </c>
      <c r="G412" t="str">
        <f>IF(LEN(TRIM(E412))=0, "", GetSampleTissueBySpecimenPrep(H412))</f>
        <v/>
      </c>
      <c r="H412" t="str">
        <f>IF(LEN(TRIM(E412))=0, "", GetSpecimenPrepName())</f>
        <v/>
      </c>
      <c r="I412" t="str">
        <f>IF(LEN(TRIM(E412))=0, "", GetSampleVolumeBySpecimenPrep(H412))</f>
        <v/>
      </c>
      <c r="L412" t="str">
        <f>IF(LEN(TRIM(E412))=0,"",VLOOKUP("Manifest Id",config!A:B,2,FALSE))</f>
        <v/>
      </c>
      <c r="M412" t="str">
        <f>IF(LEN(TRIM(E412))=0, "",VLOOKUP("Project Name",config!A:B,2,FALSE))</f>
        <v/>
      </c>
      <c r="N412" t="str">
        <f>IF(LEN(TRIM(E412))=0, "",VLOOKUP("Center Name",config!A:B,2,FALSE))</f>
        <v/>
      </c>
      <c r="O412" s="7" t="str">
        <f>IF(LEN(TRIM(E412))=0,"",VLOOKUP("Shipment Date",config!A:B,2,FALSE))</f>
        <v/>
      </c>
      <c r="P412" s="7" t="str">
        <f t="shared" si="25"/>
        <v/>
      </c>
      <c r="Q412" s="7" t="str">
        <f>IF(LEN(TRIM(D412))=0,"",GetConfigParameterValue("Collection Site"))</f>
        <v/>
      </c>
      <c r="R412" t="str">
        <f>IF(LEN(TRIM(E412))=0, "", GetManifestComments(H412))</f>
        <v/>
      </c>
      <c r="S412" t="str">
        <f>IF(LEN(TRIM(E412))=0,"",IF(ISERROR(VLOOKUP(E412,'Manifest MDB data'!A:A,1,FALSE)),"OK","EXISTS!!!"))</f>
        <v/>
      </c>
    </row>
    <row r="413" spans="4:19" x14ac:dyDescent="0.25">
      <c r="D413" t="str">
        <f t="shared" si="26"/>
        <v/>
      </c>
      <c r="E413" t="str">
        <f t="shared" si="27"/>
        <v/>
      </c>
      <c r="F413" t="str">
        <f t="shared" si="28"/>
        <v/>
      </c>
      <c r="G413" t="str">
        <f>IF(LEN(TRIM(E413))=0, "", GetSampleTissueBySpecimenPrep(H413))</f>
        <v/>
      </c>
      <c r="H413" t="str">
        <f>IF(LEN(TRIM(E413))=0, "", GetSpecimenPrepName())</f>
        <v/>
      </c>
      <c r="I413" t="str">
        <f>IF(LEN(TRIM(E413))=0, "", GetSampleVolumeBySpecimenPrep(H413))</f>
        <v/>
      </c>
      <c r="L413" t="str">
        <f>IF(LEN(TRIM(E413))=0,"",VLOOKUP("Manifest Id",config!A:B,2,FALSE))</f>
        <v/>
      </c>
      <c r="M413" t="str">
        <f>IF(LEN(TRIM(E413))=0, "",VLOOKUP("Project Name",config!A:B,2,FALSE))</f>
        <v/>
      </c>
      <c r="N413" t="str">
        <f>IF(LEN(TRIM(E413))=0, "",VLOOKUP("Center Name",config!A:B,2,FALSE))</f>
        <v/>
      </c>
      <c r="O413" s="7" t="str">
        <f>IF(LEN(TRIM(E413))=0,"",VLOOKUP("Shipment Date",config!A:B,2,FALSE))</f>
        <v/>
      </c>
      <c r="P413" s="7" t="str">
        <f t="shared" si="25"/>
        <v/>
      </c>
      <c r="Q413" s="7" t="str">
        <f>IF(LEN(TRIM(D413))=0,"",GetConfigParameterValue("Collection Site"))</f>
        <v/>
      </c>
      <c r="R413" t="str">
        <f>IF(LEN(TRIM(E413))=0, "", GetManifestComments(H413))</f>
        <v/>
      </c>
      <c r="S413" t="str">
        <f>IF(LEN(TRIM(E413))=0,"",IF(ISERROR(VLOOKUP(E413,'Manifest MDB data'!A:A,1,FALSE)),"OK","EXISTS!!!"))</f>
        <v/>
      </c>
    </row>
    <row r="414" spans="4:19" x14ac:dyDescent="0.25">
      <c r="D414" t="str">
        <f t="shared" si="26"/>
        <v/>
      </c>
      <c r="E414" t="str">
        <f t="shared" si="27"/>
        <v/>
      </c>
      <c r="F414" t="str">
        <f t="shared" si="28"/>
        <v/>
      </c>
      <c r="G414" t="str">
        <f>IF(LEN(TRIM(E414))=0, "", GetSampleTissueBySpecimenPrep(H414))</f>
        <v/>
      </c>
      <c r="H414" t="str">
        <f>IF(LEN(TRIM(E414))=0, "", GetSpecimenPrepName())</f>
        <v/>
      </c>
      <c r="I414" t="str">
        <f>IF(LEN(TRIM(E414))=0, "", GetSampleVolumeBySpecimenPrep(H414))</f>
        <v/>
      </c>
      <c r="L414" t="str">
        <f>IF(LEN(TRIM(E414))=0,"",VLOOKUP("Manifest Id",config!A:B,2,FALSE))</f>
        <v/>
      </c>
      <c r="M414" t="str">
        <f>IF(LEN(TRIM(E414))=0, "",VLOOKUP("Project Name",config!A:B,2,FALSE))</f>
        <v/>
      </c>
      <c r="N414" t="str">
        <f>IF(LEN(TRIM(E414))=0, "",VLOOKUP("Center Name",config!A:B,2,FALSE))</f>
        <v/>
      </c>
      <c r="O414" s="7" t="str">
        <f>IF(LEN(TRIM(E414))=0,"",VLOOKUP("Shipment Date",config!A:B,2,FALSE))</f>
        <v/>
      </c>
      <c r="P414" s="7" t="str">
        <f t="shared" si="25"/>
        <v/>
      </c>
      <c r="Q414" s="7" t="str">
        <f>IF(LEN(TRIM(D414))=0,"",GetConfigParameterValue("Collection Site"))</f>
        <v/>
      </c>
      <c r="R414" t="str">
        <f>IF(LEN(TRIM(E414))=0, "", GetManifestComments(H414))</f>
        <v/>
      </c>
      <c r="S414" t="str">
        <f>IF(LEN(TRIM(E414))=0,"",IF(ISERROR(VLOOKUP(E414,'Manifest MDB data'!A:A,1,FALSE)),"OK","EXISTS!!!"))</f>
        <v/>
      </c>
    </row>
    <row r="415" spans="4:19" x14ac:dyDescent="0.25">
      <c r="D415" t="str">
        <f t="shared" si="26"/>
        <v/>
      </c>
      <c r="E415" t="str">
        <f t="shared" si="27"/>
        <v/>
      </c>
      <c r="F415" t="str">
        <f t="shared" si="28"/>
        <v/>
      </c>
      <c r="G415" t="str">
        <f>IF(LEN(TRIM(E415))=0, "", GetSampleTissueBySpecimenPrep(H415))</f>
        <v/>
      </c>
      <c r="H415" t="str">
        <f>IF(LEN(TRIM(E415))=0, "", GetSpecimenPrepName())</f>
        <v/>
      </c>
      <c r="I415" t="str">
        <f>IF(LEN(TRIM(E415))=0, "", GetSampleVolumeBySpecimenPrep(H415))</f>
        <v/>
      </c>
      <c r="L415" t="str">
        <f>IF(LEN(TRIM(E415))=0,"",VLOOKUP("Manifest Id",config!A:B,2,FALSE))</f>
        <v/>
      </c>
      <c r="M415" t="str">
        <f>IF(LEN(TRIM(E415))=0, "",VLOOKUP("Project Name",config!A:B,2,FALSE))</f>
        <v/>
      </c>
      <c r="N415" t="str">
        <f>IF(LEN(TRIM(E415))=0, "",VLOOKUP("Center Name",config!A:B,2,FALSE))</f>
        <v/>
      </c>
      <c r="O415" s="7" t="str">
        <f>IF(LEN(TRIM(E415))=0,"",VLOOKUP("Shipment Date",config!A:B,2,FALSE))</f>
        <v/>
      </c>
      <c r="P415" s="7" t="str">
        <f t="shared" si="25"/>
        <v/>
      </c>
      <c r="Q415" s="7" t="str">
        <f>IF(LEN(TRIM(D415))=0,"",GetConfigParameterValue("Collection Site"))</f>
        <v/>
      </c>
      <c r="R415" t="str">
        <f>IF(LEN(TRIM(E415))=0, "", GetManifestComments(H415))</f>
        <v/>
      </c>
      <c r="S415" t="str">
        <f>IF(LEN(TRIM(E415))=0,"",IF(ISERROR(VLOOKUP(E415,'Manifest MDB data'!A:A,1,FALSE)),"OK","EXISTS!!!"))</f>
        <v/>
      </c>
    </row>
    <row r="416" spans="4:19" x14ac:dyDescent="0.25">
      <c r="D416" t="str">
        <f t="shared" si="26"/>
        <v/>
      </c>
      <c r="E416" t="str">
        <f t="shared" si="27"/>
        <v/>
      </c>
      <c r="F416" t="str">
        <f t="shared" si="28"/>
        <v/>
      </c>
      <c r="G416" t="str">
        <f>IF(LEN(TRIM(E416))=0, "", GetSampleTissueBySpecimenPrep(H416))</f>
        <v/>
      </c>
      <c r="H416" t="str">
        <f>IF(LEN(TRIM(E416))=0, "", GetSpecimenPrepName())</f>
        <v/>
      </c>
      <c r="I416" t="str">
        <f>IF(LEN(TRIM(E416))=0, "", GetSampleVolumeBySpecimenPrep(H416))</f>
        <v/>
      </c>
      <c r="L416" t="str">
        <f>IF(LEN(TRIM(E416))=0,"",VLOOKUP("Manifest Id",config!A:B,2,FALSE))</f>
        <v/>
      </c>
      <c r="M416" t="str">
        <f>IF(LEN(TRIM(E416))=0, "",VLOOKUP("Project Name",config!A:B,2,FALSE))</f>
        <v/>
      </c>
      <c r="N416" t="str">
        <f>IF(LEN(TRIM(E416))=0, "",VLOOKUP("Center Name",config!A:B,2,FALSE))</f>
        <v/>
      </c>
      <c r="O416" s="7" t="str">
        <f>IF(LEN(TRIM(E416))=0,"",VLOOKUP("Shipment Date",config!A:B,2,FALSE))</f>
        <v/>
      </c>
      <c r="P416" s="7" t="str">
        <f t="shared" si="25"/>
        <v/>
      </c>
      <c r="Q416" s="7" t="str">
        <f>IF(LEN(TRIM(D416))=0,"",GetConfigParameterValue("Collection Site"))</f>
        <v/>
      </c>
      <c r="R416" t="str">
        <f>IF(LEN(TRIM(E416))=0, "", GetManifestComments(H416))</f>
        <v/>
      </c>
      <c r="S416" t="str">
        <f>IF(LEN(TRIM(E416))=0,"",IF(ISERROR(VLOOKUP(E416,'Manifest MDB data'!A:A,1,FALSE)),"OK","EXISTS!!!"))</f>
        <v/>
      </c>
    </row>
    <row r="417" spans="4:19" x14ac:dyDescent="0.25">
      <c r="D417" t="str">
        <f t="shared" si="26"/>
        <v/>
      </c>
      <c r="E417" t="str">
        <f t="shared" si="27"/>
        <v/>
      </c>
      <c r="F417" t="str">
        <f t="shared" si="28"/>
        <v/>
      </c>
      <c r="G417" t="str">
        <f>IF(LEN(TRIM(E417))=0, "", GetSampleTissueBySpecimenPrep(H417))</f>
        <v/>
      </c>
      <c r="H417" t="str">
        <f>IF(LEN(TRIM(E417))=0, "", GetSpecimenPrepName())</f>
        <v/>
      </c>
      <c r="I417" t="str">
        <f>IF(LEN(TRIM(E417))=0, "", GetSampleVolumeBySpecimenPrep(H417))</f>
        <v/>
      </c>
      <c r="L417" t="str">
        <f>IF(LEN(TRIM(E417))=0,"",VLOOKUP("Manifest Id",config!A:B,2,FALSE))</f>
        <v/>
      </c>
      <c r="M417" t="str">
        <f>IF(LEN(TRIM(E417))=0, "",VLOOKUP("Project Name",config!A:B,2,FALSE))</f>
        <v/>
      </c>
      <c r="N417" t="str">
        <f>IF(LEN(TRIM(E417))=0, "",VLOOKUP("Center Name",config!A:B,2,FALSE))</f>
        <v/>
      </c>
      <c r="O417" s="7" t="str">
        <f>IF(LEN(TRIM(E417))=0,"",VLOOKUP("Shipment Date",config!A:B,2,FALSE))</f>
        <v/>
      </c>
      <c r="P417" s="7" t="str">
        <f t="shared" si="25"/>
        <v/>
      </c>
      <c r="Q417" s="7" t="str">
        <f>IF(LEN(TRIM(D417))=0,"",GetConfigParameterValue("Collection Site"))</f>
        <v/>
      </c>
      <c r="R417" t="str">
        <f>IF(LEN(TRIM(E417))=0, "", GetManifestComments(H417))</f>
        <v/>
      </c>
      <c r="S417" t="str">
        <f>IF(LEN(TRIM(E417))=0,"",IF(ISERROR(VLOOKUP(E417,'Manifest MDB data'!A:A,1,FALSE)),"OK","EXISTS!!!"))</f>
        <v/>
      </c>
    </row>
    <row r="418" spans="4:19" x14ac:dyDescent="0.25">
      <c r="D418" t="str">
        <f t="shared" si="26"/>
        <v/>
      </c>
      <c r="E418" t="str">
        <f t="shared" si="27"/>
        <v/>
      </c>
      <c r="F418" t="str">
        <f t="shared" si="28"/>
        <v/>
      </c>
      <c r="G418" t="str">
        <f>IF(LEN(TRIM(E418))=0, "", GetSampleTissueBySpecimenPrep(H418))</f>
        <v/>
      </c>
      <c r="H418" t="str">
        <f>IF(LEN(TRIM(E418))=0, "", GetSpecimenPrepName())</f>
        <v/>
      </c>
      <c r="I418" t="str">
        <f>IF(LEN(TRIM(E418))=0, "", GetSampleVolumeBySpecimenPrep(H418))</f>
        <v/>
      </c>
      <c r="L418" t="str">
        <f>IF(LEN(TRIM(E418))=0,"",VLOOKUP("Manifest Id",config!A:B,2,FALSE))</f>
        <v/>
      </c>
      <c r="M418" t="str">
        <f>IF(LEN(TRIM(E418))=0, "",VLOOKUP("Project Name",config!A:B,2,FALSE))</f>
        <v/>
      </c>
      <c r="N418" t="str">
        <f>IF(LEN(TRIM(E418))=0, "",VLOOKUP("Center Name",config!A:B,2,FALSE))</f>
        <v/>
      </c>
      <c r="O418" s="7" t="str">
        <f>IF(LEN(TRIM(E418))=0,"",VLOOKUP("Shipment Date",config!A:B,2,FALSE))</f>
        <v/>
      </c>
      <c r="P418" s="7" t="str">
        <f t="shared" si="25"/>
        <v/>
      </c>
      <c r="Q418" s="7" t="str">
        <f>IF(LEN(TRIM(D418))=0,"",GetConfigParameterValue("Collection Site"))</f>
        <v/>
      </c>
      <c r="R418" t="str">
        <f>IF(LEN(TRIM(E418))=0, "", GetManifestComments(H418))</f>
        <v/>
      </c>
      <c r="S418" t="str">
        <f>IF(LEN(TRIM(E418))=0,"",IF(ISERROR(VLOOKUP(E418,'Manifest MDB data'!A:A,1,FALSE)),"OK","EXISTS!!!"))</f>
        <v/>
      </c>
    </row>
    <row r="419" spans="4:19" x14ac:dyDescent="0.25">
      <c r="D419" t="str">
        <f t="shared" si="26"/>
        <v/>
      </c>
      <c r="E419" t="str">
        <f t="shared" si="27"/>
        <v/>
      </c>
      <c r="F419" t="str">
        <f t="shared" si="28"/>
        <v/>
      </c>
      <c r="G419" t="str">
        <f>IF(LEN(TRIM(E419))=0, "", GetSampleTissueBySpecimenPrep(H419))</f>
        <v/>
      </c>
      <c r="H419" t="str">
        <f>IF(LEN(TRIM(E419))=0, "", GetSpecimenPrepName())</f>
        <v/>
      </c>
      <c r="I419" t="str">
        <f>IF(LEN(TRIM(E419))=0, "", GetSampleVolumeBySpecimenPrep(H419))</f>
        <v/>
      </c>
      <c r="L419" t="str">
        <f>IF(LEN(TRIM(E419))=0,"",VLOOKUP("Manifest Id",config!A:B,2,FALSE))</f>
        <v/>
      </c>
      <c r="M419" t="str">
        <f>IF(LEN(TRIM(E419))=0, "",VLOOKUP("Project Name",config!A:B,2,FALSE))</f>
        <v/>
      </c>
      <c r="N419" t="str">
        <f>IF(LEN(TRIM(E419))=0, "",VLOOKUP("Center Name",config!A:B,2,FALSE))</f>
        <v/>
      </c>
      <c r="O419" s="7" t="str">
        <f>IF(LEN(TRIM(E419))=0,"",VLOOKUP("Shipment Date",config!A:B,2,FALSE))</f>
        <v/>
      </c>
      <c r="P419" s="7" t="str">
        <f t="shared" si="25"/>
        <v/>
      </c>
      <c r="Q419" s="7" t="str">
        <f>IF(LEN(TRIM(D419))=0,"",GetConfigParameterValue("Collection Site"))</f>
        <v/>
      </c>
      <c r="R419" t="str">
        <f>IF(LEN(TRIM(E419))=0, "", GetManifestComments(H419))</f>
        <v/>
      </c>
      <c r="S419" t="str">
        <f>IF(LEN(TRIM(E419))=0,"",IF(ISERROR(VLOOKUP(E419,'Manifest MDB data'!A:A,1,FALSE)),"OK","EXISTS!!!"))</f>
        <v/>
      </c>
    </row>
    <row r="420" spans="4:19" x14ac:dyDescent="0.25">
      <c r="D420" t="str">
        <f t="shared" si="26"/>
        <v/>
      </c>
      <c r="E420" t="str">
        <f t="shared" si="27"/>
        <v/>
      </c>
      <c r="F420" t="str">
        <f t="shared" si="28"/>
        <v/>
      </c>
      <c r="G420" t="str">
        <f>IF(LEN(TRIM(E420))=0, "", GetSampleTissueBySpecimenPrep(H420))</f>
        <v/>
      </c>
      <c r="H420" t="str">
        <f>IF(LEN(TRIM(E420))=0, "", GetSpecimenPrepName())</f>
        <v/>
      </c>
      <c r="I420" t="str">
        <f>IF(LEN(TRIM(E420))=0, "", GetSampleVolumeBySpecimenPrep(H420))</f>
        <v/>
      </c>
      <c r="L420" t="str">
        <f>IF(LEN(TRIM(E420))=0,"",VLOOKUP("Manifest Id",config!A:B,2,FALSE))</f>
        <v/>
      </c>
      <c r="M420" t="str">
        <f>IF(LEN(TRIM(E420))=0, "",VLOOKUP("Project Name",config!A:B,2,FALSE))</f>
        <v/>
      </c>
      <c r="N420" t="str">
        <f>IF(LEN(TRIM(E420))=0, "",VLOOKUP("Center Name",config!A:B,2,FALSE))</f>
        <v/>
      </c>
      <c r="O420" s="7" t="str">
        <f>IF(LEN(TRIM(E420))=0,"",VLOOKUP("Shipment Date",config!A:B,2,FALSE))</f>
        <v/>
      </c>
      <c r="P420" s="7" t="str">
        <f t="shared" si="25"/>
        <v/>
      </c>
      <c r="Q420" s="7" t="str">
        <f>IF(LEN(TRIM(D420))=0,"",GetConfigParameterValue("Collection Site"))</f>
        <v/>
      </c>
      <c r="R420" t="str">
        <f>IF(LEN(TRIM(E420))=0, "", GetManifestComments(H420))</f>
        <v/>
      </c>
      <c r="S420" t="str">
        <f>IF(LEN(TRIM(E420))=0,"",IF(ISERROR(VLOOKUP(E420,'Manifest MDB data'!A:A,1,FALSE)),"OK","EXISTS!!!"))</f>
        <v/>
      </c>
    </row>
    <row r="421" spans="4:19" x14ac:dyDescent="0.25">
      <c r="D421" t="str">
        <f t="shared" si="26"/>
        <v/>
      </c>
      <c r="E421" t="str">
        <f t="shared" si="27"/>
        <v/>
      </c>
      <c r="F421" t="str">
        <f t="shared" si="28"/>
        <v/>
      </c>
      <c r="G421" t="str">
        <f>IF(LEN(TRIM(E421))=0, "", GetSampleTissueBySpecimenPrep(H421))</f>
        <v/>
      </c>
      <c r="H421" t="str">
        <f>IF(LEN(TRIM(E421))=0, "", GetSpecimenPrepName())</f>
        <v/>
      </c>
      <c r="I421" t="str">
        <f>IF(LEN(TRIM(E421))=0, "", GetSampleVolumeBySpecimenPrep(H421))</f>
        <v/>
      </c>
      <c r="L421" t="str">
        <f>IF(LEN(TRIM(E421))=0,"",VLOOKUP("Manifest Id",config!A:B,2,FALSE))</f>
        <v/>
      </c>
      <c r="M421" t="str">
        <f>IF(LEN(TRIM(E421))=0, "",VLOOKUP("Project Name",config!A:B,2,FALSE))</f>
        <v/>
      </c>
      <c r="N421" t="str">
        <f>IF(LEN(TRIM(E421))=0, "",VLOOKUP("Center Name",config!A:B,2,FALSE))</f>
        <v/>
      </c>
      <c r="O421" s="7" t="str">
        <f>IF(LEN(TRIM(E421))=0,"",VLOOKUP("Shipment Date",config!A:B,2,FALSE))</f>
        <v/>
      </c>
      <c r="P421" s="7" t="str">
        <f t="shared" si="25"/>
        <v/>
      </c>
      <c r="Q421" s="7" t="str">
        <f>IF(LEN(TRIM(D421))=0,"",GetConfigParameterValue("Collection Site"))</f>
        <v/>
      </c>
      <c r="R421" t="str">
        <f>IF(LEN(TRIM(E421))=0, "", GetManifestComments(H421))</f>
        <v/>
      </c>
      <c r="S421" t="str">
        <f>IF(LEN(TRIM(E421))=0,"",IF(ISERROR(VLOOKUP(E421,'Manifest MDB data'!A:A,1,FALSE)),"OK","EXISTS!!!"))</f>
        <v/>
      </c>
    </row>
    <row r="422" spans="4:19" x14ac:dyDescent="0.25">
      <c r="D422" t="str">
        <f t="shared" si="26"/>
        <v/>
      </c>
      <c r="E422" t="str">
        <f t="shared" si="27"/>
        <v/>
      </c>
      <c r="F422" t="str">
        <f t="shared" si="28"/>
        <v/>
      </c>
      <c r="G422" t="str">
        <f>IF(LEN(TRIM(E422))=0, "", GetSampleTissueBySpecimenPrep(H422))</f>
        <v/>
      </c>
      <c r="H422" t="str">
        <f>IF(LEN(TRIM(E422))=0, "", GetSpecimenPrepName())</f>
        <v/>
      </c>
      <c r="I422" t="str">
        <f>IF(LEN(TRIM(E422))=0, "", GetSampleVolumeBySpecimenPrep(H422))</f>
        <v/>
      </c>
      <c r="L422" t="str">
        <f>IF(LEN(TRIM(E422))=0,"",VLOOKUP("Manifest Id",config!A:B,2,FALSE))</f>
        <v/>
      </c>
      <c r="M422" t="str">
        <f>IF(LEN(TRIM(E422))=0, "",VLOOKUP("Project Name",config!A:B,2,FALSE))</f>
        <v/>
      </c>
      <c r="N422" t="str">
        <f>IF(LEN(TRIM(E422))=0, "",VLOOKUP("Center Name",config!A:B,2,FALSE))</f>
        <v/>
      </c>
      <c r="O422" s="7" t="str">
        <f>IF(LEN(TRIM(E422))=0,"",VLOOKUP("Shipment Date",config!A:B,2,FALSE))</f>
        <v/>
      </c>
      <c r="P422" s="7" t="str">
        <f t="shared" si="25"/>
        <v/>
      </c>
      <c r="Q422" s="7" t="str">
        <f>IF(LEN(TRIM(D422))=0,"",GetConfigParameterValue("Collection Site"))</f>
        <v/>
      </c>
      <c r="R422" t="str">
        <f>IF(LEN(TRIM(E422))=0, "", GetManifestComments(H422))</f>
        <v/>
      </c>
      <c r="S422" t="str">
        <f>IF(LEN(TRIM(E422))=0,"",IF(ISERROR(VLOOKUP(E422,'Manifest MDB data'!A:A,1,FALSE)),"OK","EXISTS!!!"))</f>
        <v/>
      </c>
    </row>
    <row r="423" spans="4:19" x14ac:dyDescent="0.25">
      <c r="D423" t="str">
        <f t="shared" si="26"/>
        <v/>
      </c>
      <c r="E423" t="str">
        <f t="shared" si="27"/>
        <v/>
      </c>
      <c r="F423" t="str">
        <f t="shared" si="28"/>
        <v/>
      </c>
      <c r="G423" t="str">
        <f>IF(LEN(TRIM(E423))=0, "", GetSampleTissueBySpecimenPrep(H423))</f>
        <v/>
      </c>
      <c r="H423" t="str">
        <f>IF(LEN(TRIM(E423))=0, "", GetSpecimenPrepName())</f>
        <v/>
      </c>
      <c r="I423" t="str">
        <f>IF(LEN(TRIM(E423))=0, "", GetSampleVolumeBySpecimenPrep(H423))</f>
        <v/>
      </c>
      <c r="L423" t="str">
        <f>IF(LEN(TRIM(E423))=0,"",VLOOKUP("Manifest Id",config!A:B,2,FALSE))</f>
        <v/>
      </c>
      <c r="M423" t="str">
        <f>IF(LEN(TRIM(E423))=0, "",VLOOKUP("Project Name",config!A:B,2,FALSE))</f>
        <v/>
      </c>
      <c r="N423" t="str">
        <f>IF(LEN(TRIM(E423))=0, "",VLOOKUP("Center Name",config!A:B,2,FALSE))</f>
        <v/>
      </c>
      <c r="O423" s="7" t="str">
        <f>IF(LEN(TRIM(E423))=0,"",VLOOKUP("Shipment Date",config!A:B,2,FALSE))</f>
        <v/>
      </c>
      <c r="P423" s="7" t="str">
        <f t="shared" si="25"/>
        <v/>
      </c>
      <c r="Q423" s="7" t="str">
        <f>IF(LEN(TRIM(D423))=0,"",GetConfigParameterValue("Collection Site"))</f>
        <v/>
      </c>
      <c r="R423" t="str">
        <f>IF(LEN(TRIM(E423))=0, "", GetManifestComments(H423))</f>
        <v/>
      </c>
      <c r="S423" t="str">
        <f>IF(LEN(TRIM(E423))=0,"",IF(ISERROR(VLOOKUP(E423,'Manifest MDB data'!A:A,1,FALSE)),"OK","EXISTS!!!"))</f>
        <v/>
      </c>
    </row>
    <row r="424" spans="4:19" x14ac:dyDescent="0.25">
      <c r="D424" t="str">
        <f t="shared" si="26"/>
        <v/>
      </c>
      <c r="E424" t="str">
        <f t="shared" si="27"/>
        <v/>
      </c>
      <c r="F424" t="str">
        <f t="shared" si="28"/>
        <v/>
      </c>
      <c r="G424" t="str">
        <f>IF(LEN(TRIM(E424))=0, "", GetSampleTissueBySpecimenPrep(H424))</f>
        <v/>
      </c>
      <c r="H424" t="str">
        <f>IF(LEN(TRIM(E424))=0, "", GetSpecimenPrepName())</f>
        <v/>
      </c>
      <c r="I424" t="str">
        <f>IF(LEN(TRIM(E424))=0, "", GetSampleVolumeBySpecimenPrep(H424))</f>
        <v/>
      </c>
      <c r="L424" t="str">
        <f>IF(LEN(TRIM(E424))=0,"",VLOOKUP("Manifest Id",config!A:B,2,FALSE))</f>
        <v/>
      </c>
      <c r="M424" t="str">
        <f>IF(LEN(TRIM(E424))=0, "",VLOOKUP("Project Name",config!A:B,2,FALSE))</f>
        <v/>
      </c>
      <c r="N424" t="str">
        <f>IF(LEN(TRIM(E424))=0, "",VLOOKUP("Center Name",config!A:B,2,FALSE))</f>
        <v/>
      </c>
      <c r="O424" s="7" t="str">
        <f>IF(LEN(TRIM(E424))=0,"",VLOOKUP("Shipment Date",config!A:B,2,FALSE))</f>
        <v/>
      </c>
      <c r="P424" s="7" t="str">
        <f t="shared" si="25"/>
        <v/>
      </c>
      <c r="Q424" s="7" t="str">
        <f>IF(LEN(TRIM(D424))=0,"",GetConfigParameterValue("Collection Site"))</f>
        <v/>
      </c>
      <c r="R424" t="str">
        <f>IF(LEN(TRIM(E424))=0, "", GetManifestComments(H424))</f>
        <v/>
      </c>
      <c r="S424" t="str">
        <f>IF(LEN(TRIM(E424))=0,"",IF(ISERROR(VLOOKUP(E424,'Manifest MDB data'!A:A,1,FALSE)),"OK","EXISTS!!!"))</f>
        <v/>
      </c>
    </row>
    <row r="425" spans="4:19" x14ac:dyDescent="0.25">
      <c r="D425" t="str">
        <f t="shared" si="26"/>
        <v/>
      </c>
      <c r="E425" t="str">
        <f t="shared" si="27"/>
        <v/>
      </c>
      <c r="F425" t="str">
        <f t="shared" si="28"/>
        <v/>
      </c>
      <c r="G425" t="str">
        <f>IF(LEN(TRIM(E425))=0, "", GetSampleTissueBySpecimenPrep(H425))</f>
        <v/>
      </c>
      <c r="H425" t="str">
        <f>IF(LEN(TRIM(E425))=0, "", GetSpecimenPrepName())</f>
        <v/>
      </c>
      <c r="I425" t="str">
        <f>IF(LEN(TRIM(E425))=0, "", GetSampleVolumeBySpecimenPrep(H425))</f>
        <v/>
      </c>
      <c r="L425" t="str">
        <f>IF(LEN(TRIM(E425))=0,"",VLOOKUP("Manifest Id",config!A:B,2,FALSE))</f>
        <v/>
      </c>
      <c r="M425" t="str">
        <f>IF(LEN(TRIM(E425))=0, "",VLOOKUP("Project Name",config!A:B,2,FALSE))</f>
        <v/>
      </c>
      <c r="N425" t="str">
        <f>IF(LEN(TRIM(E425))=0, "",VLOOKUP("Center Name",config!A:B,2,FALSE))</f>
        <v/>
      </c>
      <c r="O425" s="7" t="str">
        <f>IF(LEN(TRIM(E425))=0,"",VLOOKUP("Shipment Date",config!A:B,2,FALSE))</f>
        <v/>
      </c>
      <c r="P425" s="7" t="str">
        <f t="shared" si="25"/>
        <v/>
      </c>
      <c r="Q425" s="7" t="str">
        <f>IF(LEN(TRIM(D425))=0,"",GetConfigParameterValue("Collection Site"))</f>
        <v/>
      </c>
      <c r="R425" t="str">
        <f>IF(LEN(TRIM(E425))=0, "", GetManifestComments(H425))</f>
        <v/>
      </c>
      <c r="S425" t="str">
        <f>IF(LEN(TRIM(E425))=0,"",IF(ISERROR(VLOOKUP(E425,'Manifest MDB data'!A:A,1,FALSE)),"OK","EXISTS!!!"))</f>
        <v/>
      </c>
    </row>
    <row r="426" spans="4:19" x14ac:dyDescent="0.25">
      <c r="D426" t="str">
        <f t="shared" si="26"/>
        <v/>
      </c>
      <c r="E426" t="str">
        <f t="shared" si="27"/>
        <v/>
      </c>
      <c r="F426" t="str">
        <f t="shared" si="28"/>
        <v/>
      </c>
      <c r="G426" t="str">
        <f>IF(LEN(TRIM(E426))=0, "", GetSampleTissueBySpecimenPrep(H426))</f>
        <v/>
      </c>
      <c r="H426" t="str">
        <f>IF(LEN(TRIM(E426))=0, "", GetSpecimenPrepName())</f>
        <v/>
      </c>
      <c r="I426" t="str">
        <f>IF(LEN(TRIM(E426))=0, "", GetSampleVolumeBySpecimenPrep(H426))</f>
        <v/>
      </c>
      <c r="L426" t="str">
        <f>IF(LEN(TRIM(E426))=0,"",VLOOKUP("Manifest Id",config!A:B,2,FALSE))</f>
        <v/>
      </c>
      <c r="M426" t="str">
        <f>IF(LEN(TRIM(E426))=0, "",VLOOKUP("Project Name",config!A:B,2,FALSE))</f>
        <v/>
      </c>
      <c r="N426" t="str">
        <f>IF(LEN(TRIM(E426))=0, "",VLOOKUP("Center Name",config!A:B,2,FALSE))</f>
        <v/>
      </c>
      <c r="O426" s="7" t="str">
        <f>IF(LEN(TRIM(E426))=0,"",VLOOKUP("Shipment Date",config!A:B,2,FALSE))</f>
        <v/>
      </c>
      <c r="P426" s="7" t="str">
        <f t="shared" si="25"/>
        <v/>
      </c>
      <c r="Q426" s="7" t="str">
        <f>IF(LEN(TRIM(D426))=0,"",GetConfigParameterValue("Collection Site"))</f>
        <v/>
      </c>
      <c r="R426" t="str">
        <f>IF(LEN(TRIM(E426))=0, "", GetManifestComments(H426))</f>
        <v/>
      </c>
      <c r="S426" t="str">
        <f>IF(LEN(TRIM(E426))=0,"",IF(ISERROR(VLOOKUP(E426,'Manifest MDB data'!A:A,1,FALSE)),"OK","EXISTS!!!"))</f>
        <v/>
      </c>
    </row>
    <row r="427" spans="4:19" x14ac:dyDescent="0.25">
      <c r="D427" t="str">
        <f t="shared" si="26"/>
        <v/>
      </c>
      <c r="E427" t="str">
        <f t="shared" si="27"/>
        <v/>
      </c>
      <c r="F427" t="str">
        <f t="shared" si="28"/>
        <v/>
      </c>
      <c r="G427" t="str">
        <f>IF(LEN(TRIM(E427))=0, "", GetSampleTissueBySpecimenPrep(H427))</f>
        <v/>
      </c>
      <c r="H427" t="str">
        <f>IF(LEN(TRIM(E427))=0, "", GetSpecimenPrepName())</f>
        <v/>
      </c>
      <c r="I427" t="str">
        <f>IF(LEN(TRIM(E427))=0, "", GetSampleVolumeBySpecimenPrep(H427))</f>
        <v/>
      </c>
      <c r="L427" t="str">
        <f>IF(LEN(TRIM(E427))=0,"",VLOOKUP("Manifest Id",config!A:B,2,FALSE))</f>
        <v/>
      </c>
      <c r="M427" t="str">
        <f>IF(LEN(TRIM(E427))=0, "",VLOOKUP("Project Name",config!A:B,2,FALSE))</f>
        <v/>
      </c>
      <c r="N427" t="str">
        <f>IF(LEN(TRIM(E427))=0, "",VLOOKUP("Center Name",config!A:B,2,FALSE))</f>
        <v/>
      </c>
      <c r="O427" s="7" t="str">
        <f>IF(LEN(TRIM(E427))=0,"",VLOOKUP("Shipment Date",config!A:B,2,FALSE))</f>
        <v/>
      </c>
      <c r="P427" s="7" t="str">
        <f t="shared" si="25"/>
        <v/>
      </c>
      <c r="Q427" s="7" t="str">
        <f>IF(LEN(TRIM(D427))=0,"",GetConfigParameterValue("Collection Site"))</f>
        <v/>
      </c>
      <c r="R427" t="str">
        <f>IF(LEN(TRIM(E427))=0, "", GetManifestComments(H427))</f>
        <v/>
      </c>
      <c r="S427" t="str">
        <f>IF(LEN(TRIM(E427))=0,"",IF(ISERROR(VLOOKUP(E427,'Manifest MDB data'!A:A,1,FALSE)),"OK","EXISTS!!!"))</f>
        <v/>
      </c>
    </row>
    <row r="428" spans="4:19" x14ac:dyDescent="0.25">
      <c r="D428" t="str">
        <f t="shared" si="26"/>
        <v/>
      </c>
      <c r="E428" t="str">
        <f t="shared" si="27"/>
        <v/>
      </c>
      <c r="F428" t="str">
        <f t="shared" si="28"/>
        <v/>
      </c>
      <c r="G428" t="str">
        <f>IF(LEN(TRIM(E428))=0, "", GetSampleTissueBySpecimenPrep(H428))</f>
        <v/>
      </c>
      <c r="H428" t="str">
        <f>IF(LEN(TRIM(E428))=0, "", GetSpecimenPrepName())</f>
        <v/>
      </c>
      <c r="I428" t="str">
        <f>IF(LEN(TRIM(E428))=0, "", GetSampleVolumeBySpecimenPrep(H428))</f>
        <v/>
      </c>
      <c r="L428" t="str">
        <f>IF(LEN(TRIM(E428))=0,"",VLOOKUP("Manifest Id",config!A:B,2,FALSE))</f>
        <v/>
      </c>
      <c r="M428" t="str">
        <f>IF(LEN(TRIM(E428))=0, "",VLOOKUP("Project Name",config!A:B,2,FALSE))</f>
        <v/>
      </c>
      <c r="N428" t="str">
        <f>IF(LEN(TRIM(E428))=0, "",VLOOKUP("Center Name",config!A:B,2,FALSE))</f>
        <v/>
      </c>
      <c r="O428" s="7" t="str">
        <f>IF(LEN(TRIM(E428))=0,"",VLOOKUP("Shipment Date",config!A:B,2,FALSE))</f>
        <v/>
      </c>
      <c r="P428" s="7" t="str">
        <f t="shared" si="25"/>
        <v/>
      </c>
      <c r="Q428" s="7" t="str">
        <f>IF(LEN(TRIM(D428))=0,"",GetConfigParameterValue("Collection Site"))</f>
        <v/>
      </c>
      <c r="R428" t="str">
        <f>IF(LEN(TRIM(E428))=0, "", GetManifestComments(H428))</f>
        <v/>
      </c>
      <c r="S428" t="str">
        <f>IF(LEN(TRIM(E428))=0,"",IF(ISERROR(VLOOKUP(E428,'Manifest MDB data'!A:A,1,FALSE)),"OK","EXISTS!!!"))</f>
        <v/>
      </c>
    </row>
    <row r="429" spans="4:19" x14ac:dyDescent="0.25">
      <c r="D429" t="str">
        <f t="shared" si="26"/>
        <v/>
      </c>
      <c r="E429" t="str">
        <f t="shared" si="27"/>
        <v/>
      </c>
      <c r="F429" t="str">
        <f t="shared" si="28"/>
        <v/>
      </c>
      <c r="G429" t="str">
        <f>IF(LEN(TRIM(E429))=0, "", GetSampleTissueBySpecimenPrep(H429))</f>
        <v/>
      </c>
      <c r="H429" t="str">
        <f>IF(LEN(TRIM(E429))=0, "", GetSpecimenPrepName())</f>
        <v/>
      </c>
      <c r="I429" t="str">
        <f>IF(LEN(TRIM(E429))=0, "", GetSampleVolumeBySpecimenPrep(H429))</f>
        <v/>
      </c>
      <c r="L429" t="str">
        <f>IF(LEN(TRIM(E429))=0,"",VLOOKUP("Manifest Id",config!A:B,2,FALSE))</f>
        <v/>
      </c>
      <c r="M429" t="str">
        <f>IF(LEN(TRIM(E429))=0, "",VLOOKUP("Project Name",config!A:B,2,FALSE))</f>
        <v/>
      </c>
      <c r="N429" t="str">
        <f>IF(LEN(TRIM(E429))=0, "",VLOOKUP("Center Name",config!A:B,2,FALSE))</f>
        <v/>
      </c>
      <c r="O429" s="7" t="str">
        <f>IF(LEN(TRIM(E429))=0,"",VLOOKUP("Shipment Date",config!A:B,2,FALSE))</f>
        <v/>
      </c>
      <c r="P429" s="7" t="str">
        <f t="shared" si="25"/>
        <v/>
      </c>
      <c r="Q429" s="7" t="str">
        <f>IF(LEN(TRIM(D429))=0,"",GetConfigParameterValue("Collection Site"))</f>
        <v/>
      </c>
      <c r="R429" t="str">
        <f>IF(LEN(TRIM(E429))=0, "", GetManifestComments(H429))</f>
        <v/>
      </c>
      <c r="S429" t="str">
        <f>IF(LEN(TRIM(E429))=0,"",IF(ISERROR(VLOOKUP(E429,'Manifest MDB data'!A:A,1,FALSE)),"OK","EXISTS!!!"))</f>
        <v/>
      </c>
    </row>
    <row r="430" spans="4:19" x14ac:dyDescent="0.25">
      <c r="D430" t="str">
        <f t="shared" si="26"/>
        <v/>
      </c>
      <c r="E430" t="str">
        <f t="shared" si="27"/>
        <v/>
      </c>
      <c r="F430" t="str">
        <f t="shared" si="28"/>
        <v/>
      </c>
      <c r="G430" t="str">
        <f>IF(LEN(TRIM(E430))=0, "", GetSampleTissueBySpecimenPrep(H430))</f>
        <v/>
      </c>
      <c r="H430" t="str">
        <f>IF(LEN(TRIM(E430))=0, "", GetSpecimenPrepName())</f>
        <v/>
      </c>
      <c r="I430" t="str">
        <f>IF(LEN(TRIM(E430))=0, "", GetSampleVolumeBySpecimenPrep(H430))</f>
        <v/>
      </c>
      <c r="L430" t="str">
        <f>IF(LEN(TRIM(E430))=0,"",VLOOKUP("Manifest Id",config!A:B,2,FALSE))</f>
        <v/>
      </c>
      <c r="M430" t="str">
        <f>IF(LEN(TRIM(E430))=0, "",VLOOKUP("Project Name",config!A:B,2,FALSE))</f>
        <v/>
      </c>
      <c r="N430" t="str">
        <f>IF(LEN(TRIM(E430))=0, "",VLOOKUP("Center Name",config!A:B,2,FALSE))</f>
        <v/>
      </c>
      <c r="O430" s="7" t="str">
        <f>IF(LEN(TRIM(E430))=0,"",VLOOKUP("Shipment Date",config!A:B,2,FALSE))</f>
        <v/>
      </c>
      <c r="P430" s="7" t="str">
        <f t="shared" si="25"/>
        <v/>
      </c>
      <c r="Q430" s="7" t="str">
        <f>IF(LEN(TRIM(D430))=0,"",GetConfigParameterValue("Collection Site"))</f>
        <v/>
      </c>
      <c r="R430" t="str">
        <f>IF(LEN(TRIM(E430))=0, "", GetManifestComments(H430))</f>
        <v/>
      </c>
      <c r="S430" t="str">
        <f>IF(LEN(TRIM(E430))=0,"",IF(ISERROR(VLOOKUP(E430,'Manifest MDB data'!A:A,1,FALSE)),"OK","EXISTS!!!"))</f>
        <v/>
      </c>
    </row>
    <row r="431" spans="4:19" x14ac:dyDescent="0.25">
      <c r="D431" t="str">
        <f t="shared" si="26"/>
        <v/>
      </c>
      <c r="E431" t="str">
        <f t="shared" si="27"/>
        <v/>
      </c>
      <c r="F431" t="str">
        <f t="shared" si="28"/>
        <v/>
      </c>
      <c r="G431" t="str">
        <f>IF(LEN(TRIM(E431))=0, "", GetSampleTissueBySpecimenPrep(H431))</f>
        <v/>
      </c>
      <c r="H431" t="str">
        <f>IF(LEN(TRIM(E431))=0, "", GetSpecimenPrepName())</f>
        <v/>
      </c>
      <c r="I431" t="str">
        <f>IF(LEN(TRIM(E431))=0, "", GetSampleVolumeBySpecimenPrep(H431))</f>
        <v/>
      </c>
      <c r="L431" t="str">
        <f>IF(LEN(TRIM(E431))=0,"",VLOOKUP("Manifest Id",config!A:B,2,FALSE))</f>
        <v/>
      </c>
      <c r="M431" t="str">
        <f>IF(LEN(TRIM(E431))=0, "",VLOOKUP("Project Name",config!A:B,2,FALSE))</f>
        <v/>
      </c>
      <c r="N431" t="str">
        <f>IF(LEN(TRIM(E431))=0, "",VLOOKUP("Center Name",config!A:B,2,FALSE))</f>
        <v/>
      </c>
      <c r="O431" s="7" t="str">
        <f>IF(LEN(TRIM(E431))=0,"",VLOOKUP("Shipment Date",config!A:B,2,FALSE))</f>
        <v/>
      </c>
      <c r="P431" s="7" t="str">
        <f t="shared" si="25"/>
        <v/>
      </c>
      <c r="Q431" s="7" t="str">
        <f>IF(LEN(TRIM(D431))=0,"",GetConfigParameterValue("Collection Site"))</f>
        <v/>
      </c>
      <c r="R431" t="str">
        <f>IF(LEN(TRIM(E431))=0, "", GetManifestComments(H431))</f>
        <v/>
      </c>
      <c r="S431" t="str">
        <f>IF(LEN(TRIM(E431))=0,"",IF(ISERROR(VLOOKUP(E431,'Manifest MDB data'!A:A,1,FALSE)),"OK","EXISTS!!!"))</f>
        <v/>
      </c>
    </row>
    <row r="432" spans="4:19" x14ac:dyDescent="0.25">
      <c r="D432" t="str">
        <f t="shared" si="26"/>
        <v/>
      </c>
      <c r="E432" t="str">
        <f t="shared" si="27"/>
        <v/>
      </c>
      <c r="F432" t="str">
        <f t="shared" si="28"/>
        <v/>
      </c>
      <c r="G432" t="str">
        <f>IF(LEN(TRIM(E432))=0, "", GetSampleTissueBySpecimenPrep(H432))</f>
        <v/>
      </c>
      <c r="H432" t="str">
        <f>IF(LEN(TRIM(E432))=0, "", GetSpecimenPrepName())</f>
        <v/>
      </c>
      <c r="I432" t="str">
        <f>IF(LEN(TRIM(E432))=0, "", GetSampleVolumeBySpecimenPrep(H432))</f>
        <v/>
      </c>
      <c r="L432" t="str">
        <f>IF(LEN(TRIM(E432))=0,"",VLOOKUP("Manifest Id",config!A:B,2,FALSE))</f>
        <v/>
      </c>
      <c r="M432" t="str">
        <f>IF(LEN(TRIM(E432))=0, "",VLOOKUP("Project Name",config!A:B,2,FALSE))</f>
        <v/>
      </c>
      <c r="N432" t="str">
        <f>IF(LEN(TRIM(E432))=0, "",VLOOKUP("Center Name",config!A:B,2,FALSE))</f>
        <v/>
      </c>
      <c r="O432" s="7" t="str">
        <f>IF(LEN(TRIM(E432))=0,"",VLOOKUP("Shipment Date",config!A:B,2,FALSE))</f>
        <v/>
      </c>
      <c r="P432" s="7" t="str">
        <f t="shared" si="25"/>
        <v/>
      </c>
      <c r="Q432" s="7" t="str">
        <f>IF(LEN(TRIM(D432))=0,"",GetConfigParameterValue("Collection Site"))</f>
        <v/>
      </c>
      <c r="R432" t="str">
        <f>IF(LEN(TRIM(E432))=0, "", GetManifestComments(H432))</f>
        <v/>
      </c>
      <c r="S432" t="str">
        <f>IF(LEN(TRIM(E432))=0,"",IF(ISERROR(VLOOKUP(E432,'Manifest MDB data'!A:A,1,FALSE)),"OK","EXISTS!!!"))</f>
        <v/>
      </c>
    </row>
    <row r="433" spans="4:19" x14ac:dyDescent="0.25">
      <c r="D433" t="str">
        <f t="shared" si="26"/>
        <v/>
      </c>
      <c r="E433" t="str">
        <f t="shared" si="27"/>
        <v/>
      </c>
      <c r="F433" t="str">
        <f t="shared" si="28"/>
        <v/>
      </c>
      <c r="G433" t="str">
        <f>IF(LEN(TRIM(E433))=0, "", GetSampleTissueBySpecimenPrep(H433))</f>
        <v/>
      </c>
      <c r="H433" t="str">
        <f>IF(LEN(TRIM(E433))=0, "", GetSpecimenPrepName())</f>
        <v/>
      </c>
      <c r="I433" t="str">
        <f>IF(LEN(TRIM(E433))=0, "", GetSampleVolumeBySpecimenPrep(H433))</f>
        <v/>
      </c>
      <c r="L433" t="str">
        <f>IF(LEN(TRIM(E433))=0,"",VLOOKUP("Manifest Id",config!A:B,2,FALSE))</f>
        <v/>
      </c>
      <c r="M433" t="str">
        <f>IF(LEN(TRIM(E433))=0, "",VLOOKUP("Project Name",config!A:B,2,FALSE))</f>
        <v/>
      </c>
      <c r="N433" t="str">
        <f>IF(LEN(TRIM(E433))=0, "",VLOOKUP("Center Name",config!A:B,2,FALSE))</f>
        <v/>
      </c>
      <c r="O433" s="7" t="str">
        <f>IF(LEN(TRIM(E433))=0,"",VLOOKUP("Shipment Date",config!A:B,2,FALSE))</f>
        <v/>
      </c>
      <c r="P433" s="7" t="str">
        <f t="shared" si="25"/>
        <v/>
      </c>
      <c r="Q433" s="7" t="str">
        <f>IF(LEN(TRIM(D433))=0,"",GetConfigParameterValue("Collection Site"))</f>
        <v/>
      </c>
      <c r="R433" t="str">
        <f>IF(LEN(TRIM(E433))=0, "", GetManifestComments(H433))</f>
        <v/>
      </c>
      <c r="S433" t="str">
        <f>IF(LEN(TRIM(E433))=0,"",IF(ISERROR(VLOOKUP(E433,'Manifest MDB data'!A:A,1,FALSE)),"OK","EXISTS!!!"))</f>
        <v/>
      </c>
    </row>
    <row r="434" spans="4:19" x14ac:dyDescent="0.25">
      <c r="D434" t="str">
        <f t="shared" si="26"/>
        <v/>
      </c>
      <c r="E434" t="str">
        <f t="shared" si="27"/>
        <v/>
      </c>
      <c r="F434" t="str">
        <f t="shared" si="28"/>
        <v/>
      </c>
      <c r="G434" t="str">
        <f>IF(LEN(TRIM(E434))=0, "", GetSampleTissueBySpecimenPrep(H434))</f>
        <v/>
      </c>
      <c r="H434" t="str">
        <f>IF(LEN(TRIM(E434))=0, "", GetSpecimenPrepName())</f>
        <v/>
      </c>
      <c r="I434" t="str">
        <f>IF(LEN(TRIM(E434))=0, "", GetSampleVolumeBySpecimenPrep(H434))</f>
        <v/>
      </c>
      <c r="L434" t="str">
        <f>IF(LEN(TRIM(E434))=0,"",VLOOKUP("Manifest Id",config!A:B,2,FALSE))</f>
        <v/>
      </c>
      <c r="M434" t="str">
        <f>IF(LEN(TRIM(E434))=0, "",VLOOKUP("Project Name",config!A:B,2,FALSE))</f>
        <v/>
      </c>
      <c r="N434" t="str">
        <f>IF(LEN(TRIM(E434))=0, "",VLOOKUP("Center Name",config!A:B,2,FALSE))</f>
        <v/>
      </c>
      <c r="O434" s="7" t="str">
        <f>IF(LEN(TRIM(E434))=0,"",VLOOKUP("Shipment Date",config!A:B,2,FALSE))</f>
        <v/>
      </c>
      <c r="P434" s="7" t="str">
        <f t="shared" si="25"/>
        <v/>
      </c>
      <c r="Q434" s="7" t="str">
        <f>IF(LEN(TRIM(D434))=0,"",GetConfigParameterValue("Collection Site"))</f>
        <v/>
      </c>
      <c r="R434" t="str">
        <f>IF(LEN(TRIM(E434))=0, "", GetManifestComments(H434))</f>
        <v/>
      </c>
      <c r="S434" t="str">
        <f>IF(LEN(TRIM(E434))=0,"",IF(ISERROR(VLOOKUP(E434,'Manifest MDB data'!A:A,1,FALSE)),"OK","EXISTS!!!"))</f>
        <v/>
      </c>
    </row>
    <row r="435" spans="4:19" x14ac:dyDescent="0.25">
      <c r="D435" t="str">
        <f t="shared" si="26"/>
        <v/>
      </c>
      <c r="E435" t="str">
        <f t="shared" si="27"/>
        <v/>
      </c>
      <c r="F435" t="str">
        <f t="shared" si="28"/>
        <v/>
      </c>
      <c r="G435" t="str">
        <f>IF(LEN(TRIM(E435))=0, "", GetSampleTissueBySpecimenPrep(H435))</f>
        <v/>
      </c>
      <c r="H435" t="str">
        <f>IF(LEN(TRIM(E435))=0, "", GetSpecimenPrepName())</f>
        <v/>
      </c>
      <c r="I435" t="str">
        <f>IF(LEN(TRIM(E435))=0, "", GetSampleVolumeBySpecimenPrep(H435))</f>
        <v/>
      </c>
      <c r="L435" t="str">
        <f>IF(LEN(TRIM(E435))=0,"",VLOOKUP("Manifest Id",config!A:B,2,FALSE))</f>
        <v/>
      </c>
      <c r="M435" t="str">
        <f>IF(LEN(TRIM(E435))=0, "",VLOOKUP("Project Name",config!A:B,2,FALSE))</f>
        <v/>
      </c>
      <c r="N435" t="str">
        <f>IF(LEN(TRIM(E435))=0, "",VLOOKUP("Center Name",config!A:B,2,FALSE))</f>
        <v/>
      </c>
      <c r="O435" s="7" t="str">
        <f>IF(LEN(TRIM(E435))=0,"",VLOOKUP("Shipment Date",config!A:B,2,FALSE))</f>
        <v/>
      </c>
      <c r="P435" s="7" t="str">
        <f t="shared" si="25"/>
        <v/>
      </c>
      <c r="Q435" s="7" t="str">
        <f>IF(LEN(TRIM(D435))=0,"",GetConfigParameterValue("Collection Site"))</f>
        <v/>
      </c>
      <c r="R435" t="str">
        <f>IF(LEN(TRIM(E435))=0, "", GetManifestComments(H435))</f>
        <v/>
      </c>
      <c r="S435" t="str">
        <f>IF(LEN(TRIM(E435))=0,"",IF(ISERROR(VLOOKUP(E435,'Manifest MDB data'!A:A,1,FALSE)),"OK","EXISTS!!!"))</f>
        <v/>
      </c>
    </row>
    <row r="436" spans="4:19" x14ac:dyDescent="0.25">
      <c r="D436" t="str">
        <f t="shared" si="26"/>
        <v/>
      </c>
      <c r="E436" t="str">
        <f t="shared" si="27"/>
        <v/>
      </c>
      <c r="F436" t="str">
        <f t="shared" si="28"/>
        <v/>
      </c>
      <c r="G436" t="str">
        <f>IF(LEN(TRIM(E436))=0, "", GetSampleTissueBySpecimenPrep(H436))</f>
        <v/>
      </c>
      <c r="H436" t="str">
        <f>IF(LEN(TRIM(E436))=0, "", GetSpecimenPrepName())</f>
        <v/>
      </c>
      <c r="I436" t="str">
        <f>IF(LEN(TRIM(E436))=0, "", GetSampleVolumeBySpecimenPrep(H436))</f>
        <v/>
      </c>
      <c r="L436" t="str">
        <f>IF(LEN(TRIM(E436))=0,"",VLOOKUP("Manifest Id",config!A:B,2,FALSE))</f>
        <v/>
      </c>
      <c r="M436" t="str">
        <f>IF(LEN(TRIM(E436))=0, "",VLOOKUP("Project Name",config!A:B,2,FALSE))</f>
        <v/>
      </c>
      <c r="N436" t="str">
        <f>IF(LEN(TRIM(E436))=0, "",VLOOKUP("Center Name",config!A:B,2,FALSE))</f>
        <v/>
      </c>
      <c r="O436" s="7" t="str">
        <f>IF(LEN(TRIM(E436))=0,"",VLOOKUP("Shipment Date",config!A:B,2,FALSE))</f>
        <v/>
      </c>
      <c r="P436" s="7" t="str">
        <f t="shared" si="25"/>
        <v/>
      </c>
      <c r="Q436" s="7" t="str">
        <f>IF(LEN(TRIM(D436))=0,"",GetConfigParameterValue("Collection Site"))</f>
        <v/>
      </c>
      <c r="R436" t="str">
        <f>IF(LEN(TRIM(E436))=0, "", GetManifestComments(H436))</f>
        <v/>
      </c>
      <c r="S436" t="str">
        <f>IF(LEN(TRIM(E436))=0,"",IF(ISERROR(VLOOKUP(E436,'Manifest MDB data'!A:A,1,FALSE)),"OK","EXISTS!!!"))</f>
        <v/>
      </c>
    </row>
    <row r="437" spans="4:19" x14ac:dyDescent="0.25">
      <c r="D437" t="str">
        <f t="shared" si="26"/>
        <v/>
      </c>
      <c r="E437" t="str">
        <f t="shared" si="27"/>
        <v/>
      </c>
      <c r="F437" t="str">
        <f t="shared" si="28"/>
        <v/>
      </c>
      <c r="G437" t="str">
        <f>IF(LEN(TRIM(E437))=0, "", GetSampleTissueBySpecimenPrep(H437))</f>
        <v/>
      </c>
      <c r="H437" t="str">
        <f>IF(LEN(TRIM(E437))=0, "", GetSpecimenPrepName())</f>
        <v/>
      </c>
      <c r="I437" t="str">
        <f>IF(LEN(TRIM(E437))=0, "", GetSampleVolumeBySpecimenPrep(H437))</f>
        <v/>
      </c>
      <c r="L437" t="str">
        <f>IF(LEN(TRIM(E437))=0,"",VLOOKUP("Manifest Id",config!A:B,2,FALSE))</f>
        <v/>
      </c>
      <c r="M437" t="str">
        <f>IF(LEN(TRIM(E437))=0, "",VLOOKUP("Project Name",config!A:B,2,FALSE))</f>
        <v/>
      </c>
      <c r="N437" t="str">
        <f>IF(LEN(TRIM(E437))=0, "",VLOOKUP("Center Name",config!A:B,2,FALSE))</f>
        <v/>
      </c>
      <c r="O437" s="7" t="str">
        <f>IF(LEN(TRIM(E437))=0,"",VLOOKUP("Shipment Date",config!A:B,2,FALSE))</f>
        <v/>
      </c>
      <c r="P437" s="7" t="str">
        <f t="shared" si="25"/>
        <v/>
      </c>
      <c r="Q437" s="7" t="str">
        <f>IF(LEN(TRIM(D437))=0,"",GetConfigParameterValue("Collection Site"))</f>
        <v/>
      </c>
      <c r="R437" t="str">
        <f>IF(LEN(TRIM(E437))=0, "", GetManifestComments(H437))</f>
        <v/>
      </c>
      <c r="S437" t="str">
        <f>IF(LEN(TRIM(E437))=0,"",IF(ISERROR(VLOOKUP(E437,'Manifest MDB data'!A:A,1,FALSE)),"OK","EXISTS!!!"))</f>
        <v/>
      </c>
    </row>
    <row r="438" spans="4:19" x14ac:dyDescent="0.25">
      <c r="D438" t="str">
        <f t="shared" si="26"/>
        <v/>
      </c>
      <c r="E438" t="str">
        <f t="shared" si="27"/>
        <v/>
      </c>
      <c r="F438" t="str">
        <f t="shared" si="28"/>
        <v/>
      </c>
      <c r="G438" t="str">
        <f>IF(LEN(TRIM(E438))=0, "", GetSampleTissueBySpecimenPrep(H438))</f>
        <v/>
      </c>
      <c r="H438" t="str">
        <f>IF(LEN(TRIM(E438))=0, "", GetSpecimenPrepName())</f>
        <v/>
      </c>
      <c r="I438" t="str">
        <f>IF(LEN(TRIM(E438))=0, "", GetSampleVolumeBySpecimenPrep(H438))</f>
        <v/>
      </c>
      <c r="L438" t="str">
        <f>IF(LEN(TRIM(E438))=0,"",VLOOKUP("Manifest Id",config!A:B,2,FALSE))</f>
        <v/>
      </c>
      <c r="M438" t="str">
        <f>IF(LEN(TRIM(E438))=0, "",VLOOKUP("Project Name",config!A:B,2,FALSE))</f>
        <v/>
      </c>
      <c r="N438" t="str">
        <f>IF(LEN(TRIM(E438))=0, "",VLOOKUP("Center Name",config!A:B,2,FALSE))</f>
        <v/>
      </c>
      <c r="O438" s="7" t="str">
        <f>IF(LEN(TRIM(E438))=0,"",VLOOKUP("Shipment Date",config!A:B,2,FALSE))</f>
        <v/>
      </c>
      <c r="P438" s="7" t="str">
        <f t="shared" si="25"/>
        <v/>
      </c>
      <c r="Q438" s="7" t="str">
        <f>IF(LEN(TRIM(D438))=0,"",GetConfigParameterValue("Collection Site"))</f>
        <v/>
      </c>
      <c r="R438" t="str">
        <f>IF(LEN(TRIM(E438))=0, "", GetManifestComments(H438))</f>
        <v/>
      </c>
      <c r="S438" t="str">
        <f>IF(LEN(TRIM(E438))=0,"",IF(ISERROR(VLOOKUP(E438,'Manifest MDB data'!A:A,1,FALSE)),"OK","EXISTS!!!"))</f>
        <v/>
      </c>
    </row>
    <row r="439" spans="4:19" x14ac:dyDescent="0.25">
      <c r="D439" t="str">
        <f t="shared" si="26"/>
        <v/>
      </c>
      <c r="E439" t="str">
        <f t="shared" si="27"/>
        <v/>
      </c>
      <c r="F439" t="str">
        <f t="shared" si="28"/>
        <v/>
      </c>
      <c r="G439" t="str">
        <f>IF(LEN(TRIM(E439))=0, "", GetSampleTissueBySpecimenPrep(H439))</f>
        <v/>
      </c>
      <c r="H439" t="str">
        <f>IF(LEN(TRIM(E439))=0, "", GetSpecimenPrepName())</f>
        <v/>
      </c>
      <c r="I439" t="str">
        <f>IF(LEN(TRIM(E439))=0, "", GetSampleVolumeBySpecimenPrep(H439))</f>
        <v/>
      </c>
      <c r="L439" t="str">
        <f>IF(LEN(TRIM(E439))=0,"",VLOOKUP("Manifest Id",config!A:B,2,FALSE))</f>
        <v/>
      </c>
      <c r="M439" t="str">
        <f>IF(LEN(TRIM(E439))=0, "",VLOOKUP("Project Name",config!A:B,2,FALSE))</f>
        <v/>
      </c>
      <c r="N439" t="str">
        <f>IF(LEN(TRIM(E439))=0, "",VLOOKUP("Center Name",config!A:B,2,FALSE))</f>
        <v/>
      </c>
      <c r="O439" s="7" t="str">
        <f>IF(LEN(TRIM(E439))=0,"",VLOOKUP("Shipment Date",config!A:B,2,FALSE))</f>
        <v/>
      </c>
      <c r="P439" s="7" t="str">
        <f t="shared" si="25"/>
        <v/>
      </c>
      <c r="Q439" s="7" t="str">
        <f>IF(LEN(TRIM(D439))=0,"",GetConfigParameterValue("Collection Site"))</f>
        <v/>
      </c>
      <c r="R439" t="str">
        <f>IF(LEN(TRIM(E439))=0, "", GetManifestComments(H439))</f>
        <v/>
      </c>
      <c r="S439" t="str">
        <f>IF(LEN(TRIM(E439))=0,"",IF(ISERROR(VLOOKUP(E439,'Manifest MDB data'!A:A,1,FALSE)),"OK","EXISTS!!!"))</f>
        <v/>
      </c>
    </row>
    <row r="440" spans="4:19" x14ac:dyDescent="0.25">
      <c r="D440" t="str">
        <f t="shared" si="26"/>
        <v/>
      </c>
      <c r="E440" t="str">
        <f t="shared" si="27"/>
        <v/>
      </c>
      <c r="F440" t="str">
        <f t="shared" si="28"/>
        <v/>
      </c>
      <c r="G440" t="str">
        <f>IF(LEN(TRIM(E440))=0, "", GetSampleTissueBySpecimenPrep(H440))</f>
        <v/>
      </c>
      <c r="H440" t="str">
        <f>IF(LEN(TRIM(E440))=0, "", GetSpecimenPrepName())</f>
        <v/>
      </c>
      <c r="I440" t="str">
        <f>IF(LEN(TRIM(E440))=0, "", GetSampleVolumeBySpecimenPrep(H440))</f>
        <v/>
      </c>
      <c r="L440" t="str">
        <f>IF(LEN(TRIM(E440))=0,"",VLOOKUP("Manifest Id",config!A:B,2,FALSE))</f>
        <v/>
      </c>
      <c r="M440" t="str">
        <f>IF(LEN(TRIM(E440))=0, "",VLOOKUP("Project Name",config!A:B,2,FALSE))</f>
        <v/>
      </c>
      <c r="N440" t="str">
        <f>IF(LEN(TRIM(E440))=0, "",VLOOKUP("Center Name",config!A:B,2,FALSE))</f>
        <v/>
      </c>
      <c r="O440" s="7" t="str">
        <f>IF(LEN(TRIM(E440))=0,"",VLOOKUP("Shipment Date",config!A:B,2,FALSE))</f>
        <v/>
      </c>
      <c r="P440" s="7" t="str">
        <f t="shared" si="25"/>
        <v/>
      </c>
      <c r="Q440" s="7" t="str">
        <f>IF(LEN(TRIM(D440))=0,"",GetConfigParameterValue("Collection Site"))</f>
        <v/>
      </c>
      <c r="R440" t="str">
        <f>IF(LEN(TRIM(E440))=0, "", GetManifestComments(H440))</f>
        <v/>
      </c>
      <c r="S440" t="str">
        <f>IF(LEN(TRIM(E440))=0,"",IF(ISERROR(VLOOKUP(E440,'Manifest MDB data'!A:A,1,FALSE)),"OK","EXISTS!!!"))</f>
        <v/>
      </c>
    </row>
    <row r="441" spans="4:19" x14ac:dyDescent="0.25">
      <c r="D441" t="str">
        <f t="shared" si="26"/>
        <v/>
      </c>
      <c r="E441" t="str">
        <f t="shared" si="27"/>
        <v/>
      </c>
      <c r="F441" t="str">
        <f t="shared" si="28"/>
        <v/>
      </c>
      <c r="G441" t="str">
        <f>IF(LEN(TRIM(E441))=0, "", GetSampleTissueBySpecimenPrep(H441))</f>
        <v/>
      </c>
      <c r="H441" t="str">
        <f>IF(LEN(TRIM(E441))=0, "", GetSpecimenPrepName())</f>
        <v/>
      </c>
      <c r="I441" t="str">
        <f>IF(LEN(TRIM(E441))=0, "", GetSampleVolumeBySpecimenPrep(H441))</f>
        <v/>
      </c>
      <c r="L441" t="str">
        <f>IF(LEN(TRIM(E441))=0,"",VLOOKUP("Manifest Id",config!A:B,2,FALSE))</f>
        <v/>
      </c>
      <c r="M441" t="str">
        <f>IF(LEN(TRIM(E441))=0, "",VLOOKUP("Project Name",config!A:B,2,FALSE))</f>
        <v/>
      </c>
      <c r="N441" t="str">
        <f>IF(LEN(TRIM(E441))=0, "",VLOOKUP("Center Name",config!A:B,2,FALSE))</f>
        <v/>
      </c>
      <c r="O441" s="7" t="str">
        <f>IF(LEN(TRIM(E441))=0,"",VLOOKUP("Shipment Date",config!A:B,2,FALSE))</f>
        <v/>
      </c>
      <c r="P441" s="7" t="str">
        <f t="shared" si="25"/>
        <v/>
      </c>
      <c r="Q441" s="7" t="str">
        <f>IF(LEN(TRIM(D441))=0,"",GetConfigParameterValue("Collection Site"))</f>
        <v/>
      </c>
      <c r="R441" t="str">
        <f>IF(LEN(TRIM(E441))=0, "", GetManifestComments(H441))</f>
        <v/>
      </c>
      <c r="S441" t="str">
        <f>IF(LEN(TRIM(E441))=0,"",IF(ISERROR(VLOOKUP(E441,'Manifest MDB data'!A:A,1,FALSE)),"OK","EXISTS!!!"))</f>
        <v/>
      </c>
    </row>
    <row r="442" spans="4:19" x14ac:dyDescent="0.25">
      <c r="D442" t="str">
        <f t="shared" si="26"/>
        <v/>
      </c>
      <c r="E442" t="str">
        <f t="shared" si="27"/>
        <v/>
      </c>
      <c r="F442" t="str">
        <f t="shared" si="28"/>
        <v/>
      </c>
      <c r="G442" t="str">
        <f>IF(LEN(TRIM(E442))=0, "", GetSampleTissueBySpecimenPrep(H442))</f>
        <v/>
      </c>
      <c r="H442" t="str">
        <f>IF(LEN(TRIM(E442))=0, "", GetSpecimenPrepName())</f>
        <v/>
      </c>
      <c r="I442" t="str">
        <f>IF(LEN(TRIM(E442))=0, "", GetSampleVolumeBySpecimenPrep(H442))</f>
        <v/>
      </c>
      <c r="L442" t="str">
        <f>IF(LEN(TRIM(E442))=0,"",VLOOKUP("Manifest Id",config!A:B,2,FALSE))</f>
        <v/>
      </c>
      <c r="M442" t="str">
        <f>IF(LEN(TRIM(E442))=0, "",VLOOKUP("Project Name",config!A:B,2,FALSE))</f>
        <v/>
      </c>
      <c r="N442" t="str">
        <f>IF(LEN(TRIM(E442))=0, "",VLOOKUP("Center Name",config!A:B,2,FALSE))</f>
        <v/>
      </c>
      <c r="O442" s="7" t="str">
        <f>IF(LEN(TRIM(E442))=0,"",VLOOKUP("Shipment Date",config!A:B,2,FALSE))</f>
        <v/>
      </c>
      <c r="P442" s="7" t="str">
        <f t="shared" si="25"/>
        <v/>
      </c>
      <c r="Q442" s="7" t="str">
        <f>IF(LEN(TRIM(D442))=0,"",GetConfigParameterValue("Collection Site"))</f>
        <v/>
      </c>
      <c r="R442" t="str">
        <f>IF(LEN(TRIM(E442))=0, "", GetManifestComments(H442))</f>
        <v/>
      </c>
      <c r="S442" t="str">
        <f>IF(LEN(TRIM(E442))=0,"",IF(ISERROR(VLOOKUP(E442,'Manifest MDB data'!A:A,1,FALSE)),"OK","EXISTS!!!"))</f>
        <v/>
      </c>
    </row>
    <row r="443" spans="4:19" x14ac:dyDescent="0.25">
      <c r="D443" t="str">
        <f t="shared" si="26"/>
        <v/>
      </c>
      <c r="E443" t="str">
        <f t="shared" si="27"/>
        <v/>
      </c>
      <c r="F443" t="str">
        <f t="shared" si="28"/>
        <v/>
      </c>
      <c r="G443" t="str">
        <f>IF(LEN(TRIM(E443))=0, "", GetSampleTissueBySpecimenPrep(H443))</f>
        <v/>
      </c>
      <c r="H443" t="str">
        <f>IF(LEN(TRIM(E443))=0, "", GetSpecimenPrepName())</f>
        <v/>
      </c>
      <c r="I443" t="str">
        <f>IF(LEN(TRIM(E443))=0, "", GetSampleVolumeBySpecimenPrep(H443))</f>
        <v/>
      </c>
      <c r="L443" t="str">
        <f>IF(LEN(TRIM(E443))=0,"",VLOOKUP("Manifest Id",config!A:B,2,FALSE))</f>
        <v/>
      </c>
      <c r="M443" t="str">
        <f>IF(LEN(TRIM(E443))=0, "",VLOOKUP("Project Name",config!A:B,2,FALSE))</f>
        <v/>
      </c>
      <c r="N443" t="str">
        <f>IF(LEN(TRIM(E443))=0, "",VLOOKUP("Center Name",config!A:B,2,FALSE))</f>
        <v/>
      </c>
      <c r="O443" s="7" t="str">
        <f>IF(LEN(TRIM(E443))=0,"",VLOOKUP("Shipment Date",config!A:B,2,FALSE))</f>
        <v/>
      </c>
      <c r="P443" s="7" t="str">
        <f t="shared" si="25"/>
        <v/>
      </c>
      <c r="Q443" s="7" t="str">
        <f>IF(LEN(TRIM(D443))=0,"",GetConfigParameterValue("Collection Site"))</f>
        <v/>
      </c>
      <c r="R443" t="str">
        <f>IF(LEN(TRIM(E443))=0, "", GetManifestComments(H443))</f>
        <v/>
      </c>
      <c r="S443" t="str">
        <f>IF(LEN(TRIM(E443))=0,"",IF(ISERROR(VLOOKUP(E443,'Manifest MDB data'!A:A,1,FALSE)),"OK","EXISTS!!!"))</f>
        <v/>
      </c>
    </row>
    <row r="444" spans="4:19" x14ac:dyDescent="0.25">
      <c r="D444" t="str">
        <f t="shared" si="26"/>
        <v/>
      </c>
      <c r="E444" t="str">
        <f t="shared" si="27"/>
        <v/>
      </c>
      <c r="F444" t="str">
        <f t="shared" si="28"/>
        <v/>
      </c>
      <c r="G444" t="str">
        <f>IF(LEN(TRIM(E444))=0, "", GetSampleTissueBySpecimenPrep(H444))</f>
        <v/>
      </c>
      <c r="H444" t="str">
        <f>IF(LEN(TRIM(E444))=0, "", GetSpecimenPrepName())</f>
        <v/>
      </c>
      <c r="I444" t="str">
        <f>IF(LEN(TRIM(E444))=0, "", GetSampleVolumeBySpecimenPrep(H444))</f>
        <v/>
      </c>
      <c r="L444" t="str">
        <f>IF(LEN(TRIM(E444))=0,"",VLOOKUP("Manifest Id",config!A:B,2,FALSE))</f>
        <v/>
      </c>
      <c r="M444" t="str">
        <f>IF(LEN(TRIM(E444))=0, "",VLOOKUP("Project Name",config!A:B,2,FALSE))</f>
        <v/>
      </c>
      <c r="N444" t="str">
        <f>IF(LEN(TRIM(E444))=0, "",VLOOKUP("Center Name",config!A:B,2,FALSE))</f>
        <v/>
      </c>
      <c r="O444" s="7" t="str">
        <f>IF(LEN(TRIM(E444))=0,"",VLOOKUP("Shipment Date",config!A:B,2,FALSE))</f>
        <v/>
      </c>
      <c r="P444" s="7" t="str">
        <f t="shared" si="25"/>
        <v/>
      </c>
      <c r="Q444" s="7" t="str">
        <f>IF(LEN(TRIM(D444))=0,"",GetConfigParameterValue("Collection Site"))</f>
        <v/>
      </c>
      <c r="R444" t="str">
        <f>IF(LEN(TRIM(E444))=0, "", GetManifestComments(H444))</f>
        <v/>
      </c>
      <c r="S444" t="str">
        <f>IF(LEN(TRIM(E444))=0,"",IF(ISERROR(VLOOKUP(E444,'Manifest MDB data'!A:A,1,FALSE)),"OK","EXISTS!!!"))</f>
        <v/>
      </c>
    </row>
    <row r="445" spans="4:19" x14ac:dyDescent="0.25">
      <c r="D445" t="str">
        <f t="shared" si="26"/>
        <v/>
      </c>
      <c r="E445" t="str">
        <f t="shared" si="27"/>
        <v/>
      </c>
      <c r="F445" t="str">
        <f t="shared" si="28"/>
        <v/>
      </c>
      <c r="G445" t="str">
        <f>IF(LEN(TRIM(E445))=0, "", GetSampleTissueBySpecimenPrep(H445))</f>
        <v/>
      </c>
      <c r="H445" t="str">
        <f>IF(LEN(TRIM(E445))=0, "", GetSpecimenPrepName())</f>
        <v/>
      </c>
      <c r="I445" t="str">
        <f>IF(LEN(TRIM(E445))=0, "", GetSampleVolumeBySpecimenPrep(H445))</f>
        <v/>
      </c>
      <c r="L445" t="str">
        <f>IF(LEN(TRIM(E445))=0,"",VLOOKUP("Manifest Id",config!A:B,2,FALSE))</f>
        <v/>
      </c>
      <c r="M445" t="str">
        <f>IF(LEN(TRIM(E445))=0, "",VLOOKUP("Project Name",config!A:B,2,FALSE))</f>
        <v/>
      </c>
      <c r="N445" t="str">
        <f>IF(LEN(TRIM(E445))=0, "",VLOOKUP("Center Name",config!A:B,2,FALSE))</f>
        <v/>
      </c>
      <c r="O445" s="7" t="str">
        <f>IF(LEN(TRIM(E445))=0,"",VLOOKUP("Shipment Date",config!A:B,2,FALSE))</f>
        <v/>
      </c>
      <c r="P445" s="7" t="str">
        <f t="shared" si="25"/>
        <v/>
      </c>
      <c r="Q445" s="7" t="str">
        <f>IF(LEN(TRIM(D445))=0,"",GetConfigParameterValue("Collection Site"))</f>
        <v/>
      </c>
      <c r="R445" t="str">
        <f>IF(LEN(TRIM(E445))=0, "", GetManifestComments(H445))</f>
        <v/>
      </c>
      <c r="S445" t="str">
        <f>IF(LEN(TRIM(E445))=0,"",IF(ISERROR(VLOOKUP(E445,'Manifest MDB data'!A:A,1,FALSE)),"OK","EXISTS!!!"))</f>
        <v/>
      </c>
    </row>
    <row r="446" spans="4:19" x14ac:dyDescent="0.25">
      <c r="D446" t="str">
        <f t="shared" si="26"/>
        <v/>
      </c>
      <c r="E446" t="str">
        <f t="shared" si="27"/>
        <v/>
      </c>
      <c r="F446" t="str">
        <f t="shared" si="28"/>
        <v/>
      </c>
      <c r="G446" t="str">
        <f>IF(LEN(TRIM(E446))=0, "", GetSampleTissueBySpecimenPrep(H446))</f>
        <v/>
      </c>
      <c r="H446" t="str">
        <f>IF(LEN(TRIM(E446))=0, "", GetSpecimenPrepName())</f>
        <v/>
      </c>
      <c r="I446" t="str">
        <f>IF(LEN(TRIM(E446))=0, "", GetSampleVolumeBySpecimenPrep(H446))</f>
        <v/>
      </c>
      <c r="L446" t="str">
        <f>IF(LEN(TRIM(E446))=0,"",VLOOKUP("Manifest Id",config!A:B,2,FALSE))</f>
        <v/>
      </c>
      <c r="M446" t="str">
        <f>IF(LEN(TRIM(E446))=0, "",VLOOKUP("Project Name",config!A:B,2,FALSE))</f>
        <v/>
      </c>
      <c r="N446" t="str">
        <f>IF(LEN(TRIM(E446))=0, "",VLOOKUP("Center Name",config!A:B,2,FALSE))</f>
        <v/>
      </c>
      <c r="O446" s="7" t="str">
        <f>IF(LEN(TRIM(E446))=0,"",VLOOKUP("Shipment Date",config!A:B,2,FALSE))</f>
        <v/>
      </c>
      <c r="P446" s="7" t="str">
        <f t="shared" si="25"/>
        <v/>
      </c>
      <c r="Q446" s="7" t="str">
        <f>IF(LEN(TRIM(D446))=0,"",GetConfigParameterValue("Collection Site"))</f>
        <v/>
      </c>
      <c r="R446" t="str">
        <f>IF(LEN(TRIM(E446))=0, "", GetManifestComments(H446))</f>
        <v/>
      </c>
      <c r="S446" t="str">
        <f>IF(LEN(TRIM(E446))=0,"",IF(ISERROR(VLOOKUP(E446,'Manifest MDB data'!A:A,1,FALSE)),"OK","EXISTS!!!"))</f>
        <v/>
      </c>
    </row>
    <row r="447" spans="4:19" x14ac:dyDescent="0.25">
      <c r="D447" t="str">
        <f t="shared" si="26"/>
        <v/>
      </c>
      <c r="E447" t="str">
        <f t="shared" si="27"/>
        <v/>
      </c>
      <c r="F447" t="str">
        <f t="shared" si="28"/>
        <v/>
      </c>
      <c r="G447" t="str">
        <f>IF(LEN(TRIM(E447))=0, "", GetSampleTissueBySpecimenPrep(H447))</f>
        <v/>
      </c>
      <c r="H447" t="str">
        <f>IF(LEN(TRIM(E447))=0, "", GetSpecimenPrepName())</f>
        <v/>
      </c>
      <c r="I447" t="str">
        <f>IF(LEN(TRIM(E447))=0, "", GetSampleVolumeBySpecimenPrep(H447))</f>
        <v/>
      </c>
      <c r="L447" t="str">
        <f>IF(LEN(TRIM(E447))=0,"",VLOOKUP("Manifest Id",config!A:B,2,FALSE))</f>
        <v/>
      </c>
      <c r="M447" t="str">
        <f>IF(LEN(TRIM(E447))=0, "",VLOOKUP("Project Name",config!A:B,2,FALSE))</f>
        <v/>
      </c>
      <c r="N447" t="str">
        <f>IF(LEN(TRIM(E447))=0, "",VLOOKUP("Center Name",config!A:B,2,FALSE))</f>
        <v/>
      </c>
      <c r="O447" s="7" t="str">
        <f>IF(LEN(TRIM(E447))=0,"",VLOOKUP("Shipment Date",config!A:B,2,FALSE))</f>
        <v/>
      </c>
      <c r="P447" s="7" t="str">
        <f t="shared" si="25"/>
        <v/>
      </c>
      <c r="Q447" s="7" t="str">
        <f>IF(LEN(TRIM(D447))=0,"",GetConfigParameterValue("Collection Site"))</f>
        <v/>
      </c>
      <c r="R447" t="str">
        <f>IF(LEN(TRIM(E447))=0, "", GetManifestComments(H447))</f>
        <v/>
      </c>
      <c r="S447" t="str">
        <f>IF(LEN(TRIM(E447))=0,"",IF(ISERROR(VLOOKUP(E447,'Manifest MDB data'!A:A,1,FALSE)),"OK","EXISTS!!!"))</f>
        <v/>
      </c>
    </row>
    <row r="448" spans="4:19" x14ac:dyDescent="0.25">
      <c r="D448" t="str">
        <f t="shared" si="26"/>
        <v/>
      </c>
      <c r="E448" t="str">
        <f t="shared" si="27"/>
        <v/>
      </c>
      <c r="F448" t="str">
        <f t="shared" si="28"/>
        <v/>
      </c>
      <c r="G448" t="str">
        <f>IF(LEN(TRIM(E448))=0, "", GetSampleTissueBySpecimenPrep(H448))</f>
        <v/>
      </c>
      <c r="H448" t="str">
        <f>IF(LEN(TRIM(E448))=0, "", GetSpecimenPrepName())</f>
        <v/>
      </c>
      <c r="I448" t="str">
        <f>IF(LEN(TRIM(E448))=0, "", GetSampleVolumeBySpecimenPrep(H448))</f>
        <v/>
      </c>
      <c r="L448" t="str">
        <f>IF(LEN(TRIM(E448))=0,"",VLOOKUP("Manifest Id",config!A:B,2,FALSE))</f>
        <v/>
      </c>
      <c r="M448" t="str">
        <f>IF(LEN(TRIM(E448))=0, "",VLOOKUP("Project Name",config!A:B,2,FALSE))</f>
        <v/>
      </c>
      <c r="N448" t="str">
        <f>IF(LEN(TRIM(E448))=0, "",VLOOKUP("Center Name",config!A:B,2,FALSE))</f>
        <v/>
      </c>
      <c r="O448" s="7" t="str">
        <f>IF(LEN(TRIM(E448))=0,"",VLOOKUP("Shipment Date",config!A:B,2,FALSE))</f>
        <v/>
      </c>
      <c r="P448" s="7" t="str">
        <f t="shared" si="25"/>
        <v/>
      </c>
      <c r="Q448" s="7" t="str">
        <f>IF(LEN(TRIM(D448))=0,"",GetConfigParameterValue("Collection Site"))</f>
        <v/>
      </c>
      <c r="R448" t="str">
        <f>IF(LEN(TRIM(E448))=0, "", GetManifestComments(H448))</f>
        <v/>
      </c>
      <c r="S448" t="str">
        <f>IF(LEN(TRIM(E448))=0,"",IF(ISERROR(VLOOKUP(E448,'Manifest MDB data'!A:A,1,FALSE)),"OK","EXISTS!!!"))</f>
        <v/>
      </c>
    </row>
    <row r="449" spans="4:19" x14ac:dyDescent="0.25">
      <c r="D449" t="str">
        <f t="shared" si="26"/>
        <v/>
      </c>
      <c r="E449" t="str">
        <f t="shared" si="27"/>
        <v/>
      </c>
      <c r="F449" t="str">
        <f t="shared" si="28"/>
        <v/>
      </c>
      <c r="G449" t="str">
        <f>IF(LEN(TRIM(E449))=0, "", GetSampleTissueBySpecimenPrep(H449))</f>
        <v/>
      </c>
      <c r="H449" t="str">
        <f>IF(LEN(TRIM(E449))=0, "", GetSpecimenPrepName())</f>
        <v/>
      </c>
      <c r="I449" t="str">
        <f>IF(LEN(TRIM(E449))=0, "", GetSampleVolumeBySpecimenPrep(H449))</f>
        <v/>
      </c>
      <c r="L449" t="str">
        <f>IF(LEN(TRIM(E449))=0,"",VLOOKUP("Manifest Id",config!A:B,2,FALSE))</f>
        <v/>
      </c>
      <c r="M449" t="str">
        <f>IF(LEN(TRIM(E449))=0, "",VLOOKUP("Project Name",config!A:B,2,FALSE))</f>
        <v/>
      </c>
      <c r="N449" t="str">
        <f>IF(LEN(TRIM(E449))=0, "",VLOOKUP("Center Name",config!A:B,2,FALSE))</f>
        <v/>
      </c>
      <c r="O449" s="7" t="str">
        <f>IF(LEN(TRIM(E449))=0,"",VLOOKUP("Shipment Date",config!A:B,2,FALSE))</f>
        <v/>
      </c>
      <c r="P449" s="7" t="str">
        <f t="shared" si="25"/>
        <v/>
      </c>
      <c r="Q449" s="7" t="str">
        <f>IF(LEN(TRIM(D449))=0,"",GetConfigParameterValue("Collection Site"))</f>
        <v/>
      </c>
      <c r="R449" t="str">
        <f>IF(LEN(TRIM(E449))=0, "", GetManifestComments(H449))</f>
        <v/>
      </c>
      <c r="S449" t="str">
        <f>IF(LEN(TRIM(E449))=0,"",IF(ISERROR(VLOOKUP(E449,'Manifest MDB data'!A:A,1,FALSE)),"OK","EXISTS!!!"))</f>
        <v/>
      </c>
    </row>
    <row r="450" spans="4:19" x14ac:dyDescent="0.25">
      <c r="D450" t="str">
        <f t="shared" si="26"/>
        <v/>
      </c>
      <c r="E450" t="str">
        <f t="shared" si="27"/>
        <v/>
      </c>
      <c r="F450" t="str">
        <f t="shared" si="28"/>
        <v/>
      </c>
      <c r="G450" t="str">
        <f>IF(LEN(TRIM(E450))=0, "", GetSampleTissueBySpecimenPrep(H450))</f>
        <v/>
      </c>
      <c r="H450" t="str">
        <f>IF(LEN(TRIM(E450))=0, "", GetSpecimenPrepName())</f>
        <v/>
      </c>
      <c r="I450" t="str">
        <f>IF(LEN(TRIM(E450))=0, "", GetSampleVolumeBySpecimenPrep(H450))</f>
        <v/>
      </c>
      <c r="L450" t="str">
        <f>IF(LEN(TRIM(E450))=0,"",VLOOKUP("Manifest Id",config!A:B,2,FALSE))</f>
        <v/>
      </c>
      <c r="M450" t="str">
        <f>IF(LEN(TRIM(E450))=0, "",VLOOKUP("Project Name",config!A:B,2,FALSE))</f>
        <v/>
      </c>
      <c r="N450" t="str">
        <f>IF(LEN(TRIM(E450))=0, "",VLOOKUP("Center Name",config!A:B,2,FALSE))</f>
        <v/>
      </c>
      <c r="O450" s="7" t="str">
        <f>IF(LEN(TRIM(E450))=0,"",VLOOKUP("Shipment Date",config!A:B,2,FALSE))</f>
        <v/>
      </c>
      <c r="P450" s="7" t="str">
        <f t="shared" ref="P450:P513" si="29">getColumnValueBySubjectID("Visit Date", RIGHT(LEFT(D450,7),4))</f>
        <v/>
      </c>
      <c r="Q450" s="7" t="str">
        <f>IF(LEN(TRIM(D450))=0,"",GetConfigParameterValue("Collection Site"))</f>
        <v/>
      </c>
      <c r="R450" t="str">
        <f>IF(LEN(TRIM(E450))=0, "", GetManifestComments(H450))</f>
        <v/>
      </c>
      <c r="S450" t="str">
        <f>IF(LEN(TRIM(E450))=0,"",IF(ISERROR(VLOOKUP(E450,'Manifest MDB data'!A:A,1,FALSE)),"OK","EXISTS!!!"))</f>
        <v/>
      </c>
    </row>
    <row r="451" spans="4:19" x14ac:dyDescent="0.25">
      <c r="D451" t="str">
        <f t="shared" ref="D451:D514" si="30">GetSampleId((ROW()))</f>
        <v/>
      </c>
      <c r="E451" t="str">
        <f t="shared" ref="E451:E514" si="31">GetAliquotId((ROW()))</f>
        <v/>
      </c>
      <c r="F451" t="str">
        <f t="shared" ref="F451:F501" si="32">IF(LEN(TRIM(E451))=0, "", "Human")</f>
        <v/>
      </c>
      <c r="G451" t="str">
        <f>IF(LEN(TRIM(E451))=0, "", GetSampleTissueBySpecimenPrep(H451))</f>
        <v/>
      </c>
      <c r="H451" t="str">
        <f>IF(LEN(TRIM(E451))=0, "", GetSpecimenPrepName())</f>
        <v/>
      </c>
      <c r="I451" t="str">
        <f>IF(LEN(TRIM(E451))=0, "", GetSampleVolumeBySpecimenPrep(H451))</f>
        <v/>
      </c>
      <c r="L451" t="str">
        <f>IF(LEN(TRIM(E451))=0,"",VLOOKUP("Manifest Id",config!A:B,2,FALSE))</f>
        <v/>
      </c>
      <c r="M451" t="str">
        <f>IF(LEN(TRIM(E451))=0, "",VLOOKUP("Project Name",config!A:B,2,FALSE))</f>
        <v/>
      </c>
      <c r="N451" t="str">
        <f>IF(LEN(TRIM(E451))=0, "",VLOOKUP("Center Name",config!A:B,2,FALSE))</f>
        <v/>
      </c>
      <c r="O451" s="7" t="str">
        <f>IF(LEN(TRIM(E451))=0,"",VLOOKUP("Shipment Date",config!A:B,2,FALSE))</f>
        <v/>
      </c>
      <c r="P451" s="7" t="str">
        <f t="shared" si="29"/>
        <v/>
      </c>
      <c r="Q451" s="7" t="str">
        <f>IF(LEN(TRIM(D451))=0,"",GetConfigParameterValue("Collection Site"))</f>
        <v/>
      </c>
      <c r="R451" t="str">
        <f>IF(LEN(TRIM(E451))=0, "", GetManifestComments(H451))</f>
        <v/>
      </c>
      <c r="S451" t="str">
        <f>IF(LEN(TRIM(E451))=0,"",IF(ISERROR(VLOOKUP(E451,'Manifest MDB data'!A:A,1,FALSE)),"OK","EXISTS!!!"))</f>
        <v/>
      </c>
    </row>
    <row r="452" spans="4:19" x14ac:dyDescent="0.25">
      <c r="D452" t="str">
        <f t="shared" si="30"/>
        <v/>
      </c>
      <c r="E452" t="str">
        <f t="shared" si="31"/>
        <v/>
      </c>
      <c r="F452" t="str">
        <f t="shared" si="32"/>
        <v/>
      </c>
      <c r="G452" t="str">
        <f>IF(LEN(TRIM(E452))=0, "", GetSampleTissueBySpecimenPrep(H452))</f>
        <v/>
      </c>
      <c r="H452" t="str">
        <f>IF(LEN(TRIM(E452))=0, "", GetSpecimenPrepName())</f>
        <v/>
      </c>
      <c r="I452" t="str">
        <f>IF(LEN(TRIM(E452))=0, "", GetSampleVolumeBySpecimenPrep(H452))</f>
        <v/>
      </c>
      <c r="L452" t="str">
        <f>IF(LEN(TRIM(E452))=0,"",VLOOKUP("Manifest Id",config!A:B,2,FALSE))</f>
        <v/>
      </c>
      <c r="M452" t="str">
        <f>IF(LEN(TRIM(E452))=0, "",VLOOKUP("Project Name",config!A:B,2,FALSE))</f>
        <v/>
      </c>
      <c r="N452" t="str">
        <f>IF(LEN(TRIM(E452))=0, "",VLOOKUP("Center Name",config!A:B,2,FALSE))</f>
        <v/>
      </c>
      <c r="O452" s="7" t="str">
        <f>IF(LEN(TRIM(E452))=0,"",VLOOKUP("Shipment Date",config!A:B,2,FALSE))</f>
        <v/>
      </c>
      <c r="P452" s="7" t="str">
        <f t="shared" si="29"/>
        <v/>
      </c>
      <c r="Q452" s="7" t="str">
        <f>IF(LEN(TRIM(D452))=0,"",GetConfigParameterValue("Collection Site"))</f>
        <v/>
      </c>
      <c r="R452" t="str">
        <f>IF(LEN(TRIM(E452))=0, "", GetManifestComments(H452))</f>
        <v/>
      </c>
      <c r="S452" t="str">
        <f>IF(LEN(TRIM(E452))=0,"",IF(ISERROR(VLOOKUP(E452,'Manifest MDB data'!A:A,1,FALSE)),"OK","EXISTS!!!"))</f>
        <v/>
      </c>
    </row>
    <row r="453" spans="4:19" x14ac:dyDescent="0.25">
      <c r="D453" t="str">
        <f t="shared" si="30"/>
        <v/>
      </c>
      <c r="E453" t="str">
        <f t="shared" si="31"/>
        <v/>
      </c>
      <c r="F453" t="str">
        <f t="shared" si="32"/>
        <v/>
      </c>
      <c r="G453" t="str">
        <f>IF(LEN(TRIM(E453))=0, "", GetSampleTissueBySpecimenPrep(H453))</f>
        <v/>
      </c>
      <c r="H453" t="str">
        <f>IF(LEN(TRIM(E453))=0, "", GetSpecimenPrepName())</f>
        <v/>
      </c>
      <c r="I453" t="str">
        <f>IF(LEN(TRIM(E453))=0, "", GetSampleVolumeBySpecimenPrep(H453))</f>
        <v/>
      </c>
      <c r="L453" t="str">
        <f>IF(LEN(TRIM(E453))=0,"",VLOOKUP("Manifest Id",config!A:B,2,FALSE))</f>
        <v/>
      </c>
      <c r="M453" t="str">
        <f>IF(LEN(TRIM(E453))=0, "",VLOOKUP("Project Name",config!A:B,2,FALSE))</f>
        <v/>
      </c>
      <c r="N453" t="str">
        <f>IF(LEN(TRIM(E453))=0, "",VLOOKUP("Center Name",config!A:B,2,FALSE))</f>
        <v/>
      </c>
      <c r="O453" s="7" t="str">
        <f>IF(LEN(TRIM(E453))=0,"",VLOOKUP("Shipment Date",config!A:B,2,FALSE))</f>
        <v/>
      </c>
      <c r="P453" s="7" t="str">
        <f t="shared" si="29"/>
        <v/>
      </c>
      <c r="Q453" s="7" t="str">
        <f>IF(LEN(TRIM(D453))=0,"",GetConfigParameterValue("Collection Site"))</f>
        <v/>
      </c>
      <c r="R453" t="str">
        <f>IF(LEN(TRIM(E453))=0, "", GetManifestComments(H453))</f>
        <v/>
      </c>
      <c r="S453" t="str">
        <f>IF(LEN(TRIM(E453))=0,"",IF(ISERROR(VLOOKUP(E453,'Manifest MDB data'!A:A,1,FALSE)),"OK","EXISTS!!!"))</f>
        <v/>
      </c>
    </row>
    <row r="454" spans="4:19" x14ac:dyDescent="0.25">
      <c r="D454" t="str">
        <f t="shared" si="30"/>
        <v/>
      </c>
      <c r="E454" t="str">
        <f t="shared" si="31"/>
        <v/>
      </c>
      <c r="F454" t="str">
        <f t="shared" si="32"/>
        <v/>
      </c>
      <c r="G454" t="str">
        <f>IF(LEN(TRIM(E454))=0, "", GetSampleTissueBySpecimenPrep(H454))</f>
        <v/>
      </c>
      <c r="H454" t="str">
        <f>IF(LEN(TRIM(E454))=0, "", GetSpecimenPrepName())</f>
        <v/>
      </c>
      <c r="I454" t="str">
        <f>IF(LEN(TRIM(E454))=0, "", GetSampleVolumeBySpecimenPrep(H454))</f>
        <v/>
      </c>
      <c r="L454" t="str">
        <f>IF(LEN(TRIM(E454))=0,"",VLOOKUP("Manifest Id",config!A:B,2,FALSE))</f>
        <v/>
      </c>
      <c r="M454" t="str">
        <f>IF(LEN(TRIM(E454))=0, "",VLOOKUP("Project Name",config!A:B,2,FALSE))</f>
        <v/>
      </c>
      <c r="N454" t="str">
        <f>IF(LEN(TRIM(E454))=0, "",VLOOKUP("Center Name",config!A:B,2,FALSE))</f>
        <v/>
      </c>
      <c r="O454" s="7" t="str">
        <f>IF(LEN(TRIM(E454))=0,"",VLOOKUP("Shipment Date",config!A:B,2,FALSE))</f>
        <v/>
      </c>
      <c r="P454" s="7" t="str">
        <f t="shared" si="29"/>
        <v/>
      </c>
      <c r="Q454" s="7" t="str">
        <f>IF(LEN(TRIM(D454))=0,"",GetConfigParameterValue("Collection Site"))</f>
        <v/>
      </c>
      <c r="R454" t="str">
        <f>IF(LEN(TRIM(E454))=0, "", GetManifestComments(H454))</f>
        <v/>
      </c>
      <c r="S454" t="str">
        <f>IF(LEN(TRIM(E454))=0,"",IF(ISERROR(VLOOKUP(E454,'Manifest MDB data'!A:A,1,FALSE)),"OK","EXISTS!!!"))</f>
        <v/>
      </c>
    </row>
    <row r="455" spans="4:19" x14ac:dyDescent="0.25">
      <c r="D455" t="str">
        <f t="shared" si="30"/>
        <v/>
      </c>
      <c r="E455" t="str">
        <f t="shared" si="31"/>
        <v/>
      </c>
      <c r="F455" t="str">
        <f t="shared" si="32"/>
        <v/>
      </c>
      <c r="G455" t="str">
        <f>IF(LEN(TRIM(E455))=0, "", GetSampleTissueBySpecimenPrep(H455))</f>
        <v/>
      </c>
      <c r="H455" t="str">
        <f>IF(LEN(TRIM(E455))=0, "", GetSpecimenPrepName())</f>
        <v/>
      </c>
      <c r="I455" t="str">
        <f>IF(LEN(TRIM(E455))=0, "", GetSampleVolumeBySpecimenPrep(H455))</f>
        <v/>
      </c>
      <c r="L455" t="str">
        <f>IF(LEN(TRIM(E455))=0,"",VLOOKUP("Manifest Id",config!A:B,2,FALSE))</f>
        <v/>
      </c>
      <c r="M455" t="str">
        <f>IF(LEN(TRIM(E455))=0, "",VLOOKUP("Project Name",config!A:B,2,FALSE))</f>
        <v/>
      </c>
      <c r="N455" t="str">
        <f>IF(LEN(TRIM(E455))=0, "",VLOOKUP("Center Name",config!A:B,2,FALSE))</f>
        <v/>
      </c>
      <c r="O455" s="7" t="str">
        <f>IF(LEN(TRIM(E455))=0,"",VLOOKUP("Shipment Date",config!A:B,2,FALSE))</f>
        <v/>
      </c>
      <c r="P455" s="7" t="str">
        <f t="shared" si="29"/>
        <v/>
      </c>
      <c r="Q455" s="7" t="str">
        <f>IF(LEN(TRIM(D455))=0,"",GetConfigParameterValue("Collection Site"))</f>
        <v/>
      </c>
      <c r="R455" t="str">
        <f>IF(LEN(TRIM(E455))=0, "", GetManifestComments(H455))</f>
        <v/>
      </c>
      <c r="S455" t="str">
        <f>IF(LEN(TRIM(E455))=0,"",IF(ISERROR(VLOOKUP(E455,'Manifest MDB data'!A:A,1,FALSE)),"OK","EXISTS!!!"))</f>
        <v/>
      </c>
    </row>
    <row r="456" spans="4:19" x14ac:dyDescent="0.25">
      <c r="D456" t="str">
        <f t="shared" si="30"/>
        <v/>
      </c>
      <c r="E456" t="str">
        <f t="shared" si="31"/>
        <v/>
      </c>
      <c r="F456" t="str">
        <f t="shared" si="32"/>
        <v/>
      </c>
      <c r="G456" t="str">
        <f>IF(LEN(TRIM(E456))=0, "", GetSampleTissueBySpecimenPrep(H456))</f>
        <v/>
      </c>
      <c r="H456" t="str">
        <f>IF(LEN(TRIM(E456))=0, "", GetSpecimenPrepName())</f>
        <v/>
      </c>
      <c r="I456" t="str">
        <f>IF(LEN(TRIM(E456))=0, "", GetSampleVolumeBySpecimenPrep(H456))</f>
        <v/>
      </c>
      <c r="L456" t="str">
        <f>IF(LEN(TRIM(E456))=0,"",VLOOKUP("Manifest Id",config!A:B,2,FALSE))</f>
        <v/>
      </c>
      <c r="M456" t="str">
        <f>IF(LEN(TRIM(E456))=0, "",VLOOKUP("Project Name",config!A:B,2,FALSE))</f>
        <v/>
      </c>
      <c r="N456" t="str">
        <f>IF(LEN(TRIM(E456))=0, "",VLOOKUP("Center Name",config!A:B,2,FALSE))</f>
        <v/>
      </c>
      <c r="O456" s="7" t="str">
        <f>IF(LEN(TRIM(E456))=0,"",VLOOKUP("Shipment Date",config!A:B,2,FALSE))</f>
        <v/>
      </c>
      <c r="P456" s="7" t="str">
        <f t="shared" si="29"/>
        <v/>
      </c>
      <c r="Q456" s="7" t="str">
        <f>IF(LEN(TRIM(D456))=0,"",GetConfigParameterValue("Collection Site"))</f>
        <v/>
      </c>
      <c r="R456" t="str">
        <f>IF(LEN(TRIM(E456))=0, "", GetManifestComments(H456))</f>
        <v/>
      </c>
      <c r="S456" t="str">
        <f>IF(LEN(TRIM(E456))=0,"",IF(ISERROR(VLOOKUP(E456,'Manifest MDB data'!A:A,1,FALSE)),"OK","EXISTS!!!"))</f>
        <v/>
      </c>
    </row>
    <row r="457" spans="4:19" x14ac:dyDescent="0.25">
      <c r="D457" t="str">
        <f t="shared" si="30"/>
        <v/>
      </c>
      <c r="E457" t="str">
        <f t="shared" si="31"/>
        <v/>
      </c>
      <c r="F457" t="str">
        <f t="shared" si="32"/>
        <v/>
      </c>
      <c r="G457" t="str">
        <f>IF(LEN(TRIM(E457))=0, "", GetSampleTissueBySpecimenPrep(H457))</f>
        <v/>
      </c>
      <c r="H457" t="str">
        <f>IF(LEN(TRIM(E457))=0, "", GetSpecimenPrepName())</f>
        <v/>
      </c>
      <c r="I457" t="str">
        <f>IF(LEN(TRIM(E457))=0, "", GetSampleVolumeBySpecimenPrep(H457))</f>
        <v/>
      </c>
      <c r="L457" t="str">
        <f>IF(LEN(TRIM(E457))=0,"",VLOOKUP("Manifest Id",config!A:B,2,FALSE))</f>
        <v/>
      </c>
      <c r="M457" t="str">
        <f>IF(LEN(TRIM(E457))=0, "",VLOOKUP("Project Name",config!A:B,2,FALSE))</f>
        <v/>
      </c>
      <c r="N457" t="str">
        <f>IF(LEN(TRIM(E457))=0, "",VLOOKUP("Center Name",config!A:B,2,FALSE))</f>
        <v/>
      </c>
      <c r="O457" s="7" t="str">
        <f>IF(LEN(TRIM(E457))=0,"",VLOOKUP("Shipment Date",config!A:B,2,FALSE))</f>
        <v/>
      </c>
      <c r="P457" s="7" t="str">
        <f t="shared" si="29"/>
        <v/>
      </c>
      <c r="Q457" s="7" t="str">
        <f>IF(LEN(TRIM(D457))=0,"",GetConfigParameterValue("Collection Site"))</f>
        <v/>
      </c>
      <c r="R457" t="str">
        <f>IF(LEN(TRIM(E457))=0, "", GetManifestComments(H457))</f>
        <v/>
      </c>
      <c r="S457" t="str">
        <f>IF(LEN(TRIM(E457))=0,"",IF(ISERROR(VLOOKUP(E457,'Manifest MDB data'!A:A,1,FALSE)),"OK","EXISTS!!!"))</f>
        <v/>
      </c>
    </row>
    <row r="458" spans="4:19" x14ac:dyDescent="0.25">
      <c r="D458" t="str">
        <f t="shared" si="30"/>
        <v/>
      </c>
      <c r="E458" t="str">
        <f t="shared" si="31"/>
        <v/>
      </c>
      <c r="F458" t="str">
        <f t="shared" si="32"/>
        <v/>
      </c>
      <c r="G458" t="str">
        <f>IF(LEN(TRIM(E458))=0, "", GetSampleTissueBySpecimenPrep(H458))</f>
        <v/>
      </c>
      <c r="H458" t="str">
        <f>IF(LEN(TRIM(E458))=0, "", GetSpecimenPrepName())</f>
        <v/>
      </c>
      <c r="I458" t="str">
        <f>IF(LEN(TRIM(E458))=0, "", GetSampleVolumeBySpecimenPrep(H458))</f>
        <v/>
      </c>
      <c r="L458" t="str">
        <f>IF(LEN(TRIM(E458))=0,"",VLOOKUP("Manifest Id",config!A:B,2,FALSE))</f>
        <v/>
      </c>
      <c r="M458" t="str">
        <f>IF(LEN(TRIM(E458))=0, "",VLOOKUP("Project Name",config!A:B,2,FALSE))</f>
        <v/>
      </c>
      <c r="N458" t="str">
        <f>IF(LEN(TRIM(E458))=0, "",VLOOKUP("Center Name",config!A:B,2,FALSE))</f>
        <v/>
      </c>
      <c r="O458" s="7" t="str">
        <f>IF(LEN(TRIM(E458))=0,"",VLOOKUP("Shipment Date",config!A:B,2,FALSE))</f>
        <v/>
      </c>
      <c r="P458" s="7" t="str">
        <f t="shared" si="29"/>
        <v/>
      </c>
      <c r="Q458" s="7" t="str">
        <f>IF(LEN(TRIM(D458))=0,"",GetConfigParameterValue("Collection Site"))</f>
        <v/>
      </c>
      <c r="R458" t="str">
        <f>IF(LEN(TRIM(E458))=0, "", GetManifestComments(H458))</f>
        <v/>
      </c>
      <c r="S458" t="str">
        <f>IF(LEN(TRIM(E458))=0,"",IF(ISERROR(VLOOKUP(E458,'Manifest MDB data'!A:A,1,FALSE)),"OK","EXISTS!!!"))</f>
        <v/>
      </c>
    </row>
    <row r="459" spans="4:19" x14ac:dyDescent="0.25">
      <c r="D459" t="str">
        <f t="shared" si="30"/>
        <v/>
      </c>
      <c r="E459" t="str">
        <f t="shared" si="31"/>
        <v/>
      </c>
      <c r="F459" t="str">
        <f t="shared" si="32"/>
        <v/>
      </c>
      <c r="G459" t="str">
        <f>IF(LEN(TRIM(E459))=0, "", GetSampleTissueBySpecimenPrep(H459))</f>
        <v/>
      </c>
      <c r="H459" t="str">
        <f>IF(LEN(TRIM(E459))=0, "", GetSpecimenPrepName())</f>
        <v/>
      </c>
      <c r="I459" t="str">
        <f>IF(LEN(TRIM(E459))=0, "", GetSampleVolumeBySpecimenPrep(H459))</f>
        <v/>
      </c>
      <c r="L459" t="str">
        <f>IF(LEN(TRIM(E459))=0,"",VLOOKUP("Manifest Id",config!A:B,2,FALSE))</f>
        <v/>
      </c>
      <c r="M459" t="str">
        <f>IF(LEN(TRIM(E459))=0, "",VLOOKUP("Project Name",config!A:B,2,FALSE))</f>
        <v/>
      </c>
      <c r="N459" t="str">
        <f>IF(LEN(TRIM(E459))=0, "",VLOOKUP("Center Name",config!A:B,2,FALSE))</f>
        <v/>
      </c>
      <c r="O459" s="7" t="str">
        <f>IF(LEN(TRIM(E459))=0,"",VLOOKUP("Shipment Date",config!A:B,2,FALSE))</f>
        <v/>
      </c>
      <c r="P459" s="7" t="str">
        <f t="shared" si="29"/>
        <v/>
      </c>
      <c r="Q459" s="7" t="str">
        <f>IF(LEN(TRIM(D459))=0,"",GetConfigParameterValue("Collection Site"))</f>
        <v/>
      </c>
      <c r="R459" t="str">
        <f>IF(LEN(TRIM(E459))=0, "", GetManifestComments(H459))</f>
        <v/>
      </c>
      <c r="S459" t="str">
        <f>IF(LEN(TRIM(E459))=0,"",IF(ISERROR(VLOOKUP(E459,'Manifest MDB data'!A:A,1,FALSE)),"OK","EXISTS!!!"))</f>
        <v/>
      </c>
    </row>
    <row r="460" spans="4:19" x14ac:dyDescent="0.25">
      <c r="D460" t="str">
        <f t="shared" si="30"/>
        <v/>
      </c>
      <c r="E460" t="str">
        <f t="shared" si="31"/>
        <v/>
      </c>
      <c r="F460" t="str">
        <f t="shared" si="32"/>
        <v/>
      </c>
      <c r="G460" t="str">
        <f>IF(LEN(TRIM(E460))=0, "", GetSampleTissueBySpecimenPrep(H460))</f>
        <v/>
      </c>
      <c r="H460" t="str">
        <f>IF(LEN(TRIM(E460))=0, "", GetSpecimenPrepName())</f>
        <v/>
      </c>
      <c r="I460" t="str">
        <f>IF(LEN(TRIM(E460))=0, "", GetSampleVolumeBySpecimenPrep(H460))</f>
        <v/>
      </c>
      <c r="L460" t="str">
        <f>IF(LEN(TRIM(E460))=0,"",VLOOKUP("Manifest Id",config!A:B,2,FALSE))</f>
        <v/>
      </c>
      <c r="M460" t="str">
        <f>IF(LEN(TRIM(E460))=0, "",VLOOKUP("Project Name",config!A:B,2,FALSE))</f>
        <v/>
      </c>
      <c r="N460" t="str">
        <f>IF(LEN(TRIM(E460))=0, "",VLOOKUP("Center Name",config!A:B,2,FALSE))</f>
        <v/>
      </c>
      <c r="O460" s="7" t="str">
        <f>IF(LEN(TRIM(E460))=0,"",VLOOKUP("Shipment Date",config!A:B,2,FALSE))</f>
        <v/>
      </c>
      <c r="P460" s="7" t="str">
        <f t="shared" si="29"/>
        <v/>
      </c>
      <c r="Q460" s="7" t="str">
        <f>IF(LEN(TRIM(D460))=0,"",GetConfigParameterValue("Collection Site"))</f>
        <v/>
      </c>
      <c r="R460" t="str">
        <f>IF(LEN(TRIM(E460))=0, "", GetManifestComments(H460))</f>
        <v/>
      </c>
      <c r="S460" t="str">
        <f>IF(LEN(TRIM(E460))=0,"",IF(ISERROR(VLOOKUP(E460,'Manifest MDB data'!A:A,1,FALSE)),"OK","EXISTS!!!"))</f>
        <v/>
      </c>
    </row>
    <row r="461" spans="4:19" x14ac:dyDescent="0.25">
      <c r="D461" t="str">
        <f t="shared" si="30"/>
        <v/>
      </c>
      <c r="E461" t="str">
        <f t="shared" si="31"/>
        <v/>
      </c>
      <c r="F461" t="str">
        <f t="shared" si="32"/>
        <v/>
      </c>
      <c r="G461" t="str">
        <f>IF(LEN(TRIM(E461))=0, "", GetSampleTissueBySpecimenPrep(H461))</f>
        <v/>
      </c>
      <c r="H461" t="str">
        <f>IF(LEN(TRIM(E461))=0, "", GetSpecimenPrepName())</f>
        <v/>
      </c>
      <c r="I461" t="str">
        <f>IF(LEN(TRIM(E461))=0, "", GetSampleVolumeBySpecimenPrep(H461))</f>
        <v/>
      </c>
      <c r="L461" t="str">
        <f>IF(LEN(TRIM(E461))=0,"",VLOOKUP("Manifest Id",config!A:B,2,FALSE))</f>
        <v/>
      </c>
      <c r="M461" t="str">
        <f>IF(LEN(TRIM(E461))=0, "",VLOOKUP("Project Name",config!A:B,2,FALSE))</f>
        <v/>
      </c>
      <c r="N461" t="str">
        <f>IF(LEN(TRIM(E461))=0, "",VLOOKUP("Center Name",config!A:B,2,FALSE))</f>
        <v/>
      </c>
      <c r="O461" s="7" t="str">
        <f>IF(LEN(TRIM(E461))=0,"",VLOOKUP("Shipment Date",config!A:B,2,FALSE))</f>
        <v/>
      </c>
      <c r="P461" s="7" t="str">
        <f t="shared" si="29"/>
        <v/>
      </c>
      <c r="Q461" s="7" t="str">
        <f>IF(LEN(TRIM(D461))=0,"",GetConfigParameterValue("Collection Site"))</f>
        <v/>
      </c>
      <c r="R461" t="str">
        <f>IF(LEN(TRIM(E461))=0, "", GetManifestComments(H461))</f>
        <v/>
      </c>
      <c r="S461" t="str">
        <f>IF(LEN(TRIM(E461))=0,"",IF(ISERROR(VLOOKUP(E461,'Manifest MDB data'!A:A,1,FALSE)),"OK","EXISTS!!!"))</f>
        <v/>
      </c>
    </row>
    <row r="462" spans="4:19" x14ac:dyDescent="0.25">
      <c r="D462" t="str">
        <f t="shared" si="30"/>
        <v/>
      </c>
      <c r="E462" t="str">
        <f t="shared" si="31"/>
        <v/>
      </c>
      <c r="F462" t="str">
        <f t="shared" si="32"/>
        <v/>
      </c>
      <c r="G462" t="str">
        <f>IF(LEN(TRIM(E462))=0, "", GetSampleTissueBySpecimenPrep(H462))</f>
        <v/>
      </c>
      <c r="H462" t="str">
        <f>IF(LEN(TRIM(E462))=0, "", GetSpecimenPrepName())</f>
        <v/>
      </c>
      <c r="I462" t="str">
        <f>IF(LEN(TRIM(E462))=0, "", GetSampleVolumeBySpecimenPrep(H462))</f>
        <v/>
      </c>
      <c r="L462" t="str">
        <f>IF(LEN(TRIM(E462))=0,"",VLOOKUP("Manifest Id",config!A:B,2,FALSE))</f>
        <v/>
      </c>
      <c r="M462" t="str">
        <f>IF(LEN(TRIM(E462))=0, "",VLOOKUP("Project Name",config!A:B,2,FALSE))</f>
        <v/>
      </c>
      <c r="N462" t="str">
        <f>IF(LEN(TRIM(E462))=0, "",VLOOKUP("Center Name",config!A:B,2,FALSE))</f>
        <v/>
      </c>
      <c r="O462" s="7" t="str">
        <f>IF(LEN(TRIM(E462))=0,"",VLOOKUP("Shipment Date",config!A:B,2,FALSE))</f>
        <v/>
      </c>
      <c r="P462" s="7" t="str">
        <f t="shared" si="29"/>
        <v/>
      </c>
      <c r="Q462" s="7" t="str">
        <f>IF(LEN(TRIM(D462))=0,"",GetConfigParameterValue("Collection Site"))</f>
        <v/>
      </c>
      <c r="R462" t="str">
        <f>IF(LEN(TRIM(E462))=0, "", GetManifestComments(H462))</f>
        <v/>
      </c>
      <c r="S462" t="str">
        <f>IF(LEN(TRIM(E462))=0,"",IF(ISERROR(VLOOKUP(E462,'Manifest MDB data'!A:A,1,FALSE)),"OK","EXISTS!!!"))</f>
        <v/>
      </c>
    </row>
    <row r="463" spans="4:19" x14ac:dyDescent="0.25">
      <c r="D463" t="str">
        <f t="shared" si="30"/>
        <v/>
      </c>
      <c r="E463" t="str">
        <f t="shared" si="31"/>
        <v/>
      </c>
      <c r="F463" t="str">
        <f t="shared" si="32"/>
        <v/>
      </c>
      <c r="G463" t="str">
        <f>IF(LEN(TRIM(E463))=0, "", GetSampleTissueBySpecimenPrep(H463))</f>
        <v/>
      </c>
      <c r="H463" t="str">
        <f>IF(LEN(TRIM(E463))=0, "", GetSpecimenPrepName())</f>
        <v/>
      </c>
      <c r="I463" t="str">
        <f>IF(LEN(TRIM(E463))=0, "", GetSampleVolumeBySpecimenPrep(H463))</f>
        <v/>
      </c>
      <c r="L463" t="str">
        <f>IF(LEN(TRIM(E463))=0,"",VLOOKUP("Manifest Id",config!A:B,2,FALSE))</f>
        <v/>
      </c>
      <c r="M463" t="str">
        <f>IF(LEN(TRIM(E463))=0, "",VLOOKUP("Project Name",config!A:B,2,FALSE))</f>
        <v/>
      </c>
      <c r="N463" t="str">
        <f>IF(LEN(TRIM(E463))=0, "",VLOOKUP("Center Name",config!A:B,2,FALSE))</f>
        <v/>
      </c>
      <c r="O463" s="7" t="str">
        <f>IF(LEN(TRIM(E463))=0,"",VLOOKUP("Shipment Date",config!A:B,2,FALSE))</f>
        <v/>
      </c>
      <c r="P463" s="7" t="str">
        <f t="shared" si="29"/>
        <v/>
      </c>
      <c r="Q463" s="7" t="str">
        <f>IF(LEN(TRIM(D463))=0,"",GetConfigParameterValue("Collection Site"))</f>
        <v/>
      </c>
      <c r="R463" t="str">
        <f>IF(LEN(TRIM(E463))=0, "", GetManifestComments(H463))</f>
        <v/>
      </c>
      <c r="S463" t="str">
        <f>IF(LEN(TRIM(E463))=0,"",IF(ISERROR(VLOOKUP(E463,'Manifest MDB data'!A:A,1,FALSE)),"OK","EXISTS!!!"))</f>
        <v/>
      </c>
    </row>
    <row r="464" spans="4:19" x14ac:dyDescent="0.25">
      <c r="D464" t="str">
        <f t="shared" si="30"/>
        <v/>
      </c>
      <c r="E464" t="str">
        <f t="shared" si="31"/>
        <v/>
      </c>
      <c r="F464" t="str">
        <f t="shared" si="32"/>
        <v/>
      </c>
      <c r="G464" t="str">
        <f>IF(LEN(TRIM(E464))=0, "", GetSampleTissueBySpecimenPrep(H464))</f>
        <v/>
      </c>
      <c r="H464" t="str">
        <f>IF(LEN(TRIM(E464))=0, "", GetSpecimenPrepName())</f>
        <v/>
      </c>
      <c r="I464" t="str">
        <f>IF(LEN(TRIM(E464))=0, "", GetSampleVolumeBySpecimenPrep(H464))</f>
        <v/>
      </c>
      <c r="L464" t="str">
        <f>IF(LEN(TRIM(E464))=0,"",VLOOKUP("Manifest Id",config!A:B,2,FALSE))</f>
        <v/>
      </c>
      <c r="M464" t="str">
        <f>IF(LEN(TRIM(E464))=0, "",VLOOKUP("Project Name",config!A:B,2,FALSE))</f>
        <v/>
      </c>
      <c r="N464" t="str">
        <f>IF(LEN(TRIM(E464))=0, "",VLOOKUP("Center Name",config!A:B,2,FALSE))</f>
        <v/>
      </c>
      <c r="O464" s="7" t="str">
        <f>IF(LEN(TRIM(E464))=0,"",VLOOKUP("Shipment Date",config!A:B,2,FALSE))</f>
        <v/>
      </c>
      <c r="P464" s="7" t="str">
        <f t="shared" si="29"/>
        <v/>
      </c>
      <c r="Q464" s="7" t="str">
        <f>IF(LEN(TRIM(D464))=0,"",GetConfigParameterValue("Collection Site"))</f>
        <v/>
      </c>
      <c r="R464" t="str">
        <f>IF(LEN(TRIM(E464))=0, "", GetManifestComments(H464))</f>
        <v/>
      </c>
      <c r="S464" t="str">
        <f>IF(LEN(TRIM(E464))=0,"",IF(ISERROR(VLOOKUP(E464,'Manifest MDB data'!A:A,1,FALSE)),"OK","EXISTS!!!"))</f>
        <v/>
      </c>
    </row>
    <row r="465" spans="4:19" x14ac:dyDescent="0.25">
      <c r="D465" t="str">
        <f t="shared" si="30"/>
        <v/>
      </c>
      <c r="E465" t="str">
        <f t="shared" si="31"/>
        <v/>
      </c>
      <c r="F465" t="str">
        <f t="shared" si="32"/>
        <v/>
      </c>
      <c r="G465" t="str">
        <f>IF(LEN(TRIM(E465))=0, "", GetSampleTissueBySpecimenPrep(H465))</f>
        <v/>
      </c>
      <c r="H465" t="str">
        <f>IF(LEN(TRIM(E465))=0, "", GetSpecimenPrepName())</f>
        <v/>
      </c>
      <c r="I465" t="str">
        <f>IF(LEN(TRIM(E465))=0, "", GetSampleVolumeBySpecimenPrep(H465))</f>
        <v/>
      </c>
      <c r="L465" t="str">
        <f>IF(LEN(TRIM(E465))=0,"",VLOOKUP("Manifest Id",config!A:B,2,FALSE))</f>
        <v/>
      </c>
      <c r="M465" t="str">
        <f>IF(LEN(TRIM(E465))=0, "",VLOOKUP("Project Name",config!A:B,2,FALSE))</f>
        <v/>
      </c>
      <c r="N465" t="str">
        <f>IF(LEN(TRIM(E465))=0, "",VLOOKUP("Center Name",config!A:B,2,FALSE))</f>
        <v/>
      </c>
      <c r="O465" s="7" t="str">
        <f>IF(LEN(TRIM(E465))=0,"",VLOOKUP("Shipment Date",config!A:B,2,FALSE))</f>
        <v/>
      </c>
      <c r="P465" s="7" t="str">
        <f t="shared" si="29"/>
        <v/>
      </c>
      <c r="Q465" s="7" t="str">
        <f>IF(LEN(TRIM(D465))=0,"",GetConfigParameterValue("Collection Site"))</f>
        <v/>
      </c>
      <c r="R465" t="str">
        <f>IF(LEN(TRIM(E465))=0, "", GetManifestComments(H465))</f>
        <v/>
      </c>
      <c r="S465" t="str">
        <f>IF(LEN(TRIM(E465))=0,"",IF(ISERROR(VLOOKUP(E465,'Manifest MDB data'!A:A,1,FALSE)),"OK","EXISTS!!!"))</f>
        <v/>
      </c>
    </row>
    <row r="466" spans="4:19" x14ac:dyDescent="0.25">
      <c r="D466" t="str">
        <f t="shared" si="30"/>
        <v/>
      </c>
      <c r="E466" t="str">
        <f t="shared" si="31"/>
        <v/>
      </c>
      <c r="F466" t="str">
        <f t="shared" si="32"/>
        <v/>
      </c>
      <c r="G466" t="str">
        <f>IF(LEN(TRIM(E466))=0, "", GetSampleTissueBySpecimenPrep(H466))</f>
        <v/>
      </c>
      <c r="H466" t="str">
        <f>IF(LEN(TRIM(E466))=0, "", GetSpecimenPrepName())</f>
        <v/>
      </c>
      <c r="I466" t="str">
        <f>IF(LEN(TRIM(E466))=0, "", GetSampleVolumeBySpecimenPrep(H466))</f>
        <v/>
      </c>
      <c r="L466" t="str">
        <f>IF(LEN(TRIM(E466))=0,"",VLOOKUP("Manifest Id",config!A:B,2,FALSE))</f>
        <v/>
      </c>
      <c r="M466" t="str">
        <f>IF(LEN(TRIM(E466))=0, "",VLOOKUP("Project Name",config!A:B,2,FALSE))</f>
        <v/>
      </c>
      <c r="N466" t="str">
        <f>IF(LEN(TRIM(E466))=0, "",VLOOKUP("Center Name",config!A:B,2,FALSE))</f>
        <v/>
      </c>
      <c r="O466" s="7" t="str">
        <f>IF(LEN(TRIM(E466))=0,"",VLOOKUP("Shipment Date",config!A:B,2,FALSE))</f>
        <v/>
      </c>
      <c r="P466" s="7" t="str">
        <f t="shared" si="29"/>
        <v/>
      </c>
      <c r="Q466" s="7" t="str">
        <f>IF(LEN(TRIM(D466))=0,"",GetConfigParameterValue("Collection Site"))</f>
        <v/>
      </c>
      <c r="R466" t="str">
        <f>IF(LEN(TRIM(E466))=0, "", GetManifestComments(H466))</f>
        <v/>
      </c>
      <c r="S466" t="str">
        <f>IF(LEN(TRIM(E466))=0,"",IF(ISERROR(VLOOKUP(E466,'Manifest MDB data'!A:A,1,FALSE)),"OK","EXISTS!!!"))</f>
        <v/>
      </c>
    </row>
    <row r="467" spans="4:19" x14ac:dyDescent="0.25">
      <c r="D467" t="str">
        <f t="shared" si="30"/>
        <v/>
      </c>
      <c r="E467" t="str">
        <f t="shared" si="31"/>
        <v/>
      </c>
      <c r="F467" t="str">
        <f t="shared" si="32"/>
        <v/>
      </c>
      <c r="G467" t="str">
        <f>IF(LEN(TRIM(E467))=0, "", GetSampleTissueBySpecimenPrep(H467))</f>
        <v/>
      </c>
      <c r="H467" t="str">
        <f>IF(LEN(TRIM(E467))=0, "", GetSpecimenPrepName())</f>
        <v/>
      </c>
      <c r="I467" t="str">
        <f>IF(LEN(TRIM(E467))=0, "", GetSampleVolumeBySpecimenPrep(H467))</f>
        <v/>
      </c>
      <c r="L467" t="str">
        <f>IF(LEN(TRIM(E467))=0,"",VLOOKUP("Manifest Id",config!A:B,2,FALSE))</f>
        <v/>
      </c>
      <c r="M467" t="str">
        <f>IF(LEN(TRIM(E467))=0, "",VLOOKUP("Project Name",config!A:B,2,FALSE))</f>
        <v/>
      </c>
      <c r="N467" t="str">
        <f>IF(LEN(TRIM(E467))=0, "",VLOOKUP("Center Name",config!A:B,2,FALSE))</f>
        <v/>
      </c>
      <c r="O467" s="7" t="str">
        <f>IF(LEN(TRIM(E467))=0,"",VLOOKUP("Shipment Date",config!A:B,2,FALSE))</f>
        <v/>
      </c>
      <c r="P467" s="7" t="str">
        <f t="shared" si="29"/>
        <v/>
      </c>
      <c r="Q467" s="7" t="str">
        <f>IF(LEN(TRIM(D467))=0,"",GetConfigParameterValue("Collection Site"))</f>
        <v/>
      </c>
      <c r="R467" t="str">
        <f>IF(LEN(TRIM(E467))=0, "", GetManifestComments(H467))</f>
        <v/>
      </c>
      <c r="S467" t="str">
        <f>IF(LEN(TRIM(E467))=0,"",IF(ISERROR(VLOOKUP(E467,'Manifest MDB data'!A:A,1,FALSE)),"OK","EXISTS!!!"))</f>
        <v/>
      </c>
    </row>
    <row r="468" spans="4:19" x14ac:dyDescent="0.25">
      <c r="D468" t="str">
        <f t="shared" si="30"/>
        <v/>
      </c>
      <c r="E468" t="str">
        <f t="shared" si="31"/>
        <v/>
      </c>
      <c r="F468" t="str">
        <f t="shared" si="32"/>
        <v/>
      </c>
      <c r="G468" t="str">
        <f>IF(LEN(TRIM(E468))=0, "", GetSampleTissueBySpecimenPrep(H468))</f>
        <v/>
      </c>
      <c r="H468" t="str">
        <f>IF(LEN(TRIM(E468))=0, "", GetSpecimenPrepName())</f>
        <v/>
      </c>
      <c r="I468" t="str">
        <f>IF(LEN(TRIM(E468))=0, "", GetSampleVolumeBySpecimenPrep(H468))</f>
        <v/>
      </c>
      <c r="L468" t="str">
        <f>IF(LEN(TRIM(E468))=0,"",VLOOKUP("Manifest Id",config!A:B,2,FALSE))</f>
        <v/>
      </c>
      <c r="M468" t="str">
        <f>IF(LEN(TRIM(E468))=0, "",VLOOKUP("Project Name",config!A:B,2,FALSE))</f>
        <v/>
      </c>
      <c r="N468" t="str">
        <f>IF(LEN(TRIM(E468))=0, "",VLOOKUP("Center Name",config!A:B,2,FALSE))</f>
        <v/>
      </c>
      <c r="O468" s="7" t="str">
        <f>IF(LEN(TRIM(E468))=0,"",VLOOKUP("Shipment Date",config!A:B,2,FALSE))</f>
        <v/>
      </c>
      <c r="P468" s="7" t="str">
        <f t="shared" si="29"/>
        <v/>
      </c>
      <c r="Q468" s="7" t="str">
        <f>IF(LEN(TRIM(D468))=0,"",GetConfigParameterValue("Collection Site"))</f>
        <v/>
      </c>
      <c r="R468" t="str">
        <f>IF(LEN(TRIM(E468))=0, "", GetManifestComments(H468))</f>
        <v/>
      </c>
      <c r="S468" t="str">
        <f>IF(LEN(TRIM(E468))=0,"",IF(ISERROR(VLOOKUP(E468,'Manifest MDB data'!A:A,1,FALSE)),"OK","EXISTS!!!"))</f>
        <v/>
      </c>
    </row>
    <row r="469" spans="4:19" x14ac:dyDescent="0.25">
      <c r="D469" t="str">
        <f t="shared" si="30"/>
        <v/>
      </c>
      <c r="E469" t="str">
        <f t="shared" si="31"/>
        <v/>
      </c>
      <c r="F469" t="str">
        <f t="shared" si="32"/>
        <v/>
      </c>
      <c r="G469" t="str">
        <f>IF(LEN(TRIM(E469))=0, "", GetSampleTissueBySpecimenPrep(H469))</f>
        <v/>
      </c>
      <c r="H469" t="str">
        <f>IF(LEN(TRIM(E469))=0, "", GetSpecimenPrepName())</f>
        <v/>
      </c>
      <c r="I469" t="str">
        <f>IF(LEN(TRIM(E469))=0, "", GetSampleVolumeBySpecimenPrep(H469))</f>
        <v/>
      </c>
      <c r="L469" t="str">
        <f>IF(LEN(TRIM(E469))=0,"",VLOOKUP("Manifest Id",config!A:B,2,FALSE))</f>
        <v/>
      </c>
      <c r="M469" t="str">
        <f>IF(LEN(TRIM(E469))=0, "",VLOOKUP("Project Name",config!A:B,2,FALSE))</f>
        <v/>
      </c>
      <c r="N469" t="str">
        <f>IF(LEN(TRIM(E469))=0, "",VLOOKUP("Center Name",config!A:B,2,FALSE))</f>
        <v/>
      </c>
      <c r="O469" s="7" t="str">
        <f>IF(LEN(TRIM(E469))=0,"",VLOOKUP("Shipment Date",config!A:B,2,FALSE))</f>
        <v/>
      </c>
      <c r="P469" s="7" t="str">
        <f t="shared" si="29"/>
        <v/>
      </c>
      <c r="Q469" s="7" t="str">
        <f>IF(LEN(TRIM(D469))=0,"",GetConfigParameterValue("Collection Site"))</f>
        <v/>
      </c>
      <c r="R469" t="str">
        <f>IF(LEN(TRIM(E469))=0, "", GetManifestComments(H469))</f>
        <v/>
      </c>
      <c r="S469" t="str">
        <f>IF(LEN(TRIM(E469))=0,"",IF(ISERROR(VLOOKUP(E469,'Manifest MDB data'!A:A,1,FALSE)),"OK","EXISTS!!!"))</f>
        <v/>
      </c>
    </row>
    <row r="470" spans="4:19" x14ac:dyDescent="0.25">
      <c r="D470" t="str">
        <f t="shared" si="30"/>
        <v/>
      </c>
      <c r="E470" t="str">
        <f t="shared" si="31"/>
        <v/>
      </c>
      <c r="F470" t="str">
        <f t="shared" si="32"/>
        <v/>
      </c>
      <c r="G470" t="str">
        <f>IF(LEN(TRIM(E470))=0, "", GetSampleTissueBySpecimenPrep(H470))</f>
        <v/>
      </c>
      <c r="H470" t="str">
        <f>IF(LEN(TRIM(E470))=0, "", GetSpecimenPrepName())</f>
        <v/>
      </c>
      <c r="I470" t="str">
        <f>IF(LEN(TRIM(E470))=0, "", GetSampleVolumeBySpecimenPrep(H470))</f>
        <v/>
      </c>
      <c r="L470" t="str">
        <f>IF(LEN(TRIM(E470))=0,"",VLOOKUP("Manifest Id",config!A:B,2,FALSE))</f>
        <v/>
      </c>
      <c r="M470" t="str">
        <f>IF(LEN(TRIM(E470))=0, "",VLOOKUP("Project Name",config!A:B,2,FALSE))</f>
        <v/>
      </c>
      <c r="N470" t="str">
        <f>IF(LEN(TRIM(E470))=0, "",VLOOKUP("Center Name",config!A:B,2,FALSE))</f>
        <v/>
      </c>
      <c r="O470" s="7" t="str">
        <f>IF(LEN(TRIM(E470))=0,"",VLOOKUP("Shipment Date",config!A:B,2,FALSE))</f>
        <v/>
      </c>
      <c r="P470" s="7" t="str">
        <f t="shared" si="29"/>
        <v/>
      </c>
      <c r="Q470" s="7" t="str">
        <f>IF(LEN(TRIM(D470))=0,"",GetConfigParameterValue("Collection Site"))</f>
        <v/>
      </c>
      <c r="R470" t="str">
        <f>IF(LEN(TRIM(E470))=0, "", GetManifestComments(H470))</f>
        <v/>
      </c>
      <c r="S470" t="str">
        <f>IF(LEN(TRIM(E470))=0,"",IF(ISERROR(VLOOKUP(E470,'Manifest MDB data'!A:A,1,FALSE)),"OK","EXISTS!!!"))</f>
        <v/>
      </c>
    </row>
    <row r="471" spans="4:19" x14ac:dyDescent="0.25">
      <c r="D471" t="str">
        <f t="shared" si="30"/>
        <v/>
      </c>
      <c r="E471" t="str">
        <f t="shared" si="31"/>
        <v/>
      </c>
      <c r="F471" t="str">
        <f t="shared" si="32"/>
        <v/>
      </c>
      <c r="G471" t="str">
        <f>IF(LEN(TRIM(E471))=0, "", GetSampleTissueBySpecimenPrep(H471))</f>
        <v/>
      </c>
      <c r="H471" t="str">
        <f>IF(LEN(TRIM(E471))=0, "", GetSpecimenPrepName())</f>
        <v/>
      </c>
      <c r="I471" t="str">
        <f>IF(LEN(TRIM(E471))=0, "", GetSampleVolumeBySpecimenPrep(H471))</f>
        <v/>
      </c>
      <c r="L471" t="str">
        <f>IF(LEN(TRIM(E471))=0,"",VLOOKUP("Manifest Id",config!A:B,2,FALSE))</f>
        <v/>
      </c>
      <c r="M471" t="str">
        <f>IF(LEN(TRIM(E471))=0, "",VLOOKUP("Project Name",config!A:B,2,FALSE))</f>
        <v/>
      </c>
      <c r="N471" t="str">
        <f>IF(LEN(TRIM(E471))=0, "",VLOOKUP("Center Name",config!A:B,2,FALSE))</f>
        <v/>
      </c>
      <c r="O471" s="7" t="str">
        <f>IF(LEN(TRIM(E471))=0,"",VLOOKUP("Shipment Date",config!A:B,2,FALSE))</f>
        <v/>
      </c>
      <c r="P471" s="7" t="str">
        <f t="shared" si="29"/>
        <v/>
      </c>
      <c r="Q471" s="7" t="str">
        <f>IF(LEN(TRIM(D471))=0,"",GetConfigParameterValue("Collection Site"))</f>
        <v/>
      </c>
      <c r="R471" t="str">
        <f>IF(LEN(TRIM(E471))=0, "", GetManifestComments(H471))</f>
        <v/>
      </c>
      <c r="S471" t="str">
        <f>IF(LEN(TRIM(E471))=0,"",IF(ISERROR(VLOOKUP(E471,'Manifest MDB data'!A:A,1,FALSE)),"OK","EXISTS!!!"))</f>
        <v/>
      </c>
    </row>
    <row r="472" spans="4:19" x14ac:dyDescent="0.25">
      <c r="D472" t="str">
        <f t="shared" si="30"/>
        <v/>
      </c>
      <c r="E472" t="str">
        <f t="shared" si="31"/>
        <v/>
      </c>
      <c r="F472" t="str">
        <f t="shared" si="32"/>
        <v/>
      </c>
      <c r="G472" t="str">
        <f>IF(LEN(TRIM(E472))=0, "", GetSampleTissueBySpecimenPrep(H472))</f>
        <v/>
      </c>
      <c r="H472" t="str">
        <f>IF(LEN(TRIM(E472))=0, "", GetSpecimenPrepName())</f>
        <v/>
      </c>
      <c r="I472" t="str">
        <f>IF(LEN(TRIM(E472))=0, "", GetSampleVolumeBySpecimenPrep(H472))</f>
        <v/>
      </c>
      <c r="L472" t="str">
        <f>IF(LEN(TRIM(E472))=0,"",VLOOKUP("Manifest Id",config!A:B,2,FALSE))</f>
        <v/>
      </c>
      <c r="M472" t="str">
        <f>IF(LEN(TRIM(E472))=0, "",VLOOKUP("Project Name",config!A:B,2,FALSE))</f>
        <v/>
      </c>
      <c r="N472" t="str">
        <f>IF(LEN(TRIM(E472))=0, "",VLOOKUP("Center Name",config!A:B,2,FALSE))</f>
        <v/>
      </c>
      <c r="O472" s="7" t="str">
        <f>IF(LEN(TRIM(E472))=0,"",VLOOKUP("Shipment Date",config!A:B,2,FALSE))</f>
        <v/>
      </c>
      <c r="P472" s="7" t="str">
        <f t="shared" si="29"/>
        <v/>
      </c>
      <c r="Q472" s="7" t="str">
        <f>IF(LEN(TRIM(D472))=0,"",GetConfigParameterValue("Collection Site"))</f>
        <v/>
      </c>
      <c r="R472" t="str">
        <f>IF(LEN(TRIM(E472))=0, "", GetManifestComments(H472))</f>
        <v/>
      </c>
      <c r="S472" t="str">
        <f>IF(LEN(TRIM(E472))=0,"",IF(ISERROR(VLOOKUP(E472,'Manifest MDB data'!A:A,1,FALSE)),"OK","EXISTS!!!"))</f>
        <v/>
      </c>
    </row>
    <row r="473" spans="4:19" x14ac:dyDescent="0.25">
      <c r="D473" t="str">
        <f t="shared" si="30"/>
        <v/>
      </c>
      <c r="E473" t="str">
        <f t="shared" si="31"/>
        <v/>
      </c>
      <c r="F473" t="str">
        <f t="shared" si="32"/>
        <v/>
      </c>
      <c r="G473" t="str">
        <f>IF(LEN(TRIM(E473))=0, "", GetSampleTissueBySpecimenPrep(H473))</f>
        <v/>
      </c>
      <c r="H473" t="str">
        <f>IF(LEN(TRIM(E473))=0, "", GetSpecimenPrepName())</f>
        <v/>
      </c>
      <c r="I473" t="str">
        <f>IF(LEN(TRIM(E473))=0, "", GetSampleVolumeBySpecimenPrep(H473))</f>
        <v/>
      </c>
      <c r="L473" t="str">
        <f>IF(LEN(TRIM(E473))=0,"",VLOOKUP("Manifest Id",config!A:B,2,FALSE))</f>
        <v/>
      </c>
      <c r="M473" t="str">
        <f>IF(LEN(TRIM(E473))=0, "",VLOOKUP("Project Name",config!A:B,2,FALSE))</f>
        <v/>
      </c>
      <c r="N473" t="str">
        <f>IF(LEN(TRIM(E473))=0, "",VLOOKUP("Center Name",config!A:B,2,FALSE))</f>
        <v/>
      </c>
      <c r="O473" s="7" t="str">
        <f>IF(LEN(TRIM(E473))=0,"",VLOOKUP("Shipment Date",config!A:B,2,FALSE))</f>
        <v/>
      </c>
      <c r="P473" s="7" t="str">
        <f t="shared" si="29"/>
        <v/>
      </c>
      <c r="Q473" s="7" t="str">
        <f>IF(LEN(TRIM(D473))=0,"",GetConfigParameterValue("Collection Site"))</f>
        <v/>
      </c>
      <c r="R473" t="str">
        <f>IF(LEN(TRIM(E473))=0, "", GetManifestComments(H473))</f>
        <v/>
      </c>
      <c r="S473" t="str">
        <f>IF(LEN(TRIM(E473))=0,"",IF(ISERROR(VLOOKUP(E473,'Manifest MDB data'!A:A,1,FALSE)),"OK","EXISTS!!!"))</f>
        <v/>
      </c>
    </row>
    <row r="474" spans="4:19" x14ac:dyDescent="0.25">
      <c r="D474" t="str">
        <f t="shared" si="30"/>
        <v/>
      </c>
      <c r="E474" t="str">
        <f t="shared" si="31"/>
        <v/>
      </c>
      <c r="F474" t="str">
        <f t="shared" si="32"/>
        <v/>
      </c>
      <c r="G474" t="str">
        <f>IF(LEN(TRIM(E474))=0, "", GetSampleTissueBySpecimenPrep(H474))</f>
        <v/>
      </c>
      <c r="H474" t="str">
        <f>IF(LEN(TRIM(E474))=0, "", GetSpecimenPrepName())</f>
        <v/>
      </c>
      <c r="I474" t="str">
        <f>IF(LEN(TRIM(E474))=0, "", GetSampleVolumeBySpecimenPrep(H474))</f>
        <v/>
      </c>
      <c r="L474" t="str">
        <f>IF(LEN(TRIM(E474))=0,"",VLOOKUP("Manifest Id",config!A:B,2,FALSE))</f>
        <v/>
      </c>
      <c r="M474" t="str">
        <f>IF(LEN(TRIM(E474))=0, "",VLOOKUP("Project Name",config!A:B,2,FALSE))</f>
        <v/>
      </c>
      <c r="N474" t="str">
        <f>IF(LEN(TRIM(E474))=0, "",VLOOKUP("Center Name",config!A:B,2,FALSE))</f>
        <v/>
      </c>
      <c r="O474" s="7" t="str">
        <f>IF(LEN(TRIM(E474))=0,"",VLOOKUP("Shipment Date",config!A:B,2,FALSE))</f>
        <v/>
      </c>
      <c r="P474" s="7" t="str">
        <f t="shared" si="29"/>
        <v/>
      </c>
      <c r="Q474" s="7" t="str">
        <f>IF(LEN(TRIM(D474))=0,"",GetConfigParameterValue("Collection Site"))</f>
        <v/>
      </c>
      <c r="R474" t="str">
        <f>IF(LEN(TRIM(E474))=0, "", GetManifestComments(H474))</f>
        <v/>
      </c>
      <c r="S474" t="str">
        <f>IF(LEN(TRIM(E474))=0,"",IF(ISERROR(VLOOKUP(E474,'Manifest MDB data'!A:A,1,FALSE)),"OK","EXISTS!!!"))</f>
        <v/>
      </c>
    </row>
    <row r="475" spans="4:19" x14ac:dyDescent="0.25">
      <c r="D475" t="str">
        <f t="shared" si="30"/>
        <v/>
      </c>
      <c r="E475" t="str">
        <f t="shared" si="31"/>
        <v/>
      </c>
      <c r="F475" t="str">
        <f t="shared" si="32"/>
        <v/>
      </c>
      <c r="G475" t="str">
        <f>IF(LEN(TRIM(E475))=0, "", GetSampleTissueBySpecimenPrep(H475))</f>
        <v/>
      </c>
      <c r="H475" t="str">
        <f>IF(LEN(TRIM(E475))=0, "", GetSpecimenPrepName())</f>
        <v/>
      </c>
      <c r="I475" t="str">
        <f>IF(LEN(TRIM(E475))=0, "", GetSampleVolumeBySpecimenPrep(H475))</f>
        <v/>
      </c>
      <c r="L475" t="str">
        <f>IF(LEN(TRIM(E475))=0,"",VLOOKUP("Manifest Id",config!A:B,2,FALSE))</f>
        <v/>
      </c>
      <c r="M475" t="str">
        <f>IF(LEN(TRIM(E475))=0, "",VLOOKUP("Project Name",config!A:B,2,FALSE))</f>
        <v/>
      </c>
      <c r="N475" t="str">
        <f>IF(LEN(TRIM(E475))=0, "",VLOOKUP("Center Name",config!A:B,2,FALSE))</f>
        <v/>
      </c>
      <c r="O475" s="7" t="str">
        <f>IF(LEN(TRIM(E475))=0,"",VLOOKUP("Shipment Date",config!A:B,2,FALSE))</f>
        <v/>
      </c>
      <c r="P475" s="7" t="str">
        <f t="shared" si="29"/>
        <v/>
      </c>
      <c r="Q475" s="7" t="str">
        <f>IF(LEN(TRIM(D475))=0,"",GetConfigParameterValue("Collection Site"))</f>
        <v/>
      </c>
      <c r="R475" t="str">
        <f>IF(LEN(TRIM(E475))=0, "", GetManifestComments(H475))</f>
        <v/>
      </c>
      <c r="S475" t="str">
        <f>IF(LEN(TRIM(E475))=0,"",IF(ISERROR(VLOOKUP(E475,'Manifest MDB data'!A:A,1,FALSE)),"OK","EXISTS!!!"))</f>
        <v/>
      </c>
    </row>
    <row r="476" spans="4:19" x14ac:dyDescent="0.25">
      <c r="D476" t="str">
        <f t="shared" si="30"/>
        <v/>
      </c>
      <c r="E476" t="str">
        <f t="shared" si="31"/>
        <v/>
      </c>
      <c r="F476" t="str">
        <f t="shared" si="32"/>
        <v/>
      </c>
      <c r="G476" t="str">
        <f>IF(LEN(TRIM(E476))=0, "", GetSampleTissueBySpecimenPrep(H476))</f>
        <v/>
      </c>
      <c r="H476" t="str">
        <f>IF(LEN(TRIM(E476))=0, "", GetSpecimenPrepName())</f>
        <v/>
      </c>
      <c r="I476" t="str">
        <f>IF(LEN(TRIM(E476))=0, "", GetSampleVolumeBySpecimenPrep(H476))</f>
        <v/>
      </c>
      <c r="L476" t="str">
        <f>IF(LEN(TRIM(E476))=0,"",VLOOKUP("Manifest Id",config!A:B,2,FALSE))</f>
        <v/>
      </c>
      <c r="M476" t="str">
        <f>IF(LEN(TRIM(E476))=0, "",VLOOKUP("Project Name",config!A:B,2,FALSE))</f>
        <v/>
      </c>
      <c r="N476" t="str">
        <f>IF(LEN(TRIM(E476))=0, "",VLOOKUP("Center Name",config!A:B,2,FALSE))</f>
        <v/>
      </c>
      <c r="O476" s="7" t="str">
        <f>IF(LEN(TRIM(E476))=0,"",VLOOKUP("Shipment Date",config!A:B,2,FALSE))</f>
        <v/>
      </c>
      <c r="P476" s="7" t="str">
        <f t="shared" si="29"/>
        <v/>
      </c>
      <c r="Q476" s="7" t="str">
        <f>IF(LEN(TRIM(D476))=0,"",GetConfigParameterValue("Collection Site"))</f>
        <v/>
      </c>
      <c r="R476" t="str">
        <f>IF(LEN(TRIM(E476))=0, "", GetManifestComments(H476))</f>
        <v/>
      </c>
      <c r="S476" t="str">
        <f>IF(LEN(TRIM(E476))=0,"",IF(ISERROR(VLOOKUP(E476,'Manifest MDB data'!A:A,1,FALSE)),"OK","EXISTS!!!"))</f>
        <v/>
      </c>
    </row>
    <row r="477" spans="4:19" x14ac:dyDescent="0.25">
      <c r="D477" t="str">
        <f t="shared" si="30"/>
        <v/>
      </c>
      <c r="E477" t="str">
        <f t="shared" si="31"/>
        <v/>
      </c>
      <c r="F477" t="str">
        <f t="shared" si="32"/>
        <v/>
      </c>
      <c r="G477" t="str">
        <f>IF(LEN(TRIM(E477))=0, "", GetSampleTissueBySpecimenPrep(H477))</f>
        <v/>
      </c>
      <c r="H477" t="str">
        <f>IF(LEN(TRIM(E477))=0, "", GetSpecimenPrepName())</f>
        <v/>
      </c>
      <c r="I477" t="str">
        <f>IF(LEN(TRIM(E477))=0, "", GetSampleVolumeBySpecimenPrep(H477))</f>
        <v/>
      </c>
      <c r="L477" t="str">
        <f>IF(LEN(TRIM(E477))=0,"",VLOOKUP("Manifest Id",config!A:B,2,FALSE))</f>
        <v/>
      </c>
      <c r="M477" t="str">
        <f>IF(LEN(TRIM(E477))=0, "",VLOOKUP("Project Name",config!A:B,2,FALSE))</f>
        <v/>
      </c>
      <c r="N477" t="str">
        <f>IF(LEN(TRIM(E477))=0, "",VLOOKUP("Center Name",config!A:B,2,FALSE))</f>
        <v/>
      </c>
      <c r="O477" s="7" t="str">
        <f>IF(LEN(TRIM(E477))=0,"",VLOOKUP("Shipment Date",config!A:B,2,FALSE))</f>
        <v/>
      </c>
      <c r="P477" s="7" t="str">
        <f t="shared" si="29"/>
        <v/>
      </c>
      <c r="Q477" s="7" t="str">
        <f>IF(LEN(TRIM(D477))=0,"",GetConfigParameterValue("Collection Site"))</f>
        <v/>
      </c>
      <c r="R477" t="str">
        <f>IF(LEN(TRIM(E477))=0, "", GetManifestComments(H477))</f>
        <v/>
      </c>
      <c r="S477" t="str">
        <f>IF(LEN(TRIM(E477))=0,"",IF(ISERROR(VLOOKUP(E477,'Manifest MDB data'!A:A,1,FALSE)),"OK","EXISTS!!!"))</f>
        <v/>
      </c>
    </row>
    <row r="478" spans="4:19" x14ac:dyDescent="0.25">
      <c r="D478" t="str">
        <f t="shared" si="30"/>
        <v/>
      </c>
      <c r="E478" t="str">
        <f t="shared" si="31"/>
        <v/>
      </c>
      <c r="F478" t="str">
        <f t="shared" si="32"/>
        <v/>
      </c>
      <c r="G478" t="str">
        <f>IF(LEN(TRIM(E478))=0, "", GetSampleTissueBySpecimenPrep(H478))</f>
        <v/>
      </c>
      <c r="H478" t="str">
        <f>IF(LEN(TRIM(E478))=0, "", GetSpecimenPrepName())</f>
        <v/>
      </c>
      <c r="I478" t="str">
        <f>IF(LEN(TRIM(E478))=0, "", GetSampleVolumeBySpecimenPrep(H478))</f>
        <v/>
      </c>
      <c r="L478" t="str">
        <f>IF(LEN(TRIM(E478))=0,"",VLOOKUP("Manifest Id",config!A:B,2,FALSE))</f>
        <v/>
      </c>
      <c r="M478" t="str">
        <f>IF(LEN(TRIM(E478))=0, "",VLOOKUP("Project Name",config!A:B,2,FALSE))</f>
        <v/>
      </c>
      <c r="N478" t="str">
        <f>IF(LEN(TRIM(E478))=0, "",VLOOKUP("Center Name",config!A:B,2,FALSE))</f>
        <v/>
      </c>
      <c r="O478" s="7" t="str">
        <f>IF(LEN(TRIM(E478))=0,"",VLOOKUP("Shipment Date",config!A:B,2,FALSE))</f>
        <v/>
      </c>
      <c r="P478" s="7" t="str">
        <f t="shared" si="29"/>
        <v/>
      </c>
      <c r="Q478" s="7" t="str">
        <f>IF(LEN(TRIM(D478))=0,"",GetConfigParameterValue("Collection Site"))</f>
        <v/>
      </c>
      <c r="R478" t="str">
        <f>IF(LEN(TRIM(E478))=0, "", GetManifestComments(H478))</f>
        <v/>
      </c>
      <c r="S478" t="str">
        <f>IF(LEN(TRIM(E478))=0,"",IF(ISERROR(VLOOKUP(E478,'Manifest MDB data'!A:A,1,FALSE)),"OK","EXISTS!!!"))</f>
        <v/>
      </c>
    </row>
    <row r="479" spans="4:19" x14ac:dyDescent="0.25">
      <c r="D479" t="str">
        <f t="shared" si="30"/>
        <v/>
      </c>
      <c r="E479" t="str">
        <f t="shared" si="31"/>
        <v/>
      </c>
      <c r="F479" t="str">
        <f t="shared" si="32"/>
        <v/>
      </c>
      <c r="G479" t="str">
        <f>IF(LEN(TRIM(E479))=0, "", GetSampleTissueBySpecimenPrep(H479))</f>
        <v/>
      </c>
      <c r="H479" t="str">
        <f>IF(LEN(TRIM(E479))=0, "", GetSpecimenPrepName())</f>
        <v/>
      </c>
      <c r="I479" t="str">
        <f>IF(LEN(TRIM(E479))=0, "", GetSampleVolumeBySpecimenPrep(H479))</f>
        <v/>
      </c>
      <c r="L479" t="str">
        <f>IF(LEN(TRIM(E479))=0,"",VLOOKUP("Manifest Id",config!A:B,2,FALSE))</f>
        <v/>
      </c>
      <c r="M479" t="str">
        <f>IF(LEN(TRIM(E479))=0, "",VLOOKUP("Project Name",config!A:B,2,FALSE))</f>
        <v/>
      </c>
      <c r="N479" t="str">
        <f>IF(LEN(TRIM(E479))=0, "",VLOOKUP("Center Name",config!A:B,2,FALSE))</f>
        <v/>
      </c>
      <c r="O479" s="7" t="str">
        <f>IF(LEN(TRIM(E479))=0,"",VLOOKUP("Shipment Date",config!A:B,2,FALSE))</f>
        <v/>
      </c>
      <c r="P479" s="7" t="str">
        <f t="shared" si="29"/>
        <v/>
      </c>
      <c r="Q479" s="7" t="str">
        <f>IF(LEN(TRIM(D479))=0,"",GetConfigParameterValue("Collection Site"))</f>
        <v/>
      </c>
      <c r="R479" t="str">
        <f>IF(LEN(TRIM(E479))=0, "", GetManifestComments(H479))</f>
        <v/>
      </c>
      <c r="S479" t="str">
        <f>IF(LEN(TRIM(E479))=0,"",IF(ISERROR(VLOOKUP(E479,'Manifest MDB data'!A:A,1,FALSE)),"OK","EXISTS!!!"))</f>
        <v/>
      </c>
    </row>
    <row r="480" spans="4:19" x14ac:dyDescent="0.25">
      <c r="D480" t="str">
        <f t="shared" si="30"/>
        <v/>
      </c>
      <c r="E480" t="str">
        <f t="shared" si="31"/>
        <v/>
      </c>
      <c r="F480" t="str">
        <f t="shared" si="32"/>
        <v/>
      </c>
      <c r="G480" t="str">
        <f>IF(LEN(TRIM(E480))=0, "", GetSampleTissueBySpecimenPrep(H480))</f>
        <v/>
      </c>
      <c r="H480" t="str">
        <f>IF(LEN(TRIM(E480))=0, "", GetSpecimenPrepName())</f>
        <v/>
      </c>
      <c r="I480" t="str">
        <f>IF(LEN(TRIM(E480))=0, "", GetSampleVolumeBySpecimenPrep(H480))</f>
        <v/>
      </c>
      <c r="L480" t="str">
        <f>IF(LEN(TRIM(E480))=0,"",VLOOKUP("Manifest Id",config!A:B,2,FALSE))</f>
        <v/>
      </c>
      <c r="M480" t="str">
        <f>IF(LEN(TRIM(E480))=0, "",VLOOKUP("Project Name",config!A:B,2,FALSE))</f>
        <v/>
      </c>
      <c r="N480" t="str">
        <f>IF(LEN(TRIM(E480))=0, "",VLOOKUP("Center Name",config!A:B,2,FALSE))</f>
        <v/>
      </c>
      <c r="O480" s="7" t="str">
        <f>IF(LEN(TRIM(E480))=0,"",VLOOKUP("Shipment Date",config!A:B,2,FALSE))</f>
        <v/>
      </c>
      <c r="P480" s="7" t="str">
        <f t="shared" si="29"/>
        <v/>
      </c>
      <c r="Q480" s="7" t="str">
        <f>IF(LEN(TRIM(D480))=0,"",GetConfigParameterValue("Collection Site"))</f>
        <v/>
      </c>
      <c r="R480" t="str">
        <f>IF(LEN(TRIM(E480))=0, "", GetManifestComments(H480))</f>
        <v/>
      </c>
      <c r="S480" t="str">
        <f>IF(LEN(TRIM(E480))=0,"",IF(ISERROR(VLOOKUP(E480,'Manifest MDB data'!A:A,1,FALSE)),"OK","EXISTS!!!"))</f>
        <v/>
      </c>
    </row>
    <row r="481" spans="4:19" x14ac:dyDescent="0.25">
      <c r="D481" t="str">
        <f t="shared" si="30"/>
        <v/>
      </c>
      <c r="E481" t="str">
        <f t="shared" si="31"/>
        <v/>
      </c>
      <c r="F481" t="str">
        <f t="shared" si="32"/>
        <v/>
      </c>
      <c r="G481" t="str">
        <f>IF(LEN(TRIM(E481))=0, "", GetSampleTissueBySpecimenPrep(H481))</f>
        <v/>
      </c>
      <c r="H481" t="str">
        <f>IF(LEN(TRIM(E481))=0, "", GetSpecimenPrepName())</f>
        <v/>
      </c>
      <c r="I481" t="str">
        <f>IF(LEN(TRIM(E481))=0, "", GetSampleVolumeBySpecimenPrep(H481))</f>
        <v/>
      </c>
      <c r="L481" t="str">
        <f>IF(LEN(TRIM(E481))=0,"",VLOOKUP("Manifest Id",config!A:B,2,FALSE))</f>
        <v/>
      </c>
      <c r="M481" t="str">
        <f>IF(LEN(TRIM(E481))=0, "",VLOOKUP("Project Name",config!A:B,2,FALSE))</f>
        <v/>
      </c>
      <c r="N481" t="str">
        <f>IF(LEN(TRIM(E481))=0, "",VLOOKUP("Center Name",config!A:B,2,FALSE))</f>
        <v/>
      </c>
      <c r="O481" s="7" t="str">
        <f>IF(LEN(TRIM(E481))=0,"",VLOOKUP("Shipment Date",config!A:B,2,FALSE))</f>
        <v/>
      </c>
      <c r="P481" s="7" t="str">
        <f t="shared" si="29"/>
        <v/>
      </c>
      <c r="Q481" s="7" t="str">
        <f>IF(LEN(TRIM(D481))=0,"",GetConfigParameterValue("Collection Site"))</f>
        <v/>
      </c>
      <c r="R481" t="str">
        <f>IF(LEN(TRIM(E481))=0, "", GetManifestComments(H481))</f>
        <v/>
      </c>
      <c r="S481" t="str">
        <f>IF(LEN(TRIM(E481))=0,"",IF(ISERROR(VLOOKUP(E481,'Manifest MDB data'!A:A,1,FALSE)),"OK","EXISTS!!!"))</f>
        <v/>
      </c>
    </row>
    <row r="482" spans="4:19" x14ac:dyDescent="0.25">
      <c r="D482" t="str">
        <f t="shared" si="30"/>
        <v/>
      </c>
      <c r="E482" t="str">
        <f t="shared" si="31"/>
        <v/>
      </c>
      <c r="F482" t="str">
        <f t="shared" si="32"/>
        <v/>
      </c>
      <c r="G482" t="str">
        <f>IF(LEN(TRIM(E482))=0, "", GetSampleTissueBySpecimenPrep(H482))</f>
        <v/>
      </c>
      <c r="H482" t="str">
        <f>IF(LEN(TRIM(E482))=0, "", GetSpecimenPrepName())</f>
        <v/>
      </c>
      <c r="I482" t="str">
        <f>IF(LEN(TRIM(E482))=0, "", GetSampleVolumeBySpecimenPrep(H482))</f>
        <v/>
      </c>
      <c r="L482" t="str">
        <f>IF(LEN(TRIM(E482))=0,"",VLOOKUP("Manifest Id",config!A:B,2,FALSE))</f>
        <v/>
      </c>
      <c r="M482" t="str">
        <f>IF(LEN(TRIM(E482))=0, "",VLOOKUP("Project Name",config!A:B,2,FALSE))</f>
        <v/>
      </c>
      <c r="N482" t="str">
        <f>IF(LEN(TRIM(E482))=0, "",VLOOKUP("Center Name",config!A:B,2,FALSE))</f>
        <v/>
      </c>
      <c r="O482" s="7" t="str">
        <f>IF(LEN(TRIM(E482))=0,"",VLOOKUP("Shipment Date",config!A:B,2,FALSE))</f>
        <v/>
      </c>
      <c r="P482" s="7" t="str">
        <f t="shared" si="29"/>
        <v/>
      </c>
      <c r="Q482" s="7" t="str">
        <f>IF(LEN(TRIM(D482))=0,"",GetConfigParameterValue("Collection Site"))</f>
        <v/>
      </c>
      <c r="R482" t="str">
        <f>IF(LEN(TRIM(E482))=0, "", GetManifestComments(H482))</f>
        <v/>
      </c>
      <c r="S482" t="str">
        <f>IF(LEN(TRIM(E482))=0,"",IF(ISERROR(VLOOKUP(E482,'Manifest MDB data'!A:A,1,FALSE)),"OK","EXISTS!!!"))</f>
        <v/>
      </c>
    </row>
    <row r="483" spans="4:19" x14ac:dyDescent="0.25">
      <c r="D483" t="str">
        <f t="shared" si="30"/>
        <v/>
      </c>
      <c r="E483" t="str">
        <f t="shared" si="31"/>
        <v/>
      </c>
      <c r="F483" t="str">
        <f t="shared" si="32"/>
        <v/>
      </c>
      <c r="G483" t="str">
        <f>IF(LEN(TRIM(E483))=0, "", GetSampleTissueBySpecimenPrep(H483))</f>
        <v/>
      </c>
      <c r="H483" t="str">
        <f>IF(LEN(TRIM(E483))=0, "", GetSpecimenPrepName())</f>
        <v/>
      </c>
      <c r="I483" t="str">
        <f>IF(LEN(TRIM(E483))=0, "", GetSampleVolumeBySpecimenPrep(H483))</f>
        <v/>
      </c>
      <c r="L483" t="str">
        <f>IF(LEN(TRIM(E483))=0,"",VLOOKUP("Manifest Id",config!A:B,2,FALSE))</f>
        <v/>
      </c>
      <c r="M483" t="str">
        <f>IF(LEN(TRIM(E483))=0, "",VLOOKUP("Project Name",config!A:B,2,FALSE))</f>
        <v/>
      </c>
      <c r="N483" t="str">
        <f>IF(LEN(TRIM(E483))=0, "",VLOOKUP("Center Name",config!A:B,2,FALSE))</f>
        <v/>
      </c>
      <c r="O483" s="7" t="str">
        <f>IF(LEN(TRIM(E483))=0,"",VLOOKUP("Shipment Date",config!A:B,2,FALSE))</f>
        <v/>
      </c>
      <c r="P483" s="7" t="str">
        <f t="shared" si="29"/>
        <v/>
      </c>
      <c r="Q483" s="7" t="str">
        <f>IF(LEN(TRIM(D483))=0,"",GetConfigParameterValue("Collection Site"))</f>
        <v/>
      </c>
      <c r="R483" t="str">
        <f>IF(LEN(TRIM(E483))=0, "", GetManifestComments(H483))</f>
        <v/>
      </c>
      <c r="S483" t="str">
        <f>IF(LEN(TRIM(E483))=0,"",IF(ISERROR(VLOOKUP(E483,'Manifest MDB data'!A:A,1,FALSE)),"OK","EXISTS!!!"))</f>
        <v/>
      </c>
    </row>
    <row r="484" spans="4:19" x14ac:dyDescent="0.25">
      <c r="D484" t="str">
        <f t="shared" si="30"/>
        <v/>
      </c>
      <c r="E484" t="str">
        <f t="shared" si="31"/>
        <v/>
      </c>
      <c r="F484" t="str">
        <f t="shared" si="32"/>
        <v/>
      </c>
      <c r="G484" t="str">
        <f>IF(LEN(TRIM(E484))=0, "", GetSampleTissueBySpecimenPrep(H484))</f>
        <v/>
      </c>
      <c r="H484" t="str">
        <f>IF(LEN(TRIM(E484))=0, "", GetSpecimenPrepName())</f>
        <v/>
      </c>
      <c r="I484" t="str">
        <f>IF(LEN(TRIM(E484))=0, "", GetSampleVolumeBySpecimenPrep(H484))</f>
        <v/>
      </c>
      <c r="L484" t="str">
        <f>IF(LEN(TRIM(E484))=0,"",VLOOKUP("Manifest Id",config!A:B,2,FALSE))</f>
        <v/>
      </c>
      <c r="M484" t="str">
        <f>IF(LEN(TRIM(E484))=0, "",VLOOKUP("Project Name",config!A:B,2,FALSE))</f>
        <v/>
      </c>
      <c r="N484" t="str">
        <f>IF(LEN(TRIM(E484))=0, "",VLOOKUP("Center Name",config!A:B,2,FALSE))</f>
        <v/>
      </c>
      <c r="O484" s="7" t="str">
        <f>IF(LEN(TRIM(E484))=0,"",VLOOKUP("Shipment Date",config!A:B,2,FALSE))</f>
        <v/>
      </c>
      <c r="P484" s="7" t="str">
        <f t="shared" si="29"/>
        <v/>
      </c>
      <c r="Q484" s="7" t="str">
        <f>IF(LEN(TRIM(D484))=0,"",GetConfigParameterValue("Collection Site"))</f>
        <v/>
      </c>
      <c r="R484" t="str">
        <f>IF(LEN(TRIM(E484))=0, "", GetManifestComments(H484))</f>
        <v/>
      </c>
      <c r="S484" t="str">
        <f>IF(LEN(TRIM(E484))=0,"",IF(ISERROR(VLOOKUP(E484,'Manifest MDB data'!A:A,1,FALSE)),"OK","EXISTS!!!"))</f>
        <v/>
      </c>
    </row>
    <row r="485" spans="4:19" x14ac:dyDescent="0.25">
      <c r="D485" t="str">
        <f t="shared" si="30"/>
        <v/>
      </c>
      <c r="E485" t="str">
        <f t="shared" si="31"/>
        <v/>
      </c>
      <c r="F485" t="str">
        <f t="shared" si="32"/>
        <v/>
      </c>
      <c r="G485" t="str">
        <f>IF(LEN(TRIM(E485))=0, "", GetSampleTissueBySpecimenPrep(H485))</f>
        <v/>
      </c>
      <c r="H485" t="str">
        <f>IF(LEN(TRIM(E485))=0, "", GetSpecimenPrepName())</f>
        <v/>
      </c>
      <c r="I485" t="str">
        <f>IF(LEN(TRIM(E485))=0, "", GetSampleVolumeBySpecimenPrep(H485))</f>
        <v/>
      </c>
      <c r="L485" t="str">
        <f>IF(LEN(TRIM(E485))=0,"",VLOOKUP("Manifest Id",config!A:B,2,FALSE))</f>
        <v/>
      </c>
      <c r="M485" t="str">
        <f>IF(LEN(TRIM(E485))=0, "",VLOOKUP("Project Name",config!A:B,2,FALSE))</f>
        <v/>
      </c>
      <c r="N485" t="str">
        <f>IF(LEN(TRIM(E485))=0, "",VLOOKUP("Center Name",config!A:B,2,FALSE))</f>
        <v/>
      </c>
      <c r="O485" s="7" t="str">
        <f>IF(LEN(TRIM(E485))=0,"",VLOOKUP("Shipment Date",config!A:B,2,FALSE))</f>
        <v/>
      </c>
      <c r="P485" s="7" t="str">
        <f t="shared" si="29"/>
        <v/>
      </c>
      <c r="Q485" s="7" t="str">
        <f>IF(LEN(TRIM(D485))=0,"",GetConfigParameterValue("Collection Site"))</f>
        <v/>
      </c>
      <c r="R485" t="str">
        <f>IF(LEN(TRIM(E485))=0, "", GetManifestComments(H485))</f>
        <v/>
      </c>
      <c r="S485" t="str">
        <f>IF(LEN(TRIM(E485))=0,"",IF(ISERROR(VLOOKUP(E485,'Manifest MDB data'!A:A,1,FALSE)),"OK","EXISTS!!!"))</f>
        <v/>
      </c>
    </row>
    <row r="486" spans="4:19" x14ac:dyDescent="0.25">
      <c r="D486" t="str">
        <f t="shared" si="30"/>
        <v/>
      </c>
      <c r="E486" t="str">
        <f t="shared" si="31"/>
        <v/>
      </c>
      <c r="F486" t="str">
        <f t="shared" si="32"/>
        <v/>
      </c>
      <c r="G486" t="str">
        <f>IF(LEN(TRIM(E486))=0, "", GetSampleTissueBySpecimenPrep(H486))</f>
        <v/>
      </c>
      <c r="H486" t="str">
        <f>IF(LEN(TRIM(E486))=0, "", GetSpecimenPrepName())</f>
        <v/>
      </c>
      <c r="I486" t="str">
        <f>IF(LEN(TRIM(E486))=0, "", GetSampleVolumeBySpecimenPrep(H486))</f>
        <v/>
      </c>
      <c r="L486" t="str">
        <f>IF(LEN(TRIM(E486))=0,"",VLOOKUP("Manifest Id",config!A:B,2,FALSE))</f>
        <v/>
      </c>
      <c r="M486" t="str">
        <f>IF(LEN(TRIM(E486))=0, "",VLOOKUP("Project Name",config!A:B,2,FALSE))</f>
        <v/>
      </c>
      <c r="N486" t="str">
        <f>IF(LEN(TRIM(E486))=0, "",VLOOKUP("Center Name",config!A:B,2,FALSE))</f>
        <v/>
      </c>
      <c r="O486" s="7" t="str">
        <f>IF(LEN(TRIM(E486))=0,"",VLOOKUP("Shipment Date",config!A:B,2,FALSE))</f>
        <v/>
      </c>
      <c r="P486" s="7" t="str">
        <f t="shared" si="29"/>
        <v/>
      </c>
      <c r="Q486" s="7" t="str">
        <f>IF(LEN(TRIM(D486))=0,"",GetConfigParameterValue("Collection Site"))</f>
        <v/>
      </c>
      <c r="R486" t="str">
        <f>IF(LEN(TRIM(E486))=0, "", GetManifestComments(H486))</f>
        <v/>
      </c>
      <c r="S486" t="str">
        <f>IF(LEN(TRIM(E486))=0,"",IF(ISERROR(VLOOKUP(E486,'Manifest MDB data'!A:A,1,FALSE)),"OK","EXISTS!!!"))</f>
        <v/>
      </c>
    </row>
    <row r="487" spans="4:19" x14ac:dyDescent="0.25">
      <c r="D487" t="str">
        <f t="shared" si="30"/>
        <v/>
      </c>
      <c r="E487" t="str">
        <f t="shared" si="31"/>
        <v/>
      </c>
      <c r="F487" t="str">
        <f t="shared" si="32"/>
        <v/>
      </c>
      <c r="G487" t="str">
        <f>IF(LEN(TRIM(E487))=0, "", GetSampleTissueBySpecimenPrep(H487))</f>
        <v/>
      </c>
      <c r="H487" t="str">
        <f>IF(LEN(TRIM(E487))=0, "", GetSpecimenPrepName())</f>
        <v/>
      </c>
      <c r="I487" t="str">
        <f>IF(LEN(TRIM(E487))=0, "", GetSampleVolumeBySpecimenPrep(H487))</f>
        <v/>
      </c>
      <c r="L487" t="str">
        <f>IF(LEN(TRIM(E487))=0,"",VLOOKUP("Manifest Id",config!A:B,2,FALSE))</f>
        <v/>
      </c>
      <c r="M487" t="str">
        <f>IF(LEN(TRIM(E487))=0, "",VLOOKUP("Project Name",config!A:B,2,FALSE))</f>
        <v/>
      </c>
      <c r="N487" t="str">
        <f>IF(LEN(TRIM(E487))=0, "",VLOOKUP("Center Name",config!A:B,2,FALSE))</f>
        <v/>
      </c>
      <c r="O487" s="7" t="str">
        <f>IF(LEN(TRIM(E487))=0,"",VLOOKUP("Shipment Date",config!A:B,2,FALSE))</f>
        <v/>
      </c>
      <c r="P487" s="7" t="str">
        <f t="shared" si="29"/>
        <v/>
      </c>
      <c r="Q487" s="7" t="str">
        <f>IF(LEN(TRIM(D487))=0,"",GetConfigParameterValue("Collection Site"))</f>
        <v/>
      </c>
      <c r="R487" t="str">
        <f>IF(LEN(TRIM(E487))=0, "", GetManifestComments(H487))</f>
        <v/>
      </c>
      <c r="S487" t="str">
        <f>IF(LEN(TRIM(E487))=0,"",IF(ISERROR(VLOOKUP(E487,'Manifest MDB data'!A:A,1,FALSE)),"OK","EXISTS!!!"))</f>
        <v/>
      </c>
    </row>
    <row r="488" spans="4:19" x14ac:dyDescent="0.25">
      <c r="D488" t="str">
        <f t="shared" si="30"/>
        <v/>
      </c>
      <c r="E488" t="str">
        <f t="shared" si="31"/>
        <v/>
      </c>
      <c r="F488" t="str">
        <f t="shared" si="32"/>
        <v/>
      </c>
      <c r="G488" t="str">
        <f>IF(LEN(TRIM(E488))=0, "", GetSampleTissueBySpecimenPrep(H488))</f>
        <v/>
      </c>
      <c r="H488" t="str">
        <f>IF(LEN(TRIM(E488))=0, "", GetSpecimenPrepName())</f>
        <v/>
      </c>
      <c r="I488" t="str">
        <f>IF(LEN(TRIM(E488))=0, "", GetSampleVolumeBySpecimenPrep(H488))</f>
        <v/>
      </c>
      <c r="L488" t="str">
        <f>IF(LEN(TRIM(E488))=0,"",VLOOKUP("Manifest Id",config!A:B,2,FALSE))</f>
        <v/>
      </c>
      <c r="M488" t="str">
        <f>IF(LEN(TRIM(E488))=0, "",VLOOKUP("Project Name",config!A:B,2,FALSE))</f>
        <v/>
      </c>
      <c r="N488" t="str">
        <f>IF(LEN(TRIM(E488))=0, "",VLOOKUP("Center Name",config!A:B,2,FALSE))</f>
        <v/>
      </c>
      <c r="O488" s="7" t="str">
        <f>IF(LEN(TRIM(E488))=0,"",VLOOKUP("Shipment Date",config!A:B,2,FALSE))</f>
        <v/>
      </c>
      <c r="P488" s="7" t="str">
        <f t="shared" si="29"/>
        <v/>
      </c>
      <c r="Q488" s="7" t="str">
        <f>IF(LEN(TRIM(D488))=0,"",GetConfigParameterValue("Collection Site"))</f>
        <v/>
      </c>
      <c r="R488" t="str">
        <f>IF(LEN(TRIM(E488))=0, "", GetManifestComments(H488))</f>
        <v/>
      </c>
      <c r="S488" t="str">
        <f>IF(LEN(TRIM(E488))=0,"",IF(ISERROR(VLOOKUP(E488,'Manifest MDB data'!A:A,1,FALSE)),"OK","EXISTS!!!"))</f>
        <v/>
      </c>
    </row>
    <row r="489" spans="4:19" x14ac:dyDescent="0.25">
      <c r="D489" t="str">
        <f t="shared" si="30"/>
        <v/>
      </c>
      <c r="E489" t="str">
        <f t="shared" si="31"/>
        <v/>
      </c>
      <c r="F489" t="str">
        <f t="shared" si="32"/>
        <v/>
      </c>
      <c r="G489" t="str">
        <f>IF(LEN(TRIM(E489))=0, "", GetSampleTissueBySpecimenPrep(H489))</f>
        <v/>
      </c>
      <c r="H489" t="str">
        <f>IF(LEN(TRIM(E489))=0, "", GetSpecimenPrepName())</f>
        <v/>
      </c>
      <c r="I489" t="str">
        <f>IF(LEN(TRIM(E489))=0, "", GetSampleVolumeBySpecimenPrep(H489))</f>
        <v/>
      </c>
      <c r="L489" t="str">
        <f>IF(LEN(TRIM(E489))=0,"",VLOOKUP("Manifest Id",config!A:B,2,FALSE))</f>
        <v/>
      </c>
      <c r="M489" t="str">
        <f>IF(LEN(TRIM(E489))=0, "",VLOOKUP("Project Name",config!A:B,2,FALSE))</f>
        <v/>
      </c>
      <c r="N489" t="str">
        <f>IF(LEN(TRIM(E489))=0, "",VLOOKUP("Center Name",config!A:B,2,FALSE))</f>
        <v/>
      </c>
      <c r="O489" s="7" t="str">
        <f>IF(LEN(TRIM(E489))=0,"",VLOOKUP("Shipment Date",config!A:B,2,FALSE))</f>
        <v/>
      </c>
      <c r="P489" s="7" t="str">
        <f t="shared" si="29"/>
        <v/>
      </c>
      <c r="Q489" s="7" t="str">
        <f>IF(LEN(TRIM(D489))=0,"",GetConfigParameterValue("Collection Site"))</f>
        <v/>
      </c>
      <c r="R489" t="str">
        <f>IF(LEN(TRIM(E489))=0, "", GetManifestComments(H489))</f>
        <v/>
      </c>
      <c r="S489" t="str">
        <f>IF(LEN(TRIM(E489))=0,"",IF(ISERROR(VLOOKUP(E489,'Manifest MDB data'!A:A,1,FALSE)),"OK","EXISTS!!!"))</f>
        <v/>
      </c>
    </row>
    <row r="490" spans="4:19" x14ac:dyDescent="0.25">
      <c r="D490" t="str">
        <f t="shared" si="30"/>
        <v/>
      </c>
      <c r="E490" t="str">
        <f t="shared" si="31"/>
        <v/>
      </c>
      <c r="F490" t="str">
        <f t="shared" si="32"/>
        <v/>
      </c>
      <c r="G490" t="str">
        <f>IF(LEN(TRIM(E490))=0, "", GetSampleTissueBySpecimenPrep(H490))</f>
        <v/>
      </c>
      <c r="H490" t="str">
        <f>IF(LEN(TRIM(E490))=0, "", GetSpecimenPrepName())</f>
        <v/>
      </c>
      <c r="I490" t="str">
        <f>IF(LEN(TRIM(E490))=0, "", GetSampleVolumeBySpecimenPrep(H490))</f>
        <v/>
      </c>
      <c r="L490" t="str">
        <f>IF(LEN(TRIM(E490))=0,"",VLOOKUP("Manifest Id",config!A:B,2,FALSE))</f>
        <v/>
      </c>
      <c r="M490" t="str">
        <f>IF(LEN(TRIM(E490))=0, "",VLOOKUP("Project Name",config!A:B,2,FALSE))</f>
        <v/>
      </c>
      <c r="N490" t="str">
        <f>IF(LEN(TRIM(E490))=0, "",VLOOKUP("Center Name",config!A:B,2,FALSE))</f>
        <v/>
      </c>
      <c r="O490" s="7" t="str">
        <f>IF(LEN(TRIM(E490))=0,"",VLOOKUP("Shipment Date",config!A:B,2,FALSE))</f>
        <v/>
      </c>
      <c r="P490" s="7" t="str">
        <f t="shared" si="29"/>
        <v/>
      </c>
      <c r="Q490" s="7" t="str">
        <f>IF(LEN(TRIM(D490))=0,"",GetConfigParameterValue("Collection Site"))</f>
        <v/>
      </c>
      <c r="R490" t="str">
        <f>IF(LEN(TRIM(E490))=0, "", GetManifestComments(H490))</f>
        <v/>
      </c>
      <c r="S490" t="str">
        <f>IF(LEN(TRIM(E490))=0,"",IF(ISERROR(VLOOKUP(E490,'Manifest MDB data'!A:A,1,FALSE)),"OK","EXISTS!!!"))</f>
        <v/>
      </c>
    </row>
    <row r="491" spans="4:19" x14ac:dyDescent="0.25">
      <c r="D491" t="str">
        <f t="shared" si="30"/>
        <v/>
      </c>
      <c r="E491" t="str">
        <f t="shared" si="31"/>
        <v/>
      </c>
      <c r="F491" t="str">
        <f t="shared" si="32"/>
        <v/>
      </c>
      <c r="G491" t="str">
        <f>IF(LEN(TRIM(E491))=0, "", GetSampleTissueBySpecimenPrep(H491))</f>
        <v/>
      </c>
      <c r="H491" t="str">
        <f>IF(LEN(TRIM(E491))=0, "", GetSpecimenPrepName())</f>
        <v/>
      </c>
      <c r="I491" t="str">
        <f>IF(LEN(TRIM(E491))=0, "", GetSampleVolumeBySpecimenPrep(H491))</f>
        <v/>
      </c>
      <c r="L491" t="str">
        <f>IF(LEN(TRIM(E491))=0,"",VLOOKUP("Manifest Id",config!A:B,2,FALSE))</f>
        <v/>
      </c>
      <c r="M491" t="str">
        <f>IF(LEN(TRIM(E491))=0, "",VLOOKUP("Project Name",config!A:B,2,FALSE))</f>
        <v/>
      </c>
      <c r="N491" t="str">
        <f>IF(LEN(TRIM(E491))=0, "",VLOOKUP("Center Name",config!A:B,2,FALSE))</f>
        <v/>
      </c>
      <c r="O491" s="7" t="str">
        <f>IF(LEN(TRIM(E491))=0,"",VLOOKUP("Shipment Date",config!A:B,2,FALSE))</f>
        <v/>
      </c>
      <c r="P491" s="7" t="str">
        <f t="shared" si="29"/>
        <v/>
      </c>
      <c r="Q491" s="7" t="str">
        <f>IF(LEN(TRIM(D491))=0,"",GetConfigParameterValue("Collection Site"))</f>
        <v/>
      </c>
      <c r="R491" t="str">
        <f>IF(LEN(TRIM(E491))=0, "", GetManifestComments(H491))</f>
        <v/>
      </c>
      <c r="S491" t="str">
        <f>IF(LEN(TRIM(E491))=0,"",IF(ISERROR(VLOOKUP(E491,'Manifest MDB data'!A:A,1,FALSE)),"OK","EXISTS!!!"))</f>
        <v/>
      </c>
    </row>
    <row r="492" spans="4:19" x14ac:dyDescent="0.25">
      <c r="D492" t="str">
        <f t="shared" si="30"/>
        <v/>
      </c>
      <c r="E492" t="str">
        <f t="shared" si="31"/>
        <v/>
      </c>
      <c r="F492" t="str">
        <f t="shared" si="32"/>
        <v/>
      </c>
      <c r="G492" t="str">
        <f>IF(LEN(TRIM(E492))=0, "", GetSampleTissueBySpecimenPrep(H492))</f>
        <v/>
      </c>
      <c r="H492" t="str">
        <f>IF(LEN(TRIM(E492))=0, "", GetSpecimenPrepName())</f>
        <v/>
      </c>
      <c r="I492" t="str">
        <f>IF(LEN(TRIM(E492))=0, "", GetSampleVolumeBySpecimenPrep(H492))</f>
        <v/>
      </c>
      <c r="L492" t="str">
        <f>IF(LEN(TRIM(E492))=0,"",VLOOKUP("Manifest Id",config!A:B,2,FALSE))</f>
        <v/>
      </c>
      <c r="M492" t="str">
        <f>IF(LEN(TRIM(E492))=0, "",VLOOKUP("Project Name",config!A:B,2,FALSE))</f>
        <v/>
      </c>
      <c r="N492" t="str">
        <f>IF(LEN(TRIM(E492))=0, "",VLOOKUP("Center Name",config!A:B,2,FALSE))</f>
        <v/>
      </c>
      <c r="O492" s="7" t="str">
        <f>IF(LEN(TRIM(E492))=0,"",VLOOKUP("Shipment Date",config!A:B,2,FALSE))</f>
        <v/>
      </c>
      <c r="P492" s="7" t="str">
        <f t="shared" si="29"/>
        <v/>
      </c>
      <c r="Q492" s="7" t="str">
        <f>IF(LEN(TRIM(D492))=0,"",GetConfigParameterValue("Collection Site"))</f>
        <v/>
      </c>
      <c r="R492" t="str">
        <f>IF(LEN(TRIM(E492))=0, "", GetManifestComments(H492))</f>
        <v/>
      </c>
      <c r="S492" t="str">
        <f>IF(LEN(TRIM(E492))=0,"",IF(ISERROR(VLOOKUP(E492,'Manifest MDB data'!A:A,1,FALSE)),"OK","EXISTS!!!"))</f>
        <v/>
      </c>
    </row>
    <row r="493" spans="4:19" x14ac:dyDescent="0.25">
      <c r="D493" t="str">
        <f t="shared" si="30"/>
        <v/>
      </c>
      <c r="E493" t="str">
        <f t="shared" si="31"/>
        <v/>
      </c>
      <c r="F493" t="str">
        <f t="shared" si="32"/>
        <v/>
      </c>
      <c r="G493" t="str">
        <f>IF(LEN(TRIM(E493))=0, "", GetSampleTissueBySpecimenPrep(H493))</f>
        <v/>
      </c>
      <c r="H493" t="str">
        <f>IF(LEN(TRIM(E493))=0, "", GetSpecimenPrepName())</f>
        <v/>
      </c>
      <c r="I493" t="str">
        <f>IF(LEN(TRIM(E493))=0, "", GetSampleVolumeBySpecimenPrep(H493))</f>
        <v/>
      </c>
      <c r="L493" t="str">
        <f>IF(LEN(TRIM(E493))=0,"",VLOOKUP("Manifest Id",config!A:B,2,FALSE))</f>
        <v/>
      </c>
      <c r="M493" t="str">
        <f>IF(LEN(TRIM(E493))=0, "",VLOOKUP("Project Name",config!A:B,2,FALSE))</f>
        <v/>
      </c>
      <c r="N493" t="str">
        <f>IF(LEN(TRIM(E493))=0, "",VLOOKUP("Center Name",config!A:B,2,FALSE))</f>
        <v/>
      </c>
      <c r="O493" s="7" t="str">
        <f>IF(LEN(TRIM(E493))=0,"",VLOOKUP("Shipment Date",config!A:B,2,FALSE))</f>
        <v/>
      </c>
      <c r="P493" s="7" t="str">
        <f t="shared" si="29"/>
        <v/>
      </c>
      <c r="Q493" s="7" t="str">
        <f>IF(LEN(TRIM(D493))=0,"",GetConfigParameterValue("Collection Site"))</f>
        <v/>
      </c>
      <c r="R493" t="str">
        <f>IF(LEN(TRIM(E493))=0, "", GetManifestComments(H493))</f>
        <v/>
      </c>
      <c r="S493" t="str">
        <f>IF(LEN(TRIM(E493))=0,"",IF(ISERROR(VLOOKUP(E493,'Manifest MDB data'!A:A,1,FALSE)),"OK","EXISTS!!!"))</f>
        <v/>
      </c>
    </row>
    <row r="494" spans="4:19" x14ac:dyDescent="0.25">
      <c r="D494" t="str">
        <f t="shared" si="30"/>
        <v/>
      </c>
      <c r="E494" t="str">
        <f t="shared" si="31"/>
        <v/>
      </c>
      <c r="F494" t="str">
        <f t="shared" si="32"/>
        <v/>
      </c>
      <c r="G494" t="str">
        <f>IF(LEN(TRIM(E494))=0, "", GetSampleTissueBySpecimenPrep(H494))</f>
        <v/>
      </c>
      <c r="H494" t="str">
        <f>IF(LEN(TRIM(E494))=0, "", GetSpecimenPrepName())</f>
        <v/>
      </c>
      <c r="I494" t="str">
        <f>IF(LEN(TRIM(E494))=0, "", GetSampleVolumeBySpecimenPrep(H494))</f>
        <v/>
      </c>
      <c r="L494" t="str">
        <f>IF(LEN(TRIM(E494))=0,"",VLOOKUP("Manifest Id",config!A:B,2,FALSE))</f>
        <v/>
      </c>
      <c r="M494" t="str">
        <f>IF(LEN(TRIM(E494))=0, "",VLOOKUP("Project Name",config!A:B,2,FALSE))</f>
        <v/>
      </c>
      <c r="N494" t="str">
        <f>IF(LEN(TRIM(E494))=0, "",VLOOKUP("Center Name",config!A:B,2,FALSE))</f>
        <v/>
      </c>
      <c r="O494" s="7" t="str">
        <f>IF(LEN(TRIM(E494))=0,"",VLOOKUP("Shipment Date",config!A:B,2,FALSE))</f>
        <v/>
      </c>
      <c r="P494" s="7" t="str">
        <f t="shared" si="29"/>
        <v/>
      </c>
      <c r="Q494" s="7" t="str">
        <f>IF(LEN(TRIM(D494))=0,"",GetConfigParameterValue("Collection Site"))</f>
        <v/>
      </c>
      <c r="R494" t="str">
        <f>IF(LEN(TRIM(E494))=0, "", GetManifestComments(H494))</f>
        <v/>
      </c>
      <c r="S494" t="str">
        <f>IF(LEN(TRIM(E494))=0,"",IF(ISERROR(VLOOKUP(E494,'Manifest MDB data'!A:A,1,FALSE)),"OK","EXISTS!!!"))</f>
        <v/>
      </c>
    </row>
    <row r="495" spans="4:19" x14ac:dyDescent="0.25">
      <c r="D495" t="str">
        <f t="shared" si="30"/>
        <v/>
      </c>
      <c r="E495" t="str">
        <f t="shared" si="31"/>
        <v/>
      </c>
      <c r="F495" t="str">
        <f t="shared" si="32"/>
        <v/>
      </c>
      <c r="G495" t="str">
        <f>IF(LEN(TRIM(E495))=0, "", GetSampleTissueBySpecimenPrep(H495))</f>
        <v/>
      </c>
      <c r="H495" t="str">
        <f>IF(LEN(TRIM(E495))=0, "", GetSpecimenPrepName())</f>
        <v/>
      </c>
      <c r="I495" t="str">
        <f>IF(LEN(TRIM(E495))=0, "", GetSampleVolumeBySpecimenPrep(H495))</f>
        <v/>
      </c>
      <c r="L495" t="str">
        <f>IF(LEN(TRIM(E495))=0,"",VLOOKUP("Manifest Id",config!A:B,2,FALSE))</f>
        <v/>
      </c>
      <c r="M495" t="str">
        <f>IF(LEN(TRIM(E495))=0, "",VLOOKUP("Project Name",config!A:B,2,FALSE))</f>
        <v/>
      </c>
      <c r="N495" t="str">
        <f>IF(LEN(TRIM(E495))=0, "",VLOOKUP("Center Name",config!A:B,2,FALSE))</f>
        <v/>
      </c>
      <c r="O495" s="7" t="str">
        <f>IF(LEN(TRIM(E495))=0,"",VLOOKUP("Shipment Date",config!A:B,2,FALSE))</f>
        <v/>
      </c>
      <c r="P495" s="7" t="str">
        <f t="shared" si="29"/>
        <v/>
      </c>
      <c r="Q495" s="7" t="str">
        <f>IF(LEN(TRIM(D495))=0,"",GetConfigParameterValue("Collection Site"))</f>
        <v/>
      </c>
      <c r="R495" t="str">
        <f>IF(LEN(TRIM(E495))=0, "", GetManifestComments(H495))</f>
        <v/>
      </c>
      <c r="S495" t="str">
        <f>IF(LEN(TRIM(E495))=0,"",IF(ISERROR(VLOOKUP(E495,'Manifest MDB data'!A:A,1,FALSE)),"OK","EXISTS!!!"))</f>
        <v/>
      </c>
    </row>
    <row r="496" spans="4:19" x14ac:dyDescent="0.25">
      <c r="D496" t="str">
        <f t="shared" si="30"/>
        <v/>
      </c>
      <c r="E496" t="str">
        <f t="shared" si="31"/>
        <v/>
      </c>
      <c r="F496" t="str">
        <f t="shared" si="32"/>
        <v/>
      </c>
      <c r="G496" t="str">
        <f>IF(LEN(TRIM(E496))=0, "", GetSampleTissueBySpecimenPrep(H496))</f>
        <v/>
      </c>
      <c r="H496" t="str">
        <f>IF(LEN(TRIM(E496))=0, "", GetSpecimenPrepName())</f>
        <v/>
      </c>
      <c r="I496" t="str">
        <f>IF(LEN(TRIM(E496))=0, "", GetSampleVolumeBySpecimenPrep(H496))</f>
        <v/>
      </c>
      <c r="L496" t="str">
        <f>IF(LEN(TRIM(E496))=0,"",VLOOKUP("Manifest Id",config!A:B,2,FALSE))</f>
        <v/>
      </c>
      <c r="M496" t="str">
        <f>IF(LEN(TRIM(E496))=0, "",VLOOKUP("Project Name",config!A:B,2,FALSE))</f>
        <v/>
      </c>
      <c r="N496" t="str">
        <f>IF(LEN(TRIM(E496))=0, "",VLOOKUP("Center Name",config!A:B,2,FALSE))</f>
        <v/>
      </c>
      <c r="O496" s="7" t="str">
        <f>IF(LEN(TRIM(E496))=0,"",VLOOKUP("Shipment Date",config!A:B,2,FALSE))</f>
        <v/>
      </c>
      <c r="P496" s="7" t="str">
        <f t="shared" si="29"/>
        <v/>
      </c>
      <c r="Q496" s="7" t="str">
        <f>IF(LEN(TRIM(D496))=0,"",GetConfigParameterValue("Collection Site"))</f>
        <v/>
      </c>
      <c r="R496" t="str">
        <f>IF(LEN(TRIM(E496))=0, "", GetManifestComments(H496))</f>
        <v/>
      </c>
      <c r="S496" t="str">
        <f>IF(LEN(TRIM(E496))=0,"",IF(ISERROR(VLOOKUP(E496,'Manifest MDB data'!A:A,1,FALSE)),"OK","EXISTS!!!"))</f>
        <v/>
      </c>
    </row>
    <row r="497" spans="4:19" x14ac:dyDescent="0.25">
      <c r="D497" t="str">
        <f t="shared" si="30"/>
        <v/>
      </c>
      <c r="E497" t="str">
        <f t="shared" si="31"/>
        <v/>
      </c>
      <c r="F497" t="str">
        <f t="shared" si="32"/>
        <v/>
      </c>
      <c r="G497" t="str">
        <f>IF(LEN(TRIM(E497))=0, "", GetSampleTissueBySpecimenPrep(H497))</f>
        <v/>
      </c>
      <c r="H497" t="str">
        <f>IF(LEN(TRIM(E497))=0, "", GetSpecimenPrepName())</f>
        <v/>
      </c>
      <c r="I497" t="str">
        <f>IF(LEN(TRIM(E497))=0, "", GetSampleVolumeBySpecimenPrep(H497))</f>
        <v/>
      </c>
      <c r="L497" t="str">
        <f>IF(LEN(TRIM(E497))=0,"",VLOOKUP("Manifest Id",config!A:B,2,FALSE))</f>
        <v/>
      </c>
      <c r="M497" t="str">
        <f>IF(LEN(TRIM(E497))=0, "",VLOOKUP("Project Name",config!A:B,2,FALSE))</f>
        <v/>
      </c>
      <c r="N497" t="str">
        <f>IF(LEN(TRIM(E497))=0, "",VLOOKUP("Center Name",config!A:B,2,FALSE))</f>
        <v/>
      </c>
      <c r="O497" s="7" t="str">
        <f>IF(LEN(TRIM(E497))=0,"",VLOOKUP("Shipment Date",config!A:B,2,FALSE))</f>
        <v/>
      </c>
      <c r="P497" s="7" t="str">
        <f t="shared" si="29"/>
        <v/>
      </c>
      <c r="Q497" s="7" t="str">
        <f>IF(LEN(TRIM(D497))=0,"",GetConfigParameterValue("Collection Site"))</f>
        <v/>
      </c>
      <c r="R497" t="str">
        <f>IF(LEN(TRIM(E497))=0, "", GetManifestComments(H497))</f>
        <v/>
      </c>
      <c r="S497" t="str">
        <f>IF(LEN(TRIM(E497))=0,"",IF(ISERROR(VLOOKUP(E497,'Manifest MDB data'!A:A,1,FALSE)),"OK","EXISTS!!!"))</f>
        <v/>
      </c>
    </row>
    <row r="498" spans="4:19" x14ac:dyDescent="0.25">
      <c r="D498" t="str">
        <f t="shared" si="30"/>
        <v/>
      </c>
      <c r="E498" t="str">
        <f t="shared" si="31"/>
        <v/>
      </c>
      <c r="F498" t="str">
        <f t="shared" si="32"/>
        <v/>
      </c>
      <c r="G498" t="str">
        <f>IF(LEN(TRIM(E498))=0, "", GetSampleTissueBySpecimenPrep(H498))</f>
        <v/>
      </c>
      <c r="H498" t="str">
        <f>IF(LEN(TRIM(E498))=0, "", GetSpecimenPrepName())</f>
        <v/>
      </c>
      <c r="I498" t="str">
        <f>IF(LEN(TRIM(E498))=0, "", GetSampleVolumeBySpecimenPrep(H498))</f>
        <v/>
      </c>
      <c r="L498" t="str">
        <f>IF(LEN(TRIM(E498))=0,"",VLOOKUP("Manifest Id",config!A:B,2,FALSE))</f>
        <v/>
      </c>
      <c r="M498" t="str">
        <f>IF(LEN(TRIM(E498))=0, "",VLOOKUP("Project Name",config!A:B,2,FALSE))</f>
        <v/>
      </c>
      <c r="N498" t="str">
        <f>IF(LEN(TRIM(E498))=0, "",VLOOKUP("Center Name",config!A:B,2,FALSE))</f>
        <v/>
      </c>
      <c r="O498" s="7" t="str">
        <f>IF(LEN(TRIM(E498))=0,"",VLOOKUP("Shipment Date",config!A:B,2,FALSE))</f>
        <v/>
      </c>
      <c r="P498" s="7" t="str">
        <f t="shared" si="29"/>
        <v/>
      </c>
      <c r="Q498" s="7" t="str">
        <f>IF(LEN(TRIM(D498))=0,"",GetConfigParameterValue("Collection Site"))</f>
        <v/>
      </c>
      <c r="R498" t="str">
        <f>IF(LEN(TRIM(E498))=0, "", GetManifestComments(H498))</f>
        <v/>
      </c>
      <c r="S498" t="str">
        <f>IF(LEN(TRIM(E498))=0,"",IF(ISERROR(VLOOKUP(E498,'Manifest MDB data'!A:A,1,FALSE)),"OK","EXISTS!!!"))</f>
        <v/>
      </c>
    </row>
    <row r="499" spans="4:19" x14ac:dyDescent="0.25">
      <c r="D499" t="str">
        <f t="shared" si="30"/>
        <v/>
      </c>
      <c r="E499" t="str">
        <f t="shared" si="31"/>
        <v/>
      </c>
      <c r="F499" t="str">
        <f t="shared" si="32"/>
        <v/>
      </c>
      <c r="G499" t="str">
        <f>IF(LEN(TRIM(E499))=0, "", GetSampleTissueBySpecimenPrep(H499))</f>
        <v/>
      </c>
      <c r="H499" t="str">
        <f>IF(LEN(TRIM(E499))=0, "", GetSpecimenPrepName())</f>
        <v/>
      </c>
      <c r="I499" t="str">
        <f>IF(LEN(TRIM(E499))=0, "", GetSampleVolumeBySpecimenPrep(H499))</f>
        <v/>
      </c>
      <c r="L499" t="str">
        <f>IF(LEN(TRIM(E499))=0,"",VLOOKUP("Manifest Id",config!A:B,2,FALSE))</f>
        <v/>
      </c>
      <c r="M499" t="str">
        <f>IF(LEN(TRIM(E499))=0, "",VLOOKUP("Project Name",config!A:B,2,FALSE))</f>
        <v/>
      </c>
      <c r="N499" t="str">
        <f>IF(LEN(TRIM(E499))=0, "",VLOOKUP("Center Name",config!A:B,2,FALSE))</f>
        <v/>
      </c>
      <c r="O499" s="7" t="str">
        <f>IF(LEN(TRIM(E499))=0,"",VLOOKUP("Shipment Date",config!A:B,2,FALSE))</f>
        <v/>
      </c>
      <c r="P499" s="7" t="str">
        <f t="shared" si="29"/>
        <v/>
      </c>
      <c r="Q499" s="7" t="str">
        <f>IF(LEN(TRIM(D499))=0,"",GetConfigParameterValue("Collection Site"))</f>
        <v/>
      </c>
      <c r="R499" t="str">
        <f>IF(LEN(TRIM(E499))=0, "", GetManifestComments(H499))</f>
        <v/>
      </c>
      <c r="S499" t="str">
        <f>IF(LEN(TRIM(E499))=0,"",IF(ISERROR(VLOOKUP(E499,'Manifest MDB data'!A:A,1,FALSE)),"OK","EXISTS!!!"))</f>
        <v/>
      </c>
    </row>
    <row r="500" spans="4:19" x14ac:dyDescent="0.25">
      <c r="D500" t="str">
        <f t="shared" si="30"/>
        <v/>
      </c>
      <c r="E500" t="str">
        <f t="shared" si="31"/>
        <v/>
      </c>
      <c r="F500" t="str">
        <f t="shared" si="32"/>
        <v/>
      </c>
      <c r="G500" t="str">
        <f>IF(LEN(TRIM(E500))=0, "", GetSampleTissueBySpecimenPrep(H500))</f>
        <v/>
      </c>
      <c r="H500" t="str">
        <f>IF(LEN(TRIM(E500))=0, "", GetSpecimenPrepName())</f>
        <v/>
      </c>
      <c r="I500" t="str">
        <f>IF(LEN(TRIM(E500))=0, "", GetSampleVolumeBySpecimenPrep(H500))</f>
        <v/>
      </c>
      <c r="L500" t="str">
        <f>IF(LEN(TRIM(E500))=0,"",VLOOKUP("Manifest Id",config!A:B,2,FALSE))</f>
        <v/>
      </c>
      <c r="M500" t="str">
        <f>IF(LEN(TRIM(E500))=0, "",VLOOKUP("Project Name",config!A:B,2,FALSE))</f>
        <v/>
      </c>
      <c r="N500" t="str">
        <f>IF(LEN(TRIM(E500))=0, "",VLOOKUP("Center Name",config!A:B,2,FALSE))</f>
        <v/>
      </c>
      <c r="O500" s="7" t="str">
        <f>IF(LEN(TRIM(E500))=0,"",VLOOKUP("Shipment Date",config!A:B,2,FALSE))</f>
        <v/>
      </c>
      <c r="P500" s="7" t="str">
        <f t="shared" si="29"/>
        <v/>
      </c>
      <c r="Q500" s="7" t="str">
        <f>IF(LEN(TRIM(D500))=0,"",GetConfigParameterValue("Collection Site"))</f>
        <v/>
      </c>
      <c r="R500" t="str">
        <f>IF(LEN(TRIM(E500))=0, "", GetManifestComments(H500))</f>
        <v/>
      </c>
      <c r="S500" t="str">
        <f>IF(LEN(TRIM(E500))=0,"",IF(ISERROR(VLOOKUP(E500,'Manifest MDB data'!A:A,1,FALSE)),"OK","EXISTS!!!"))</f>
        <v/>
      </c>
    </row>
    <row r="501" spans="4:19" x14ac:dyDescent="0.25">
      <c r="D501" t="str">
        <f t="shared" si="30"/>
        <v/>
      </c>
      <c r="E501" t="str">
        <f t="shared" si="31"/>
        <v/>
      </c>
      <c r="F501" t="str">
        <f t="shared" si="32"/>
        <v/>
      </c>
      <c r="G501" t="str">
        <f>IF(LEN(TRIM(E501))=0, "", GetSampleTissueBySpecimenPrep(H501))</f>
        <v/>
      </c>
      <c r="H501" t="str">
        <f>IF(LEN(TRIM(E501))=0, "", GetSpecimenPrepName())</f>
        <v/>
      </c>
      <c r="I501" t="str">
        <f>IF(LEN(TRIM(E501))=0, "", GetSampleVolumeBySpecimenPrep(H501))</f>
        <v/>
      </c>
      <c r="L501" t="str">
        <f>IF(LEN(TRIM(E501))=0,"",VLOOKUP("Manifest Id",config!A:B,2,FALSE))</f>
        <v/>
      </c>
      <c r="M501" t="str">
        <f>IF(LEN(TRIM(E501))=0, "",VLOOKUP("Project Name",config!A:B,2,FALSE))</f>
        <v/>
      </c>
      <c r="N501" t="str">
        <f>IF(LEN(TRIM(E501))=0, "",VLOOKUP("Center Name",config!A:B,2,FALSE))</f>
        <v/>
      </c>
      <c r="O501" s="7" t="str">
        <f>IF(LEN(TRIM(E501))=0,"",VLOOKUP("Shipment Date",config!A:B,2,FALSE))</f>
        <v/>
      </c>
      <c r="P501" s="7" t="str">
        <f t="shared" si="29"/>
        <v/>
      </c>
      <c r="Q501" s="7" t="str">
        <f>IF(LEN(TRIM(D501))=0,"",GetConfigParameterValue("Collection Site"))</f>
        <v/>
      </c>
      <c r="R501" t="str">
        <f>IF(LEN(TRIM(E501))=0, "", GetManifestComments(H501))</f>
        <v/>
      </c>
      <c r="S501" t="str">
        <f>IF(LEN(TRIM(E501))=0,"",IF(ISERROR(VLOOKUP(E501,'Manifest MDB data'!A:A,1,FALSE)),"OK","EXISTS!!!"))</f>
        <v/>
      </c>
    </row>
    <row r="502" spans="4:19" x14ac:dyDescent="0.25">
      <c r="D502" t="str">
        <f t="shared" si="30"/>
        <v/>
      </c>
      <c r="E502" t="str">
        <f t="shared" si="31"/>
        <v/>
      </c>
      <c r="F502" t="str">
        <f t="shared" ref="F502:F565" si="33">IF(LEN(TRIM(E502))=0, "", "Human")</f>
        <v/>
      </c>
      <c r="G502" t="str">
        <f>IF(LEN(TRIM(E502))=0, "", GetSampleTissueBySpecimenPrep(H502))</f>
        <v/>
      </c>
      <c r="H502" t="str">
        <f>IF(LEN(TRIM(E502))=0, "", GetSpecimenPrepName())</f>
        <v/>
      </c>
      <c r="I502" t="str">
        <f>IF(LEN(TRIM(E502))=0, "", GetSampleVolumeBySpecimenPrep(H502))</f>
        <v/>
      </c>
      <c r="L502" t="str">
        <f>IF(LEN(TRIM(E502))=0,"",VLOOKUP("Manifest Id",config!A:B,2,FALSE))</f>
        <v/>
      </c>
      <c r="M502" t="str">
        <f>IF(LEN(TRIM(E502))=0, "",VLOOKUP("Project Name",config!A:B,2,FALSE))</f>
        <v/>
      </c>
      <c r="N502" t="str">
        <f>IF(LEN(TRIM(E502))=0, "",VLOOKUP("Center Name",config!A:B,2,FALSE))</f>
        <v/>
      </c>
      <c r="O502" s="7" t="str">
        <f>IF(LEN(TRIM(E502))=0,"",VLOOKUP("Shipment Date",config!A:B,2,FALSE))</f>
        <v/>
      </c>
      <c r="P502" s="7" t="str">
        <f t="shared" si="29"/>
        <v/>
      </c>
      <c r="Q502" s="7" t="str">
        <f>IF(LEN(TRIM(D502))=0,"",GetConfigParameterValue("Collection Site"))</f>
        <v/>
      </c>
      <c r="R502" t="str">
        <f>IF(LEN(TRIM(E502))=0, "", GetManifestComments(H502))</f>
        <v/>
      </c>
      <c r="S502" t="str">
        <f>IF(LEN(TRIM(E502))=0,"",IF(ISERROR(VLOOKUP(E502,'Manifest MDB data'!A:A,1,FALSE)),"OK","EXISTS!!!"))</f>
        <v/>
      </c>
    </row>
    <row r="503" spans="4:19" x14ac:dyDescent="0.25">
      <c r="D503" t="str">
        <f t="shared" si="30"/>
        <v/>
      </c>
      <c r="E503" t="str">
        <f t="shared" si="31"/>
        <v/>
      </c>
      <c r="F503" t="str">
        <f t="shared" si="33"/>
        <v/>
      </c>
      <c r="G503" t="str">
        <f>IF(LEN(TRIM(E503))=0, "", GetSampleTissueBySpecimenPrep(H503))</f>
        <v/>
      </c>
      <c r="H503" t="str">
        <f>IF(LEN(TRIM(E503))=0, "", GetSpecimenPrepName())</f>
        <v/>
      </c>
      <c r="I503" t="str">
        <f>IF(LEN(TRIM(E503))=0, "", GetSampleVolumeBySpecimenPrep(H503))</f>
        <v/>
      </c>
      <c r="L503" t="str">
        <f>IF(LEN(TRIM(E503))=0,"",VLOOKUP("Manifest Id",config!A:B,2,FALSE))</f>
        <v/>
      </c>
      <c r="M503" t="str">
        <f>IF(LEN(TRIM(E503))=0, "",VLOOKUP("Project Name",config!A:B,2,FALSE))</f>
        <v/>
      </c>
      <c r="N503" t="str">
        <f>IF(LEN(TRIM(E503))=0, "",VLOOKUP("Center Name",config!A:B,2,FALSE))</f>
        <v/>
      </c>
      <c r="O503" s="7" t="str">
        <f>IF(LEN(TRIM(E503))=0,"",VLOOKUP("Shipment Date",config!A:B,2,FALSE))</f>
        <v/>
      </c>
      <c r="P503" s="7" t="str">
        <f t="shared" si="29"/>
        <v/>
      </c>
      <c r="Q503" s="7" t="str">
        <f>IF(LEN(TRIM(D503))=0,"",GetConfigParameterValue("Collection Site"))</f>
        <v/>
      </c>
      <c r="R503" t="str">
        <f>IF(LEN(TRIM(E503))=0, "", GetManifestComments(H503))</f>
        <v/>
      </c>
      <c r="S503" t="str">
        <f>IF(LEN(TRIM(E503))=0,"",IF(ISERROR(VLOOKUP(E503,'Manifest MDB data'!A:A,1,FALSE)),"OK","EXISTS!!!"))</f>
        <v/>
      </c>
    </row>
    <row r="504" spans="4:19" x14ac:dyDescent="0.25">
      <c r="D504" t="str">
        <f t="shared" si="30"/>
        <v/>
      </c>
      <c r="E504" t="str">
        <f t="shared" si="31"/>
        <v/>
      </c>
      <c r="F504" t="str">
        <f t="shared" si="33"/>
        <v/>
      </c>
      <c r="G504" t="str">
        <f>IF(LEN(TRIM(E504))=0, "", GetSampleTissueBySpecimenPrep(H504))</f>
        <v/>
      </c>
      <c r="H504" t="str">
        <f>IF(LEN(TRIM(E504))=0, "", GetSpecimenPrepName())</f>
        <v/>
      </c>
      <c r="I504" t="str">
        <f>IF(LEN(TRIM(E504))=0, "", GetSampleVolumeBySpecimenPrep(H504))</f>
        <v/>
      </c>
      <c r="L504" t="str">
        <f>IF(LEN(TRIM(E504))=0,"",VLOOKUP("Manifest Id",config!A:B,2,FALSE))</f>
        <v/>
      </c>
      <c r="M504" t="str">
        <f>IF(LEN(TRIM(E504))=0, "",VLOOKUP("Project Name",config!A:B,2,FALSE))</f>
        <v/>
      </c>
      <c r="N504" t="str">
        <f>IF(LEN(TRIM(E504))=0, "",VLOOKUP("Center Name",config!A:B,2,FALSE))</f>
        <v/>
      </c>
      <c r="O504" s="7" t="str">
        <f>IF(LEN(TRIM(E504))=0,"",VLOOKUP("Shipment Date",config!A:B,2,FALSE))</f>
        <v/>
      </c>
      <c r="P504" s="7" t="str">
        <f t="shared" si="29"/>
        <v/>
      </c>
      <c r="Q504" s="7" t="str">
        <f>IF(LEN(TRIM(D504))=0,"",GetConfigParameterValue("Collection Site"))</f>
        <v/>
      </c>
      <c r="R504" t="str">
        <f>IF(LEN(TRIM(E504))=0, "", GetManifestComments(H504))</f>
        <v/>
      </c>
      <c r="S504" t="str">
        <f>IF(LEN(TRIM(E504))=0,"",IF(ISERROR(VLOOKUP(E504,'Manifest MDB data'!A:A,1,FALSE)),"OK","EXISTS!!!"))</f>
        <v/>
      </c>
    </row>
    <row r="505" spans="4:19" x14ac:dyDescent="0.25">
      <c r="D505" t="str">
        <f t="shared" si="30"/>
        <v/>
      </c>
      <c r="E505" t="str">
        <f t="shared" si="31"/>
        <v/>
      </c>
      <c r="F505" t="str">
        <f t="shared" si="33"/>
        <v/>
      </c>
      <c r="G505" t="str">
        <f>IF(LEN(TRIM(E505))=0, "", GetSampleTissueBySpecimenPrep(H505))</f>
        <v/>
      </c>
      <c r="H505" t="str">
        <f>IF(LEN(TRIM(E505))=0, "", GetSpecimenPrepName())</f>
        <v/>
      </c>
      <c r="I505" t="str">
        <f>IF(LEN(TRIM(E505))=0, "", GetSampleVolumeBySpecimenPrep(H505))</f>
        <v/>
      </c>
      <c r="L505" t="str">
        <f>IF(LEN(TRIM(E505))=0,"",VLOOKUP("Manifest Id",config!A:B,2,FALSE))</f>
        <v/>
      </c>
      <c r="M505" t="str">
        <f>IF(LEN(TRIM(E505))=0, "",VLOOKUP("Project Name",config!A:B,2,FALSE))</f>
        <v/>
      </c>
      <c r="N505" t="str">
        <f>IF(LEN(TRIM(E505))=0, "",VLOOKUP("Center Name",config!A:B,2,FALSE))</f>
        <v/>
      </c>
      <c r="O505" s="7" t="str">
        <f>IF(LEN(TRIM(E505))=0,"",VLOOKUP("Shipment Date",config!A:B,2,FALSE))</f>
        <v/>
      </c>
      <c r="P505" s="7" t="str">
        <f t="shared" si="29"/>
        <v/>
      </c>
      <c r="Q505" s="7" t="str">
        <f>IF(LEN(TRIM(D505))=0,"",GetConfigParameterValue("Collection Site"))</f>
        <v/>
      </c>
      <c r="R505" t="str">
        <f>IF(LEN(TRIM(E505))=0, "", GetManifestComments(H505))</f>
        <v/>
      </c>
      <c r="S505" t="str">
        <f>IF(LEN(TRIM(E505))=0,"",IF(ISERROR(VLOOKUP(E505,'Manifest MDB data'!A:A,1,FALSE)),"OK","EXISTS!!!"))</f>
        <v/>
      </c>
    </row>
    <row r="506" spans="4:19" x14ac:dyDescent="0.25">
      <c r="D506" t="str">
        <f t="shared" si="30"/>
        <v/>
      </c>
      <c r="E506" t="str">
        <f t="shared" si="31"/>
        <v/>
      </c>
      <c r="F506" t="str">
        <f t="shared" si="33"/>
        <v/>
      </c>
      <c r="G506" t="str">
        <f>IF(LEN(TRIM(E506))=0, "", GetSampleTissueBySpecimenPrep(H506))</f>
        <v/>
      </c>
      <c r="H506" t="str">
        <f>IF(LEN(TRIM(E506))=0, "", GetSpecimenPrepName())</f>
        <v/>
      </c>
      <c r="I506" t="str">
        <f>IF(LEN(TRIM(E506))=0, "", GetSampleVolumeBySpecimenPrep(H506))</f>
        <v/>
      </c>
      <c r="L506" t="str">
        <f>IF(LEN(TRIM(E506))=0,"",VLOOKUP("Manifest Id",config!A:B,2,FALSE))</f>
        <v/>
      </c>
      <c r="M506" t="str">
        <f>IF(LEN(TRIM(E506))=0, "",VLOOKUP("Project Name",config!A:B,2,FALSE))</f>
        <v/>
      </c>
      <c r="N506" t="str">
        <f>IF(LEN(TRIM(E506))=0, "",VLOOKUP("Center Name",config!A:B,2,FALSE))</f>
        <v/>
      </c>
      <c r="O506" s="7" t="str">
        <f>IF(LEN(TRIM(E506))=0,"",VLOOKUP("Shipment Date",config!A:B,2,FALSE))</f>
        <v/>
      </c>
      <c r="P506" s="7" t="str">
        <f t="shared" si="29"/>
        <v/>
      </c>
      <c r="Q506" s="7" t="str">
        <f>IF(LEN(TRIM(D506))=0,"",GetConfigParameterValue("Collection Site"))</f>
        <v/>
      </c>
      <c r="R506" t="str">
        <f>IF(LEN(TRIM(E506))=0, "", GetManifestComments(H506))</f>
        <v/>
      </c>
      <c r="S506" t="str">
        <f>IF(LEN(TRIM(E506))=0,"",IF(ISERROR(VLOOKUP(E506,'Manifest MDB data'!A:A,1,FALSE)),"OK","EXISTS!!!"))</f>
        <v/>
      </c>
    </row>
    <row r="507" spans="4:19" x14ac:dyDescent="0.25">
      <c r="D507" t="str">
        <f t="shared" si="30"/>
        <v/>
      </c>
      <c r="E507" t="str">
        <f t="shared" si="31"/>
        <v/>
      </c>
      <c r="F507" t="str">
        <f t="shared" si="33"/>
        <v/>
      </c>
      <c r="G507" t="str">
        <f>IF(LEN(TRIM(E507))=0, "", GetSampleTissueBySpecimenPrep(H507))</f>
        <v/>
      </c>
      <c r="H507" t="str">
        <f>IF(LEN(TRIM(E507))=0, "", GetSpecimenPrepName())</f>
        <v/>
      </c>
      <c r="I507" t="str">
        <f>IF(LEN(TRIM(E507))=0, "", GetSampleVolumeBySpecimenPrep(H507))</f>
        <v/>
      </c>
      <c r="L507" t="str">
        <f>IF(LEN(TRIM(E507))=0,"",VLOOKUP("Manifest Id",config!A:B,2,FALSE))</f>
        <v/>
      </c>
      <c r="M507" t="str">
        <f>IF(LEN(TRIM(E507))=0, "",VLOOKUP("Project Name",config!A:B,2,FALSE))</f>
        <v/>
      </c>
      <c r="N507" t="str">
        <f>IF(LEN(TRIM(E507))=0, "",VLOOKUP("Center Name",config!A:B,2,FALSE))</f>
        <v/>
      </c>
      <c r="O507" s="7" t="str">
        <f>IF(LEN(TRIM(E507))=0,"",VLOOKUP("Shipment Date",config!A:B,2,FALSE))</f>
        <v/>
      </c>
      <c r="P507" s="7" t="str">
        <f t="shared" si="29"/>
        <v/>
      </c>
      <c r="Q507" s="7" t="str">
        <f>IF(LEN(TRIM(D507))=0,"",GetConfigParameterValue("Collection Site"))</f>
        <v/>
      </c>
      <c r="R507" t="str">
        <f>IF(LEN(TRIM(E507))=0, "", GetManifestComments(H507))</f>
        <v/>
      </c>
      <c r="S507" t="str">
        <f>IF(LEN(TRIM(E507))=0,"",IF(ISERROR(VLOOKUP(E507,'Manifest MDB data'!A:A,1,FALSE)),"OK","EXISTS!!!"))</f>
        <v/>
      </c>
    </row>
    <row r="508" spans="4:19" x14ac:dyDescent="0.25">
      <c r="D508" t="str">
        <f t="shared" si="30"/>
        <v/>
      </c>
      <c r="E508" t="str">
        <f t="shared" si="31"/>
        <v/>
      </c>
      <c r="F508" t="str">
        <f t="shared" si="33"/>
        <v/>
      </c>
      <c r="G508" t="str">
        <f>IF(LEN(TRIM(E508))=0, "", GetSampleTissueBySpecimenPrep(H508))</f>
        <v/>
      </c>
      <c r="H508" t="str">
        <f>IF(LEN(TRIM(E508))=0, "", GetSpecimenPrepName())</f>
        <v/>
      </c>
      <c r="I508" t="str">
        <f>IF(LEN(TRIM(E508))=0, "", GetSampleVolumeBySpecimenPrep(H508))</f>
        <v/>
      </c>
      <c r="L508" t="str">
        <f>IF(LEN(TRIM(E508))=0,"",VLOOKUP("Manifest Id",config!A:B,2,FALSE))</f>
        <v/>
      </c>
      <c r="M508" t="str">
        <f>IF(LEN(TRIM(E508))=0, "",VLOOKUP("Project Name",config!A:B,2,FALSE))</f>
        <v/>
      </c>
      <c r="N508" t="str">
        <f>IF(LEN(TRIM(E508))=0, "",VLOOKUP("Center Name",config!A:B,2,FALSE))</f>
        <v/>
      </c>
      <c r="O508" s="7" t="str">
        <f>IF(LEN(TRIM(E508))=0,"",VLOOKUP("Shipment Date",config!A:B,2,FALSE))</f>
        <v/>
      </c>
      <c r="P508" s="7" t="str">
        <f t="shared" si="29"/>
        <v/>
      </c>
      <c r="Q508" s="7" t="str">
        <f>IF(LEN(TRIM(D508))=0,"",GetConfigParameterValue("Collection Site"))</f>
        <v/>
      </c>
      <c r="R508" t="str">
        <f>IF(LEN(TRIM(E508))=0, "", GetManifestComments(H508))</f>
        <v/>
      </c>
      <c r="S508" t="str">
        <f>IF(LEN(TRIM(E508))=0,"",IF(ISERROR(VLOOKUP(E508,'Manifest MDB data'!A:A,1,FALSE)),"OK","EXISTS!!!"))</f>
        <v/>
      </c>
    </row>
    <row r="509" spans="4:19" x14ac:dyDescent="0.25">
      <c r="D509" t="str">
        <f t="shared" si="30"/>
        <v/>
      </c>
      <c r="E509" t="str">
        <f t="shared" si="31"/>
        <v/>
      </c>
      <c r="F509" t="str">
        <f t="shared" si="33"/>
        <v/>
      </c>
      <c r="G509" t="str">
        <f>IF(LEN(TRIM(E509))=0, "", GetSampleTissueBySpecimenPrep(H509))</f>
        <v/>
      </c>
      <c r="H509" t="str">
        <f>IF(LEN(TRIM(E509))=0, "", GetSpecimenPrepName())</f>
        <v/>
      </c>
      <c r="I509" t="str">
        <f>IF(LEN(TRIM(E509))=0, "", GetSampleVolumeBySpecimenPrep(H509))</f>
        <v/>
      </c>
      <c r="L509" t="str">
        <f>IF(LEN(TRIM(E509))=0,"",VLOOKUP("Manifest Id",config!A:B,2,FALSE))</f>
        <v/>
      </c>
      <c r="M509" t="str">
        <f>IF(LEN(TRIM(E509))=0, "",VLOOKUP("Project Name",config!A:B,2,FALSE))</f>
        <v/>
      </c>
      <c r="N509" t="str">
        <f>IF(LEN(TRIM(E509))=0, "",VLOOKUP("Center Name",config!A:B,2,FALSE))</f>
        <v/>
      </c>
      <c r="O509" s="7" t="str">
        <f>IF(LEN(TRIM(E509))=0,"",VLOOKUP("Shipment Date",config!A:B,2,FALSE))</f>
        <v/>
      </c>
      <c r="P509" s="7" t="str">
        <f t="shared" si="29"/>
        <v/>
      </c>
      <c r="Q509" s="7" t="str">
        <f>IF(LEN(TRIM(D509))=0,"",GetConfigParameterValue("Collection Site"))</f>
        <v/>
      </c>
      <c r="R509" t="str">
        <f>IF(LEN(TRIM(E509))=0, "", GetManifestComments(H509))</f>
        <v/>
      </c>
      <c r="S509" t="str">
        <f>IF(LEN(TRIM(E509))=0,"",IF(ISERROR(VLOOKUP(E509,'Manifest MDB data'!A:A,1,FALSE)),"OK","EXISTS!!!"))</f>
        <v/>
      </c>
    </row>
    <row r="510" spans="4:19" x14ac:dyDescent="0.25">
      <c r="D510" t="str">
        <f t="shared" si="30"/>
        <v/>
      </c>
      <c r="E510" t="str">
        <f t="shared" si="31"/>
        <v/>
      </c>
      <c r="F510" t="str">
        <f t="shared" si="33"/>
        <v/>
      </c>
      <c r="G510" t="str">
        <f>IF(LEN(TRIM(E510))=0, "", GetSampleTissueBySpecimenPrep(H510))</f>
        <v/>
      </c>
      <c r="H510" t="str">
        <f>IF(LEN(TRIM(E510))=0, "", GetSpecimenPrepName())</f>
        <v/>
      </c>
      <c r="I510" t="str">
        <f>IF(LEN(TRIM(E510))=0, "", GetSampleVolumeBySpecimenPrep(H510))</f>
        <v/>
      </c>
      <c r="L510" t="str">
        <f>IF(LEN(TRIM(E510))=0,"",VLOOKUP("Manifest Id",config!A:B,2,FALSE))</f>
        <v/>
      </c>
      <c r="M510" t="str">
        <f>IF(LEN(TRIM(E510))=0, "",VLOOKUP("Project Name",config!A:B,2,FALSE))</f>
        <v/>
      </c>
      <c r="N510" t="str">
        <f>IF(LEN(TRIM(E510))=0, "",VLOOKUP("Center Name",config!A:B,2,FALSE))</f>
        <v/>
      </c>
      <c r="O510" s="7" t="str">
        <f>IF(LEN(TRIM(E510))=0,"",VLOOKUP("Shipment Date",config!A:B,2,FALSE))</f>
        <v/>
      </c>
      <c r="P510" s="7" t="str">
        <f t="shared" si="29"/>
        <v/>
      </c>
      <c r="Q510" s="7" t="str">
        <f>IF(LEN(TRIM(D510))=0,"",GetConfigParameterValue("Collection Site"))</f>
        <v/>
      </c>
      <c r="R510" t="str">
        <f>IF(LEN(TRIM(E510))=0, "", GetManifestComments(H510))</f>
        <v/>
      </c>
      <c r="S510" t="str">
        <f>IF(LEN(TRIM(E510))=0,"",IF(ISERROR(VLOOKUP(E510,'Manifest MDB data'!A:A,1,FALSE)),"OK","EXISTS!!!"))</f>
        <v/>
      </c>
    </row>
    <row r="511" spans="4:19" x14ac:dyDescent="0.25">
      <c r="D511" t="str">
        <f t="shared" si="30"/>
        <v/>
      </c>
      <c r="E511" t="str">
        <f t="shared" si="31"/>
        <v/>
      </c>
      <c r="F511" t="str">
        <f t="shared" si="33"/>
        <v/>
      </c>
      <c r="G511" t="str">
        <f>IF(LEN(TRIM(E511))=0, "", GetSampleTissueBySpecimenPrep(H511))</f>
        <v/>
      </c>
      <c r="H511" t="str">
        <f>IF(LEN(TRIM(E511))=0, "", GetSpecimenPrepName())</f>
        <v/>
      </c>
      <c r="I511" t="str">
        <f>IF(LEN(TRIM(E511))=0, "", GetSampleVolumeBySpecimenPrep(H511))</f>
        <v/>
      </c>
      <c r="L511" t="str">
        <f>IF(LEN(TRIM(E511))=0,"",VLOOKUP("Manifest Id",config!A:B,2,FALSE))</f>
        <v/>
      </c>
      <c r="M511" t="str">
        <f>IF(LEN(TRIM(E511))=0, "",VLOOKUP("Project Name",config!A:B,2,FALSE))</f>
        <v/>
      </c>
      <c r="N511" t="str">
        <f>IF(LEN(TRIM(E511))=0, "",VLOOKUP("Center Name",config!A:B,2,FALSE))</f>
        <v/>
      </c>
      <c r="O511" s="7" t="str">
        <f>IF(LEN(TRIM(E511))=0,"",VLOOKUP("Shipment Date",config!A:B,2,FALSE))</f>
        <v/>
      </c>
      <c r="P511" s="7" t="str">
        <f t="shared" si="29"/>
        <v/>
      </c>
      <c r="Q511" s="7" t="str">
        <f>IF(LEN(TRIM(D511))=0,"",GetConfigParameterValue("Collection Site"))</f>
        <v/>
      </c>
      <c r="R511" t="str">
        <f>IF(LEN(TRIM(E511))=0, "", GetManifestComments(H511))</f>
        <v/>
      </c>
      <c r="S511" t="str">
        <f>IF(LEN(TRIM(E511))=0,"",IF(ISERROR(VLOOKUP(E511,'Manifest MDB data'!A:A,1,FALSE)),"OK","EXISTS!!!"))</f>
        <v/>
      </c>
    </row>
    <row r="512" spans="4:19" x14ac:dyDescent="0.25">
      <c r="D512" t="str">
        <f t="shared" si="30"/>
        <v/>
      </c>
      <c r="E512" t="str">
        <f t="shared" si="31"/>
        <v/>
      </c>
      <c r="F512" t="str">
        <f t="shared" si="33"/>
        <v/>
      </c>
      <c r="G512" t="str">
        <f>IF(LEN(TRIM(E512))=0, "", GetSampleTissueBySpecimenPrep(H512))</f>
        <v/>
      </c>
      <c r="H512" t="str">
        <f>IF(LEN(TRIM(E512))=0, "", GetSpecimenPrepName())</f>
        <v/>
      </c>
      <c r="I512" t="str">
        <f>IF(LEN(TRIM(E512))=0, "", GetSampleVolumeBySpecimenPrep(H512))</f>
        <v/>
      </c>
      <c r="L512" t="str">
        <f>IF(LEN(TRIM(E512))=0,"",VLOOKUP("Manifest Id",config!A:B,2,FALSE))</f>
        <v/>
      </c>
      <c r="M512" t="str">
        <f>IF(LEN(TRIM(E512))=0, "",VLOOKUP("Project Name",config!A:B,2,FALSE))</f>
        <v/>
      </c>
      <c r="N512" t="str">
        <f>IF(LEN(TRIM(E512))=0, "",VLOOKUP("Center Name",config!A:B,2,FALSE))</f>
        <v/>
      </c>
      <c r="O512" s="7" t="str">
        <f>IF(LEN(TRIM(E512))=0,"",VLOOKUP("Shipment Date",config!A:B,2,FALSE))</f>
        <v/>
      </c>
      <c r="P512" s="7" t="str">
        <f t="shared" si="29"/>
        <v/>
      </c>
      <c r="Q512" s="7" t="str">
        <f>IF(LEN(TRIM(D512))=0,"",GetConfigParameterValue("Collection Site"))</f>
        <v/>
      </c>
      <c r="R512" t="str">
        <f>IF(LEN(TRIM(E512))=0, "", GetManifestComments(H512))</f>
        <v/>
      </c>
      <c r="S512" t="str">
        <f>IF(LEN(TRIM(E512))=0,"",IF(ISERROR(VLOOKUP(E512,'Manifest MDB data'!A:A,1,FALSE)),"OK","EXISTS!!!"))</f>
        <v/>
      </c>
    </row>
    <row r="513" spans="4:19" x14ac:dyDescent="0.25">
      <c r="D513" t="str">
        <f t="shared" si="30"/>
        <v/>
      </c>
      <c r="E513" t="str">
        <f t="shared" si="31"/>
        <v/>
      </c>
      <c r="F513" t="str">
        <f t="shared" si="33"/>
        <v/>
      </c>
      <c r="G513" t="str">
        <f>IF(LEN(TRIM(E513))=0, "", GetSampleTissueBySpecimenPrep(H513))</f>
        <v/>
      </c>
      <c r="H513" t="str">
        <f>IF(LEN(TRIM(E513))=0, "", GetSpecimenPrepName())</f>
        <v/>
      </c>
      <c r="I513" t="str">
        <f>IF(LEN(TRIM(E513))=0, "", GetSampleVolumeBySpecimenPrep(H513))</f>
        <v/>
      </c>
      <c r="L513" t="str">
        <f>IF(LEN(TRIM(E513))=0,"",VLOOKUP("Manifest Id",config!A:B,2,FALSE))</f>
        <v/>
      </c>
      <c r="M513" t="str">
        <f>IF(LEN(TRIM(E513))=0, "",VLOOKUP("Project Name",config!A:B,2,FALSE))</f>
        <v/>
      </c>
      <c r="N513" t="str">
        <f>IF(LEN(TRIM(E513))=0, "",VLOOKUP("Center Name",config!A:B,2,FALSE))</f>
        <v/>
      </c>
      <c r="O513" s="7" t="str">
        <f>IF(LEN(TRIM(E513))=0,"",VLOOKUP("Shipment Date",config!A:B,2,FALSE))</f>
        <v/>
      </c>
      <c r="P513" s="7" t="str">
        <f t="shared" si="29"/>
        <v/>
      </c>
      <c r="Q513" s="7" t="str">
        <f>IF(LEN(TRIM(D513))=0,"",GetConfigParameterValue("Collection Site"))</f>
        <v/>
      </c>
      <c r="R513" t="str">
        <f>IF(LEN(TRIM(E513))=0, "", GetManifestComments(H513))</f>
        <v/>
      </c>
      <c r="S513" t="str">
        <f>IF(LEN(TRIM(E513))=0,"",IF(ISERROR(VLOOKUP(E513,'Manifest MDB data'!A:A,1,FALSE)),"OK","EXISTS!!!"))</f>
        <v/>
      </c>
    </row>
    <row r="514" spans="4:19" x14ac:dyDescent="0.25">
      <c r="D514" t="str">
        <f t="shared" si="30"/>
        <v/>
      </c>
      <c r="E514" t="str">
        <f t="shared" si="31"/>
        <v/>
      </c>
      <c r="F514" t="str">
        <f t="shared" si="33"/>
        <v/>
      </c>
      <c r="G514" t="str">
        <f>IF(LEN(TRIM(E514))=0, "", GetSampleTissueBySpecimenPrep(H514))</f>
        <v/>
      </c>
      <c r="H514" t="str">
        <f>IF(LEN(TRIM(E514))=0, "", GetSpecimenPrepName())</f>
        <v/>
      </c>
      <c r="I514" t="str">
        <f>IF(LEN(TRIM(E514))=0, "", GetSampleVolumeBySpecimenPrep(H514))</f>
        <v/>
      </c>
      <c r="L514" t="str">
        <f>IF(LEN(TRIM(E514))=0,"",VLOOKUP("Manifest Id",config!A:B,2,FALSE))</f>
        <v/>
      </c>
      <c r="M514" t="str">
        <f>IF(LEN(TRIM(E514))=0, "",VLOOKUP("Project Name",config!A:B,2,FALSE))</f>
        <v/>
      </c>
      <c r="N514" t="str">
        <f>IF(LEN(TRIM(E514))=0, "",VLOOKUP("Center Name",config!A:B,2,FALSE))</f>
        <v/>
      </c>
      <c r="O514" s="7" t="str">
        <f>IF(LEN(TRIM(E514))=0,"",VLOOKUP("Shipment Date",config!A:B,2,FALSE))</f>
        <v/>
      </c>
      <c r="P514" s="7" t="str">
        <f t="shared" ref="P514:P577" si="34">getColumnValueBySubjectID("Visit Date", RIGHT(LEFT(D514,7),4))</f>
        <v/>
      </c>
      <c r="Q514" s="7" t="str">
        <f>IF(LEN(TRIM(D514))=0,"",GetConfigParameterValue("Collection Site"))</f>
        <v/>
      </c>
      <c r="R514" t="str">
        <f>IF(LEN(TRIM(E514))=0, "", GetManifestComments(H514))</f>
        <v/>
      </c>
      <c r="S514" t="str">
        <f>IF(LEN(TRIM(E514))=0,"",IF(ISERROR(VLOOKUP(E514,'Manifest MDB data'!A:A,1,FALSE)),"OK","EXISTS!!!"))</f>
        <v/>
      </c>
    </row>
    <row r="515" spans="4:19" x14ac:dyDescent="0.25">
      <c r="D515" t="str">
        <f t="shared" ref="D515:D578" si="35">GetSampleId((ROW()))</f>
        <v/>
      </c>
      <c r="E515" t="str">
        <f t="shared" ref="E515:E578" si="36">GetAliquotId((ROW()))</f>
        <v/>
      </c>
      <c r="F515" t="str">
        <f t="shared" si="33"/>
        <v/>
      </c>
      <c r="G515" t="str">
        <f>IF(LEN(TRIM(E515))=0, "", GetSampleTissueBySpecimenPrep(H515))</f>
        <v/>
      </c>
      <c r="H515" t="str">
        <f>IF(LEN(TRIM(E515))=0, "", GetSpecimenPrepName())</f>
        <v/>
      </c>
      <c r="I515" t="str">
        <f>IF(LEN(TRIM(E515))=0, "", GetSampleVolumeBySpecimenPrep(H515))</f>
        <v/>
      </c>
      <c r="L515" t="str">
        <f>IF(LEN(TRIM(E515))=0,"",VLOOKUP("Manifest Id",config!A:B,2,FALSE))</f>
        <v/>
      </c>
      <c r="M515" t="str">
        <f>IF(LEN(TRIM(E515))=0, "",VLOOKUP("Project Name",config!A:B,2,FALSE))</f>
        <v/>
      </c>
      <c r="N515" t="str">
        <f>IF(LEN(TRIM(E515))=0, "",VLOOKUP("Center Name",config!A:B,2,FALSE))</f>
        <v/>
      </c>
      <c r="O515" s="7" t="str">
        <f>IF(LEN(TRIM(E515))=0,"",VLOOKUP("Shipment Date",config!A:B,2,FALSE))</f>
        <v/>
      </c>
      <c r="P515" s="7" t="str">
        <f t="shared" si="34"/>
        <v/>
      </c>
      <c r="Q515" s="7" t="str">
        <f>IF(LEN(TRIM(D515))=0,"",GetConfigParameterValue("Collection Site"))</f>
        <v/>
      </c>
      <c r="R515" t="str">
        <f>IF(LEN(TRIM(E515))=0, "", GetManifestComments(H515))</f>
        <v/>
      </c>
      <c r="S515" t="str">
        <f>IF(LEN(TRIM(E515))=0,"",IF(ISERROR(VLOOKUP(E515,'Manifest MDB data'!A:A,1,FALSE)),"OK","EXISTS!!!"))</f>
        <v/>
      </c>
    </row>
    <row r="516" spans="4:19" x14ac:dyDescent="0.25">
      <c r="D516" t="str">
        <f t="shared" si="35"/>
        <v/>
      </c>
      <c r="E516" t="str">
        <f t="shared" si="36"/>
        <v/>
      </c>
      <c r="F516" t="str">
        <f t="shared" si="33"/>
        <v/>
      </c>
      <c r="G516" t="str">
        <f>IF(LEN(TRIM(E516))=0, "", GetSampleTissueBySpecimenPrep(H516))</f>
        <v/>
      </c>
      <c r="H516" t="str">
        <f>IF(LEN(TRIM(E516))=0, "", GetSpecimenPrepName())</f>
        <v/>
      </c>
      <c r="I516" t="str">
        <f>IF(LEN(TRIM(E516))=0, "", GetSampleVolumeBySpecimenPrep(H516))</f>
        <v/>
      </c>
      <c r="L516" t="str">
        <f>IF(LEN(TRIM(E516))=0,"",VLOOKUP("Manifest Id",config!A:B,2,FALSE))</f>
        <v/>
      </c>
      <c r="M516" t="str">
        <f>IF(LEN(TRIM(E516))=0, "",VLOOKUP("Project Name",config!A:B,2,FALSE))</f>
        <v/>
      </c>
      <c r="N516" t="str">
        <f>IF(LEN(TRIM(E516))=0, "",VLOOKUP("Center Name",config!A:B,2,FALSE))</f>
        <v/>
      </c>
      <c r="O516" s="7" t="str">
        <f>IF(LEN(TRIM(E516))=0,"",VLOOKUP("Shipment Date",config!A:B,2,FALSE))</f>
        <v/>
      </c>
      <c r="P516" s="7" t="str">
        <f t="shared" si="34"/>
        <v/>
      </c>
      <c r="Q516" s="7" t="str">
        <f>IF(LEN(TRIM(D516))=0,"",GetConfigParameterValue("Collection Site"))</f>
        <v/>
      </c>
      <c r="R516" t="str">
        <f>IF(LEN(TRIM(E516))=0, "", GetManifestComments(H516))</f>
        <v/>
      </c>
      <c r="S516" t="str">
        <f>IF(LEN(TRIM(E516))=0,"",IF(ISERROR(VLOOKUP(E516,'Manifest MDB data'!A:A,1,FALSE)),"OK","EXISTS!!!"))</f>
        <v/>
      </c>
    </row>
    <row r="517" spans="4:19" x14ac:dyDescent="0.25">
      <c r="D517" t="str">
        <f t="shared" si="35"/>
        <v/>
      </c>
      <c r="E517" t="str">
        <f t="shared" si="36"/>
        <v/>
      </c>
      <c r="F517" t="str">
        <f t="shared" si="33"/>
        <v/>
      </c>
      <c r="G517" t="str">
        <f>IF(LEN(TRIM(E517))=0, "", GetSampleTissueBySpecimenPrep(H517))</f>
        <v/>
      </c>
      <c r="H517" t="str">
        <f>IF(LEN(TRIM(E517))=0, "", GetSpecimenPrepName())</f>
        <v/>
      </c>
      <c r="I517" t="str">
        <f>IF(LEN(TRIM(E517))=0, "", GetSampleVolumeBySpecimenPrep(H517))</f>
        <v/>
      </c>
      <c r="L517" t="str">
        <f>IF(LEN(TRIM(E517))=0,"",VLOOKUP("Manifest Id",config!A:B,2,FALSE))</f>
        <v/>
      </c>
      <c r="M517" t="str">
        <f>IF(LEN(TRIM(E517))=0, "",VLOOKUP("Project Name",config!A:B,2,FALSE))</f>
        <v/>
      </c>
      <c r="N517" t="str">
        <f>IF(LEN(TRIM(E517))=0, "",VLOOKUP("Center Name",config!A:B,2,FALSE))</f>
        <v/>
      </c>
      <c r="O517" s="7" t="str">
        <f>IF(LEN(TRIM(E517))=0,"",VLOOKUP("Shipment Date",config!A:B,2,FALSE))</f>
        <v/>
      </c>
      <c r="P517" s="7" t="str">
        <f t="shared" si="34"/>
        <v/>
      </c>
      <c r="Q517" s="7" t="str">
        <f>IF(LEN(TRIM(D517))=0,"",GetConfigParameterValue("Collection Site"))</f>
        <v/>
      </c>
      <c r="R517" t="str">
        <f>IF(LEN(TRIM(E517))=0, "", GetManifestComments(H517))</f>
        <v/>
      </c>
      <c r="S517" t="str">
        <f>IF(LEN(TRIM(E517))=0,"",IF(ISERROR(VLOOKUP(E517,'Manifest MDB data'!A:A,1,FALSE)),"OK","EXISTS!!!"))</f>
        <v/>
      </c>
    </row>
    <row r="518" spans="4:19" x14ac:dyDescent="0.25">
      <c r="D518" t="str">
        <f t="shared" si="35"/>
        <v/>
      </c>
      <c r="E518" t="str">
        <f t="shared" si="36"/>
        <v/>
      </c>
      <c r="F518" t="str">
        <f t="shared" si="33"/>
        <v/>
      </c>
      <c r="G518" t="str">
        <f>IF(LEN(TRIM(E518))=0, "", GetSampleTissueBySpecimenPrep(H518))</f>
        <v/>
      </c>
      <c r="H518" t="str">
        <f>IF(LEN(TRIM(E518))=0, "", GetSpecimenPrepName())</f>
        <v/>
      </c>
      <c r="I518" t="str">
        <f>IF(LEN(TRIM(E518))=0, "", GetSampleVolumeBySpecimenPrep(H518))</f>
        <v/>
      </c>
      <c r="L518" t="str">
        <f>IF(LEN(TRIM(E518))=0,"",VLOOKUP("Manifest Id",config!A:B,2,FALSE))</f>
        <v/>
      </c>
      <c r="M518" t="str">
        <f>IF(LEN(TRIM(E518))=0, "",VLOOKUP("Project Name",config!A:B,2,FALSE))</f>
        <v/>
      </c>
      <c r="N518" t="str">
        <f>IF(LEN(TRIM(E518))=0, "",VLOOKUP("Center Name",config!A:B,2,FALSE))</f>
        <v/>
      </c>
      <c r="O518" s="7" t="str">
        <f>IF(LEN(TRIM(E518))=0,"",VLOOKUP("Shipment Date",config!A:B,2,FALSE))</f>
        <v/>
      </c>
      <c r="P518" s="7" t="str">
        <f t="shared" si="34"/>
        <v/>
      </c>
      <c r="Q518" s="7" t="str">
        <f>IF(LEN(TRIM(D518))=0,"",GetConfigParameterValue("Collection Site"))</f>
        <v/>
      </c>
      <c r="R518" t="str">
        <f>IF(LEN(TRIM(E518))=0, "", GetManifestComments(H518))</f>
        <v/>
      </c>
      <c r="S518" t="str">
        <f>IF(LEN(TRIM(E518))=0,"",IF(ISERROR(VLOOKUP(E518,'Manifest MDB data'!A:A,1,FALSE)),"OK","EXISTS!!!"))</f>
        <v/>
      </c>
    </row>
    <row r="519" spans="4:19" x14ac:dyDescent="0.25">
      <c r="D519" t="str">
        <f t="shared" si="35"/>
        <v/>
      </c>
      <c r="E519" t="str">
        <f t="shared" si="36"/>
        <v/>
      </c>
      <c r="F519" t="str">
        <f t="shared" si="33"/>
        <v/>
      </c>
      <c r="G519" t="str">
        <f>IF(LEN(TRIM(E519))=0, "", GetSampleTissueBySpecimenPrep(H519))</f>
        <v/>
      </c>
      <c r="H519" t="str">
        <f>IF(LEN(TRIM(E519))=0, "", GetSpecimenPrepName())</f>
        <v/>
      </c>
      <c r="I519" t="str">
        <f>IF(LEN(TRIM(E519))=0, "", GetSampleVolumeBySpecimenPrep(H519))</f>
        <v/>
      </c>
      <c r="L519" t="str">
        <f>IF(LEN(TRIM(E519))=0,"",VLOOKUP("Manifest Id",config!A:B,2,FALSE))</f>
        <v/>
      </c>
      <c r="M519" t="str">
        <f>IF(LEN(TRIM(E519))=0, "",VLOOKUP("Project Name",config!A:B,2,FALSE))</f>
        <v/>
      </c>
      <c r="N519" t="str">
        <f>IF(LEN(TRIM(E519))=0, "",VLOOKUP("Center Name",config!A:B,2,FALSE))</f>
        <v/>
      </c>
      <c r="O519" s="7" t="str">
        <f>IF(LEN(TRIM(E519))=0,"",VLOOKUP("Shipment Date",config!A:B,2,FALSE))</f>
        <v/>
      </c>
      <c r="P519" s="7" t="str">
        <f t="shared" si="34"/>
        <v/>
      </c>
      <c r="Q519" s="7" t="str">
        <f>IF(LEN(TRIM(D519))=0,"",GetConfigParameterValue("Collection Site"))</f>
        <v/>
      </c>
      <c r="R519" t="str">
        <f>IF(LEN(TRIM(E519))=0, "", GetManifestComments(H519))</f>
        <v/>
      </c>
      <c r="S519" t="str">
        <f>IF(LEN(TRIM(E519))=0,"",IF(ISERROR(VLOOKUP(E519,'Manifest MDB data'!A:A,1,FALSE)),"OK","EXISTS!!!"))</f>
        <v/>
      </c>
    </row>
    <row r="520" spans="4:19" x14ac:dyDescent="0.25">
      <c r="D520" t="str">
        <f t="shared" si="35"/>
        <v/>
      </c>
      <c r="E520" t="str">
        <f t="shared" si="36"/>
        <v/>
      </c>
      <c r="F520" t="str">
        <f t="shared" si="33"/>
        <v/>
      </c>
      <c r="G520" t="str">
        <f>IF(LEN(TRIM(E520))=0, "", GetSampleTissueBySpecimenPrep(H520))</f>
        <v/>
      </c>
      <c r="H520" t="str">
        <f>IF(LEN(TRIM(E520))=0, "", GetSpecimenPrepName())</f>
        <v/>
      </c>
      <c r="I520" t="str">
        <f>IF(LEN(TRIM(E520))=0, "", GetSampleVolumeBySpecimenPrep(H520))</f>
        <v/>
      </c>
      <c r="L520" t="str">
        <f>IF(LEN(TRIM(E520))=0,"",VLOOKUP("Manifest Id",config!A:B,2,FALSE))</f>
        <v/>
      </c>
      <c r="M520" t="str">
        <f>IF(LEN(TRIM(E520))=0, "",VLOOKUP("Project Name",config!A:B,2,FALSE))</f>
        <v/>
      </c>
      <c r="N520" t="str">
        <f>IF(LEN(TRIM(E520))=0, "",VLOOKUP("Center Name",config!A:B,2,FALSE))</f>
        <v/>
      </c>
      <c r="O520" s="7" t="str">
        <f>IF(LEN(TRIM(E520))=0,"",VLOOKUP("Shipment Date",config!A:B,2,FALSE))</f>
        <v/>
      </c>
      <c r="P520" s="7" t="str">
        <f t="shared" si="34"/>
        <v/>
      </c>
      <c r="Q520" s="7" t="str">
        <f>IF(LEN(TRIM(D520))=0,"",GetConfigParameterValue("Collection Site"))</f>
        <v/>
      </c>
      <c r="R520" t="str">
        <f>IF(LEN(TRIM(E520))=0, "", GetManifestComments(H520))</f>
        <v/>
      </c>
      <c r="S520" t="str">
        <f>IF(LEN(TRIM(E520))=0,"",IF(ISERROR(VLOOKUP(E520,'Manifest MDB data'!A:A,1,FALSE)),"OK","EXISTS!!!"))</f>
        <v/>
      </c>
    </row>
    <row r="521" spans="4:19" x14ac:dyDescent="0.25">
      <c r="D521" t="str">
        <f t="shared" si="35"/>
        <v/>
      </c>
      <c r="E521" t="str">
        <f t="shared" si="36"/>
        <v/>
      </c>
      <c r="F521" t="str">
        <f t="shared" si="33"/>
        <v/>
      </c>
      <c r="G521" t="str">
        <f>IF(LEN(TRIM(E521))=0, "", GetSampleTissueBySpecimenPrep(H521))</f>
        <v/>
      </c>
      <c r="H521" t="str">
        <f>IF(LEN(TRIM(E521))=0, "", GetSpecimenPrepName())</f>
        <v/>
      </c>
      <c r="I521" t="str">
        <f>IF(LEN(TRIM(E521))=0, "", GetSampleVolumeBySpecimenPrep(H521))</f>
        <v/>
      </c>
      <c r="L521" t="str">
        <f>IF(LEN(TRIM(E521))=0,"",VLOOKUP("Manifest Id",config!A:B,2,FALSE))</f>
        <v/>
      </c>
      <c r="M521" t="str">
        <f>IF(LEN(TRIM(E521))=0, "",VLOOKUP("Project Name",config!A:B,2,FALSE))</f>
        <v/>
      </c>
      <c r="N521" t="str">
        <f>IF(LEN(TRIM(E521))=0, "",VLOOKUP("Center Name",config!A:B,2,FALSE))</f>
        <v/>
      </c>
      <c r="O521" s="7" t="str">
        <f>IF(LEN(TRIM(E521))=0,"",VLOOKUP("Shipment Date",config!A:B,2,FALSE))</f>
        <v/>
      </c>
      <c r="P521" s="7" t="str">
        <f t="shared" si="34"/>
        <v/>
      </c>
      <c r="Q521" s="7" t="str">
        <f>IF(LEN(TRIM(D521))=0,"",GetConfigParameterValue("Collection Site"))</f>
        <v/>
      </c>
      <c r="R521" t="str">
        <f>IF(LEN(TRIM(E521))=0, "", GetManifestComments(H521))</f>
        <v/>
      </c>
      <c r="S521" t="str">
        <f>IF(LEN(TRIM(E521))=0,"",IF(ISERROR(VLOOKUP(E521,'Manifest MDB data'!A:A,1,FALSE)),"OK","EXISTS!!!"))</f>
        <v/>
      </c>
    </row>
    <row r="522" spans="4:19" x14ac:dyDescent="0.25">
      <c r="D522" t="str">
        <f t="shared" si="35"/>
        <v/>
      </c>
      <c r="E522" t="str">
        <f t="shared" si="36"/>
        <v/>
      </c>
      <c r="F522" t="str">
        <f t="shared" si="33"/>
        <v/>
      </c>
      <c r="G522" t="str">
        <f>IF(LEN(TRIM(E522))=0, "", GetSampleTissueBySpecimenPrep(H522))</f>
        <v/>
      </c>
      <c r="H522" t="str">
        <f>IF(LEN(TRIM(E522))=0, "", GetSpecimenPrepName())</f>
        <v/>
      </c>
      <c r="I522" t="str">
        <f>IF(LEN(TRIM(E522))=0, "", GetSampleVolumeBySpecimenPrep(H522))</f>
        <v/>
      </c>
      <c r="L522" t="str">
        <f>IF(LEN(TRIM(E522))=0,"",VLOOKUP("Manifest Id",config!A:B,2,FALSE))</f>
        <v/>
      </c>
      <c r="M522" t="str">
        <f>IF(LEN(TRIM(E522))=0, "",VLOOKUP("Project Name",config!A:B,2,FALSE))</f>
        <v/>
      </c>
      <c r="N522" t="str">
        <f>IF(LEN(TRIM(E522))=0, "",VLOOKUP("Center Name",config!A:B,2,FALSE))</f>
        <v/>
      </c>
      <c r="O522" s="7" t="str">
        <f>IF(LEN(TRIM(E522))=0,"",VLOOKUP("Shipment Date",config!A:B,2,FALSE))</f>
        <v/>
      </c>
      <c r="P522" s="7" t="str">
        <f t="shared" si="34"/>
        <v/>
      </c>
      <c r="Q522" s="7" t="str">
        <f>IF(LEN(TRIM(D522))=0,"",GetConfigParameterValue("Collection Site"))</f>
        <v/>
      </c>
      <c r="R522" t="str">
        <f>IF(LEN(TRIM(E522))=0, "", GetManifestComments(H522))</f>
        <v/>
      </c>
      <c r="S522" t="str">
        <f>IF(LEN(TRIM(E522))=0,"",IF(ISERROR(VLOOKUP(E522,'Manifest MDB data'!A:A,1,FALSE)),"OK","EXISTS!!!"))</f>
        <v/>
      </c>
    </row>
    <row r="523" spans="4:19" x14ac:dyDescent="0.25">
      <c r="D523" t="str">
        <f t="shared" si="35"/>
        <v/>
      </c>
      <c r="E523" t="str">
        <f t="shared" si="36"/>
        <v/>
      </c>
      <c r="F523" t="str">
        <f t="shared" si="33"/>
        <v/>
      </c>
      <c r="G523" t="str">
        <f>IF(LEN(TRIM(E523))=0, "", GetSampleTissueBySpecimenPrep(H523))</f>
        <v/>
      </c>
      <c r="H523" t="str">
        <f>IF(LEN(TRIM(E523))=0, "", GetSpecimenPrepName())</f>
        <v/>
      </c>
      <c r="I523" t="str">
        <f>IF(LEN(TRIM(E523))=0, "", GetSampleVolumeBySpecimenPrep(H523))</f>
        <v/>
      </c>
      <c r="L523" t="str">
        <f>IF(LEN(TRIM(E523))=0,"",VLOOKUP("Manifest Id",config!A:B,2,FALSE))</f>
        <v/>
      </c>
      <c r="M523" t="str">
        <f>IF(LEN(TRIM(E523))=0, "",VLOOKUP("Project Name",config!A:B,2,FALSE))</f>
        <v/>
      </c>
      <c r="N523" t="str">
        <f>IF(LEN(TRIM(E523))=0, "",VLOOKUP("Center Name",config!A:B,2,FALSE))</f>
        <v/>
      </c>
      <c r="O523" s="7" t="str">
        <f>IF(LEN(TRIM(E523))=0,"",VLOOKUP("Shipment Date",config!A:B,2,FALSE))</f>
        <v/>
      </c>
      <c r="P523" s="7" t="str">
        <f t="shared" si="34"/>
        <v/>
      </c>
      <c r="Q523" s="7" t="str">
        <f>IF(LEN(TRIM(D523))=0,"",GetConfigParameterValue("Collection Site"))</f>
        <v/>
      </c>
      <c r="R523" t="str">
        <f>IF(LEN(TRIM(E523))=0, "", GetManifestComments(H523))</f>
        <v/>
      </c>
      <c r="S523" t="str">
        <f>IF(LEN(TRIM(E523))=0,"",IF(ISERROR(VLOOKUP(E523,'Manifest MDB data'!A:A,1,FALSE)),"OK","EXISTS!!!"))</f>
        <v/>
      </c>
    </row>
    <row r="524" spans="4:19" x14ac:dyDescent="0.25">
      <c r="D524" t="str">
        <f t="shared" si="35"/>
        <v/>
      </c>
      <c r="E524" t="str">
        <f t="shared" si="36"/>
        <v/>
      </c>
      <c r="F524" t="str">
        <f t="shared" si="33"/>
        <v/>
      </c>
      <c r="G524" t="str">
        <f>IF(LEN(TRIM(E524))=0, "", GetSampleTissueBySpecimenPrep(H524))</f>
        <v/>
      </c>
      <c r="H524" t="str">
        <f>IF(LEN(TRIM(E524))=0, "", GetSpecimenPrepName())</f>
        <v/>
      </c>
      <c r="I524" t="str">
        <f>IF(LEN(TRIM(E524))=0, "", GetSampleVolumeBySpecimenPrep(H524))</f>
        <v/>
      </c>
      <c r="L524" t="str">
        <f>IF(LEN(TRIM(E524))=0,"",VLOOKUP("Manifest Id",config!A:B,2,FALSE))</f>
        <v/>
      </c>
      <c r="M524" t="str">
        <f>IF(LEN(TRIM(E524))=0, "",VLOOKUP("Project Name",config!A:B,2,FALSE))</f>
        <v/>
      </c>
      <c r="N524" t="str">
        <f>IF(LEN(TRIM(E524))=0, "",VLOOKUP("Center Name",config!A:B,2,FALSE))</f>
        <v/>
      </c>
      <c r="O524" s="7" t="str">
        <f>IF(LEN(TRIM(E524))=0,"",VLOOKUP("Shipment Date",config!A:B,2,FALSE))</f>
        <v/>
      </c>
      <c r="P524" s="7" t="str">
        <f t="shared" si="34"/>
        <v/>
      </c>
      <c r="Q524" s="7" t="str">
        <f>IF(LEN(TRIM(D524))=0,"",GetConfigParameterValue("Collection Site"))</f>
        <v/>
      </c>
      <c r="R524" t="str">
        <f>IF(LEN(TRIM(E524))=0, "", GetManifestComments(H524))</f>
        <v/>
      </c>
      <c r="S524" t="str">
        <f>IF(LEN(TRIM(E524))=0,"",IF(ISERROR(VLOOKUP(E524,'Manifest MDB data'!A:A,1,FALSE)),"OK","EXISTS!!!"))</f>
        <v/>
      </c>
    </row>
    <row r="525" spans="4:19" x14ac:dyDescent="0.25">
      <c r="D525" t="str">
        <f t="shared" si="35"/>
        <v/>
      </c>
      <c r="E525" t="str">
        <f t="shared" si="36"/>
        <v/>
      </c>
      <c r="F525" t="str">
        <f t="shared" si="33"/>
        <v/>
      </c>
      <c r="G525" t="str">
        <f>IF(LEN(TRIM(E525))=0, "", GetSampleTissueBySpecimenPrep(H525))</f>
        <v/>
      </c>
      <c r="H525" t="str">
        <f>IF(LEN(TRIM(E525))=0, "", GetSpecimenPrepName())</f>
        <v/>
      </c>
      <c r="I525" t="str">
        <f>IF(LEN(TRIM(E525))=0, "", GetSampleVolumeBySpecimenPrep(H525))</f>
        <v/>
      </c>
      <c r="L525" t="str">
        <f>IF(LEN(TRIM(E525))=0,"",VLOOKUP("Manifest Id",config!A:B,2,FALSE))</f>
        <v/>
      </c>
      <c r="M525" t="str">
        <f>IF(LEN(TRIM(E525))=0, "",VLOOKUP("Project Name",config!A:B,2,FALSE))</f>
        <v/>
      </c>
      <c r="N525" t="str">
        <f>IF(LEN(TRIM(E525))=0, "",VLOOKUP("Center Name",config!A:B,2,FALSE))</f>
        <v/>
      </c>
      <c r="O525" s="7" t="str">
        <f>IF(LEN(TRIM(E525))=0,"",VLOOKUP("Shipment Date",config!A:B,2,FALSE))</f>
        <v/>
      </c>
      <c r="P525" s="7" t="str">
        <f t="shared" si="34"/>
        <v/>
      </c>
      <c r="Q525" s="7" t="str">
        <f>IF(LEN(TRIM(D525))=0,"",GetConfigParameterValue("Collection Site"))</f>
        <v/>
      </c>
      <c r="R525" t="str">
        <f>IF(LEN(TRIM(E525))=0, "", GetManifestComments(H525))</f>
        <v/>
      </c>
      <c r="S525" t="str">
        <f>IF(LEN(TRIM(E525))=0,"",IF(ISERROR(VLOOKUP(E525,'Manifest MDB data'!A:A,1,FALSE)),"OK","EXISTS!!!"))</f>
        <v/>
      </c>
    </row>
    <row r="526" spans="4:19" x14ac:dyDescent="0.25">
      <c r="D526" t="str">
        <f t="shared" si="35"/>
        <v/>
      </c>
      <c r="E526" t="str">
        <f t="shared" si="36"/>
        <v/>
      </c>
      <c r="F526" t="str">
        <f t="shared" si="33"/>
        <v/>
      </c>
      <c r="G526" t="str">
        <f>IF(LEN(TRIM(E526))=0, "", GetSampleTissueBySpecimenPrep(H526))</f>
        <v/>
      </c>
      <c r="H526" t="str">
        <f>IF(LEN(TRIM(E526))=0, "", GetSpecimenPrepName())</f>
        <v/>
      </c>
      <c r="I526" t="str">
        <f>IF(LEN(TRIM(E526))=0, "", GetSampleVolumeBySpecimenPrep(H526))</f>
        <v/>
      </c>
      <c r="L526" t="str">
        <f>IF(LEN(TRIM(E526))=0,"",VLOOKUP("Manifest Id",config!A:B,2,FALSE))</f>
        <v/>
      </c>
      <c r="M526" t="str">
        <f>IF(LEN(TRIM(E526))=0, "",VLOOKUP("Project Name",config!A:B,2,FALSE))</f>
        <v/>
      </c>
      <c r="N526" t="str">
        <f>IF(LEN(TRIM(E526))=0, "",VLOOKUP("Center Name",config!A:B,2,FALSE))</f>
        <v/>
      </c>
      <c r="O526" s="7" t="str">
        <f>IF(LEN(TRIM(E526))=0,"",VLOOKUP("Shipment Date",config!A:B,2,FALSE))</f>
        <v/>
      </c>
      <c r="P526" s="7" t="str">
        <f t="shared" si="34"/>
        <v/>
      </c>
      <c r="Q526" s="7" t="str">
        <f>IF(LEN(TRIM(D526))=0,"",GetConfigParameterValue("Collection Site"))</f>
        <v/>
      </c>
      <c r="R526" t="str">
        <f>IF(LEN(TRIM(E526))=0, "", GetManifestComments(H526))</f>
        <v/>
      </c>
      <c r="S526" t="str">
        <f>IF(LEN(TRIM(E526))=0,"",IF(ISERROR(VLOOKUP(E526,'Manifest MDB data'!A:A,1,FALSE)),"OK","EXISTS!!!"))</f>
        <v/>
      </c>
    </row>
    <row r="527" spans="4:19" x14ac:dyDescent="0.25">
      <c r="D527" t="str">
        <f t="shared" si="35"/>
        <v/>
      </c>
      <c r="E527" t="str">
        <f t="shared" si="36"/>
        <v/>
      </c>
      <c r="F527" t="str">
        <f t="shared" si="33"/>
        <v/>
      </c>
      <c r="G527" t="str">
        <f>IF(LEN(TRIM(E527))=0, "", GetSampleTissueBySpecimenPrep(H527))</f>
        <v/>
      </c>
      <c r="H527" t="str">
        <f>IF(LEN(TRIM(E527))=0, "", GetSpecimenPrepName())</f>
        <v/>
      </c>
      <c r="I527" t="str">
        <f>IF(LEN(TRIM(E527))=0, "", GetSampleVolumeBySpecimenPrep(H527))</f>
        <v/>
      </c>
      <c r="L527" t="str">
        <f>IF(LEN(TRIM(E527))=0,"",VLOOKUP("Manifest Id",config!A:B,2,FALSE))</f>
        <v/>
      </c>
      <c r="M527" t="str">
        <f>IF(LEN(TRIM(E527))=0, "",VLOOKUP("Project Name",config!A:B,2,FALSE))</f>
        <v/>
      </c>
      <c r="N527" t="str">
        <f>IF(LEN(TRIM(E527))=0, "",VLOOKUP("Center Name",config!A:B,2,FALSE))</f>
        <v/>
      </c>
      <c r="O527" s="7" t="str">
        <f>IF(LEN(TRIM(E527))=0,"",VLOOKUP("Shipment Date",config!A:B,2,FALSE))</f>
        <v/>
      </c>
      <c r="P527" s="7" t="str">
        <f t="shared" si="34"/>
        <v/>
      </c>
      <c r="Q527" s="7" t="str">
        <f>IF(LEN(TRIM(D527))=0,"",GetConfigParameterValue("Collection Site"))</f>
        <v/>
      </c>
      <c r="R527" t="str">
        <f>IF(LEN(TRIM(E527))=0, "", GetManifestComments(H527))</f>
        <v/>
      </c>
      <c r="S527" t="str">
        <f>IF(LEN(TRIM(E527))=0,"",IF(ISERROR(VLOOKUP(E527,'Manifest MDB data'!A:A,1,FALSE)),"OK","EXISTS!!!"))</f>
        <v/>
      </c>
    </row>
    <row r="528" spans="4:19" x14ac:dyDescent="0.25">
      <c r="D528" t="str">
        <f t="shared" si="35"/>
        <v/>
      </c>
      <c r="E528" t="str">
        <f t="shared" si="36"/>
        <v/>
      </c>
      <c r="F528" t="str">
        <f t="shared" si="33"/>
        <v/>
      </c>
      <c r="G528" t="str">
        <f>IF(LEN(TRIM(E528))=0, "", GetSampleTissueBySpecimenPrep(H528))</f>
        <v/>
      </c>
      <c r="H528" t="str">
        <f>IF(LEN(TRIM(E528))=0, "", GetSpecimenPrepName())</f>
        <v/>
      </c>
      <c r="I528" t="str">
        <f>IF(LEN(TRIM(E528))=0, "", GetSampleVolumeBySpecimenPrep(H528))</f>
        <v/>
      </c>
      <c r="L528" t="str">
        <f>IF(LEN(TRIM(E528))=0,"",VLOOKUP("Manifest Id",config!A:B,2,FALSE))</f>
        <v/>
      </c>
      <c r="M528" t="str">
        <f>IF(LEN(TRIM(E528))=0, "",VLOOKUP("Project Name",config!A:B,2,FALSE))</f>
        <v/>
      </c>
      <c r="N528" t="str">
        <f>IF(LEN(TRIM(E528))=0, "",VLOOKUP("Center Name",config!A:B,2,FALSE))</f>
        <v/>
      </c>
      <c r="O528" s="7" t="str">
        <f>IF(LEN(TRIM(E528))=0,"",VLOOKUP("Shipment Date",config!A:B,2,FALSE))</f>
        <v/>
      </c>
      <c r="P528" s="7" t="str">
        <f t="shared" si="34"/>
        <v/>
      </c>
      <c r="Q528" s="7" t="str">
        <f>IF(LEN(TRIM(D528))=0,"",GetConfigParameterValue("Collection Site"))</f>
        <v/>
      </c>
      <c r="R528" t="str">
        <f>IF(LEN(TRIM(E528))=0, "", GetManifestComments(H528))</f>
        <v/>
      </c>
      <c r="S528" t="str">
        <f>IF(LEN(TRIM(E528))=0,"",IF(ISERROR(VLOOKUP(E528,'Manifest MDB data'!A:A,1,FALSE)),"OK","EXISTS!!!"))</f>
        <v/>
      </c>
    </row>
    <row r="529" spans="4:19" x14ac:dyDescent="0.25">
      <c r="D529" t="str">
        <f t="shared" si="35"/>
        <v/>
      </c>
      <c r="E529" t="str">
        <f t="shared" si="36"/>
        <v/>
      </c>
      <c r="F529" t="str">
        <f t="shared" si="33"/>
        <v/>
      </c>
      <c r="G529" t="str">
        <f>IF(LEN(TRIM(E529))=0, "", GetSampleTissueBySpecimenPrep(H529))</f>
        <v/>
      </c>
      <c r="H529" t="str">
        <f>IF(LEN(TRIM(E529))=0, "", GetSpecimenPrepName())</f>
        <v/>
      </c>
      <c r="I529" t="str">
        <f>IF(LEN(TRIM(E529))=0, "", GetSampleVolumeBySpecimenPrep(H529))</f>
        <v/>
      </c>
      <c r="L529" t="str">
        <f>IF(LEN(TRIM(E529))=0,"",VLOOKUP("Manifest Id",config!A:B,2,FALSE))</f>
        <v/>
      </c>
      <c r="M529" t="str">
        <f>IF(LEN(TRIM(E529))=0, "",VLOOKUP("Project Name",config!A:B,2,FALSE))</f>
        <v/>
      </c>
      <c r="N529" t="str">
        <f>IF(LEN(TRIM(E529))=0, "",VLOOKUP("Center Name",config!A:B,2,FALSE))</f>
        <v/>
      </c>
      <c r="O529" s="7" t="str">
        <f>IF(LEN(TRIM(E529))=0,"",VLOOKUP("Shipment Date",config!A:B,2,FALSE))</f>
        <v/>
      </c>
      <c r="P529" s="7" t="str">
        <f t="shared" si="34"/>
        <v/>
      </c>
      <c r="Q529" s="7" t="str">
        <f>IF(LEN(TRIM(D529))=0,"",GetConfigParameterValue("Collection Site"))</f>
        <v/>
      </c>
      <c r="R529" t="str">
        <f>IF(LEN(TRIM(E529))=0, "", GetManifestComments(H529))</f>
        <v/>
      </c>
      <c r="S529" t="str">
        <f>IF(LEN(TRIM(E529))=0,"",IF(ISERROR(VLOOKUP(E529,'Manifest MDB data'!A:A,1,FALSE)),"OK","EXISTS!!!"))</f>
        <v/>
      </c>
    </row>
    <row r="530" spans="4:19" x14ac:dyDescent="0.25">
      <c r="D530" t="str">
        <f t="shared" si="35"/>
        <v/>
      </c>
      <c r="E530" t="str">
        <f t="shared" si="36"/>
        <v/>
      </c>
      <c r="F530" t="str">
        <f t="shared" si="33"/>
        <v/>
      </c>
      <c r="G530" t="str">
        <f>IF(LEN(TRIM(E530))=0, "", GetSampleTissueBySpecimenPrep(H530))</f>
        <v/>
      </c>
      <c r="H530" t="str">
        <f>IF(LEN(TRIM(E530))=0, "", GetSpecimenPrepName())</f>
        <v/>
      </c>
      <c r="I530" t="str">
        <f>IF(LEN(TRIM(E530))=0, "", GetSampleVolumeBySpecimenPrep(H530))</f>
        <v/>
      </c>
      <c r="L530" t="str">
        <f>IF(LEN(TRIM(E530))=0,"",VLOOKUP("Manifest Id",config!A:B,2,FALSE))</f>
        <v/>
      </c>
      <c r="M530" t="str">
        <f>IF(LEN(TRIM(E530))=0, "",VLOOKUP("Project Name",config!A:B,2,FALSE))</f>
        <v/>
      </c>
      <c r="N530" t="str">
        <f>IF(LEN(TRIM(E530))=0, "",VLOOKUP("Center Name",config!A:B,2,FALSE))</f>
        <v/>
      </c>
      <c r="O530" s="7" t="str">
        <f>IF(LEN(TRIM(E530))=0,"",VLOOKUP("Shipment Date",config!A:B,2,FALSE))</f>
        <v/>
      </c>
      <c r="P530" s="7" t="str">
        <f t="shared" si="34"/>
        <v/>
      </c>
      <c r="Q530" s="7" t="str">
        <f>IF(LEN(TRIM(D530))=0,"",GetConfigParameterValue("Collection Site"))</f>
        <v/>
      </c>
      <c r="R530" t="str">
        <f>IF(LEN(TRIM(E530))=0, "", GetManifestComments(H530))</f>
        <v/>
      </c>
      <c r="S530" t="str">
        <f>IF(LEN(TRIM(E530))=0,"",IF(ISERROR(VLOOKUP(E530,'Manifest MDB data'!A:A,1,FALSE)),"OK","EXISTS!!!"))</f>
        <v/>
      </c>
    </row>
    <row r="531" spans="4:19" x14ac:dyDescent="0.25">
      <c r="D531" t="str">
        <f t="shared" si="35"/>
        <v/>
      </c>
      <c r="E531" t="str">
        <f t="shared" si="36"/>
        <v/>
      </c>
      <c r="F531" t="str">
        <f t="shared" si="33"/>
        <v/>
      </c>
      <c r="G531" t="str">
        <f>IF(LEN(TRIM(E531))=0, "", GetSampleTissueBySpecimenPrep(H531))</f>
        <v/>
      </c>
      <c r="H531" t="str">
        <f>IF(LEN(TRIM(E531))=0, "", GetSpecimenPrepName())</f>
        <v/>
      </c>
      <c r="I531" t="str">
        <f>IF(LEN(TRIM(E531))=0, "", GetSampleVolumeBySpecimenPrep(H531))</f>
        <v/>
      </c>
      <c r="L531" t="str">
        <f>IF(LEN(TRIM(E531))=0,"",VLOOKUP("Manifest Id",config!A:B,2,FALSE))</f>
        <v/>
      </c>
      <c r="M531" t="str">
        <f>IF(LEN(TRIM(E531))=0, "",VLOOKUP("Project Name",config!A:B,2,FALSE))</f>
        <v/>
      </c>
      <c r="N531" t="str">
        <f>IF(LEN(TRIM(E531))=0, "",VLOOKUP("Center Name",config!A:B,2,FALSE))</f>
        <v/>
      </c>
      <c r="O531" s="7" t="str">
        <f>IF(LEN(TRIM(E531))=0,"",VLOOKUP("Shipment Date",config!A:B,2,FALSE))</f>
        <v/>
      </c>
      <c r="P531" s="7" t="str">
        <f t="shared" si="34"/>
        <v/>
      </c>
      <c r="Q531" s="7" t="str">
        <f>IF(LEN(TRIM(D531))=0,"",GetConfigParameterValue("Collection Site"))</f>
        <v/>
      </c>
      <c r="R531" t="str">
        <f>IF(LEN(TRIM(E531))=0, "", GetManifestComments(H531))</f>
        <v/>
      </c>
      <c r="S531" t="str">
        <f>IF(LEN(TRIM(E531))=0,"",IF(ISERROR(VLOOKUP(E531,'Manifest MDB data'!A:A,1,FALSE)),"OK","EXISTS!!!"))</f>
        <v/>
      </c>
    </row>
    <row r="532" spans="4:19" x14ac:dyDescent="0.25">
      <c r="D532" t="str">
        <f t="shared" si="35"/>
        <v/>
      </c>
      <c r="E532" t="str">
        <f t="shared" si="36"/>
        <v/>
      </c>
      <c r="F532" t="str">
        <f t="shared" si="33"/>
        <v/>
      </c>
      <c r="G532" t="str">
        <f>IF(LEN(TRIM(E532))=0, "", GetSampleTissueBySpecimenPrep(H532))</f>
        <v/>
      </c>
      <c r="H532" t="str">
        <f>IF(LEN(TRIM(E532))=0, "", GetSpecimenPrepName())</f>
        <v/>
      </c>
      <c r="I532" t="str">
        <f>IF(LEN(TRIM(E532))=0, "", GetSampleVolumeBySpecimenPrep(H532))</f>
        <v/>
      </c>
      <c r="L532" t="str">
        <f>IF(LEN(TRIM(E532))=0,"",VLOOKUP("Manifest Id",config!A:B,2,FALSE))</f>
        <v/>
      </c>
      <c r="M532" t="str">
        <f>IF(LEN(TRIM(E532))=0, "",VLOOKUP("Project Name",config!A:B,2,FALSE))</f>
        <v/>
      </c>
      <c r="N532" t="str">
        <f>IF(LEN(TRIM(E532))=0, "",VLOOKUP("Center Name",config!A:B,2,FALSE))</f>
        <v/>
      </c>
      <c r="O532" s="7" t="str">
        <f>IF(LEN(TRIM(E532))=0,"",VLOOKUP("Shipment Date",config!A:B,2,FALSE))</f>
        <v/>
      </c>
      <c r="P532" s="7" t="str">
        <f t="shared" si="34"/>
        <v/>
      </c>
      <c r="Q532" s="7" t="str">
        <f>IF(LEN(TRIM(D532))=0,"",GetConfigParameterValue("Collection Site"))</f>
        <v/>
      </c>
      <c r="R532" t="str">
        <f>IF(LEN(TRIM(E532))=0, "", GetManifestComments(H532))</f>
        <v/>
      </c>
      <c r="S532" t="str">
        <f>IF(LEN(TRIM(E532))=0,"",IF(ISERROR(VLOOKUP(E532,'Manifest MDB data'!A:A,1,FALSE)),"OK","EXISTS!!!"))</f>
        <v/>
      </c>
    </row>
    <row r="533" spans="4:19" x14ac:dyDescent="0.25">
      <c r="D533" t="str">
        <f t="shared" si="35"/>
        <v/>
      </c>
      <c r="E533" t="str">
        <f t="shared" si="36"/>
        <v/>
      </c>
      <c r="F533" t="str">
        <f t="shared" si="33"/>
        <v/>
      </c>
      <c r="G533" t="str">
        <f>IF(LEN(TRIM(E533))=0, "", GetSampleTissueBySpecimenPrep(H533))</f>
        <v/>
      </c>
      <c r="H533" t="str">
        <f>IF(LEN(TRIM(E533))=0, "", GetSpecimenPrepName())</f>
        <v/>
      </c>
      <c r="I533" t="str">
        <f>IF(LEN(TRIM(E533))=0, "", GetSampleVolumeBySpecimenPrep(H533))</f>
        <v/>
      </c>
      <c r="L533" t="str">
        <f>IF(LEN(TRIM(E533))=0,"",VLOOKUP("Manifest Id",config!A:B,2,FALSE))</f>
        <v/>
      </c>
      <c r="M533" t="str">
        <f>IF(LEN(TRIM(E533))=0, "",VLOOKUP("Project Name",config!A:B,2,FALSE))</f>
        <v/>
      </c>
      <c r="N533" t="str">
        <f>IF(LEN(TRIM(E533))=0, "",VLOOKUP("Center Name",config!A:B,2,FALSE))</f>
        <v/>
      </c>
      <c r="O533" s="7" t="str">
        <f>IF(LEN(TRIM(E533))=0,"",VLOOKUP("Shipment Date",config!A:B,2,FALSE))</f>
        <v/>
      </c>
      <c r="P533" s="7" t="str">
        <f t="shared" si="34"/>
        <v/>
      </c>
      <c r="Q533" s="7" t="str">
        <f>IF(LEN(TRIM(D533))=0,"",GetConfigParameterValue("Collection Site"))</f>
        <v/>
      </c>
      <c r="R533" t="str">
        <f>IF(LEN(TRIM(E533))=0, "", GetManifestComments(H533))</f>
        <v/>
      </c>
      <c r="S533" t="str">
        <f>IF(LEN(TRIM(E533))=0,"",IF(ISERROR(VLOOKUP(E533,'Manifest MDB data'!A:A,1,FALSE)),"OK","EXISTS!!!"))</f>
        <v/>
      </c>
    </row>
    <row r="534" spans="4:19" x14ac:dyDescent="0.25">
      <c r="D534" t="str">
        <f t="shared" si="35"/>
        <v/>
      </c>
      <c r="E534" t="str">
        <f t="shared" si="36"/>
        <v/>
      </c>
      <c r="F534" t="str">
        <f t="shared" si="33"/>
        <v/>
      </c>
      <c r="G534" t="str">
        <f>IF(LEN(TRIM(E534))=0, "", GetSampleTissueBySpecimenPrep(H534))</f>
        <v/>
      </c>
      <c r="H534" t="str">
        <f>IF(LEN(TRIM(E534))=0, "", GetSpecimenPrepName())</f>
        <v/>
      </c>
      <c r="I534" t="str">
        <f>IF(LEN(TRIM(E534))=0, "", GetSampleVolumeBySpecimenPrep(H534))</f>
        <v/>
      </c>
      <c r="L534" t="str">
        <f>IF(LEN(TRIM(E534))=0,"",VLOOKUP("Manifest Id",config!A:B,2,FALSE))</f>
        <v/>
      </c>
      <c r="M534" t="str">
        <f>IF(LEN(TRIM(E534))=0, "",VLOOKUP("Project Name",config!A:B,2,FALSE))</f>
        <v/>
      </c>
      <c r="N534" t="str">
        <f>IF(LEN(TRIM(E534))=0, "",VLOOKUP("Center Name",config!A:B,2,FALSE))</f>
        <v/>
      </c>
      <c r="O534" s="7" t="str">
        <f>IF(LEN(TRIM(E534))=0,"",VLOOKUP("Shipment Date",config!A:B,2,FALSE))</f>
        <v/>
      </c>
      <c r="P534" s="7" t="str">
        <f t="shared" si="34"/>
        <v/>
      </c>
      <c r="Q534" s="7" t="str">
        <f>IF(LEN(TRIM(D534))=0,"",GetConfigParameterValue("Collection Site"))</f>
        <v/>
      </c>
      <c r="R534" t="str">
        <f>IF(LEN(TRIM(E534))=0, "", GetManifestComments(H534))</f>
        <v/>
      </c>
      <c r="S534" t="str">
        <f>IF(LEN(TRIM(E534))=0,"",IF(ISERROR(VLOOKUP(E534,'Manifest MDB data'!A:A,1,FALSE)),"OK","EXISTS!!!"))</f>
        <v/>
      </c>
    </row>
    <row r="535" spans="4:19" x14ac:dyDescent="0.25">
      <c r="D535" t="str">
        <f t="shared" si="35"/>
        <v/>
      </c>
      <c r="E535" t="str">
        <f t="shared" si="36"/>
        <v/>
      </c>
      <c r="F535" t="str">
        <f t="shared" si="33"/>
        <v/>
      </c>
      <c r="G535" t="str">
        <f>IF(LEN(TRIM(E535))=0, "", GetSampleTissueBySpecimenPrep(H535))</f>
        <v/>
      </c>
      <c r="H535" t="str">
        <f>IF(LEN(TRIM(E535))=0, "", GetSpecimenPrepName())</f>
        <v/>
      </c>
      <c r="I535" t="str">
        <f>IF(LEN(TRIM(E535))=0, "", GetSampleVolumeBySpecimenPrep(H535))</f>
        <v/>
      </c>
      <c r="L535" t="str">
        <f>IF(LEN(TRIM(E535))=0,"",VLOOKUP("Manifest Id",config!A:B,2,FALSE))</f>
        <v/>
      </c>
      <c r="M535" t="str">
        <f>IF(LEN(TRIM(E535))=0, "",VLOOKUP("Project Name",config!A:B,2,FALSE))</f>
        <v/>
      </c>
      <c r="N535" t="str">
        <f>IF(LEN(TRIM(E535))=0, "",VLOOKUP("Center Name",config!A:B,2,FALSE))</f>
        <v/>
      </c>
      <c r="O535" s="7" t="str">
        <f>IF(LEN(TRIM(E535))=0,"",VLOOKUP("Shipment Date",config!A:B,2,FALSE))</f>
        <v/>
      </c>
      <c r="P535" s="7" t="str">
        <f t="shared" si="34"/>
        <v/>
      </c>
      <c r="Q535" s="7" t="str">
        <f>IF(LEN(TRIM(D535))=0,"",GetConfigParameterValue("Collection Site"))</f>
        <v/>
      </c>
      <c r="R535" t="str">
        <f>IF(LEN(TRIM(E535))=0, "", GetManifestComments(H535))</f>
        <v/>
      </c>
      <c r="S535" t="str">
        <f>IF(LEN(TRIM(E535))=0,"",IF(ISERROR(VLOOKUP(E535,'Manifest MDB data'!A:A,1,FALSE)),"OK","EXISTS!!!"))</f>
        <v/>
      </c>
    </row>
    <row r="536" spans="4:19" x14ac:dyDescent="0.25">
      <c r="D536" t="str">
        <f t="shared" si="35"/>
        <v/>
      </c>
      <c r="E536" t="str">
        <f t="shared" si="36"/>
        <v/>
      </c>
      <c r="F536" t="str">
        <f t="shared" si="33"/>
        <v/>
      </c>
      <c r="G536" t="str">
        <f>IF(LEN(TRIM(E536))=0, "", GetSampleTissueBySpecimenPrep(H536))</f>
        <v/>
      </c>
      <c r="H536" t="str">
        <f>IF(LEN(TRIM(E536))=0, "", GetSpecimenPrepName())</f>
        <v/>
      </c>
      <c r="I536" t="str">
        <f>IF(LEN(TRIM(E536))=0, "", GetSampleVolumeBySpecimenPrep(H536))</f>
        <v/>
      </c>
      <c r="L536" t="str">
        <f>IF(LEN(TRIM(E536))=0,"",VLOOKUP("Manifest Id",config!A:B,2,FALSE))</f>
        <v/>
      </c>
      <c r="M536" t="str">
        <f>IF(LEN(TRIM(E536))=0, "",VLOOKUP("Project Name",config!A:B,2,FALSE))</f>
        <v/>
      </c>
      <c r="N536" t="str">
        <f>IF(LEN(TRIM(E536))=0, "",VLOOKUP("Center Name",config!A:B,2,FALSE))</f>
        <v/>
      </c>
      <c r="O536" s="7" t="str">
        <f>IF(LEN(TRIM(E536))=0,"",VLOOKUP("Shipment Date",config!A:B,2,FALSE))</f>
        <v/>
      </c>
      <c r="P536" s="7" t="str">
        <f t="shared" si="34"/>
        <v/>
      </c>
      <c r="Q536" s="7" t="str">
        <f>IF(LEN(TRIM(D536))=0,"",GetConfigParameterValue("Collection Site"))</f>
        <v/>
      </c>
      <c r="R536" t="str">
        <f>IF(LEN(TRIM(E536))=0, "", GetManifestComments(H536))</f>
        <v/>
      </c>
      <c r="S536" t="str">
        <f>IF(LEN(TRIM(E536))=0,"",IF(ISERROR(VLOOKUP(E536,'Manifest MDB data'!A:A,1,FALSE)),"OK","EXISTS!!!"))</f>
        <v/>
      </c>
    </row>
    <row r="537" spans="4:19" x14ac:dyDescent="0.25">
      <c r="D537" t="str">
        <f t="shared" si="35"/>
        <v/>
      </c>
      <c r="E537" t="str">
        <f t="shared" si="36"/>
        <v/>
      </c>
      <c r="F537" t="str">
        <f t="shared" si="33"/>
        <v/>
      </c>
      <c r="G537" t="str">
        <f>IF(LEN(TRIM(E537))=0, "", GetSampleTissueBySpecimenPrep(H537))</f>
        <v/>
      </c>
      <c r="H537" t="str">
        <f>IF(LEN(TRIM(E537))=0, "", GetSpecimenPrepName())</f>
        <v/>
      </c>
      <c r="I537" t="str">
        <f>IF(LEN(TRIM(E537))=0, "", GetSampleVolumeBySpecimenPrep(H537))</f>
        <v/>
      </c>
      <c r="L537" t="str">
        <f>IF(LEN(TRIM(E537))=0,"",VLOOKUP("Manifest Id",config!A:B,2,FALSE))</f>
        <v/>
      </c>
      <c r="M537" t="str">
        <f>IF(LEN(TRIM(E537))=0, "",VLOOKUP("Project Name",config!A:B,2,FALSE))</f>
        <v/>
      </c>
      <c r="N537" t="str">
        <f>IF(LEN(TRIM(E537))=0, "",VLOOKUP("Center Name",config!A:B,2,FALSE))</f>
        <v/>
      </c>
      <c r="O537" s="7" t="str">
        <f>IF(LEN(TRIM(E537))=0,"",VLOOKUP("Shipment Date",config!A:B,2,FALSE))</f>
        <v/>
      </c>
      <c r="P537" s="7" t="str">
        <f t="shared" si="34"/>
        <v/>
      </c>
      <c r="Q537" s="7" t="str">
        <f>IF(LEN(TRIM(D537))=0,"",GetConfigParameterValue("Collection Site"))</f>
        <v/>
      </c>
      <c r="R537" t="str">
        <f>IF(LEN(TRIM(E537))=0, "", GetManifestComments(H537))</f>
        <v/>
      </c>
      <c r="S537" t="str">
        <f>IF(LEN(TRIM(E537))=0,"",IF(ISERROR(VLOOKUP(E537,'Manifest MDB data'!A:A,1,FALSE)),"OK","EXISTS!!!"))</f>
        <v/>
      </c>
    </row>
    <row r="538" spans="4:19" x14ac:dyDescent="0.25">
      <c r="D538" t="str">
        <f t="shared" si="35"/>
        <v/>
      </c>
      <c r="E538" t="str">
        <f t="shared" si="36"/>
        <v/>
      </c>
      <c r="F538" t="str">
        <f t="shared" si="33"/>
        <v/>
      </c>
      <c r="G538" t="str">
        <f>IF(LEN(TRIM(E538))=0, "", GetSampleTissueBySpecimenPrep(H538))</f>
        <v/>
      </c>
      <c r="H538" t="str">
        <f>IF(LEN(TRIM(E538))=0, "", GetSpecimenPrepName())</f>
        <v/>
      </c>
      <c r="I538" t="str">
        <f>IF(LEN(TRIM(E538))=0, "", GetSampleVolumeBySpecimenPrep(H538))</f>
        <v/>
      </c>
      <c r="L538" t="str">
        <f>IF(LEN(TRIM(E538))=0,"",VLOOKUP("Manifest Id",config!A:B,2,FALSE))</f>
        <v/>
      </c>
      <c r="M538" t="str">
        <f>IF(LEN(TRIM(E538))=0, "",VLOOKUP("Project Name",config!A:B,2,FALSE))</f>
        <v/>
      </c>
      <c r="N538" t="str">
        <f>IF(LEN(TRIM(E538))=0, "",VLOOKUP("Center Name",config!A:B,2,FALSE))</f>
        <v/>
      </c>
      <c r="O538" s="7" t="str">
        <f>IF(LEN(TRIM(E538))=0,"",VLOOKUP("Shipment Date",config!A:B,2,FALSE))</f>
        <v/>
      </c>
      <c r="P538" s="7" t="str">
        <f t="shared" si="34"/>
        <v/>
      </c>
      <c r="Q538" s="7" t="str">
        <f>IF(LEN(TRIM(D538))=0,"",GetConfigParameterValue("Collection Site"))</f>
        <v/>
      </c>
      <c r="R538" t="str">
        <f>IF(LEN(TRIM(E538))=0, "", GetManifestComments(H538))</f>
        <v/>
      </c>
      <c r="S538" t="str">
        <f>IF(LEN(TRIM(E538))=0,"",IF(ISERROR(VLOOKUP(E538,'Manifest MDB data'!A:A,1,FALSE)),"OK","EXISTS!!!"))</f>
        <v/>
      </c>
    </row>
    <row r="539" spans="4:19" x14ac:dyDescent="0.25">
      <c r="D539" t="str">
        <f t="shared" si="35"/>
        <v/>
      </c>
      <c r="E539" t="str">
        <f t="shared" si="36"/>
        <v/>
      </c>
      <c r="F539" t="str">
        <f t="shared" si="33"/>
        <v/>
      </c>
      <c r="G539" t="str">
        <f>IF(LEN(TRIM(E539))=0, "", GetSampleTissueBySpecimenPrep(H539))</f>
        <v/>
      </c>
      <c r="H539" t="str">
        <f>IF(LEN(TRIM(E539))=0, "", GetSpecimenPrepName())</f>
        <v/>
      </c>
      <c r="I539" t="str">
        <f>IF(LEN(TRIM(E539))=0, "", GetSampleVolumeBySpecimenPrep(H539))</f>
        <v/>
      </c>
      <c r="L539" t="str">
        <f>IF(LEN(TRIM(E539))=0,"",VLOOKUP("Manifest Id",config!A:B,2,FALSE))</f>
        <v/>
      </c>
      <c r="M539" t="str">
        <f>IF(LEN(TRIM(E539))=0, "",VLOOKUP("Project Name",config!A:B,2,FALSE))</f>
        <v/>
      </c>
      <c r="N539" t="str">
        <f>IF(LEN(TRIM(E539))=0, "",VLOOKUP("Center Name",config!A:B,2,FALSE))</f>
        <v/>
      </c>
      <c r="O539" s="7" t="str">
        <f>IF(LEN(TRIM(E539))=0,"",VLOOKUP("Shipment Date",config!A:B,2,FALSE))</f>
        <v/>
      </c>
      <c r="P539" s="7" t="str">
        <f t="shared" si="34"/>
        <v/>
      </c>
      <c r="Q539" s="7" t="str">
        <f>IF(LEN(TRIM(D539))=0,"",GetConfigParameterValue("Collection Site"))</f>
        <v/>
      </c>
      <c r="R539" t="str">
        <f>IF(LEN(TRIM(E539))=0, "", GetManifestComments(H539))</f>
        <v/>
      </c>
      <c r="S539" t="str">
        <f>IF(LEN(TRIM(E539))=0,"",IF(ISERROR(VLOOKUP(E539,'Manifest MDB data'!A:A,1,FALSE)),"OK","EXISTS!!!"))</f>
        <v/>
      </c>
    </row>
    <row r="540" spans="4:19" x14ac:dyDescent="0.25">
      <c r="D540" t="str">
        <f t="shared" si="35"/>
        <v/>
      </c>
      <c r="E540" t="str">
        <f t="shared" si="36"/>
        <v/>
      </c>
      <c r="F540" t="str">
        <f t="shared" si="33"/>
        <v/>
      </c>
      <c r="G540" t="str">
        <f>IF(LEN(TRIM(E540))=0, "", GetSampleTissueBySpecimenPrep(H540))</f>
        <v/>
      </c>
      <c r="H540" t="str">
        <f>IF(LEN(TRIM(E540))=0, "", GetSpecimenPrepName())</f>
        <v/>
      </c>
      <c r="I540" t="str">
        <f>IF(LEN(TRIM(E540))=0, "", GetSampleVolumeBySpecimenPrep(H540))</f>
        <v/>
      </c>
      <c r="L540" t="str">
        <f>IF(LEN(TRIM(E540))=0,"",VLOOKUP("Manifest Id",config!A:B,2,FALSE))</f>
        <v/>
      </c>
      <c r="M540" t="str">
        <f>IF(LEN(TRIM(E540))=0, "",VLOOKUP("Project Name",config!A:B,2,FALSE))</f>
        <v/>
      </c>
      <c r="N540" t="str">
        <f>IF(LEN(TRIM(E540))=0, "",VLOOKUP("Center Name",config!A:B,2,FALSE))</f>
        <v/>
      </c>
      <c r="O540" s="7" t="str">
        <f>IF(LEN(TRIM(E540))=0,"",VLOOKUP("Shipment Date",config!A:B,2,FALSE))</f>
        <v/>
      </c>
      <c r="P540" s="7" t="str">
        <f t="shared" si="34"/>
        <v/>
      </c>
      <c r="Q540" s="7" t="str">
        <f>IF(LEN(TRIM(D540))=0,"",GetConfigParameterValue("Collection Site"))</f>
        <v/>
      </c>
      <c r="R540" t="str">
        <f>IF(LEN(TRIM(E540))=0, "", GetManifestComments(H540))</f>
        <v/>
      </c>
      <c r="S540" t="str">
        <f>IF(LEN(TRIM(E540))=0,"",IF(ISERROR(VLOOKUP(E540,'Manifest MDB data'!A:A,1,FALSE)),"OK","EXISTS!!!"))</f>
        <v/>
      </c>
    </row>
    <row r="541" spans="4:19" x14ac:dyDescent="0.25">
      <c r="D541" t="str">
        <f t="shared" si="35"/>
        <v/>
      </c>
      <c r="E541" t="str">
        <f t="shared" si="36"/>
        <v/>
      </c>
      <c r="F541" t="str">
        <f t="shared" si="33"/>
        <v/>
      </c>
      <c r="G541" t="str">
        <f>IF(LEN(TRIM(E541))=0, "", GetSampleTissueBySpecimenPrep(H541))</f>
        <v/>
      </c>
      <c r="H541" t="str">
        <f>IF(LEN(TRIM(E541))=0, "", GetSpecimenPrepName())</f>
        <v/>
      </c>
      <c r="I541" t="str">
        <f>IF(LEN(TRIM(E541))=0, "", GetSampleVolumeBySpecimenPrep(H541))</f>
        <v/>
      </c>
      <c r="L541" t="str">
        <f>IF(LEN(TRIM(E541))=0,"",VLOOKUP("Manifest Id",config!A:B,2,FALSE))</f>
        <v/>
      </c>
      <c r="M541" t="str">
        <f>IF(LEN(TRIM(E541))=0, "",VLOOKUP("Project Name",config!A:B,2,FALSE))</f>
        <v/>
      </c>
      <c r="N541" t="str">
        <f>IF(LEN(TRIM(E541))=0, "",VLOOKUP("Center Name",config!A:B,2,FALSE))</f>
        <v/>
      </c>
      <c r="O541" s="7" t="str">
        <f>IF(LEN(TRIM(E541))=0,"",VLOOKUP("Shipment Date",config!A:B,2,FALSE))</f>
        <v/>
      </c>
      <c r="P541" s="7" t="str">
        <f t="shared" si="34"/>
        <v/>
      </c>
      <c r="Q541" s="7" t="str">
        <f>IF(LEN(TRIM(D541))=0,"",GetConfigParameterValue("Collection Site"))</f>
        <v/>
      </c>
      <c r="R541" t="str">
        <f>IF(LEN(TRIM(E541))=0, "", GetManifestComments(H541))</f>
        <v/>
      </c>
      <c r="S541" t="str">
        <f>IF(LEN(TRIM(E541))=0,"",IF(ISERROR(VLOOKUP(E541,'Manifest MDB data'!A:A,1,FALSE)),"OK","EXISTS!!!"))</f>
        <v/>
      </c>
    </row>
    <row r="542" spans="4:19" x14ac:dyDescent="0.25">
      <c r="D542" t="str">
        <f t="shared" si="35"/>
        <v/>
      </c>
      <c r="E542" t="str">
        <f t="shared" si="36"/>
        <v/>
      </c>
      <c r="F542" t="str">
        <f t="shared" si="33"/>
        <v/>
      </c>
      <c r="G542" t="str">
        <f>IF(LEN(TRIM(E542))=0, "", GetSampleTissueBySpecimenPrep(H542))</f>
        <v/>
      </c>
      <c r="H542" t="str">
        <f>IF(LEN(TRIM(E542))=0, "", GetSpecimenPrepName())</f>
        <v/>
      </c>
      <c r="I542" t="str">
        <f>IF(LEN(TRIM(E542))=0, "", GetSampleVolumeBySpecimenPrep(H542))</f>
        <v/>
      </c>
      <c r="L542" t="str">
        <f>IF(LEN(TRIM(E542))=0,"",VLOOKUP("Manifest Id",config!A:B,2,FALSE))</f>
        <v/>
      </c>
      <c r="M542" t="str">
        <f>IF(LEN(TRIM(E542))=0, "",VLOOKUP("Project Name",config!A:B,2,FALSE))</f>
        <v/>
      </c>
      <c r="N542" t="str">
        <f>IF(LEN(TRIM(E542))=0, "",VLOOKUP("Center Name",config!A:B,2,FALSE))</f>
        <v/>
      </c>
      <c r="O542" s="7" t="str">
        <f>IF(LEN(TRIM(E542))=0,"",VLOOKUP("Shipment Date",config!A:B,2,FALSE))</f>
        <v/>
      </c>
      <c r="P542" s="7" t="str">
        <f t="shared" si="34"/>
        <v/>
      </c>
      <c r="Q542" s="7" t="str">
        <f>IF(LEN(TRIM(D542))=0,"",GetConfigParameterValue("Collection Site"))</f>
        <v/>
      </c>
      <c r="R542" t="str">
        <f>IF(LEN(TRIM(E542))=0, "", GetManifestComments(H542))</f>
        <v/>
      </c>
      <c r="S542" t="str">
        <f>IF(LEN(TRIM(E542))=0,"",IF(ISERROR(VLOOKUP(E542,'Manifest MDB data'!A:A,1,FALSE)),"OK","EXISTS!!!"))</f>
        <v/>
      </c>
    </row>
    <row r="543" spans="4:19" x14ac:dyDescent="0.25">
      <c r="D543" t="str">
        <f t="shared" si="35"/>
        <v/>
      </c>
      <c r="E543" t="str">
        <f t="shared" si="36"/>
        <v/>
      </c>
      <c r="F543" t="str">
        <f t="shared" si="33"/>
        <v/>
      </c>
      <c r="G543" t="str">
        <f>IF(LEN(TRIM(E543))=0, "", GetSampleTissueBySpecimenPrep(H543))</f>
        <v/>
      </c>
      <c r="H543" t="str">
        <f>IF(LEN(TRIM(E543))=0, "", GetSpecimenPrepName())</f>
        <v/>
      </c>
      <c r="I543" t="str">
        <f>IF(LEN(TRIM(E543))=0, "", GetSampleVolumeBySpecimenPrep(H543))</f>
        <v/>
      </c>
      <c r="L543" t="str">
        <f>IF(LEN(TRIM(E543))=0,"",VLOOKUP("Manifest Id",config!A:B,2,FALSE))</f>
        <v/>
      </c>
      <c r="M543" t="str">
        <f>IF(LEN(TRIM(E543))=0, "",VLOOKUP("Project Name",config!A:B,2,FALSE))</f>
        <v/>
      </c>
      <c r="N543" t="str">
        <f>IF(LEN(TRIM(E543))=0, "",VLOOKUP("Center Name",config!A:B,2,FALSE))</f>
        <v/>
      </c>
      <c r="O543" s="7" t="str">
        <f>IF(LEN(TRIM(E543))=0,"",VLOOKUP("Shipment Date",config!A:B,2,FALSE))</f>
        <v/>
      </c>
      <c r="P543" s="7" t="str">
        <f t="shared" si="34"/>
        <v/>
      </c>
      <c r="Q543" s="7" t="str">
        <f>IF(LEN(TRIM(D543))=0,"",GetConfigParameterValue("Collection Site"))</f>
        <v/>
      </c>
      <c r="R543" t="str">
        <f>IF(LEN(TRIM(E543))=0, "", GetManifestComments(H543))</f>
        <v/>
      </c>
      <c r="S543" t="str">
        <f>IF(LEN(TRIM(E543))=0,"",IF(ISERROR(VLOOKUP(E543,'Manifest MDB data'!A:A,1,FALSE)),"OK","EXISTS!!!"))</f>
        <v/>
      </c>
    </row>
    <row r="544" spans="4:19" x14ac:dyDescent="0.25">
      <c r="D544" t="str">
        <f t="shared" si="35"/>
        <v/>
      </c>
      <c r="E544" t="str">
        <f t="shared" si="36"/>
        <v/>
      </c>
      <c r="F544" t="str">
        <f t="shared" si="33"/>
        <v/>
      </c>
      <c r="G544" t="str">
        <f>IF(LEN(TRIM(E544))=0, "", GetSampleTissueBySpecimenPrep(H544))</f>
        <v/>
      </c>
      <c r="H544" t="str">
        <f>IF(LEN(TRIM(E544))=0, "", GetSpecimenPrepName())</f>
        <v/>
      </c>
      <c r="I544" t="str">
        <f>IF(LEN(TRIM(E544))=0, "", GetSampleVolumeBySpecimenPrep(H544))</f>
        <v/>
      </c>
      <c r="L544" t="str">
        <f>IF(LEN(TRIM(E544))=0,"",VLOOKUP("Manifest Id",config!A:B,2,FALSE))</f>
        <v/>
      </c>
      <c r="M544" t="str">
        <f>IF(LEN(TRIM(E544))=0, "",VLOOKUP("Project Name",config!A:B,2,FALSE))</f>
        <v/>
      </c>
      <c r="N544" t="str">
        <f>IF(LEN(TRIM(E544))=0, "",VLOOKUP("Center Name",config!A:B,2,FALSE))</f>
        <v/>
      </c>
      <c r="O544" s="7" t="str">
        <f>IF(LEN(TRIM(E544))=0,"",VLOOKUP("Shipment Date",config!A:B,2,FALSE))</f>
        <v/>
      </c>
      <c r="P544" s="7" t="str">
        <f t="shared" si="34"/>
        <v/>
      </c>
      <c r="Q544" s="7" t="str">
        <f>IF(LEN(TRIM(D544))=0,"",GetConfigParameterValue("Collection Site"))</f>
        <v/>
      </c>
      <c r="R544" t="str">
        <f>IF(LEN(TRIM(E544))=0, "", GetManifestComments(H544))</f>
        <v/>
      </c>
      <c r="S544" t="str">
        <f>IF(LEN(TRIM(E544))=0,"",IF(ISERROR(VLOOKUP(E544,'Manifest MDB data'!A:A,1,FALSE)),"OK","EXISTS!!!"))</f>
        <v/>
      </c>
    </row>
    <row r="545" spans="4:19" x14ac:dyDescent="0.25">
      <c r="D545" t="str">
        <f t="shared" si="35"/>
        <v/>
      </c>
      <c r="E545" t="str">
        <f t="shared" si="36"/>
        <v/>
      </c>
      <c r="F545" t="str">
        <f t="shared" si="33"/>
        <v/>
      </c>
      <c r="G545" t="str">
        <f>IF(LEN(TRIM(E545))=0, "", GetSampleTissueBySpecimenPrep(H545))</f>
        <v/>
      </c>
      <c r="H545" t="str">
        <f>IF(LEN(TRIM(E545))=0, "", GetSpecimenPrepName())</f>
        <v/>
      </c>
      <c r="I545" t="str">
        <f>IF(LEN(TRIM(E545))=0, "", GetSampleVolumeBySpecimenPrep(H545))</f>
        <v/>
      </c>
      <c r="L545" t="str">
        <f>IF(LEN(TRIM(E545))=0,"",VLOOKUP("Manifest Id",config!A:B,2,FALSE))</f>
        <v/>
      </c>
      <c r="M545" t="str">
        <f>IF(LEN(TRIM(E545))=0, "",VLOOKUP("Project Name",config!A:B,2,FALSE))</f>
        <v/>
      </c>
      <c r="N545" t="str">
        <f>IF(LEN(TRIM(E545))=0, "",VLOOKUP("Center Name",config!A:B,2,FALSE))</f>
        <v/>
      </c>
      <c r="O545" s="7" t="str">
        <f>IF(LEN(TRIM(E545))=0,"",VLOOKUP("Shipment Date",config!A:B,2,FALSE))</f>
        <v/>
      </c>
      <c r="P545" s="7" t="str">
        <f t="shared" si="34"/>
        <v/>
      </c>
      <c r="Q545" s="7" t="str">
        <f>IF(LEN(TRIM(D545))=0,"",GetConfigParameterValue("Collection Site"))</f>
        <v/>
      </c>
      <c r="R545" t="str">
        <f>IF(LEN(TRIM(E545))=0, "", GetManifestComments(H545))</f>
        <v/>
      </c>
      <c r="S545" t="str">
        <f>IF(LEN(TRIM(E545))=0,"",IF(ISERROR(VLOOKUP(E545,'Manifest MDB data'!A:A,1,FALSE)),"OK","EXISTS!!!"))</f>
        <v/>
      </c>
    </row>
    <row r="546" spans="4:19" x14ac:dyDescent="0.25">
      <c r="D546" t="str">
        <f t="shared" si="35"/>
        <v/>
      </c>
      <c r="E546" t="str">
        <f t="shared" si="36"/>
        <v/>
      </c>
      <c r="F546" t="str">
        <f t="shared" si="33"/>
        <v/>
      </c>
      <c r="G546" t="str">
        <f>IF(LEN(TRIM(E546))=0, "", GetSampleTissueBySpecimenPrep(H546))</f>
        <v/>
      </c>
      <c r="H546" t="str">
        <f>IF(LEN(TRIM(E546))=0, "", GetSpecimenPrepName())</f>
        <v/>
      </c>
      <c r="I546" t="str">
        <f>IF(LEN(TRIM(E546))=0, "", GetSampleVolumeBySpecimenPrep(H546))</f>
        <v/>
      </c>
      <c r="L546" t="str">
        <f>IF(LEN(TRIM(E546))=0,"",VLOOKUP("Manifest Id",config!A:B,2,FALSE))</f>
        <v/>
      </c>
      <c r="M546" t="str">
        <f>IF(LEN(TRIM(E546))=0, "",VLOOKUP("Project Name",config!A:B,2,FALSE))</f>
        <v/>
      </c>
      <c r="N546" t="str">
        <f>IF(LEN(TRIM(E546))=0, "",VLOOKUP("Center Name",config!A:B,2,FALSE))</f>
        <v/>
      </c>
      <c r="O546" s="7" t="str">
        <f>IF(LEN(TRIM(E546))=0,"",VLOOKUP("Shipment Date",config!A:B,2,FALSE))</f>
        <v/>
      </c>
      <c r="P546" s="7" t="str">
        <f t="shared" si="34"/>
        <v/>
      </c>
      <c r="Q546" s="7" t="str">
        <f>IF(LEN(TRIM(D546))=0,"",GetConfigParameterValue("Collection Site"))</f>
        <v/>
      </c>
      <c r="R546" t="str">
        <f>IF(LEN(TRIM(E546))=0, "", GetManifestComments(H546))</f>
        <v/>
      </c>
      <c r="S546" t="str">
        <f>IF(LEN(TRIM(E546))=0,"",IF(ISERROR(VLOOKUP(E546,'Manifest MDB data'!A:A,1,FALSE)),"OK","EXISTS!!!"))</f>
        <v/>
      </c>
    </row>
    <row r="547" spans="4:19" x14ac:dyDescent="0.25">
      <c r="D547" t="str">
        <f t="shared" si="35"/>
        <v/>
      </c>
      <c r="E547" t="str">
        <f t="shared" si="36"/>
        <v/>
      </c>
      <c r="F547" t="str">
        <f t="shared" si="33"/>
        <v/>
      </c>
      <c r="G547" t="str">
        <f>IF(LEN(TRIM(E547))=0, "", GetSampleTissueBySpecimenPrep(H547))</f>
        <v/>
      </c>
      <c r="H547" t="str">
        <f>IF(LEN(TRIM(E547))=0, "", GetSpecimenPrepName())</f>
        <v/>
      </c>
      <c r="I547" t="str">
        <f>IF(LEN(TRIM(E547))=0, "", GetSampleVolumeBySpecimenPrep(H547))</f>
        <v/>
      </c>
      <c r="L547" t="str">
        <f>IF(LEN(TRIM(E547))=0,"",VLOOKUP("Manifest Id",config!A:B,2,FALSE))</f>
        <v/>
      </c>
      <c r="M547" t="str">
        <f>IF(LEN(TRIM(E547))=0, "",VLOOKUP("Project Name",config!A:B,2,FALSE))</f>
        <v/>
      </c>
      <c r="N547" t="str">
        <f>IF(LEN(TRIM(E547))=0, "",VLOOKUP("Center Name",config!A:B,2,FALSE))</f>
        <v/>
      </c>
      <c r="O547" s="7" t="str">
        <f>IF(LEN(TRIM(E547))=0,"",VLOOKUP("Shipment Date",config!A:B,2,FALSE))</f>
        <v/>
      </c>
      <c r="P547" s="7" t="str">
        <f t="shared" si="34"/>
        <v/>
      </c>
      <c r="Q547" s="7" t="str">
        <f>IF(LEN(TRIM(D547))=0,"",GetConfigParameterValue("Collection Site"))</f>
        <v/>
      </c>
      <c r="R547" t="str">
        <f>IF(LEN(TRIM(E547))=0, "", GetManifestComments(H547))</f>
        <v/>
      </c>
      <c r="S547" t="str">
        <f>IF(LEN(TRIM(E547))=0,"",IF(ISERROR(VLOOKUP(E547,'Manifest MDB data'!A:A,1,FALSE)),"OK","EXISTS!!!"))</f>
        <v/>
      </c>
    </row>
    <row r="548" spans="4:19" x14ac:dyDescent="0.25">
      <c r="D548" t="str">
        <f t="shared" si="35"/>
        <v/>
      </c>
      <c r="E548" t="str">
        <f t="shared" si="36"/>
        <v/>
      </c>
      <c r="F548" t="str">
        <f t="shared" si="33"/>
        <v/>
      </c>
      <c r="G548" t="str">
        <f>IF(LEN(TRIM(E548))=0, "", GetSampleTissueBySpecimenPrep(H548))</f>
        <v/>
      </c>
      <c r="H548" t="str">
        <f>IF(LEN(TRIM(E548))=0, "", GetSpecimenPrepName())</f>
        <v/>
      </c>
      <c r="I548" t="str">
        <f>IF(LEN(TRIM(E548))=0, "", GetSampleVolumeBySpecimenPrep(H548))</f>
        <v/>
      </c>
      <c r="L548" t="str">
        <f>IF(LEN(TRIM(E548))=0,"",VLOOKUP("Manifest Id",config!A:B,2,FALSE))</f>
        <v/>
      </c>
      <c r="M548" t="str">
        <f>IF(LEN(TRIM(E548))=0, "",VLOOKUP("Project Name",config!A:B,2,FALSE))</f>
        <v/>
      </c>
      <c r="N548" t="str">
        <f>IF(LEN(TRIM(E548))=0, "",VLOOKUP("Center Name",config!A:B,2,FALSE))</f>
        <v/>
      </c>
      <c r="O548" s="7" t="str">
        <f>IF(LEN(TRIM(E548))=0,"",VLOOKUP("Shipment Date",config!A:B,2,FALSE))</f>
        <v/>
      </c>
      <c r="P548" s="7" t="str">
        <f t="shared" si="34"/>
        <v/>
      </c>
      <c r="Q548" s="7" t="str">
        <f>IF(LEN(TRIM(D548))=0,"",GetConfigParameterValue("Collection Site"))</f>
        <v/>
      </c>
      <c r="R548" t="str">
        <f>IF(LEN(TRIM(E548))=0, "", GetManifestComments(H548))</f>
        <v/>
      </c>
      <c r="S548" t="str">
        <f>IF(LEN(TRIM(E548))=0,"",IF(ISERROR(VLOOKUP(E548,'Manifest MDB data'!A:A,1,FALSE)),"OK","EXISTS!!!"))</f>
        <v/>
      </c>
    </row>
    <row r="549" spans="4:19" x14ac:dyDescent="0.25">
      <c r="D549" t="str">
        <f t="shared" si="35"/>
        <v/>
      </c>
      <c r="E549" t="str">
        <f t="shared" si="36"/>
        <v/>
      </c>
      <c r="F549" t="str">
        <f t="shared" si="33"/>
        <v/>
      </c>
      <c r="G549" t="str">
        <f>IF(LEN(TRIM(E549))=0, "", GetSampleTissueBySpecimenPrep(H549))</f>
        <v/>
      </c>
      <c r="H549" t="str">
        <f>IF(LEN(TRIM(E549))=0, "", GetSpecimenPrepName())</f>
        <v/>
      </c>
      <c r="I549" t="str">
        <f>IF(LEN(TRIM(E549))=0, "", GetSampleVolumeBySpecimenPrep(H549))</f>
        <v/>
      </c>
      <c r="L549" t="str">
        <f>IF(LEN(TRIM(E549))=0,"",VLOOKUP("Manifest Id",config!A:B,2,FALSE))</f>
        <v/>
      </c>
      <c r="M549" t="str">
        <f>IF(LEN(TRIM(E549))=0, "",VLOOKUP("Project Name",config!A:B,2,FALSE))</f>
        <v/>
      </c>
      <c r="N549" t="str">
        <f>IF(LEN(TRIM(E549))=0, "",VLOOKUP("Center Name",config!A:B,2,FALSE))</f>
        <v/>
      </c>
      <c r="O549" s="7" t="str">
        <f>IF(LEN(TRIM(E549))=0,"",VLOOKUP("Shipment Date",config!A:B,2,FALSE))</f>
        <v/>
      </c>
      <c r="P549" s="7" t="str">
        <f t="shared" si="34"/>
        <v/>
      </c>
      <c r="Q549" s="7" t="str">
        <f>IF(LEN(TRIM(D549))=0,"",GetConfigParameterValue("Collection Site"))</f>
        <v/>
      </c>
      <c r="R549" t="str">
        <f>IF(LEN(TRIM(E549))=0, "", GetManifestComments(H549))</f>
        <v/>
      </c>
      <c r="S549" t="str">
        <f>IF(LEN(TRIM(E549))=0,"",IF(ISERROR(VLOOKUP(E549,'Manifest MDB data'!A:A,1,FALSE)),"OK","EXISTS!!!"))</f>
        <v/>
      </c>
    </row>
    <row r="550" spans="4:19" x14ac:dyDescent="0.25">
      <c r="D550" t="str">
        <f t="shared" si="35"/>
        <v/>
      </c>
      <c r="E550" t="str">
        <f t="shared" si="36"/>
        <v/>
      </c>
      <c r="F550" t="str">
        <f t="shared" si="33"/>
        <v/>
      </c>
      <c r="G550" t="str">
        <f>IF(LEN(TRIM(E550))=0, "", GetSampleTissueBySpecimenPrep(H550))</f>
        <v/>
      </c>
      <c r="H550" t="str">
        <f>IF(LEN(TRIM(E550))=0, "", GetSpecimenPrepName())</f>
        <v/>
      </c>
      <c r="I550" t="str">
        <f>IF(LEN(TRIM(E550))=0, "", GetSampleVolumeBySpecimenPrep(H550))</f>
        <v/>
      </c>
      <c r="L550" t="str">
        <f>IF(LEN(TRIM(E550))=0,"",VLOOKUP("Manifest Id",config!A:B,2,FALSE))</f>
        <v/>
      </c>
      <c r="M550" t="str">
        <f>IF(LEN(TRIM(E550))=0, "",VLOOKUP("Project Name",config!A:B,2,FALSE))</f>
        <v/>
      </c>
      <c r="N550" t="str">
        <f>IF(LEN(TRIM(E550))=0, "",VLOOKUP("Center Name",config!A:B,2,FALSE))</f>
        <v/>
      </c>
      <c r="O550" s="7" t="str">
        <f>IF(LEN(TRIM(E550))=0,"",VLOOKUP("Shipment Date",config!A:B,2,FALSE))</f>
        <v/>
      </c>
      <c r="P550" s="7" t="str">
        <f t="shared" si="34"/>
        <v/>
      </c>
      <c r="Q550" s="7" t="str">
        <f>IF(LEN(TRIM(D550))=0,"",GetConfigParameterValue("Collection Site"))</f>
        <v/>
      </c>
      <c r="R550" t="str">
        <f>IF(LEN(TRIM(E550))=0, "", GetManifestComments(H550))</f>
        <v/>
      </c>
      <c r="S550" t="str">
        <f>IF(LEN(TRIM(E550))=0,"",IF(ISERROR(VLOOKUP(E550,'Manifest MDB data'!A:A,1,FALSE)),"OK","EXISTS!!!"))</f>
        <v/>
      </c>
    </row>
    <row r="551" spans="4:19" x14ac:dyDescent="0.25">
      <c r="D551" t="str">
        <f t="shared" si="35"/>
        <v/>
      </c>
      <c r="E551" t="str">
        <f t="shared" si="36"/>
        <v/>
      </c>
      <c r="F551" t="str">
        <f t="shared" si="33"/>
        <v/>
      </c>
      <c r="G551" t="str">
        <f>IF(LEN(TRIM(E551))=0, "", GetSampleTissueBySpecimenPrep(H551))</f>
        <v/>
      </c>
      <c r="H551" t="str">
        <f>IF(LEN(TRIM(E551))=0, "", GetSpecimenPrepName())</f>
        <v/>
      </c>
      <c r="I551" t="str">
        <f>IF(LEN(TRIM(E551))=0, "", GetSampleVolumeBySpecimenPrep(H551))</f>
        <v/>
      </c>
      <c r="L551" t="str">
        <f>IF(LEN(TRIM(E551))=0,"",VLOOKUP("Manifest Id",config!A:B,2,FALSE))</f>
        <v/>
      </c>
      <c r="M551" t="str">
        <f>IF(LEN(TRIM(E551))=0, "",VLOOKUP("Project Name",config!A:B,2,FALSE))</f>
        <v/>
      </c>
      <c r="N551" t="str">
        <f>IF(LEN(TRIM(E551))=0, "",VLOOKUP("Center Name",config!A:B,2,FALSE))</f>
        <v/>
      </c>
      <c r="O551" s="7" t="str">
        <f>IF(LEN(TRIM(E551))=0,"",VLOOKUP("Shipment Date",config!A:B,2,FALSE))</f>
        <v/>
      </c>
      <c r="P551" s="7" t="str">
        <f t="shared" si="34"/>
        <v/>
      </c>
      <c r="Q551" s="7" t="str">
        <f>IF(LEN(TRIM(D551))=0,"",GetConfigParameterValue("Collection Site"))</f>
        <v/>
      </c>
      <c r="R551" t="str">
        <f>IF(LEN(TRIM(E551))=0, "", GetManifestComments(H551))</f>
        <v/>
      </c>
      <c r="S551" t="str">
        <f>IF(LEN(TRIM(E551))=0,"",IF(ISERROR(VLOOKUP(E551,'Manifest MDB data'!A:A,1,FALSE)),"OK","EXISTS!!!"))</f>
        <v/>
      </c>
    </row>
    <row r="552" spans="4:19" x14ac:dyDescent="0.25">
      <c r="D552" t="str">
        <f t="shared" si="35"/>
        <v/>
      </c>
      <c r="E552" t="str">
        <f t="shared" si="36"/>
        <v/>
      </c>
      <c r="F552" t="str">
        <f t="shared" si="33"/>
        <v/>
      </c>
      <c r="G552" t="str">
        <f>IF(LEN(TRIM(E552))=0, "", GetSampleTissueBySpecimenPrep(H552))</f>
        <v/>
      </c>
      <c r="H552" t="str">
        <f>IF(LEN(TRIM(E552))=0, "", GetSpecimenPrepName())</f>
        <v/>
      </c>
      <c r="I552" t="str">
        <f>IF(LEN(TRIM(E552))=0, "", GetSampleVolumeBySpecimenPrep(H552))</f>
        <v/>
      </c>
      <c r="L552" t="str">
        <f>IF(LEN(TRIM(E552))=0,"",VLOOKUP("Manifest Id",config!A:B,2,FALSE))</f>
        <v/>
      </c>
      <c r="M552" t="str">
        <f>IF(LEN(TRIM(E552))=0, "",VLOOKUP("Project Name",config!A:B,2,FALSE))</f>
        <v/>
      </c>
      <c r="N552" t="str">
        <f>IF(LEN(TRIM(E552))=0, "",VLOOKUP("Center Name",config!A:B,2,FALSE))</f>
        <v/>
      </c>
      <c r="O552" s="7" t="str">
        <f>IF(LEN(TRIM(E552))=0,"",VLOOKUP("Shipment Date",config!A:B,2,FALSE))</f>
        <v/>
      </c>
      <c r="P552" s="7" t="str">
        <f t="shared" si="34"/>
        <v/>
      </c>
      <c r="Q552" s="7" t="str">
        <f>IF(LEN(TRIM(D552))=0,"",GetConfigParameterValue("Collection Site"))</f>
        <v/>
      </c>
      <c r="R552" t="str">
        <f>IF(LEN(TRIM(E552))=0, "", GetManifestComments(H552))</f>
        <v/>
      </c>
      <c r="S552" t="str">
        <f>IF(LEN(TRIM(E552))=0,"",IF(ISERROR(VLOOKUP(E552,'Manifest MDB data'!A:A,1,FALSE)),"OK","EXISTS!!!"))</f>
        <v/>
      </c>
    </row>
    <row r="553" spans="4:19" x14ac:dyDescent="0.25">
      <c r="D553" t="str">
        <f t="shared" si="35"/>
        <v/>
      </c>
      <c r="E553" t="str">
        <f t="shared" si="36"/>
        <v/>
      </c>
      <c r="F553" t="str">
        <f t="shared" si="33"/>
        <v/>
      </c>
      <c r="G553" t="str">
        <f>IF(LEN(TRIM(E553))=0, "", GetSampleTissueBySpecimenPrep(H553))</f>
        <v/>
      </c>
      <c r="H553" t="str">
        <f>IF(LEN(TRIM(E553))=0, "", GetSpecimenPrepName())</f>
        <v/>
      </c>
      <c r="I553" t="str">
        <f>IF(LEN(TRIM(E553))=0, "", GetSampleVolumeBySpecimenPrep(H553))</f>
        <v/>
      </c>
      <c r="L553" t="str">
        <f>IF(LEN(TRIM(E553))=0,"",VLOOKUP("Manifest Id",config!A:B,2,FALSE))</f>
        <v/>
      </c>
      <c r="M553" t="str">
        <f>IF(LEN(TRIM(E553))=0, "",VLOOKUP("Project Name",config!A:B,2,FALSE))</f>
        <v/>
      </c>
      <c r="N553" t="str">
        <f>IF(LEN(TRIM(E553))=0, "",VLOOKUP("Center Name",config!A:B,2,FALSE))</f>
        <v/>
      </c>
      <c r="O553" s="7" t="str">
        <f>IF(LEN(TRIM(E553))=0,"",VLOOKUP("Shipment Date",config!A:B,2,FALSE))</f>
        <v/>
      </c>
      <c r="P553" s="7" t="str">
        <f t="shared" si="34"/>
        <v/>
      </c>
      <c r="Q553" s="7" t="str">
        <f>IF(LEN(TRIM(D553))=0,"",GetConfigParameterValue("Collection Site"))</f>
        <v/>
      </c>
      <c r="R553" t="str">
        <f>IF(LEN(TRIM(E553))=0, "", GetManifestComments(H553))</f>
        <v/>
      </c>
      <c r="S553" t="str">
        <f>IF(LEN(TRIM(E553))=0,"",IF(ISERROR(VLOOKUP(E553,'Manifest MDB data'!A:A,1,FALSE)),"OK","EXISTS!!!"))</f>
        <v/>
      </c>
    </row>
    <row r="554" spans="4:19" x14ac:dyDescent="0.25">
      <c r="D554" t="str">
        <f t="shared" si="35"/>
        <v/>
      </c>
      <c r="E554" t="str">
        <f t="shared" si="36"/>
        <v/>
      </c>
      <c r="F554" t="str">
        <f t="shared" si="33"/>
        <v/>
      </c>
      <c r="G554" t="str">
        <f>IF(LEN(TRIM(E554))=0, "", GetSampleTissueBySpecimenPrep(H554))</f>
        <v/>
      </c>
      <c r="H554" t="str">
        <f>IF(LEN(TRIM(E554))=0, "", GetSpecimenPrepName())</f>
        <v/>
      </c>
      <c r="I554" t="str">
        <f>IF(LEN(TRIM(E554))=0, "", GetSampleVolumeBySpecimenPrep(H554))</f>
        <v/>
      </c>
      <c r="L554" t="str">
        <f>IF(LEN(TRIM(E554))=0,"",VLOOKUP("Manifest Id",config!A:B,2,FALSE))</f>
        <v/>
      </c>
      <c r="M554" t="str">
        <f>IF(LEN(TRIM(E554))=0, "",VLOOKUP("Project Name",config!A:B,2,FALSE))</f>
        <v/>
      </c>
      <c r="N554" t="str">
        <f>IF(LEN(TRIM(E554))=0, "",VLOOKUP("Center Name",config!A:B,2,FALSE))</f>
        <v/>
      </c>
      <c r="O554" s="7" t="str">
        <f>IF(LEN(TRIM(E554))=0,"",VLOOKUP("Shipment Date",config!A:B,2,FALSE))</f>
        <v/>
      </c>
      <c r="P554" s="7" t="str">
        <f t="shared" si="34"/>
        <v/>
      </c>
      <c r="Q554" s="7" t="str">
        <f>IF(LEN(TRIM(D554))=0,"",GetConfigParameterValue("Collection Site"))</f>
        <v/>
      </c>
      <c r="R554" t="str">
        <f>IF(LEN(TRIM(E554))=0, "", GetManifestComments(H554))</f>
        <v/>
      </c>
      <c r="S554" t="str">
        <f>IF(LEN(TRIM(E554))=0,"",IF(ISERROR(VLOOKUP(E554,'Manifest MDB data'!A:A,1,FALSE)),"OK","EXISTS!!!"))</f>
        <v/>
      </c>
    </row>
    <row r="555" spans="4:19" x14ac:dyDescent="0.25">
      <c r="D555" t="str">
        <f t="shared" si="35"/>
        <v/>
      </c>
      <c r="E555" t="str">
        <f t="shared" si="36"/>
        <v/>
      </c>
      <c r="F555" t="str">
        <f t="shared" si="33"/>
        <v/>
      </c>
      <c r="G555" t="str">
        <f>IF(LEN(TRIM(E555))=0, "", GetSampleTissueBySpecimenPrep(H555))</f>
        <v/>
      </c>
      <c r="H555" t="str">
        <f>IF(LEN(TRIM(E555))=0, "", GetSpecimenPrepName())</f>
        <v/>
      </c>
      <c r="I555" t="str">
        <f>IF(LEN(TRIM(E555))=0, "", GetSampleVolumeBySpecimenPrep(H555))</f>
        <v/>
      </c>
      <c r="L555" t="str">
        <f>IF(LEN(TRIM(E555))=0,"",VLOOKUP("Manifest Id",config!A:B,2,FALSE))</f>
        <v/>
      </c>
      <c r="M555" t="str">
        <f>IF(LEN(TRIM(E555))=0, "",VLOOKUP("Project Name",config!A:B,2,FALSE))</f>
        <v/>
      </c>
      <c r="N555" t="str">
        <f>IF(LEN(TRIM(E555))=0, "",VLOOKUP("Center Name",config!A:B,2,FALSE))</f>
        <v/>
      </c>
      <c r="O555" s="7" t="str">
        <f>IF(LEN(TRIM(E555))=0,"",VLOOKUP("Shipment Date",config!A:B,2,FALSE))</f>
        <v/>
      </c>
      <c r="P555" s="7" t="str">
        <f t="shared" si="34"/>
        <v/>
      </c>
      <c r="Q555" s="7" t="str">
        <f>IF(LEN(TRIM(D555))=0,"",GetConfigParameterValue("Collection Site"))</f>
        <v/>
      </c>
      <c r="R555" t="str">
        <f>IF(LEN(TRIM(E555))=0, "", GetManifestComments(H555))</f>
        <v/>
      </c>
      <c r="S555" t="str">
        <f>IF(LEN(TRIM(E555))=0,"",IF(ISERROR(VLOOKUP(E555,'Manifest MDB data'!A:A,1,FALSE)),"OK","EXISTS!!!"))</f>
        <v/>
      </c>
    </row>
    <row r="556" spans="4:19" x14ac:dyDescent="0.25">
      <c r="D556" t="str">
        <f t="shared" si="35"/>
        <v/>
      </c>
      <c r="E556" t="str">
        <f t="shared" si="36"/>
        <v/>
      </c>
      <c r="F556" t="str">
        <f t="shared" si="33"/>
        <v/>
      </c>
      <c r="G556" t="str">
        <f>IF(LEN(TRIM(E556))=0, "", GetSampleTissueBySpecimenPrep(H556))</f>
        <v/>
      </c>
      <c r="H556" t="str">
        <f>IF(LEN(TRIM(E556))=0, "", GetSpecimenPrepName())</f>
        <v/>
      </c>
      <c r="I556" t="str">
        <f>IF(LEN(TRIM(E556))=0, "", GetSampleVolumeBySpecimenPrep(H556))</f>
        <v/>
      </c>
      <c r="L556" t="str">
        <f>IF(LEN(TRIM(E556))=0,"",VLOOKUP("Manifest Id",config!A:B,2,FALSE))</f>
        <v/>
      </c>
      <c r="M556" t="str">
        <f>IF(LEN(TRIM(E556))=0, "",VLOOKUP("Project Name",config!A:B,2,FALSE))</f>
        <v/>
      </c>
      <c r="N556" t="str">
        <f>IF(LEN(TRIM(E556))=0, "",VLOOKUP("Center Name",config!A:B,2,FALSE))</f>
        <v/>
      </c>
      <c r="O556" s="7" t="str">
        <f>IF(LEN(TRIM(E556))=0,"",VLOOKUP("Shipment Date",config!A:B,2,FALSE))</f>
        <v/>
      </c>
      <c r="P556" s="7" t="str">
        <f t="shared" si="34"/>
        <v/>
      </c>
      <c r="Q556" s="7" t="str">
        <f>IF(LEN(TRIM(D556))=0,"",GetConfigParameterValue("Collection Site"))</f>
        <v/>
      </c>
      <c r="R556" t="str">
        <f>IF(LEN(TRIM(E556))=0, "", GetManifestComments(H556))</f>
        <v/>
      </c>
      <c r="S556" t="str">
        <f>IF(LEN(TRIM(E556))=0,"",IF(ISERROR(VLOOKUP(E556,'Manifest MDB data'!A:A,1,FALSE)),"OK","EXISTS!!!"))</f>
        <v/>
      </c>
    </row>
    <row r="557" spans="4:19" x14ac:dyDescent="0.25">
      <c r="D557" t="str">
        <f t="shared" si="35"/>
        <v/>
      </c>
      <c r="E557" t="str">
        <f t="shared" si="36"/>
        <v/>
      </c>
      <c r="F557" t="str">
        <f t="shared" si="33"/>
        <v/>
      </c>
      <c r="G557" t="str">
        <f>IF(LEN(TRIM(E557))=0, "", GetSampleTissueBySpecimenPrep(H557))</f>
        <v/>
      </c>
      <c r="H557" t="str">
        <f>IF(LEN(TRIM(E557))=0, "", GetSpecimenPrepName())</f>
        <v/>
      </c>
      <c r="I557" t="str">
        <f>IF(LEN(TRIM(E557))=0, "", GetSampleVolumeBySpecimenPrep(H557))</f>
        <v/>
      </c>
      <c r="L557" t="str">
        <f>IF(LEN(TRIM(E557))=0,"",VLOOKUP("Manifest Id",config!A:B,2,FALSE))</f>
        <v/>
      </c>
      <c r="M557" t="str">
        <f>IF(LEN(TRIM(E557))=0, "",VLOOKUP("Project Name",config!A:B,2,FALSE))</f>
        <v/>
      </c>
      <c r="N557" t="str">
        <f>IF(LEN(TRIM(E557))=0, "",VLOOKUP("Center Name",config!A:B,2,FALSE))</f>
        <v/>
      </c>
      <c r="O557" s="7" t="str">
        <f>IF(LEN(TRIM(E557))=0,"",VLOOKUP("Shipment Date",config!A:B,2,FALSE))</f>
        <v/>
      </c>
      <c r="P557" s="7" t="str">
        <f t="shared" si="34"/>
        <v/>
      </c>
      <c r="Q557" s="7" t="str">
        <f>IF(LEN(TRIM(D557))=0,"",GetConfigParameterValue("Collection Site"))</f>
        <v/>
      </c>
      <c r="R557" t="str">
        <f>IF(LEN(TRIM(E557))=0, "", GetManifestComments(H557))</f>
        <v/>
      </c>
      <c r="S557" t="str">
        <f>IF(LEN(TRIM(E557))=0,"",IF(ISERROR(VLOOKUP(E557,'Manifest MDB data'!A:A,1,FALSE)),"OK","EXISTS!!!"))</f>
        <v/>
      </c>
    </row>
    <row r="558" spans="4:19" x14ac:dyDescent="0.25">
      <c r="D558" t="str">
        <f t="shared" si="35"/>
        <v/>
      </c>
      <c r="E558" t="str">
        <f t="shared" si="36"/>
        <v/>
      </c>
      <c r="F558" t="str">
        <f t="shared" si="33"/>
        <v/>
      </c>
      <c r="G558" t="str">
        <f>IF(LEN(TRIM(E558))=0, "", GetSampleTissueBySpecimenPrep(H558))</f>
        <v/>
      </c>
      <c r="H558" t="str">
        <f>IF(LEN(TRIM(E558))=0, "", GetSpecimenPrepName())</f>
        <v/>
      </c>
      <c r="I558" t="str">
        <f>IF(LEN(TRIM(E558))=0, "", GetSampleVolumeBySpecimenPrep(H558))</f>
        <v/>
      </c>
      <c r="L558" t="str">
        <f>IF(LEN(TRIM(E558))=0,"",VLOOKUP("Manifest Id",config!A:B,2,FALSE))</f>
        <v/>
      </c>
      <c r="M558" t="str">
        <f>IF(LEN(TRIM(E558))=0, "",VLOOKUP("Project Name",config!A:B,2,FALSE))</f>
        <v/>
      </c>
      <c r="N558" t="str">
        <f>IF(LEN(TRIM(E558))=0, "",VLOOKUP("Center Name",config!A:B,2,FALSE))</f>
        <v/>
      </c>
      <c r="O558" s="7" t="str">
        <f>IF(LEN(TRIM(E558))=0,"",VLOOKUP("Shipment Date",config!A:B,2,FALSE))</f>
        <v/>
      </c>
      <c r="P558" s="7" t="str">
        <f t="shared" si="34"/>
        <v/>
      </c>
      <c r="Q558" s="7" t="str">
        <f>IF(LEN(TRIM(D558))=0,"",GetConfigParameterValue("Collection Site"))</f>
        <v/>
      </c>
      <c r="R558" t="str">
        <f>IF(LEN(TRIM(E558))=0, "", GetManifestComments(H558))</f>
        <v/>
      </c>
      <c r="S558" t="str">
        <f>IF(LEN(TRIM(E558))=0,"",IF(ISERROR(VLOOKUP(E558,'Manifest MDB data'!A:A,1,FALSE)),"OK","EXISTS!!!"))</f>
        <v/>
      </c>
    </row>
    <row r="559" spans="4:19" x14ac:dyDescent="0.25">
      <c r="D559" t="str">
        <f t="shared" si="35"/>
        <v/>
      </c>
      <c r="E559" t="str">
        <f t="shared" si="36"/>
        <v/>
      </c>
      <c r="F559" t="str">
        <f t="shared" si="33"/>
        <v/>
      </c>
      <c r="G559" t="str">
        <f>IF(LEN(TRIM(E559))=0, "", GetSampleTissueBySpecimenPrep(H559))</f>
        <v/>
      </c>
      <c r="H559" t="str">
        <f>IF(LEN(TRIM(E559))=0, "", GetSpecimenPrepName())</f>
        <v/>
      </c>
      <c r="I559" t="str">
        <f>IF(LEN(TRIM(E559))=0, "", GetSampleVolumeBySpecimenPrep(H559))</f>
        <v/>
      </c>
      <c r="L559" t="str">
        <f>IF(LEN(TRIM(E559))=0,"",VLOOKUP("Manifest Id",config!A:B,2,FALSE))</f>
        <v/>
      </c>
      <c r="M559" t="str">
        <f>IF(LEN(TRIM(E559))=0, "",VLOOKUP("Project Name",config!A:B,2,FALSE))</f>
        <v/>
      </c>
      <c r="N559" t="str">
        <f>IF(LEN(TRIM(E559))=0, "",VLOOKUP("Center Name",config!A:B,2,FALSE))</f>
        <v/>
      </c>
      <c r="O559" s="7" t="str">
        <f>IF(LEN(TRIM(E559))=0,"",VLOOKUP("Shipment Date",config!A:B,2,FALSE))</f>
        <v/>
      </c>
      <c r="P559" s="7" t="str">
        <f t="shared" si="34"/>
        <v/>
      </c>
      <c r="Q559" s="7" t="str">
        <f>IF(LEN(TRIM(D559))=0,"",GetConfigParameterValue("Collection Site"))</f>
        <v/>
      </c>
      <c r="R559" t="str">
        <f>IF(LEN(TRIM(E559))=0, "", GetManifestComments(H559))</f>
        <v/>
      </c>
      <c r="S559" t="str">
        <f>IF(LEN(TRIM(E559))=0,"",IF(ISERROR(VLOOKUP(E559,'Manifest MDB data'!A:A,1,FALSE)),"OK","EXISTS!!!"))</f>
        <v/>
      </c>
    </row>
    <row r="560" spans="4:19" x14ac:dyDescent="0.25">
      <c r="D560" t="str">
        <f t="shared" si="35"/>
        <v/>
      </c>
      <c r="E560" t="str">
        <f t="shared" si="36"/>
        <v/>
      </c>
      <c r="F560" t="str">
        <f t="shared" si="33"/>
        <v/>
      </c>
      <c r="G560" t="str">
        <f>IF(LEN(TRIM(E560))=0, "", GetSampleTissueBySpecimenPrep(H560))</f>
        <v/>
      </c>
      <c r="H560" t="str">
        <f>IF(LEN(TRIM(E560))=0, "", GetSpecimenPrepName())</f>
        <v/>
      </c>
      <c r="I560" t="str">
        <f>IF(LEN(TRIM(E560))=0, "", GetSampleVolumeBySpecimenPrep(H560))</f>
        <v/>
      </c>
      <c r="L560" t="str">
        <f>IF(LEN(TRIM(E560))=0,"",VLOOKUP("Manifest Id",config!A:B,2,FALSE))</f>
        <v/>
      </c>
      <c r="M560" t="str">
        <f>IF(LEN(TRIM(E560))=0, "",VLOOKUP("Project Name",config!A:B,2,FALSE))</f>
        <v/>
      </c>
      <c r="N560" t="str">
        <f>IF(LEN(TRIM(E560))=0, "",VLOOKUP("Center Name",config!A:B,2,FALSE))</f>
        <v/>
      </c>
      <c r="O560" s="7" t="str">
        <f>IF(LEN(TRIM(E560))=0,"",VLOOKUP("Shipment Date",config!A:B,2,FALSE))</f>
        <v/>
      </c>
      <c r="P560" s="7" t="str">
        <f t="shared" si="34"/>
        <v/>
      </c>
      <c r="Q560" s="7" t="str">
        <f>IF(LEN(TRIM(D560))=0,"",GetConfigParameterValue("Collection Site"))</f>
        <v/>
      </c>
      <c r="R560" t="str">
        <f>IF(LEN(TRIM(E560))=0, "", GetManifestComments(H560))</f>
        <v/>
      </c>
      <c r="S560" t="str">
        <f>IF(LEN(TRIM(E560))=0,"",IF(ISERROR(VLOOKUP(E560,'Manifest MDB data'!A:A,1,FALSE)),"OK","EXISTS!!!"))</f>
        <v/>
      </c>
    </row>
    <row r="561" spans="4:19" x14ac:dyDescent="0.25">
      <c r="D561" t="str">
        <f t="shared" si="35"/>
        <v/>
      </c>
      <c r="E561" t="str">
        <f t="shared" si="36"/>
        <v/>
      </c>
      <c r="F561" t="str">
        <f t="shared" si="33"/>
        <v/>
      </c>
      <c r="G561" t="str">
        <f>IF(LEN(TRIM(E561))=0, "", GetSampleTissueBySpecimenPrep(H561))</f>
        <v/>
      </c>
      <c r="H561" t="str">
        <f>IF(LEN(TRIM(E561))=0, "", GetSpecimenPrepName())</f>
        <v/>
      </c>
      <c r="I561" t="str">
        <f>IF(LEN(TRIM(E561))=0, "", GetSampleVolumeBySpecimenPrep(H561))</f>
        <v/>
      </c>
      <c r="L561" t="str">
        <f>IF(LEN(TRIM(E561))=0,"",VLOOKUP("Manifest Id",config!A:B,2,FALSE))</f>
        <v/>
      </c>
      <c r="M561" t="str">
        <f>IF(LEN(TRIM(E561))=0, "",VLOOKUP("Project Name",config!A:B,2,FALSE))</f>
        <v/>
      </c>
      <c r="N561" t="str">
        <f>IF(LEN(TRIM(E561))=0, "",VLOOKUP("Center Name",config!A:B,2,FALSE))</f>
        <v/>
      </c>
      <c r="O561" s="7" t="str">
        <f>IF(LEN(TRIM(E561))=0,"",VLOOKUP("Shipment Date",config!A:B,2,FALSE))</f>
        <v/>
      </c>
      <c r="P561" s="7" t="str">
        <f t="shared" si="34"/>
        <v/>
      </c>
      <c r="Q561" s="7" t="str">
        <f>IF(LEN(TRIM(D561))=0,"",GetConfigParameterValue("Collection Site"))</f>
        <v/>
      </c>
      <c r="R561" t="str">
        <f>IF(LEN(TRIM(E561))=0, "", GetManifestComments(H561))</f>
        <v/>
      </c>
      <c r="S561" t="str">
        <f>IF(LEN(TRIM(E561))=0,"",IF(ISERROR(VLOOKUP(E561,'Manifest MDB data'!A:A,1,FALSE)),"OK","EXISTS!!!"))</f>
        <v/>
      </c>
    </row>
    <row r="562" spans="4:19" x14ac:dyDescent="0.25">
      <c r="D562" t="str">
        <f t="shared" si="35"/>
        <v/>
      </c>
      <c r="E562" t="str">
        <f t="shared" si="36"/>
        <v/>
      </c>
      <c r="F562" t="str">
        <f t="shared" si="33"/>
        <v/>
      </c>
      <c r="G562" t="str">
        <f>IF(LEN(TRIM(E562))=0, "", GetSampleTissueBySpecimenPrep(H562))</f>
        <v/>
      </c>
      <c r="H562" t="str">
        <f>IF(LEN(TRIM(E562))=0, "", GetSpecimenPrepName())</f>
        <v/>
      </c>
      <c r="I562" t="str">
        <f>IF(LEN(TRIM(E562))=0, "", GetSampleVolumeBySpecimenPrep(H562))</f>
        <v/>
      </c>
      <c r="L562" t="str">
        <f>IF(LEN(TRIM(E562))=0,"",VLOOKUP("Manifest Id",config!A:B,2,FALSE))</f>
        <v/>
      </c>
      <c r="M562" t="str">
        <f>IF(LEN(TRIM(E562))=0, "",VLOOKUP("Project Name",config!A:B,2,FALSE))</f>
        <v/>
      </c>
      <c r="N562" t="str">
        <f>IF(LEN(TRIM(E562))=0, "",VLOOKUP("Center Name",config!A:B,2,FALSE))</f>
        <v/>
      </c>
      <c r="O562" s="7" t="str">
        <f>IF(LEN(TRIM(E562))=0,"",VLOOKUP("Shipment Date",config!A:B,2,FALSE))</f>
        <v/>
      </c>
      <c r="P562" s="7" t="str">
        <f t="shared" si="34"/>
        <v/>
      </c>
      <c r="Q562" s="7" t="str">
        <f>IF(LEN(TRIM(D562))=0,"",GetConfigParameterValue("Collection Site"))</f>
        <v/>
      </c>
      <c r="R562" t="str">
        <f>IF(LEN(TRIM(E562))=0, "", GetManifestComments(H562))</f>
        <v/>
      </c>
      <c r="S562" t="str">
        <f>IF(LEN(TRIM(E562))=0,"",IF(ISERROR(VLOOKUP(E562,'Manifest MDB data'!A:A,1,FALSE)),"OK","EXISTS!!!"))</f>
        <v/>
      </c>
    </row>
    <row r="563" spans="4:19" x14ac:dyDescent="0.25">
      <c r="D563" t="str">
        <f t="shared" si="35"/>
        <v/>
      </c>
      <c r="E563" t="str">
        <f t="shared" si="36"/>
        <v/>
      </c>
      <c r="F563" t="str">
        <f t="shared" si="33"/>
        <v/>
      </c>
      <c r="G563" t="str">
        <f>IF(LEN(TRIM(E563))=0, "", GetSampleTissueBySpecimenPrep(H563))</f>
        <v/>
      </c>
      <c r="H563" t="str">
        <f>IF(LEN(TRIM(E563))=0, "", GetSpecimenPrepName())</f>
        <v/>
      </c>
      <c r="I563" t="str">
        <f>IF(LEN(TRIM(E563))=0, "", GetSampleVolumeBySpecimenPrep(H563))</f>
        <v/>
      </c>
      <c r="L563" t="str">
        <f>IF(LEN(TRIM(E563))=0,"",VLOOKUP("Manifest Id",config!A:B,2,FALSE))</f>
        <v/>
      </c>
      <c r="M563" t="str">
        <f>IF(LEN(TRIM(E563))=0, "",VLOOKUP("Project Name",config!A:B,2,FALSE))</f>
        <v/>
      </c>
      <c r="N563" t="str">
        <f>IF(LEN(TRIM(E563))=0, "",VLOOKUP("Center Name",config!A:B,2,FALSE))</f>
        <v/>
      </c>
      <c r="O563" s="7" t="str">
        <f>IF(LEN(TRIM(E563))=0,"",VLOOKUP("Shipment Date",config!A:B,2,FALSE))</f>
        <v/>
      </c>
      <c r="P563" s="7" t="str">
        <f t="shared" si="34"/>
        <v/>
      </c>
      <c r="Q563" s="7" t="str">
        <f>IF(LEN(TRIM(D563))=0,"",GetConfigParameterValue("Collection Site"))</f>
        <v/>
      </c>
      <c r="R563" t="str">
        <f>IF(LEN(TRIM(E563))=0, "", GetManifestComments(H563))</f>
        <v/>
      </c>
      <c r="S563" t="str">
        <f>IF(LEN(TRIM(E563))=0,"",IF(ISERROR(VLOOKUP(E563,'Manifest MDB data'!A:A,1,FALSE)),"OK","EXISTS!!!"))</f>
        <v/>
      </c>
    </row>
    <row r="564" spans="4:19" x14ac:dyDescent="0.25">
      <c r="D564" t="str">
        <f t="shared" si="35"/>
        <v/>
      </c>
      <c r="E564" t="str">
        <f t="shared" si="36"/>
        <v/>
      </c>
      <c r="F564" t="str">
        <f t="shared" si="33"/>
        <v/>
      </c>
      <c r="G564" t="str">
        <f>IF(LEN(TRIM(E564))=0, "", GetSampleTissueBySpecimenPrep(H564))</f>
        <v/>
      </c>
      <c r="H564" t="str">
        <f>IF(LEN(TRIM(E564))=0, "", GetSpecimenPrepName())</f>
        <v/>
      </c>
      <c r="I564" t="str">
        <f>IF(LEN(TRIM(E564))=0, "", GetSampleVolumeBySpecimenPrep(H564))</f>
        <v/>
      </c>
      <c r="L564" t="str">
        <f>IF(LEN(TRIM(E564))=0,"",VLOOKUP("Manifest Id",config!A:B,2,FALSE))</f>
        <v/>
      </c>
      <c r="M564" t="str">
        <f>IF(LEN(TRIM(E564))=0, "",VLOOKUP("Project Name",config!A:B,2,FALSE))</f>
        <v/>
      </c>
      <c r="N564" t="str">
        <f>IF(LEN(TRIM(E564))=0, "",VLOOKUP("Center Name",config!A:B,2,FALSE))</f>
        <v/>
      </c>
      <c r="O564" s="7" t="str">
        <f>IF(LEN(TRIM(E564))=0,"",VLOOKUP("Shipment Date",config!A:B,2,FALSE))</f>
        <v/>
      </c>
      <c r="P564" s="7" t="str">
        <f t="shared" si="34"/>
        <v/>
      </c>
      <c r="Q564" s="7" t="str">
        <f>IF(LEN(TRIM(D564))=0,"",GetConfigParameterValue("Collection Site"))</f>
        <v/>
      </c>
      <c r="R564" t="str">
        <f>IF(LEN(TRIM(E564))=0, "", GetManifestComments(H564))</f>
        <v/>
      </c>
      <c r="S564" t="str">
        <f>IF(LEN(TRIM(E564))=0,"",IF(ISERROR(VLOOKUP(E564,'Manifest MDB data'!A:A,1,FALSE)),"OK","EXISTS!!!"))</f>
        <v/>
      </c>
    </row>
    <row r="565" spans="4:19" x14ac:dyDescent="0.25">
      <c r="D565" t="str">
        <f t="shared" si="35"/>
        <v/>
      </c>
      <c r="E565" t="str">
        <f t="shared" si="36"/>
        <v/>
      </c>
      <c r="F565" t="str">
        <f t="shared" si="33"/>
        <v/>
      </c>
      <c r="G565" t="str">
        <f>IF(LEN(TRIM(E565))=0, "", GetSampleTissueBySpecimenPrep(H565))</f>
        <v/>
      </c>
      <c r="H565" t="str">
        <f>IF(LEN(TRIM(E565))=0, "", GetSpecimenPrepName())</f>
        <v/>
      </c>
      <c r="I565" t="str">
        <f>IF(LEN(TRIM(E565))=0, "", GetSampleVolumeBySpecimenPrep(H565))</f>
        <v/>
      </c>
      <c r="L565" t="str">
        <f>IF(LEN(TRIM(E565))=0,"",VLOOKUP("Manifest Id",config!A:B,2,FALSE))</f>
        <v/>
      </c>
      <c r="M565" t="str">
        <f>IF(LEN(TRIM(E565))=0, "",VLOOKUP("Project Name",config!A:B,2,FALSE))</f>
        <v/>
      </c>
      <c r="N565" t="str">
        <f>IF(LEN(TRIM(E565))=0, "",VLOOKUP("Center Name",config!A:B,2,FALSE))</f>
        <v/>
      </c>
      <c r="O565" s="7" t="str">
        <f>IF(LEN(TRIM(E565))=0,"",VLOOKUP("Shipment Date",config!A:B,2,FALSE))</f>
        <v/>
      </c>
      <c r="P565" s="7" t="str">
        <f t="shared" si="34"/>
        <v/>
      </c>
      <c r="Q565" s="7" t="str">
        <f>IF(LEN(TRIM(D565))=0,"",GetConfigParameterValue("Collection Site"))</f>
        <v/>
      </c>
      <c r="R565" t="str">
        <f>IF(LEN(TRIM(E565))=0, "", GetManifestComments(H565))</f>
        <v/>
      </c>
      <c r="S565" t="str">
        <f>IF(LEN(TRIM(E565))=0,"",IF(ISERROR(VLOOKUP(E565,'Manifest MDB data'!A:A,1,FALSE)),"OK","EXISTS!!!"))</f>
        <v/>
      </c>
    </row>
    <row r="566" spans="4:19" x14ac:dyDescent="0.25">
      <c r="D566" t="str">
        <f t="shared" si="35"/>
        <v/>
      </c>
      <c r="E566" t="str">
        <f t="shared" si="36"/>
        <v/>
      </c>
      <c r="F566" t="str">
        <f t="shared" ref="F566:F629" si="37">IF(LEN(TRIM(E566))=0, "", "Human")</f>
        <v/>
      </c>
      <c r="G566" t="str">
        <f>IF(LEN(TRIM(E566))=0, "", GetSampleTissueBySpecimenPrep(H566))</f>
        <v/>
      </c>
      <c r="H566" t="str">
        <f>IF(LEN(TRIM(E566))=0, "", GetSpecimenPrepName())</f>
        <v/>
      </c>
      <c r="I566" t="str">
        <f>IF(LEN(TRIM(E566))=0, "", GetSampleVolumeBySpecimenPrep(H566))</f>
        <v/>
      </c>
      <c r="L566" t="str">
        <f>IF(LEN(TRIM(E566))=0,"",VLOOKUP("Manifest Id",config!A:B,2,FALSE))</f>
        <v/>
      </c>
      <c r="M566" t="str">
        <f>IF(LEN(TRIM(E566))=0, "",VLOOKUP("Project Name",config!A:B,2,FALSE))</f>
        <v/>
      </c>
      <c r="N566" t="str">
        <f>IF(LEN(TRIM(E566))=0, "",VLOOKUP("Center Name",config!A:B,2,FALSE))</f>
        <v/>
      </c>
      <c r="O566" s="7" t="str">
        <f>IF(LEN(TRIM(E566))=0,"",VLOOKUP("Shipment Date",config!A:B,2,FALSE))</f>
        <v/>
      </c>
      <c r="P566" s="7" t="str">
        <f t="shared" si="34"/>
        <v/>
      </c>
      <c r="Q566" s="7" t="str">
        <f>IF(LEN(TRIM(D566))=0,"",GetConfigParameterValue("Collection Site"))</f>
        <v/>
      </c>
      <c r="R566" t="str">
        <f>IF(LEN(TRIM(E566))=0, "", GetManifestComments(H566))</f>
        <v/>
      </c>
      <c r="S566" t="str">
        <f>IF(LEN(TRIM(E566))=0,"",IF(ISERROR(VLOOKUP(E566,'Manifest MDB data'!A:A,1,FALSE)),"OK","EXISTS!!!"))</f>
        <v/>
      </c>
    </row>
    <row r="567" spans="4:19" x14ac:dyDescent="0.25">
      <c r="D567" t="str">
        <f t="shared" si="35"/>
        <v/>
      </c>
      <c r="E567" t="str">
        <f t="shared" si="36"/>
        <v/>
      </c>
      <c r="F567" t="str">
        <f t="shared" si="37"/>
        <v/>
      </c>
      <c r="G567" t="str">
        <f>IF(LEN(TRIM(E567))=0, "", GetSampleTissueBySpecimenPrep(H567))</f>
        <v/>
      </c>
      <c r="H567" t="str">
        <f>IF(LEN(TRIM(E567))=0, "", GetSpecimenPrepName())</f>
        <v/>
      </c>
      <c r="I567" t="str">
        <f>IF(LEN(TRIM(E567))=0, "", GetSampleVolumeBySpecimenPrep(H567))</f>
        <v/>
      </c>
      <c r="L567" t="str">
        <f>IF(LEN(TRIM(E567))=0,"",VLOOKUP("Manifest Id",config!A:B,2,FALSE))</f>
        <v/>
      </c>
      <c r="M567" t="str">
        <f>IF(LEN(TRIM(E567))=0, "",VLOOKUP("Project Name",config!A:B,2,FALSE))</f>
        <v/>
      </c>
      <c r="N567" t="str">
        <f>IF(LEN(TRIM(E567))=0, "",VLOOKUP("Center Name",config!A:B,2,FALSE))</f>
        <v/>
      </c>
      <c r="O567" s="7" t="str">
        <f>IF(LEN(TRIM(E567))=0,"",VLOOKUP("Shipment Date",config!A:B,2,FALSE))</f>
        <v/>
      </c>
      <c r="P567" s="7" t="str">
        <f t="shared" si="34"/>
        <v/>
      </c>
      <c r="Q567" s="7" t="str">
        <f>IF(LEN(TRIM(D567))=0,"",GetConfigParameterValue("Collection Site"))</f>
        <v/>
      </c>
      <c r="R567" t="str">
        <f>IF(LEN(TRIM(E567))=0, "", GetManifestComments(H567))</f>
        <v/>
      </c>
      <c r="S567" t="str">
        <f>IF(LEN(TRIM(E567))=0,"",IF(ISERROR(VLOOKUP(E567,'Manifest MDB data'!A:A,1,FALSE)),"OK","EXISTS!!!"))</f>
        <v/>
      </c>
    </row>
    <row r="568" spans="4:19" x14ac:dyDescent="0.25">
      <c r="D568" t="str">
        <f t="shared" si="35"/>
        <v/>
      </c>
      <c r="E568" t="str">
        <f t="shared" si="36"/>
        <v/>
      </c>
      <c r="F568" t="str">
        <f t="shared" si="37"/>
        <v/>
      </c>
      <c r="G568" t="str">
        <f>IF(LEN(TRIM(E568))=0, "", GetSampleTissueBySpecimenPrep(H568))</f>
        <v/>
      </c>
      <c r="H568" t="str">
        <f>IF(LEN(TRIM(E568))=0, "", GetSpecimenPrepName())</f>
        <v/>
      </c>
      <c r="I568" t="str">
        <f>IF(LEN(TRIM(E568))=0, "", GetSampleVolumeBySpecimenPrep(H568))</f>
        <v/>
      </c>
      <c r="L568" t="str">
        <f>IF(LEN(TRIM(E568))=0,"",VLOOKUP("Manifest Id",config!A:B,2,FALSE))</f>
        <v/>
      </c>
      <c r="M568" t="str">
        <f>IF(LEN(TRIM(E568))=0, "",VLOOKUP("Project Name",config!A:B,2,FALSE))</f>
        <v/>
      </c>
      <c r="N568" t="str">
        <f>IF(LEN(TRIM(E568))=0, "",VLOOKUP("Center Name",config!A:B,2,FALSE))</f>
        <v/>
      </c>
      <c r="O568" s="7" t="str">
        <f>IF(LEN(TRIM(E568))=0,"",VLOOKUP("Shipment Date",config!A:B,2,FALSE))</f>
        <v/>
      </c>
      <c r="P568" s="7" t="str">
        <f t="shared" si="34"/>
        <v/>
      </c>
      <c r="Q568" s="7" t="str">
        <f>IF(LEN(TRIM(D568))=0,"",GetConfigParameterValue("Collection Site"))</f>
        <v/>
      </c>
      <c r="R568" t="str">
        <f>IF(LEN(TRIM(E568))=0, "", GetManifestComments(H568))</f>
        <v/>
      </c>
      <c r="S568" t="str">
        <f>IF(LEN(TRIM(E568))=0,"",IF(ISERROR(VLOOKUP(E568,'Manifest MDB data'!A:A,1,FALSE)),"OK","EXISTS!!!"))</f>
        <v/>
      </c>
    </row>
    <row r="569" spans="4:19" x14ac:dyDescent="0.25">
      <c r="D569" t="str">
        <f t="shared" si="35"/>
        <v/>
      </c>
      <c r="E569" t="str">
        <f t="shared" si="36"/>
        <v/>
      </c>
      <c r="F569" t="str">
        <f t="shared" si="37"/>
        <v/>
      </c>
      <c r="G569" t="str">
        <f>IF(LEN(TRIM(E569))=0, "", GetSampleTissueBySpecimenPrep(H569))</f>
        <v/>
      </c>
      <c r="H569" t="str">
        <f>IF(LEN(TRIM(E569))=0, "", GetSpecimenPrepName())</f>
        <v/>
      </c>
      <c r="I569" t="str">
        <f>IF(LEN(TRIM(E569))=0, "", GetSampleVolumeBySpecimenPrep(H569))</f>
        <v/>
      </c>
      <c r="L569" t="str">
        <f>IF(LEN(TRIM(E569))=0,"",VLOOKUP("Manifest Id",config!A:B,2,FALSE))</f>
        <v/>
      </c>
      <c r="M569" t="str">
        <f>IF(LEN(TRIM(E569))=0, "",VLOOKUP("Project Name",config!A:B,2,FALSE))</f>
        <v/>
      </c>
      <c r="N569" t="str">
        <f>IF(LEN(TRIM(E569))=0, "",VLOOKUP("Center Name",config!A:B,2,FALSE))</f>
        <v/>
      </c>
      <c r="O569" s="7" t="str">
        <f>IF(LEN(TRIM(E569))=0,"",VLOOKUP("Shipment Date",config!A:B,2,FALSE))</f>
        <v/>
      </c>
      <c r="P569" s="7" t="str">
        <f t="shared" si="34"/>
        <v/>
      </c>
      <c r="Q569" s="7" t="str">
        <f>IF(LEN(TRIM(D569))=0,"",GetConfigParameterValue("Collection Site"))</f>
        <v/>
      </c>
      <c r="R569" t="str">
        <f>IF(LEN(TRIM(E569))=0, "", GetManifestComments(H569))</f>
        <v/>
      </c>
      <c r="S569" t="str">
        <f>IF(LEN(TRIM(E569))=0,"",IF(ISERROR(VLOOKUP(E569,'Manifest MDB data'!A:A,1,FALSE)),"OK","EXISTS!!!"))</f>
        <v/>
      </c>
    </row>
    <row r="570" spans="4:19" x14ac:dyDescent="0.25">
      <c r="D570" t="str">
        <f t="shared" si="35"/>
        <v/>
      </c>
      <c r="E570" t="str">
        <f t="shared" si="36"/>
        <v/>
      </c>
      <c r="F570" t="str">
        <f t="shared" si="37"/>
        <v/>
      </c>
      <c r="G570" t="str">
        <f>IF(LEN(TRIM(E570))=0, "", GetSampleTissueBySpecimenPrep(H570))</f>
        <v/>
      </c>
      <c r="H570" t="str">
        <f>IF(LEN(TRIM(E570))=0, "", GetSpecimenPrepName())</f>
        <v/>
      </c>
      <c r="I570" t="str">
        <f>IF(LEN(TRIM(E570))=0, "", GetSampleVolumeBySpecimenPrep(H570))</f>
        <v/>
      </c>
      <c r="L570" t="str">
        <f>IF(LEN(TRIM(E570))=0,"",VLOOKUP("Manifest Id",config!A:B,2,FALSE))</f>
        <v/>
      </c>
      <c r="M570" t="str">
        <f>IF(LEN(TRIM(E570))=0, "",VLOOKUP("Project Name",config!A:B,2,FALSE))</f>
        <v/>
      </c>
      <c r="N570" t="str">
        <f>IF(LEN(TRIM(E570))=0, "",VLOOKUP("Center Name",config!A:B,2,FALSE))</f>
        <v/>
      </c>
      <c r="O570" s="7" t="str">
        <f>IF(LEN(TRIM(E570))=0,"",VLOOKUP("Shipment Date",config!A:B,2,FALSE))</f>
        <v/>
      </c>
      <c r="P570" s="7" t="str">
        <f t="shared" si="34"/>
        <v/>
      </c>
      <c r="Q570" s="7" t="str">
        <f>IF(LEN(TRIM(D570))=0,"",GetConfigParameterValue("Collection Site"))</f>
        <v/>
      </c>
      <c r="R570" t="str">
        <f>IF(LEN(TRIM(E570))=0, "", GetManifestComments(H570))</f>
        <v/>
      </c>
      <c r="S570" t="str">
        <f>IF(LEN(TRIM(E570))=0,"",IF(ISERROR(VLOOKUP(E570,'Manifest MDB data'!A:A,1,FALSE)),"OK","EXISTS!!!"))</f>
        <v/>
      </c>
    </row>
    <row r="571" spans="4:19" x14ac:dyDescent="0.25">
      <c r="D571" t="str">
        <f t="shared" si="35"/>
        <v/>
      </c>
      <c r="E571" t="str">
        <f t="shared" si="36"/>
        <v/>
      </c>
      <c r="F571" t="str">
        <f t="shared" si="37"/>
        <v/>
      </c>
      <c r="G571" t="str">
        <f>IF(LEN(TRIM(E571))=0, "", GetSampleTissueBySpecimenPrep(H571))</f>
        <v/>
      </c>
      <c r="H571" t="str">
        <f>IF(LEN(TRIM(E571))=0, "", GetSpecimenPrepName())</f>
        <v/>
      </c>
      <c r="I571" t="str">
        <f>IF(LEN(TRIM(E571))=0, "", GetSampleVolumeBySpecimenPrep(H571))</f>
        <v/>
      </c>
      <c r="L571" t="str">
        <f>IF(LEN(TRIM(E571))=0,"",VLOOKUP("Manifest Id",config!A:B,2,FALSE))</f>
        <v/>
      </c>
      <c r="M571" t="str">
        <f>IF(LEN(TRIM(E571))=0, "",VLOOKUP("Project Name",config!A:B,2,FALSE))</f>
        <v/>
      </c>
      <c r="N571" t="str">
        <f>IF(LEN(TRIM(E571))=0, "",VLOOKUP("Center Name",config!A:B,2,FALSE))</f>
        <v/>
      </c>
      <c r="O571" s="7" t="str">
        <f>IF(LEN(TRIM(E571))=0,"",VLOOKUP("Shipment Date",config!A:B,2,FALSE))</f>
        <v/>
      </c>
      <c r="P571" s="7" t="str">
        <f t="shared" si="34"/>
        <v/>
      </c>
      <c r="Q571" s="7" t="str">
        <f>IF(LEN(TRIM(D571))=0,"",GetConfigParameterValue("Collection Site"))</f>
        <v/>
      </c>
      <c r="R571" t="str">
        <f>IF(LEN(TRIM(E571))=0, "", GetManifestComments(H571))</f>
        <v/>
      </c>
      <c r="S571" t="str">
        <f>IF(LEN(TRIM(E571))=0,"",IF(ISERROR(VLOOKUP(E571,'Manifest MDB data'!A:A,1,FALSE)),"OK","EXISTS!!!"))</f>
        <v/>
      </c>
    </row>
    <row r="572" spans="4:19" x14ac:dyDescent="0.25">
      <c r="D572" t="str">
        <f t="shared" si="35"/>
        <v/>
      </c>
      <c r="E572" t="str">
        <f t="shared" si="36"/>
        <v/>
      </c>
      <c r="F572" t="str">
        <f t="shared" si="37"/>
        <v/>
      </c>
      <c r="G572" t="str">
        <f>IF(LEN(TRIM(E572))=0, "", GetSampleTissueBySpecimenPrep(H572))</f>
        <v/>
      </c>
      <c r="H572" t="str">
        <f>IF(LEN(TRIM(E572))=0, "", GetSpecimenPrepName())</f>
        <v/>
      </c>
      <c r="I572" t="str">
        <f>IF(LEN(TRIM(E572))=0, "", GetSampleVolumeBySpecimenPrep(H572))</f>
        <v/>
      </c>
      <c r="L572" t="str">
        <f>IF(LEN(TRIM(E572))=0,"",VLOOKUP("Manifest Id",config!A:B,2,FALSE))</f>
        <v/>
      </c>
      <c r="M572" t="str">
        <f>IF(LEN(TRIM(E572))=0, "",VLOOKUP("Project Name",config!A:B,2,FALSE))</f>
        <v/>
      </c>
      <c r="N572" t="str">
        <f>IF(LEN(TRIM(E572))=0, "",VLOOKUP("Center Name",config!A:B,2,FALSE))</f>
        <v/>
      </c>
      <c r="O572" s="7" t="str">
        <f>IF(LEN(TRIM(E572))=0,"",VLOOKUP("Shipment Date",config!A:B,2,FALSE))</f>
        <v/>
      </c>
      <c r="P572" s="7" t="str">
        <f t="shared" si="34"/>
        <v/>
      </c>
      <c r="Q572" s="7" t="str">
        <f>IF(LEN(TRIM(D572))=0,"",GetConfigParameterValue("Collection Site"))</f>
        <v/>
      </c>
      <c r="R572" t="str">
        <f>IF(LEN(TRIM(E572))=0, "", GetManifestComments(H572))</f>
        <v/>
      </c>
      <c r="S572" t="str">
        <f>IF(LEN(TRIM(E572))=0,"",IF(ISERROR(VLOOKUP(E572,'Manifest MDB data'!A:A,1,FALSE)),"OK","EXISTS!!!"))</f>
        <v/>
      </c>
    </row>
    <row r="573" spans="4:19" x14ac:dyDescent="0.25">
      <c r="D573" t="str">
        <f t="shared" si="35"/>
        <v/>
      </c>
      <c r="E573" t="str">
        <f t="shared" si="36"/>
        <v/>
      </c>
      <c r="F573" t="str">
        <f t="shared" si="37"/>
        <v/>
      </c>
      <c r="G573" t="str">
        <f>IF(LEN(TRIM(E573))=0, "", GetSampleTissueBySpecimenPrep(H573))</f>
        <v/>
      </c>
      <c r="H573" t="str">
        <f>IF(LEN(TRIM(E573))=0, "", GetSpecimenPrepName())</f>
        <v/>
      </c>
      <c r="I573" t="str">
        <f>IF(LEN(TRIM(E573))=0, "", GetSampleVolumeBySpecimenPrep(H573))</f>
        <v/>
      </c>
      <c r="L573" t="str">
        <f>IF(LEN(TRIM(E573))=0,"",VLOOKUP("Manifest Id",config!A:B,2,FALSE))</f>
        <v/>
      </c>
      <c r="M573" t="str">
        <f>IF(LEN(TRIM(E573))=0, "",VLOOKUP("Project Name",config!A:B,2,FALSE))</f>
        <v/>
      </c>
      <c r="N573" t="str">
        <f>IF(LEN(TRIM(E573))=0, "",VLOOKUP("Center Name",config!A:B,2,FALSE))</f>
        <v/>
      </c>
      <c r="O573" s="7" t="str">
        <f>IF(LEN(TRIM(E573))=0,"",VLOOKUP("Shipment Date",config!A:B,2,FALSE))</f>
        <v/>
      </c>
      <c r="P573" s="7" t="str">
        <f t="shared" si="34"/>
        <v/>
      </c>
      <c r="Q573" s="7" t="str">
        <f>IF(LEN(TRIM(D573))=0,"",GetConfigParameterValue("Collection Site"))</f>
        <v/>
      </c>
      <c r="R573" t="str">
        <f>IF(LEN(TRIM(E573))=0, "", GetManifestComments(H573))</f>
        <v/>
      </c>
      <c r="S573" t="str">
        <f>IF(LEN(TRIM(E573))=0,"",IF(ISERROR(VLOOKUP(E573,'Manifest MDB data'!A:A,1,FALSE)),"OK","EXISTS!!!"))</f>
        <v/>
      </c>
    </row>
    <row r="574" spans="4:19" x14ac:dyDescent="0.25">
      <c r="D574" t="str">
        <f t="shared" si="35"/>
        <v/>
      </c>
      <c r="E574" t="str">
        <f t="shared" si="36"/>
        <v/>
      </c>
      <c r="F574" t="str">
        <f t="shared" si="37"/>
        <v/>
      </c>
      <c r="G574" t="str">
        <f>IF(LEN(TRIM(E574))=0, "", GetSampleTissueBySpecimenPrep(H574))</f>
        <v/>
      </c>
      <c r="H574" t="str">
        <f>IF(LEN(TRIM(E574))=0, "", GetSpecimenPrepName())</f>
        <v/>
      </c>
      <c r="I574" t="str">
        <f>IF(LEN(TRIM(E574))=0, "", GetSampleVolumeBySpecimenPrep(H574))</f>
        <v/>
      </c>
      <c r="L574" t="str">
        <f>IF(LEN(TRIM(E574))=0,"",VLOOKUP("Manifest Id",config!A:B,2,FALSE))</f>
        <v/>
      </c>
      <c r="M574" t="str">
        <f>IF(LEN(TRIM(E574))=0, "",VLOOKUP("Project Name",config!A:B,2,FALSE))</f>
        <v/>
      </c>
      <c r="N574" t="str">
        <f>IF(LEN(TRIM(E574))=0, "",VLOOKUP("Center Name",config!A:B,2,FALSE))</f>
        <v/>
      </c>
      <c r="O574" s="7" t="str">
        <f>IF(LEN(TRIM(E574))=0,"",VLOOKUP("Shipment Date",config!A:B,2,FALSE))</f>
        <v/>
      </c>
      <c r="P574" s="7" t="str">
        <f t="shared" si="34"/>
        <v/>
      </c>
      <c r="Q574" s="7" t="str">
        <f>IF(LEN(TRIM(D574))=0,"",GetConfigParameterValue("Collection Site"))</f>
        <v/>
      </c>
      <c r="R574" t="str">
        <f>IF(LEN(TRIM(E574))=0, "", GetManifestComments(H574))</f>
        <v/>
      </c>
      <c r="S574" t="str">
        <f>IF(LEN(TRIM(E574))=0,"",IF(ISERROR(VLOOKUP(E574,'Manifest MDB data'!A:A,1,FALSE)),"OK","EXISTS!!!"))</f>
        <v/>
      </c>
    </row>
    <row r="575" spans="4:19" x14ac:dyDescent="0.25">
      <c r="D575" t="str">
        <f t="shared" si="35"/>
        <v/>
      </c>
      <c r="E575" t="str">
        <f t="shared" si="36"/>
        <v/>
      </c>
      <c r="F575" t="str">
        <f t="shared" si="37"/>
        <v/>
      </c>
      <c r="G575" t="str">
        <f>IF(LEN(TRIM(E575))=0, "", GetSampleTissueBySpecimenPrep(H575))</f>
        <v/>
      </c>
      <c r="H575" t="str">
        <f>IF(LEN(TRIM(E575))=0, "", GetSpecimenPrepName())</f>
        <v/>
      </c>
      <c r="I575" t="str">
        <f>IF(LEN(TRIM(E575))=0, "", GetSampleVolumeBySpecimenPrep(H575))</f>
        <v/>
      </c>
      <c r="L575" t="str">
        <f>IF(LEN(TRIM(E575))=0,"",VLOOKUP("Manifest Id",config!A:B,2,FALSE))</f>
        <v/>
      </c>
      <c r="M575" t="str">
        <f>IF(LEN(TRIM(E575))=0, "",VLOOKUP("Project Name",config!A:B,2,FALSE))</f>
        <v/>
      </c>
      <c r="N575" t="str">
        <f>IF(LEN(TRIM(E575))=0, "",VLOOKUP("Center Name",config!A:B,2,FALSE))</f>
        <v/>
      </c>
      <c r="O575" s="7" t="str">
        <f>IF(LEN(TRIM(E575))=0,"",VLOOKUP("Shipment Date",config!A:B,2,FALSE))</f>
        <v/>
      </c>
      <c r="P575" s="7" t="str">
        <f t="shared" si="34"/>
        <v/>
      </c>
      <c r="Q575" s="7" t="str">
        <f>IF(LEN(TRIM(D575))=0,"",GetConfigParameterValue("Collection Site"))</f>
        <v/>
      </c>
      <c r="R575" t="str">
        <f>IF(LEN(TRIM(E575))=0, "", GetManifestComments(H575))</f>
        <v/>
      </c>
      <c r="S575" t="str">
        <f>IF(LEN(TRIM(E575))=0,"",IF(ISERROR(VLOOKUP(E575,'Manifest MDB data'!A:A,1,FALSE)),"OK","EXISTS!!!"))</f>
        <v/>
      </c>
    </row>
    <row r="576" spans="4:19" x14ac:dyDescent="0.25">
      <c r="D576" t="str">
        <f t="shared" si="35"/>
        <v/>
      </c>
      <c r="E576" t="str">
        <f t="shared" si="36"/>
        <v/>
      </c>
      <c r="F576" t="str">
        <f t="shared" si="37"/>
        <v/>
      </c>
      <c r="G576" t="str">
        <f>IF(LEN(TRIM(E576))=0, "", GetSampleTissueBySpecimenPrep(H576))</f>
        <v/>
      </c>
      <c r="H576" t="str">
        <f>IF(LEN(TRIM(E576))=0, "", GetSpecimenPrepName())</f>
        <v/>
      </c>
      <c r="I576" t="str">
        <f>IF(LEN(TRIM(E576))=0, "", GetSampleVolumeBySpecimenPrep(H576))</f>
        <v/>
      </c>
      <c r="L576" t="str">
        <f>IF(LEN(TRIM(E576))=0,"",VLOOKUP("Manifest Id",config!A:B,2,FALSE))</f>
        <v/>
      </c>
      <c r="M576" t="str">
        <f>IF(LEN(TRIM(E576))=0, "",VLOOKUP("Project Name",config!A:B,2,FALSE))</f>
        <v/>
      </c>
      <c r="N576" t="str">
        <f>IF(LEN(TRIM(E576))=0, "",VLOOKUP("Center Name",config!A:B,2,FALSE))</f>
        <v/>
      </c>
      <c r="O576" s="7" t="str">
        <f>IF(LEN(TRIM(E576))=0,"",VLOOKUP("Shipment Date",config!A:B,2,FALSE))</f>
        <v/>
      </c>
      <c r="P576" s="7" t="str">
        <f t="shared" si="34"/>
        <v/>
      </c>
      <c r="Q576" s="7" t="str">
        <f>IF(LEN(TRIM(D576))=0,"",GetConfigParameterValue("Collection Site"))</f>
        <v/>
      </c>
      <c r="R576" t="str">
        <f>IF(LEN(TRIM(E576))=0, "", GetManifestComments(H576))</f>
        <v/>
      </c>
      <c r="S576" t="str">
        <f>IF(LEN(TRIM(E576))=0,"",IF(ISERROR(VLOOKUP(E576,'Manifest MDB data'!A:A,1,FALSE)),"OK","EXISTS!!!"))</f>
        <v/>
      </c>
    </row>
    <row r="577" spans="4:19" x14ac:dyDescent="0.25">
      <c r="D577" t="str">
        <f t="shared" si="35"/>
        <v/>
      </c>
      <c r="E577" t="str">
        <f t="shared" si="36"/>
        <v/>
      </c>
      <c r="F577" t="str">
        <f t="shared" si="37"/>
        <v/>
      </c>
      <c r="G577" t="str">
        <f>IF(LEN(TRIM(E577))=0, "", GetSampleTissueBySpecimenPrep(H577))</f>
        <v/>
      </c>
      <c r="H577" t="str">
        <f>IF(LEN(TRIM(E577))=0, "", GetSpecimenPrepName())</f>
        <v/>
      </c>
      <c r="I577" t="str">
        <f>IF(LEN(TRIM(E577))=0, "", GetSampleVolumeBySpecimenPrep(H577))</f>
        <v/>
      </c>
      <c r="L577" t="str">
        <f>IF(LEN(TRIM(E577))=0,"",VLOOKUP("Manifest Id",config!A:B,2,FALSE))</f>
        <v/>
      </c>
      <c r="M577" t="str">
        <f>IF(LEN(TRIM(E577))=0, "",VLOOKUP("Project Name",config!A:B,2,FALSE))</f>
        <v/>
      </c>
      <c r="N577" t="str">
        <f>IF(LEN(TRIM(E577))=0, "",VLOOKUP("Center Name",config!A:B,2,FALSE))</f>
        <v/>
      </c>
      <c r="O577" s="7" t="str">
        <f>IF(LEN(TRIM(E577))=0,"",VLOOKUP("Shipment Date",config!A:B,2,FALSE))</f>
        <v/>
      </c>
      <c r="P577" s="7" t="str">
        <f t="shared" si="34"/>
        <v/>
      </c>
      <c r="Q577" s="7" t="str">
        <f>IF(LEN(TRIM(D577))=0,"",GetConfigParameterValue("Collection Site"))</f>
        <v/>
      </c>
      <c r="R577" t="str">
        <f>IF(LEN(TRIM(E577))=0, "", GetManifestComments(H577))</f>
        <v/>
      </c>
      <c r="S577" t="str">
        <f>IF(LEN(TRIM(E577))=0,"",IF(ISERROR(VLOOKUP(E577,'Manifest MDB data'!A:A,1,FALSE)),"OK","EXISTS!!!"))</f>
        <v/>
      </c>
    </row>
    <row r="578" spans="4:19" x14ac:dyDescent="0.25">
      <c r="D578" t="str">
        <f t="shared" si="35"/>
        <v/>
      </c>
      <c r="E578" t="str">
        <f t="shared" si="36"/>
        <v/>
      </c>
      <c r="F578" t="str">
        <f t="shared" si="37"/>
        <v/>
      </c>
      <c r="G578" t="str">
        <f>IF(LEN(TRIM(E578))=0, "", GetSampleTissueBySpecimenPrep(H578))</f>
        <v/>
      </c>
      <c r="H578" t="str">
        <f>IF(LEN(TRIM(E578))=0, "", GetSpecimenPrepName())</f>
        <v/>
      </c>
      <c r="I578" t="str">
        <f>IF(LEN(TRIM(E578))=0, "", GetSampleVolumeBySpecimenPrep(H578))</f>
        <v/>
      </c>
      <c r="L578" t="str">
        <f>IF(LEN(TRIM(E578))=0,"",VLOOKUP("Manifest Id",config!A:B,2,FALSE))</f>
        <v/>
      </c>
      <c r="M578" t="str">
        <f>IF(LEN(TRIM(E578))=0, "",VLOOKUP("Project Name",config!A:B,2,FALSE))</f>
        <v/>
      </c>
      <c r="N578" t="str">
        <f>IF(LEN(TRIM(E578))=0, "",VLOOKUP("Center Name",config!A:B,2,FALSE))</f>
        <v/>
      </c>
      <c r="O578" s="7" t="str">
        <f>IF(LEN(TRIM(E578))=0,"",VLOOKUP("Shipment Date",config!A:B,2,FALSE))</f>
        <v/>
      </c>
      <c r="P578" s="7" t="str">
        <f t="shared" ref="P578:P641" si="38">getColumnValueBySubjectID("Visit Date", RIGHT(LEFT(D578,7),4))</f>
        <v/>
      </c>
      <c r="Q578" s="7" t="str">
        <f>IF(LEN(TRIM(D578))=0,"",GetConfigParameterValue("Collection Site"))</f>
        <v/>
      </c>
      <c r="R578" t="str">
        <f>IF(LEN(TRIM(E578))=0, "", GetManifestComments(H578))</f>
        <v/>
      </c>
      <c r="S578" t="str">
        <f>IF(LEN(TRIM(E578))=0,"",IF(ISERROR(VLOOKUP(E578,'Manifest MDB data'!A:A,1,FALSE)),"OK","EXISTS!!!"))</f>
        <v/>
      </c>
    </row>
    <row r="579" spans="4:19" x14ac:dyDescent="0.25">
      <c r="D579" t="str">
        <f t="shared" ref="D579:D642" si="39">GetSampleId((ROW()))</f>
        <v/>
      </c>
      <c r="E579" t="str">
        <f t="shared" ref="E579:E642" si="40">GetAliquotId((ROW()))</f>
        <v/>
      </c>
      <c r="F579" t="str">
        <f t="shared" si="37"/>
        <v/>
      </c>
      <c r="G579" t="str">
        <f>IF(LEN(TRIM(E579))=0, "", GetSampleTissueBySpecimenPrep(H579))</f>
        <v/>
      </c>
      <c r="H579" t="str">
        <f>IF(LEN(TRIM(E579))=0, "", GetSpecimenPrepName())</f>
        <v/>
      </c>
      <c r="I579" t="str">
        <f>IF(LEN(TRIM(E579))=0, "", GetSampleVolumeBySpecimenPrep(H579))</f>
        <v/>
      </c>
      <c r="L579" t="str">
        <f>IF(LEN(TRIM(E579))=0,"",VLOOKUP("Manifest Id",config!A:B,2,FALSE))</f>
        <v/>
      </c>
      <c r="M579" t="str">
        <f>IF(LEN(TRIM(E579))=0, "",VLOOKUP("Project Name",config!A:B,2,FALSE))</f>
        <v/>
      </c>
      <c r="N579" t="str">
        <f>IF(LEN(TRIM(E579))=0, "",VLOOKUP("Center Name",config!A:B,2,FALSE))</f>
        <v/>
      </c>
      <c r="O579" s="7" t="str">
        <f>IF(LEN(TRIM(E579))=0,"",VLOOKUP("Shipment Date",config!A:B,2,FALSE))</f>
        <v/>
      </c>
      <c r="P579" s="7" t="str">
        <f t="shared" si="38"/>
        <v/>
      </c>
      <c r="Q579" s="7" t="str">
        <f>IF(LEN(TRIM(D579))=0,"",GetConfigParameterValue("Collection Site"))</f>
        <v/>
      </c>
      <c r="R579" t="str">
        <f>IF(LEN(TRIM(E579))=0, "", GetManifestComments(H579))</f>
        <v/>
      </c>
      <c r="S579" t="str">
        <f>IF(LEN(TRIM(E579))=0,"",IF(ISERROR(VLOOKUP(E579,'Manifest MDB data'!A:A,1,FALSE)),"OK","EXISTS!!!"))</f>
        <v/>
      </c>
    </row>
    <row r="580" spans="4:19" x14ac:dyDescent="0.25">
      <c r="D580" t="str">
        <f t="shared" si="39"/>
        <v/>
      </c>
      <c r="E580" t="str">
        <f t="shared" si="40"/>
        <v/>
      </c>
      <c r="F580" t="str">
        <f t="shared" si="37"/>
        <v/>
      </c>
      <c r="G580" t="str">
        <f>IF(LEN(TRIM(E580))=0, "", GetSampleTissueBySpecimenPrep(H580))</f>
        <v/>
      </c>
      <c r="H580" t="str">
        <f>IF(LEN(TRIM(E580))=0, "", GetSpecimenPrepName())</f>
        <v/>
      </c>
      <c r="I580" t="str">
        <f>IF(LEN(TRIM(E580))=0, "", GetSampleVolumeBySpecimenPrep(H580))</f>
        <v/>
      </c>
      <c r="L580" t="str">
        <f>IF(LEN(TRIM(E580))=0,"",VLOOKUP("Manifest Id",config!A:B,2,FALSE))</f>
        <v/>
      </c>
      <c r="M580" t="str">
        <f>IF(LEN(TRIM(E580))=0, "",VLOOKUP("Project Name",config!A:B,2,FALSE))</f>
        <v/>
      </c>
      <c r="N580" t="str">
        <f>IF(LEN(TRIM(E580))=0, "",VLOOKUP("Center Name",config!A:B,2,FALSE))</f>
        <v/>
      </c>
      <c r="O580" s="7" t="str">
        <f>IF(LEN(TRIM(E580))=0,"",VLOOKUP("Shipment Date",config!A:B,2,FALSE))</f>
        <v/>
      </c>
      <c r="P580" s="7" t="str">
        <f t="shared" si="38"/>
        <v/>
      </c>
      <c r="Q580" s="7" t="str">
        <f>IF(LEN(TRIM(D580))=0,"",GetConfigParameterValue("Collection Site"))</f>
        <v/>
      </c>
      <c r="R580" t="str">
        <f>IF(LEN(TRIM(E580))=0, "", GetManifestComments(H580))</f>
        <v/>
      </c>
      <c r="S580" t="str">
        <f>IF(LEN(TRIM(E580))=0,"",IF(ISERROR(VLOOKUP(E580,'Manifest MDB data'!A:A,1,FALSE)),"OK","EXISTS!!!"))</f>
        <v/>
      </c>
    </row>
    <row r="581" spans="4:19" x14ac:dyDescent="0.25">
      <c r="D581" t="str">
        <f t="shared" si="39"/>
        <v/>
      </c>
      <c r="E581" t="str">
        <f t="shared" si="40"/>
        <v/>
      </c>
      <c r="F581" t="str">
        <f t="shared" si="37"/>
        <v/>
      </c>
      <c r="G581" t="str">
        <f>IF(LEN(TRIM(E581))=0, "", GetSampleTissueBySpecimenPrep(H581))</f>
        <v/>
      </c>
      <c r="H581" t="str">
        <f>IF(LEN(TRIM(E581))=0, "", GetSpecimenPrepName())</f>
        <v/>
      </c>
      <c r="I581" t="str">
        <f>IF(LEN(TRIM(E581))=0, "", GetSampleVolumeBySpecimenPrep(H581))</f>
        <v/>
      </c>
      <c r="L581" t="str">
        <f>IF(LEN(TRIM(E581))=0,"",VLOOKUP("Manifest Id",config!A:B,2,FALSE))</f>
        <v/>
      </c>
      <c r="M581" t="str">
        <f>IF(LEN(TRIM(E581))=0, "",VLOOKUP("Project Name",config!A:B,2,FALSE))</f>
        <v/>
      </c>
      <c r="N581" t="str">
        <f>IF(LEN(TRIM(E581))=0, "",VLOOKUP("Center Name",config!A:B,2,FALSE))</f>
        <v/>
      </c>
      <c r="O581" s="7" t="str">
        <f>IF(LEN(TRIM(E581))=0,"",VLOOKUP("Shipment Date",config!A:B,2,FALSE))</f>
        <v/>
      </c>
      <c r="P581" s="7" t="str">
        <f t="shared" si="38"/>
        <v/>
      </c>
      <c r="Q581" s="7" t="str">
        <f>IF(LEN(TRIM(D581))=0,"",GetConfigParameterValue("Collection Site"))</f>
        <v/>
      </c>
      <c r="R581" t="str">
        <f>IF(LEN(TRIM(E581))=0, "", GetManifestComments(H581))</f>
        <v/>
      </c>
      <c r="S581" t="str">
        <f>IF(LEN(TRIM(E581))=0,"",IF(ISERROR(VLOOKUP(E581,'Manifest MDB data'!A:A,1,FALSE)),"OK","EXISTS!!!"))</f>
        <v/>
      </c>
    </row>
    <row r="582" spans="4:19" x14ac:dyDescent="0.25">
      <c r="D582" t="str">
        <f t="shared" si="39"/>
        <v/>
      </c>
      <c r="E582" t="str">
        <f t="shared" si="40"/>
        <v/>
      </c>
      <c r="F582" t="str">
        <f t="shared" si="37"/>
        <v/>
      </c>
      <c r="G582" t="str">
        <f>IF(LEN(TRIM(E582))=0, "", GetSampleTissueBySpecimenPrep(H582))</f>
        <v/>
      </c>
      <c r="H582" t="str">
        <f>IF(LEN(TRIM(E582))=0, "", GetSpecimenPrepName())</f>
        <v/>
      </c>
      <c r="I582" t="str">
        <f>IF(LEN(TRIM(E582))=0, "", GetSampleVolumeBySpecimenPrep(H582))</f>
        <v/>
      </c>
      <c r="L582" t="str">
        <f>IF(LEN(TRIM(E582))=0,"",VLOOKUP("Manifest Id",config!A:B,2,FALSE))</f>
        <v/>
      </c>
      <c r="M582" t="str">
        <f>IF(LEN(TRIM(E582))=0, "",VLOOKUP("Project Name",config!A:B,2,FALSE))</f>
        <v/>
      </c>
      <c r="N582" t="str">
        <f>IF(LEN(TRIM(E582))=0, "",VLOOKUP("Center Name",config!A:B,2,FALSE))</f>
        <v/>
      </c>
      <c r="O582" s="7" t="str">
        <f>IF(LEN(TRIM(E582))=0,"",VLOOKUP("Shipment Date",config!A:B,2,FALSE))</f>
        <v/>
      </c>
      <c r="P582" s="7" t="str">
        <f t="shared" si="38"/>
        <v/>
      </c>
      <c r="Q582" s="7" t="str">
        <f>IF(LEN(TRIM(D582))=0,"",GetConfigParameterValue("Collection Site"))</f>
        <v/>
      </c>
      <c r="R582" t="str">
        <f>IF(LEN(TRIM(E582))=0, "", GetManifestComments(H582))</f>
        <v/>
      </c>
      <c r="S582" t="str">
        <f>IF(LEN(TRIM(E582))=0,"",IF(ISERROR(VLOOKUP(E582,'Manifest MDB data'!A:A,1,FALSE)),"OK","EXISTS!!!"))</f>
        <v/>
      </c>
    </row>
    <row r="583" spans="4:19" x14ac:dyDescent="0.25">
      <c r="D583" t="str">
        <f t="shared" si="39"/>
        <v/>
      </c>
      <c r="E583" t="str">
        <f t="shared" si="40"/>
        <v/>
      </c>
      <c r="F583" t="str">
        <f t="shared" si="37"/>
        <v/>
      </c>
      <c r="G583" t="str">
        <f>IF(LEN(TRIM(E583))=0, "", GetSampleTissueBySpecimenPrep(H583))</f>
        <v/>
      </c>
      <c r="H583" t="str">
        <f>IF(LEN(TRIM(E583))=0, "", GetSpecimenPrepName())</f>
        <v/>
      </c>
      <c r="I583" t="str">
        <f>IF(LEN(TRIM(E583))=0, "", GetSampleVolumeBySpecimenPrep(H583))</f>
        <v/>
      </c>
      <c r="L583" t="str">
        <f>IF(LEN(TRIM(E583))=0,"",VLOOKUP("Manifest Id",config!A:B,2,FALSE))</f>
        <v/>
      </c>
      <c r="M583" t="str">
        <f>IF(LEN(TRIM(E583))=0, "",VLOOKUP("Project Name",config!A:B,2,FALSE))</f>
        <v/>
      </c>
      <c r="N583" t="str">
        <f>IF(LEN(TRIM(E583))=0, "",VLOOKUP("Center Name",config!A:B,2,FALSE))</f>
        <v/>
      </c>
      <c r="O583" s="7" t="str">
        <f>IF(LEN(TRIM(E583))=0,"",VLOOKUP("Shipment Date",config!A:B,2,FALSE))</f>
        <v/>
      </c>
      <c r="P583" s="7" t="str">
        <f t="shared" si="38"/>
        <v/>
      </c>
      <c r="Q583" s="7" t="str">
        <f>IF(LEN(TRIM(D583))=0,"",GetConfigParameterValue("Collection Site"))</f>
        <v/>
      </c>
      <c r="R583" t="str">
        <f>IF(LEN(TRIM(E583))=0, "", GetManifestComments(H583))</f>
        <v/>
      </c>
      <c r="S583" t="str">
        <f>IF(LEN(TRIM(E583))=0,"",IF(ISERROR(VLOOKUP(E583,'Manifest MDB data'!A:A,1,FALSE)),"OK","EXISTS!!!"))</f>
        <v/>
      </c>
    </row>
    <row r="584" spans="4:19" x14ac:dyDescent="0.25">
      <c r="D584" t="str">
        <f t="shared" si="39"/>
        <v/>
      </c>
      <c r="E584" t="str">
        <f t="shared" si="40"/>
        <v/>
      </c>
      <c r="F584" t="str">
        <f t="shared" si="37"/>
        <v/>
      </c>
      <c r="G584" t="str">
        <f>IF(LEN(TRIM(E584))=0, "", GetSampleTissueBySpecimenPrep(H584))</f>
        <v/>
      </c>
      <c r="H584" t="str">
        <f>IF(LEN(TRIM(E584))=0, "", GetSpecimenPrepName())</f>
        <v/>
      </c>
      <c r="I584" t="str">
        <f>IF(LEN(TRIM(E584))=0, "", GetSampleVolumeBySpecimenPrep(H584))</f>
        <v/>
      </c>
      <c r="L584" t="str">
        <f>IF(LEN(TRIM(E584))=0,"",VLOOKUP("Manifest Id",config!A:B,2,FALSE))</f>
        <v/>
      </c>
      <c r="M584" t="str">
        <f>IF(LEN(TRIM(E584))=0, "",VLOOKUP("Project Name",config!A:B,2,FALSE))</f>
        <v/>
      </c>
      <c r="N584" t="str">
        <f>IF(LEN(TRIM(E584))=0, "",VLOOKUP("Center Name",config!A:B,2,FALSE))</f>
        <v/>
      </c>
      <c r="O584" s="7" t="str">
        <f>IF(LEN(TRIM(E584))=0,"",VLOOKUP("Shipment Date",config!A:B,2,FALSE))</f>
        <v/>
      </c>
      <c r="P584" s="7" t="str">
        <f t="shared" si="38"/>
        <v/>
      </c>
      <c r="Q584" s="7" t="str">
        <f>IF(LEN(TRIM(D584))=0,"",GetConfigParameterValue("Collection Site"))</f>
        <v/>
      </c>
      <c r="R584" t="str">
        <f>IF(LEN(TRIM(E584))=0, "", GetManifestComments(H584))</f>
        <v/>
      </c>
      <c r="S584" t="str">
        <f>IF(LEN(TRIM(E584))=0,"",IF(ISERROR(VLOOKUP(E584,'Manifest MDB data'!A:A,1,FALSE)),"OK","EXISTS!!!"))</f>
        <v/>
      </c>
    </row>
    <row r="585" spans="4:19" x14ac:dyDescent="0.25">
      <c r="D585" t="str">
        <f t="shared" si="39"/>
        <v/>
      </c>
      <c r="E585" t="str">
        <f t="shared" si="40"/>
        <v/>
      </c>
      <c r="F585" t="str">
        <f t="shared" si="37"/>
        <v/>
      </c>
      <c r="G585" t="str">
        <f>IF(LEN(TRIM(E585))=0, "", GetSampleTissueBySpecimenPrep(H585))</f>
        <v/>
      </c>
      <c r="H585" t="str">
        <f>IF(LEN(TRIM(E585))=0, "", GetSpecimenPrepName())</f>
        <v/>
      </c>
      <c r="I585" t="str">
        <f>IF(LEN(TRIM(E585))=0, "", GetSampleVolumeBySpecimenPrep(H585))</f>
        <v/>
      </c>
      <c r="L585" t="str">
        <f>IF(LEN(TRIM(E585))=0,"",VLOOKUP("Manifest Id",config!A:B,2,FALSE))</f>
        <v/>
      </c>
      <c r="M585" t="str">
        <f>IF(LEN(TRIM(E585))=0, "",VLOOKUP("Project Name",config!A:B,2,FALSE))</f>
        <v/>
      </c>
      <c r="N585" t="str">
        <f>IF(LEN(TRIM(E585))=0, "",VLOOKUP("Center Name",config!A:B,2,FALSE))</f>
        <v/>
      </c>
      <c r="O585" s="7" t="str">
        <f>IF(LEN(TRIM(E585))=0,"",VLOOKUP("Shipment Date",config!A:B,2,FALSE))</f>
        <v/>
      </c>
      <c r="P585" s="7" t="str">
        <f t="shared" si="38"/>
        <v/>
      </c>
      <c r="Q585" s="7" t="str">
        <f>IF(LEN(TRIM(D585))=0,"",GetConfigParameterValue("Collection Site"))</f>
        <v/>
      </c>
      <c r="R585" t="str">
        <f>IF(LEN(TRIM(E585))=0, "", GetManifestComments(H585))</f>
        <v/>
      </c>
      <c r="S585" t="str">
        <f>IF(LEN(TRIM(E585))=0,"",IF(ISERROR(VLOOKUP(E585,'Manifest MDB data'!A:A,1,FALSE)),"OK","EXISTS!!!"))</f>
        <v/>
      </c>
    </row>
    <row r="586" spans="4:19" x14ac:dyDescent="0.25">
      <c r="D586" t="str">
        <f t="shared" si="39"/>
        <v/>
      </c>
      <c r="E586" t="str">
        <f t="shared" si="40"/>
        <v/>
      </c>
      <c r="F586" t="str">
        <f t="shared" si="37"/>
        <v/>
      </c>
      <c r="G586" t="str">
        <f>IF(LEN(TRIM(E586))=0, "", GetSampleTissueBySpecimenPrep(H586))</f>
        <v/>
      </c>
      <c r="H586" t="str">
        <f>IF(LEN(TRIM(E586))=0, "", GetSpecimenPrepName())</f>
        <v/>
      </c>
      <c r="I586" t="str">
        <f>IF(LEN(TRIM(E586))=0, "", GetSampleVolumeBySpecimenPrep(H586))</f>
        <v/>
      </c>
      <c r="L586" t="str">
        <f>IF(LEN(TRIM(E586))=0,"",VLOOKUP("Manifest Id",config!A:B,2,FALSE))</f>
        <v/>
      </c>
      <c r="M586" t="str">
        <f>IF(LEN(TRIM(E586))=0, "",VLOOKUP("Project Name",config!A:B,2,FALSE))</f>
        <v/>
      </c>
      <c r="N586" t="str">
        <f>IF(LEN(TRIM(E586))=0, "",VLOOKUP("Center Name",config!A:B,2,FALSE))</f>
        <v/>
      </c>
      <c r="O586" s="7" t="str">
        <f>IF(LEN(TRIM(E586))=0,"",VLOOKUP("Shipment Date",config!A:B,2,FALSE))</f>
        <v/>
      </c>
      <c r="P586" s="7" t="str">
        <f t="shared" si="38"/>
        <v/>
      </c>
      <c r="Q586" s="7" t="str">
        <f>IF(LEN(TRIM(D586))=0,"",GetConfigParameterValue("Collection Site"))</f>
        <v/>
      </c>
      <c r="R586" t="str">
        <f>IF(LEN(TRIM(E586))=0, "", GetManifestComments(H586))</f>
        <v/>
      </c>
      <c r="S586" t="str">
        <f>IF(LEN(TRIM(E586))=0,"",IF(ISERROR(VLOOKUP(E586,'Manifest MDB data'!A:A,1,FALSE)),"OK","EXISTS!!!"))</f>
        <v/>
      </c>
    </row>
    <row r="587" spans="4:19" x14ac:dyDescent="0.25">
      <c r="D587" t="str">
        <f t="shared" si="39"/>
        <v/>
      </c>
      <c r="E587" t="str">
        <f t="shared" si="40"/>
        <v/>
      </c>
      <c r="F587" t="str">
        <f t="shared" si="37"/>
        <v/>
      </c>
      <c r="G587" t="str">
        <f>IF(LEN(TRIM(E587))=0, "", GetSampleTissueBySpecimenPrep(H587))</f>
        <v/>
      </c>
      <c r="H587" t="str">
        <f>IF(LEN(TRIM(E587))=0, "", GetSpecimenPrepName())</f>
        <v/>
      </c>
      <c r="I587" t="str">
        <f>IF(LEN(TRIM(E587))=0, "", GetSampleVolumeBySpecimenPrep(H587))</f>
        <v/>
      </c>
      <c r="L587" t="str">
        <f>IF(LEN(TRIM(E587))=0,"",VLOOKUP("Manifest Id",config!A:B,2,FALSE))</f>
        <v/>
      </c>
      <c r="M587" t="str">
        <f>IF(LEN(TRIM(E587))=0, "",VLOOKUP("Project Name",config!A:B,2,FALSE))</f>
        <v/>
      </c>
      <c r="N587" t="str">
        <f>IF(LEN(TRIM(E587))=0, "",VLOOKUP("Center Name",config!A:B,2,FALSE))</f>
        <v/>
      </c>
      <c r="O587" s="7" t="str">
        <f>IF(LEN(TRIM(E587))=0,"",VLOOKUP("Shipment Date",config!A:B,2,FALSE))</f>
        <v/>
      </c>
      <c r="P587" s="7" t="str">
        <f t="shared" si="38"/>
        <v/>
      </c>
      <c r="Q587" s="7" t="str">
        <f>IF(LEN(TRIM(D587))=0,"",GetConfigParameterValue("Collection Site"))</f>
        <v/>
      </c>
      <c r="R587" t="str">
        <f>IF(LEN(TRIM(E587))=0, "", GetManifestComments(H587))</f>
        <v/>
      </c>
      <c r="S587" t="str">
        <f>IF(LEN(TRIM(E587))=0,"",IF(ISERROR(VLOOKUP(E587,'Manifest MDB data'!A:A,1,FALSE)),"OK","EXISTS!!!"))</f>
        <v/>
      </c>
    </row>
    <row r="588" spans="4:19" x14ac:dyDescent="0.25">
      <c r="D588" t="str">
        <f t="shared" si="39"/>
        <v/>
      </c>
      <c r="E588" t="str">
        <f t="shared" si="40"/>
        <v/>
      </c>
      <c r="F588" t="str">
        <f t="shared" si="37"/>
        <v/>
      </c>
      <c r="G588" t="str">
        <f>IF(LEN(TRIM(E588))=0, "", GetSampleTissueBySpecimenPrep(H588))</f>
        <v/>
      </c>
      <c r="H588" t="str">
        <f>IF(LEN(TRIM(E588))=0, "", GetSpecimenPrepName())</f>
        <v/>
      </c>
      <c r="I588" t="str">
        <f>IF(LEN(TRIM(E588))=0, "", GetSampleVolumeBySpecimenPrep(H588))</f>
        <v/>
      </c>
      <c r="L588" t="str">
        <f>IF(LEN(TRIM(E588))=0,"",VLOOKUP("Manifest Id",config!A:B,2,FALSE))</f>
        <v/>
      </c>
      <c r="M588" t="str">
        <f>IF(LEN(TRIM(E588))=0, "",VLOOKUP("Project Name",config!A:B,2,FALSE))</f>
        <v/>
      </c>
      <c r="N588" t="str">
        <f>IF(LEN(TRIM(E588))=0, "",VLOOKUP("Center Name",config!A:B,2,FALSE))</f>
        <v/>
      </c>
      <c r="O588" s="7" t="str">
        <f>IF(LEN(TRIM(E588))=0,"",VLOOKUP("Shipment Date",config!A:B,2,FALSE))</f>
        <v/>
      </c>
      <c r="P588" s="7" t="str">
        <f t="shared" si="38"/>
        <v/>
      </c>
      <c r="Q588" s="7" t="str">
        <f>IF(LEN(TRIM(D588))=0,"",GetConfigParameterValue("Collection Site"))</f>
        <v/>
      </c>
      <c r="R588" t="str">
        <f>IF(LEN(TRIM(E588))=0, "", GetManifestComments(H588))</f>
        <v/>
      </c>
      <c r="S588" t="str">
        <f>IF(LEN(TRIM(E588))=0,"",IF(ISERROR(VLOOKUP(E588,'Manifest MDB data'!A:A,1,FALSE)),"OK","EXISTS!!!"))</f>
        <v/>
      </c>
    </row>
    <row r="589" spans="4:19" x14ac:dyDescent="0.25">
      <c r="D589" t="str">
        <f t="shared" si="39"/>
        <v/>
      </c>
      <c r="E589" t="str">
        <f t="shared" si="40"/>
        <v/>
      </c>
      <c r="F589" t="str">
        <f t="shared" si="37"/>
        <v/>
      </c>
      <c r="G589" t="str">
        <f>IF(LEN(TRIM(E589))=0, "", GetSampleTissueBySpecimenPrep(H589))</f>
        <v/>
      </c>
      <c r="H589" t="str">
        <f>IF(LEN(TRIM(E589))=0, "", GetSpecimenPrepName())</f>
        <v/>
      </c>
      <c r="I589" t="str">
        <f>IF(LEN(TRIM(E589))=0, "", GetSampleVolumeBySpecimenPrep(H589))</f>
        <v/>
      </c>
      <c r="L589" t="str">
        <f>IF(LEN(TRIM(E589))=0,"",VLOOKUP("Manifest Id",config!A:B,2,FALSE))</f>
        <v/>
      </c>
      <c r="M589" t="str">
        <f>IF(LEN(TRIM(E589))=0, "",VLOOKUP("Project Name",config!A:B,2,FALSE))</f>
        <v/>
      </c>
      <c r="N589" t="str">
        <f>IF(LEN(TRIM(E589))=0, "",VLOOKUP("Center Name",config!A:B,2,FALSE))</f>
        <v/>
      </c>
      <c r="O589" s="7" t="str">
        <f>IF(LEN(TRIM(E589))=0,"",VLOOKUP("Shipment Date",config!A:B,2,FALSE))</f>
        <v/>
      </c>
      <c r="P589" s="7" t="str">
        <f t="shared" si="38"/>
        <v/>
      </c>
      <c r="Q589" s="7" t="str">
        <f>IF(LEN(TRIM(D589))=0,"",GetConfigParameterValue("Collection Site"))</f>
        <v/>
      </c>
      <c r="R589" t="str">
        <f>IF(LEN(TRIM(E589))=0, "", GetManifestComments(H589))</f>
        <v/>
      </c>
      <c r="S589" t="str">
        <f>IF(LEN(TRIM(E589))=0,"",IF(ISERROR(VLOOKUP(E589,'Manifest MDB data'!A:A,1,FALSE)),"OK","EXISTS!!!"))</f>
        <v/>
      </c>
    </row>
    <row r="590" spans="4:19" x14ac:dyDescent="0.25">
      <c r="D590" t="str">
        <f t="shared" si="39"/>
        <v/>
      </c>
      <c r="E590" t="str">
        <f t="shared" si="40"/>
        <v/>
      </c>
      <c r="F590" t="str">
        <f t="shared" si="37"/>
        <v/>
      </c>
      <c r="G590" t="str">
        <f>IF(LEN(TRIM(E590))=0, "", GetSampleTissueBySpecimenPrep(H590))</f>
        <v/>
      </c>
      <c r="H590" t="str">
        <f>IF(LEN(TRIM(E590))=0, "", GetSpecimenPrepName())</f>
        <v/>
      </c>
      <c r="I590" t="str">
        <f>IF(LEN(TRIM(E590))=0, "", GetSampleVolumeBySpecimenPrep(H590))</f>
        <v/>
      </c>
      <c r="L590" t="str">
        <f>IF(LEN(TRIM(E590))=0,"",VLOOKUP("Manifest Id",config!A:B,2,FALSE))</f>
        <v/>
      </c>
      <c r="M590" t="str">
        <f>IF(LEN(TRIM(E590))=0, "",VLOOKUP("Project Name",config!A:B,2,FALSE))</f>
        <v/>
      </c>
      <c r="N590" t="str">
        <f>IF(LEN(TRIM(E590))=0, "",VLOOKUP("Center Name",config!A:B,2,FALSE))</f>
        <v/>
      </c>
      <c r="O590" s="7" t="str">
        <f>IF(LEN(TRIM(E590))=0,"",VLOOKUP("Shipment Date",config!A:B,2,FALSE))</f>
        <v/>
      </c>
      <c r="P590" s="7" t="str">
        <f t="shared" si="38"/>
        <v/>
      </c>
      <c r="Q590" s="7" t="str">
        <f>IF(LEN(TRIM(D590))=0,"",GetConfigParameterValue("Collection Site"))</f>
        <v/>
      </c>
      <c r="R590" t="str">
        <f>IF(LEN(TRIM(E590))=0, "", GetManifestComments(H590))</f>
        <v/>
      </c>
      <c r="S590" t="str">
        <f>IF(LEN(TRIM(E590))=0,"",IF(ISERROR(VLOOKUP(E590,'Manifest MDB data'!A:A,1,FALSE)),"OK","EXISTS!!!"))</f>
        <v/>
      </c>
    </row>
    <row r="591" spans="4:19" x14ac:dyDescent="0.25">
      <c r="D591" t="str">
        <f t="shared" si="39"/>
        <v/>
      </c>
      <c r="E591" t="str">
        <f t="shared" si="40"/>
        <v/>
      </c>
      <c r="F591" t="str">
        <f t="shared" si="37"/>
        <v/>
      </c>
      <c r="G591" t="str">
        <f>IF(LEN(TRIM(E591))=0, "", GetSampleTissueBySpecimenPrep(H591))</f>
        <v/>
      </c>
      <c r="H591" t="str">
        <f>IF(LEN(TRIM(E591))=0, "", GetSpecimenPrepName())</f>
        <v/>
      </c>
      <c r="I591" t="str">
        <f>IF(LEN(TRIM(E591))=0, "", GetSampleVolumeBySpecimenPrep(H591))</f>
        <v/>
      </c>
      <c r="L591" t="str">
        <f>IF(LEN(TRIM(E591))=0,"",VLOOKUP("Manifest Id",config!A:B,2,FALSE))</f>
        <v/>
      </c>
      <c r="M591" t="str">
        <f>IF(LEN(TRIM(E591))=0, "",VLOOKUP("Project Name",config!A:B,2,FALSE))</f>
        <v/>
      </c>
      <c r="N591" t="str">
        <f>IF(LEN(TRIM(E591))=0, "",VLOOKUP("Center Name",config!A:B,2,FALSE))</f>
        <v/>
      </c>
      <c r="O591" s="7" t="str">
        <f>IF(LEN(TRIM(E591))=0,"",VLOOKUP("Shipment Date",config!A:B,2,FALSE))</f>
        <v/>
      </c>
      <c r="P591" s="7" t="str">
        <f t="shared" si="38"/>
        <v/>
      </c>
      <c r="Q591" s="7" t="str">
        <f>IF(LEN(TRIM(D591))=0,"",GetConfigParameterValue("Collection Site"))</f>
        <v/>
      </c>
      <c r="R591" t="str">
        <f>IF(LEN(TRIM(E591))=0, "", GetManifestComments(H591))</f>
        <v/>
      </c>
      <c r="S591" t="str">
        <f>IF(LEN(TRIM(E591))=0,"",IF(ISERROR(VLOOKUP(E591,'Manifest MDB data'!A:A,1,FALSE)),"OK","EXISTS!!!"))</f>
        <v/>
      </c>
    </row>
    <row r="592" spans="4:19" x14ac:dyDescent="0.25">
      <c r="D592" t="str">
        <f t="shared" si="39"/>
        <v/>
      </c>
      <c r="E592" t="str">
        <f t="shared" si="40"/>
        <v/>
      </c>
      <c r="F592" t="str">
        <f t="shared" si="37"/>
        <v/>
      </c>
      <c r="G592" t="str">
        <f>IF(LEN(TRIM(E592))=0, "", GetSampleTissueBySpecimenPrep(H592))</f>
        <v/>
      </c>
      <c r="H592" t="str">
        <f>IF(LEN(TRIM(E592))=0, "", GetSpecimenPrepName())</f>
        <v/>
      </c>
      <c r="I592" t="str">
        <f>IF(LEN(TRIM(E592))=0, "", GetSampleVolumeBySpecimenPrep(H592))</f>
        <v/>
      </c>
      <c r="L592" t="str">
        <f>IF(LEN(TRIM(E592))=0,"",VLOOKUP("Manifest Id",config!A:B,2,FALSE))</f>
        <v/>
      </c>
      <c r="M592" t="str">
        <f>IF(LEN(TRIM(E592))=0, "",VLOOKUP("Project Name",config!A:B,2,FALSE))</f>
        <v/>
      </c>
      <c r="N592" t="str">
        <f>IF(LEN(TRIM(E592))=0, "",VLOOKUP("Center Name",config!A:B,2,FALSE))</f>
        <v/>
      </c>
      <c r="O592" s="7" t="str">
        <f>IF(LEN(TRIM(E592))=0,"",VLOOKUP("Shipment Date",config!A:B,2,FALSE))</f>
        <v/>
      </c>
      <c r="P592" s="7" t="str">
        <f t="shared" si="38"/>
        <v/>
      </c>
      <c r="Q592" s="7" t="str">
        <f>IF(LEN(TRIM(D592))=0,"",GetConfigParameterValue("Collection Site"))</f>
        <v/>
      </c>
      <c r="R592" t="str">
        <f>IF(LEN(TRIM(E592))=0, "", GetManifestComments(H592))</f>
        <v/>
      </c>
      <c r="S592" t="str">
        <f>IF(LEN(TRIM(E592))=0,"",IF(ISERROR(VLOOKUP(E592,'Manifest MDB data'!A:A,1,FALSE)),"OK","EXISTS!!!"))</f>
        <v/>
      </c>
    </row>
    <row r="593" spans="4:19" x14ac:dyDescent="0.25">
      <c r="D593" t="str">
        <f t="shared" si="39"/>
        <v/>
      </c>
      <c r="E593" t="str">
        <f t="shared" si="40"/>
        <v/>
      </c>
      <c r="F593" t="str">
        <f t="shared" si="37"/>
        <v/>
      </c>
      <c r="G593" t="str">
        <f>IF(LEN(TRIM(E593))=0, "", GetSampleTissueBySpecimenPrep(H593))</f>
        <v/>
      </c>
      <c r="H593" t="str">
        <f>IF(LEN(TRIM(E593))=0, "", GetSpecimenPrepName())</f>
        <v/>
      </c>
      <c r="I593" t="str">
        <f>IF(LEN(TRIM(E593))=0, "", GetSampleVolumeBySpecimenPrep(H593))</f>
        <v/>
      </c>
      <c r="L593" t="str">
        <f>IF(LEN(TRIM(E593))=0,"",VLOOKUP("Manifest Id",config!A:B,2,FALSE))</f>
        <v/>
      </c>
      <c r="M593" t="str">
        <f>IF(LEN(TRIM(E593))=0, "",VLOOKUP("Project Name",config!A:B,2,FALSE))</f>
        <v/>
      </c>
      <c r="N593" t="str">
        <f>IF(LEN(TRIM(E593))=0, "",VLOOKUP("Center Name",config!A:B,2,FALSE))</f>
        <v/>
      </c>
      <c r="O593" s="7" t="str">
        <f>IF(LEN(TRIM(E593))=0,"",VLOOKUP("Shipment Date",config!A:B,2,FALSE))</f>
        <v/>
      </c>
      <c r="P593" s="7" t="str">
        <f t="shared" si="38"/>
        <v/>
      </c>
      <c r="Q593" s="7" t="str">
        <f>IF(LEN(TRIM(D593))=0,"",GetConfigParameterValue("Collection Site"))</f>
        <v/>
      </c>
      <c r="R593" t="str">
        <f>IF(LEN(TRIM(E593))=0, "", GetManifestComments(H593))</f>
        <v/>
      </c>
      <c r="S593" t="str">
        <f>IF(LEN(TRIM(E593))=0,"",IF(ISERROR(VLOOKUP(E593,'Manifest MDB data'!A:A,1,FALSE)),"OK","EXISTS!!!"))</f>
        <v/>
      </c>
    </row>
    <row r="594" spans="4:19" x14ac:dyDescent="0.25">
      <c r="D594" t="str">
        <f t="shared" si="39"/>
        <v/>
      </c>
      <c r="E594" t="str">
        <f t="shared" si="40"/>
        <v/>
      </c>
      <c r="F594" t="str">
        <f t="shared" si="37"/>
        <v/>
      </c>
      <c r="G594" t="str">
        <f>IF(LEN(TRIM(E594))=0, "", GetSampleTissueBySpecimenPrep(H594))</f>
        <v/>
      </c>
      <c r="H594" t="str">
        <f>IF(LEN(TRIM(E594))=0, "", GetSpecimenPrepName())</f>
        <v/>
      </c>
      <c r="I594" t="str">
        <f>IF(LEN(TRIM(E594))=0, "", GetSampleVolumeBySpecimenPrep(H594))</f>
        <v/>
      </c>
      <c r="L594" t="str">
        <f>IF(LEN(TRIM(E594))=0,"",VLOOKUP("Manifest Id",config!A:B,2,FALSE))</f>
        <v/>
      </c>
      <c r="M594" t="str">
        <f>IF(LEN(TRIM(E594))=0, "",VLOOKUP("Project Name",config!A:B,2,FALSE))</f>
        <v/>
      </c>
      <c r="N594" t="str">
        <f>IF(LEN(TRIM(E594))=0, "",VLOOKUP("Center Name",config!A:B,2,FALSE))</f>
        <v/>
      </c>
      <c r="O594" s="7" t="str">
        <f>IF(LEN(TRIM(E594))=0,"",VLOOKUP("Shipment Date",config!A:B,2,FALSE))</f>
        <v/>
      </c>
      <c r="P594" s="7" t="str">
        <f t="shared" si="38"/>
        <v/>
      </c>
      <c r="Q594" s="7" t="str">
        <f>IF(LEN(TRIM(D594))=0,"",GetConfigParameterValue("Collection Site"))</f>
        <v/>
      </c>
      <c r="R594" t="str">
        <f>IF(LEN(TRIM(E594))=0, "", GetManifestComments(H594))</f>
        <v/>
      </c>
      <c r="S594" t="str">
        <f>IF(LEN(TRIM(E594))=0,"",IF(ISERROR(VLOOKUP(E594,'Manifest MDB data'!A:A,1,FALSE)),"OK","EXISTS!!!"))</f>
        <v/>
      </c>
    </row>
    <row r="595" spans="4:19" x14ac:dyDescent="0.25">
      <c r="D595" t="str">
        <f t="shared" si="39"/>
        <v/>
      </c>
      <c r="E595" t="str">
        <f t="shared" si="40"/>
        <v/>
      </c>
      <c r="F595" t="str">
        <f t="shared" si="37"/>
        <v/>
      </c>
      <c r="G595" t="str">
        <f>IF(LEN(TRIM(E595))=0, "", GetSampleTissueBySpecimenPrep(H595))</f>
        <v/>
      </c>
      <c r="H595" t="str">
        <f>IF(LEN(TRIM(E595))=0, "", GetSpecimenPrepName())</f>
        <v/>
      </c>
      <c r="I595" t="str">
        <f>IF(LEN(TRIM(E595))=0, "", GetSampleVolumeBySpecimenPrep(H595))</f>
        <v/>
      </c>
      <c r="L595" t="str">
        <f>IF(LEN(TRIM(E595))=0,"",VLOOKUP("Manifest Id",config!A:B,2,FALSE))</f>
        <v/>
      </c>
      <c r="M595" t="str">
        <f>IF(LEN(TRIM(E595))=0, "",VLOOKUP("Project Name",config!A:B,2,FALSE))</f>
        <v/>
      </c>
      <c r="N595" t="str">
        <f>IF(LEN(TRIM(E595))=0, "",VLOOKUP("Center Name",config!A:B,2,FALSE))</f>
        <v/>
      </c>
      <c r="O595" s="7" t="str">
        <f>IF(LEN(TRIM(E595))=0,"",VLOOKUP("Shipment Date",config!A:B,2,FALSE))</f>
        <v/>
      </c>
      <c r="P595" s="7" t="str">
        <f t="shared" si="38"/>
        <v/>
      </c>
      <c r="Q595" s="7" t="str">
        <f>IF(LEN(TRIM(D595))=0,"",GetConfigParameterValue("Collection Site"))</f>
        <v/>
      </c>
      <c r="R595" t="str">
        <f>IF(LEN(TRIM(E595))=0, "", GetManifestComments(H595))</f>
        <v/>
      </c>
      <c r="S595" t="str">
        <f>IF(LEN(TRIM(E595))=0,"",IF(ISERROR(VLOOKUP(E595,'Manifest MDB data'!A:A,1,FALSE)),"OK","EXISTS!!!"))</f>
        <v/>
      </c>
    </row>
    <row r="596" spans="4:19" x14ac:dyDescent="0.25">
      <c r="D596" t="str">
        <f t="shared" si="39"/>
        <v/>
      </c>
      <c r="E596" t="str">
        <f t="shared" si="40"/>
        <v/>
      </c>
      <c r="F596" t="str">
        <f t="shared" si="37"/>
        <v/>
      </c>
      <c r="G596" t="str">
        <f>IF(LEN(TRIM(E596))=0, "", GetSampleTissueBySpecimenPrep(H596))</f>
        <v/>
      </c>
      <c r="H596" t="str">
        <f>IF(LEN(TRIM(E596))=0, "", GetSpecimenPrepName())</f>
        <v/>
      </c>
      <c r="I596" t="str">
        <f>IF(LEN(TRIM(E596))=0, "", GetSampleVolumeBySpecimenPrep(H596))</f>
        <v/>
      </c>
      <c r="L596" t="str">
        <f>IF(LEN(TRIM(E596))=0,"",VLOOKUP("Manifest Id",config!A:B,2,FALSE))</f>
        <v/>
      </c>
      <c r="M596" t="str">
        <f>IF(LEN(TRIM(E596))=0, "",VLOOKUP("Project Name",config!A:B,2,FALSE))</f>
        <v/>
      </c>
      <c r="N596" t="str">
        <f>IF(LEN(TRIM(E596))=0, "",VLOOKUP("Center Name",config!A:B,2,FALSE))</f>
        <v/>
      </c>
      <c r="O596" s="7" t="str">
        <f>IF(LEN(TRIM(E596))=0,"",VLOOKUP("Shipment Date",config!A:B,2,FALSE))</f>
        <v/>
      </c>
      <c r="P596" s="7" t="str">
        <f t="shared" si="38"/>
        <v/>
      </c>
      <c r="Q596" s="7" t="str">
        <f>IF(LEN(TRIM(D596))=0,"",GetConfigParameterValue("Collection Site"))</f>
        <v/>
      </c>
      <c r="R596" t="str">
        <f>IF(LEN(TRIM(E596))=0, "", GetManifestComments(H596))</f>
        <v/>
      </c>
      <c r="S596" t="str">
        <f>IF(LEN(TRIM(E596))=0,"",IF(ISERROR(VLOOKUP(E596,'Manifest MDB data'!A:A,1,FALSE)),"OK","EXISTS!!!"))</f>
        <v/>
      </c>
    </row>
    <row r="597" spans="4:19" x14ac:dyDescent="0.25">
      <c r="D597" t="str">
        <f t="shared" si="39"/>
        <v/>
      </c>
      <c r="E597" t="str">
        <f t="shared" si="40"/>
        <v/>
      </c>
      <c r="F597" t="str">
        <f t="shared" si="37"/>
        <v/>
      </c>
      <c r="G597" t="str">
        <f>IF(LEN(TRIM(E597))=0, "", GetSampleTissueBySpecimenPrep(H597))</f>
        <v/>
      </c>
      <c r="H597" t="str">
        <f>IF(LEN(TRIM(E597))=0, "", GetSpecimenPrepName())</f>
        <v/>
      </c>
      <c r="I597" t="str">
        <f>IF(LEN(TRIM(E597))=0, "", GetSampleVolumeBySpecimenPrep(H597))</f>
        <v/>
      </c>
      <c r="L597" t="str">
        <f>IF(LEN(TRIM(E597))=0,"",VLOOKUP("Manifest Id",config!A:B,2,FALSE))</f>
        <v/>
      </c>
      <c r="M597" t="str">
        <f>IF(LEN(TRIM(E597))=0, "",VLOOKUP("Project Name",config!A:B,2,FALSE))</f>
        <v/>
      </c>
      <c r="N597" t="str">
        <f>IF(LEN(TRIM(E597))=0, "",VLOOKUP("Center Name",config!A:B,2,FALSE))</f>
        <v/>
      </c>
      <c r="O597" s="7" t="str">
        <f>IF(LEN(TRIM(E597))=0,"",VLOOKUP("Shipment Date",config!A:B,2,FALSE))</f>
        <v/>
      </c>
      <c r="P597" s="7" t="str">
        <f t="shared" si="38"/>
        <v/>
      </c>
      <c r="Q597" s="7" t="str">
        <f>IF(LEN(TRIM(D597))=0,"",GetConfigParameterValue("Collection Site"))</f>
        <v/>
      </c>
      <c r="R597" t="str">
        <f>IF(LEN(TRIM(E597))=0, "", GetManifestComments(H597))</f>
        <v/>
      </c>
      <c r="S597" t="str">
        <f>IF(LEN(TRIM(E597))=0,"",IF(ISERROR(VLOOKUP(E597,'Manifest MDB data'!A:A,1,FALSE)),"OK","EXISTS!!!"))</f>
        <v/>
      </c>
    </row>
    <row r="598" spans="4:19" x14ac:dyDescent="0.25">
      <c r="D598" t="str">
        <f t="shared" si="39"/>
        <v/>
      </c>
      <c r="E598" t="str">
        <f t="shared" si="40"/>
        <v/>
      </c>
      <c r="F598" t="str">
        <f t="shared" si="37"/>
        <v/>
      </c>
      <c r="G598" t="str">
        <f>IF(LEN(TRIM(E598))=0, "", GetSampleTissueBySpecimenPrep(H598))</f>
        <v/>
      </c>
      <c r="H598" t="str">
        <f>IF(LEN(TRIM(E598))=0, "", GetSpecimenPrepName())</f>
        <v/>
      </c>
      <c r="I598" t="str">
        <f>IF(LEN(TRIM(E598))=0, "", GetSampleVolumeBySpecimenPrep(H598))</f>
        <v/>
      </c>
      <c r="L598" t="str">
        <f>IF(LEN(TRIM(E598))=0,"",VLOOKUP("Manifest Id",config!A:B,2,FALSE))</f>
        <v/>
      </c>
      <c r="M598" t="str">
        <f>IF(LEN(TRIM(E598))=0, "",VLOOKUP("Project Name",config!A:B,2,FALSE))</f>
        <v/>
      </c>
      <c r="N598" t="str">
        <f>IF(LEN(TRIM(E598))=0, "",VLOOKUP("Center Name",config!A:B,2,FALSE))</f>
        <v/>
      </c>
      <c r="O598" s="7" t="str">
        <f>IF(LEN(TRIM(E598))=0,"",VLOOKUP("Shipment Date",config!A:B,2,FALSE))</f>
        <v/>
      </c>
      <c r="P598" s="7" t="str">
        <f t="shared" si="38"/>
        <v/>
      </c>
      <c r="Q598" s="7" t="str">
        <f>IF(LEN(TRIM(D598))=0,"",GetConfigParameterValue("Collection Site"))</f>
        <v/>
      </c>
      <c r="R598" t="str">
        <f>IF(LEN(TRIM(E598))=0, "", GetManifestComments(H598))</f>
        <v/>
      </c>
      <c r="S598" t="str">
        <f>IF(LEN(TRIM(E598))=0,"",IF(ISERROR(VLOOKUP(E598,'Manifest MDB data'!A:A,1,FALSE)),"OK","EXISTS!!!"))</f>
        <v/>
      </c>
    </row>
    <row r="599" spans="4:19" x14ac:dyDescent="0.25">
      <c r="D599" t="str">
        <f t="shared" si="39"/>
        <v/>
      </c>
      <c r="E599" t="str">
        <f t="shared" si="40"/>
        <v/>
      </c>
      <c r="F599" t="str">
        <f t="shared" si="37"/>
        <v/>
      </c>
      <c r="G599" t="str">
        <f>IF(LEN(TRIM(E599))=0, "", GetSampleTissueBySpecimenPrep(H599))</f>
        <v/>
      </c>
      <c r="H599" t="str">
        <f>IF(LEN(TRIM(E599))=0, "", GetSpecimenPrepName())</f>
        <v/>
      </c>
      <c r="I599" t="str">
        <f>IF(LEN(TRIM(E599))=0, "", GetSampleVolumeBySpecimenPrep(H599))</f>
        <v/>
      </c>
      <c r="L599" t="str">
        <f>IF(LEN(TRIM(E599))=0,"",VLOOKUP("Manifest Id",config!A:B,2,FALSE))</f>
        <v/>
      </c>
      <c r="M599" t="str">
        <f>IF(LEN(TRIM(E599))=0, "",VLOOKUP("Project Name",config!A:B,2,FALSE))</f>
        <v/>
      </c>
      <c r="N599" t="str">
        <f>IF(LEN(TRIM(E599))=0, "",VLOOKUP("Center Name",config!A:B,2,FALSE))</f>
        <v/>
      </c>
      <c r="O599" s="7" t="str">
        <f>IF(LEN(TRIM(E599))=0,"",VLOOKUP("Shipment Date",config!A:B,2,FALSE))</f>
        <v/>
      </c>
      <c r="P599" s="7" t="str">
        <f t="shared" si="38"/>
        <v/>
      </c>
      <c r="Q599" s="7" t="str">
        <f>IF(LEN(TRIM(D599))=0,"",GetConfigParameterValue("Collection Site"))</f>
        <v/>
      </c>
      <c r="R599" t="str">
        <f>IF(LEN(TRIM(E599))=0, "", GetManifestComments(H599))</f>
        <v/>
      </c>
      <c r="S599" t="str">
        <f>IF(LEN(TRIM(E599))=0,"",IF(ISERROR(VLOOKUP(E599,'Manifest MDB data'!A:A,1,FALSE)),"OK","EXISTS!!!"))</f>
        <v/>
      </c>
    </row>
    <row r="600" spans="4:19" x14ac:dyDescent="0.25">
      <c r="D600" t="str">
        <f t="shared" si="39"/>
        <v/>
      </c>
      <c r="E600" t="str">
        <f t="shared" si="40"/>
        <v/>
      </c>
      <c r="F600" t="str">
        <f t="shared" si="37"/>
        <v/>
      </c>
      <c r="G600" t="str">
        <f>IF(LEN(TRIM(E600))=0, "", GetSampleTissueBySpecimenPrep(H600))</f>
        <v/>
      </c>
      <c r="H600" t="str">
        <f>IF(LEN(TRIM(E600))=0, "", GetSpecimenPrepName())</f>
        <v/>
      </c>
      <c r="I600" t="str">
        <f>IF(LEN(TRIM(E600))=0, "", GetSampleVolumeBySpecimenPrep(H600))</f>
        <v/>
      </c>
      <c r="L600" t="str">
        <f>IF(LEN(TRIM(E600))=0,"",VLOOKUP("Manifest Id",config!A:B,2,FALSE))</f>
        <v/>
      </c>
      <c r="M600" t="str">
        <f>IF(LEN(TRIM(E600))=0, "",VLOOKUP("Project Name",config!A:B,2,FALSE))</f>
        <v/>
      </c>
      <c r="N600" t="str">
        <f>IF(LEN(TRIM(E600))=0, "",VLOOKUP("Center Name",config!A:B,2,FALSE))</f>
        <v/>
      </c>
      <c r="O600" s="7" t="str">
        <f>IF(LEN(TRIM(E600))=0,"",VLOOKUP("Shipment Date",config!A:B,2,FALSE))</f>
        <v/>
      </c>
      <c r="P600" s="7" t="str">
        <f t="shared" si="38"/>
        <v/>
      </c>
      <c r="Q600" s="7" t="str">
        <f>IF(LEN(TRIM(D600))=0,"",GetConfigParameterValue("Collection Site"))</f>
        <v/>
      </c>
      <c r="R600" t="str">
        <f>IF(LEN(TRIM(E600))=0, "", GetManifestComments(H600))</f>
        <v/>
      </c>
      <c r="S600" t="str">
        <f>IF(LEN(TRIM(E600))=0,"",IF(ISERROR(VLOOKUP(E600,'Manifest MDB data'!A:A,1,FALSE)),"OK","EXISTS!!!"))</f>
        <v/>
      </c>
    </row>
    <row r="601" spans="4:19" x14ac:dyDescent="0.25">
      <c r="D601" t="str">
        <f t="shared" si="39"/>
        <v/>
      </c>
      <c r="E601" t="str">
        <f t="shared" si="40"/>
        <v/>
      </c>
      <c r="F601" t="str">
        <f t="shared" si="37"/>
        <v/>
      </c>
      <c r="G601" t="str">
        <f>IF(LEN(TRIM(E601))=0, "", GetSampleTissueBySpecimenPrep(H601))</f>
        <v/>
      </c>
      <c r="H601" t="str">
        <f>IF(LEN(TRIM(E601))=0, "", GetSpecimenPrepName())</f>
        <v/>
      </c>
      <c r="I601" t="str">
        <f>IF(LEN(TRIM(E601))=0, "", GetSampleVolumeBySpecimenPrep(H601))</f>
        <v/>
      </c>
      <c r="L601" t="str">
        <f>IF(LEN(TRIM(E601))=0,"",VLOOKUP("Manifest Id",config!A:B,2,FALSE))</f>
        <v/>
      </c>
      <c r="M601" t="str">
        <f>IF(LEN(TRIM(E601))=0, "",VLOOKUP("Project Name",config!A:B,2,FALSE))</f>
        <v/>
      </c>
      <c r="N601" t="str">
        <f>IF(LEN(TRIM(E601))=0, "",VLOOKUP("Center Name",config!A:B,2,FALSE))</f>
        <v/>
      </c>
      <c r="O601" s="7" t="str">
        <f>IF(LEN(TRIM(E601))=0,"",VLOOKUP("Shipment Date",config!A:B,2,FALSE))</f>
        <v/>
      </c>
      <c r="P601" s="7" t="str">
        <f t="shared" si="38"/>
        <v/>
      </c>
      <c r="Q601" s="7" t="str">
        <f>IF(LEN(TRIM(D601))=0,"",GetConfigParameterValue("Collection Site"))</f>
        <v/>
      </c>
      <c r="R601" t="str">
        <f>IF(LEN(TRIM(E601))=0, "", GetManifestComments(H601))</f>
        <v/>
      </c>
      <c r="S601" t="str">
        <f>IF(LEN(TRIM(E601))=0,"",IF(ISERROR(VLOOKUP(E601,'Manifest MDB data'!A:A,1,FALSE)),"OK","EXISTS!!!"))</f>
        <v/>
      </c>
    </row>
    <row r="602" spans="4:19" x14ac:dyDescent="0.25">
      <c r="D602" t="str">
        <f t="shared" si="39"/>
        <v/>
      </c>
      <c r="E602" t="str">
        <f t="shared" si="40"/>
        <v/>
      </c>
      <c r="F602" t="str">
        <f t="shared" si="37"/>
        <v/>
      </c>
      <c r="G602" t="str">
        <f>IF(LEN(TRIM(E602))=0, "", GetSampleTissueBySpecimenPrep(H602))</f>
        <v/>
      </c>
      <c r="H602" t="str">
        <f>IF(LEN(TRIM(E602))=0, "", GetSpecimenPrepName())</f>
        <v/>
      </c>
      <c r="I602" t="str">
        <f>IF(LEN(TRIM(E602))=0, "", GetSampleVolumeBySpecimenPrep(H602))</f>
        <v/>
      </c>
      <c r="L602" t="str">
        <f>IF(LEN(TRIM(E602))=0,"",VLOOKUP("Manifest Id",config!A:B,2,FALSE))</f>
        <v/>
      </c>
      <c r="M602" t="str">
        <f>IF(LEN(TRIM(E602))=0, "",VLOOKUP("Project Name",config!A:B,2,FALSE))</f>
        <v/>
      </c>
      <c r="N602" t="str">
        <f>IF(LEN(TRIM(E602))=0, "",VLOOKUP("Center Name",config!A:B,2,FALSE))</f>
        <v/>
      </c>
      <c r="O602" s="7" t="str">
        <f>IF(LEN(TRIM(E602))=0,"",VLOOKUP("Shipment Date",config!A:B,2,FALSE))</f>
        <v/>
      </c>
      <c r="P602" s="7" t="str">
        <f t="shared" si="38"/>
        <v/>
      </c>
      <c r="Q602" s="7" t="str">
        <f>IF(LEN(TRIM(D602))=0,"",GetConfigParameterValue("Collection Site"))</f>
        <v/>
      </c>
      <c r="R602" t="str">
        <f>IF(LEN(TRIM(E602))=0, "", GetManifestComments(H602))</f>
        <v/>
      </c>
      <c r="S602" t="str">
        <f>IF(LEN(TRIM(E602))=0,"",IF(ISERROR(VLOOKUP(E602,'Manifest MDB data'!A:A,1,FALSE)),"OK","EXISTS!!!"))</f>
        <v/>
      </c>
    </row>
    <row r="603" spans="4:19" x14ac:dyDescent="0.25">
      <c r="D603" t="str">
        <f t="shared" si="39"/>
        <v/>
      </c>
      <c r="E603" t="str">
        <f t="shared" si="40"/>
        <v/>
      </c>
      <c r="F603" t="str">
        <f t="shared" si="37"/>
        <v/>
      </c>
      <c r="G603" t="str">
        <f>IF(LEN(TRIM(E603))=0, "", GetSampleTissueBySpecimenPrep(H603))</f>
        <v/>
      </c>
      <c r="H603" t="str">
        <f>IF(LEN(TRIM(E603))=0, "", GetSpecimenPrepName())</f>
        <v/>
      </c>
      <c r="I603" t="str">
        <f>IF(LEN(TRIM(E603))=0, "", GetSampleVolumeBySpecimenPrep(H603))</f>
        <v/>
      </c>
      <c r="L603" t="str">
        <f>IF(LEN(TRIM(E603))=0,"",VLOOKUP("Manifest Id",config!A:B,2,FALSE))</f>
        <v/>
      </c>
      <c r="M603" t="str">
        <f>IF(LEN(TRIM(E603))=0, "",VLOOKUP("Project Name",config!A:B,2,FALSE))</f>
        <v/>
      </c>
      <c r="N603" t="str">
        <f>IF(LEN(TRIM(E603))=0, "",VLOOKUP("Center Name",config!A:B,2,FALSE))</f>
        <v/>
      </c>
      <c r="O603" s="7" t="str">
        <f>IF(LEN(TRIM(E603))=0,"",VLOOKUP("Shipment Date",config!A:B,2,FALSE))</f>
        <v/>
      </c>
      <c r="P603" s="7" t="str">
        <f t="shared" si="38"/>
        <v/>
      </c>
      <c r="Q603" s="7" t="str">
        <f>IF(LEN(TRIM(D603))=0,"",GetConfigParameterValue("Collection Site"))</f>
        <v/>
      </c>
      <c r="R603" t="str">
        <f>IF(LEN(TRIM(E603))=0, "", GetManifestComments(H603))</f>
        <v/>
      </c>
      <c r="S603" t="str">
        <f>IF(LEN(TRIM(E603))=0,"",IF(ISERROR(VLOOKUP(E603,'Manifest MDB data'!A:A,1,FALSE)),"OK","EXISTS!!!"))</f>
        <v/>
      </c>
    </row>
    <row r="604" spans="4:19" x14ac:dyDescent="0.25">
      <c r="D604" t="str">
        <f t="shared" si="39"/>
        <v/>
      </c>
      <c r="E604" t="str">
        <f t="shared" si="40"/>
        <v/>
      </c>
      <c r="F604" t="str">
        <f t="shared" si="37"/>
        <v/>
      </c>
      <c r="G604" t="str">
        <f>IF(LEN(TRIM(E604))=0, "", GetSampleTissueBySpecimenPrep(H604))</f>
        <v/>
      </c>
      <c r="H604" t="str">
        <f>IF(LEN(TRIM(E604))=0, "", GetSpecimenPrepName())</f>
        <v/>
      </c>
      <c r="I604" t="str">
        <f>IF(LEN(TRIM(E604))=0, "", GetSampleVolumeBySpecimenPrep(H604))</f>
        <v/>
      </c>
      <c r="L604" t="str">
        <f>IF(LEN(TRIM(E604))=0,"",VLOOKUP("Manifest Id",config!A:B,2,FALSE))</f>
        <v/>
      </c>
      <c r="M604" t="str">
        <f>IF(LEN(TRIM(E604))=0, "",VLOOKUP("Project Name",config!A:B,2,FALSE))</f>
        <v/>
      </c>
      <c r="N604" t="str">
        <f>IF(LEN(TRIM(E604))=0, "",VLOOKUP("Center Name",config!A:B,2,FALSE))</f>
        <v/>
      </c>
      <c r="O604" s="7" t="str">
        <f>IF(LEN(TRIM(E604))=0,"",VLOOKUP("Shipment Date",config!A:B,2,FALSE))</f>
        <v/>
      </c>
      <c r="P604" s="7" t="str">
        <f t="shared" si="38"/>
        <v/>
      </c>
      <c r="Q604" s="7" t="str">
        <f>IF(LEN(TRIM(D604))=0,"",GetConfigParameterValue("Collection Site"))</f>
        <v/>
      </c>
      <c r="R604" t="str">
        <f>IF(LEN(TRIM(E604))=0, "", GetManifestComments(H604))</f>
        <v/>
      </c>
      <c r="S604" t="str">
        <f>IF(LEN(TRIM(E604))=0,"",IF(ISERROR(VLOOKUP(E604,'Manifest MDB data'!A:A,1,FALSE)),"OK","EXISTS!!!"))</f>
        <v/>
      </c>
    </row>
    <row r="605" spans="4:19" x14ac:dyDescent="0.25">
      <c r="D605" t="str">
        <f t="shared" si="39"/>
        <v/>
      </c>
      <c r="E605" t="str">
        <f t="shared" si="40"/>
        <v/>
      </c>
      <c r="F605" t="str">
        <f t="shared" si="37"/>
        <v/>
      </c>
      <c r="G605" t="str">
        <f>IF(LEN(TRIM(E605))=0, "", GetSampleTissueBySpecimenPrep(H605))</f>
        <v/>
      </c>
      <c r="H605" t="str">
        <f>IF(LEN(TRIM(E605))=0, "", GetSpecimenPrepName())</f>
        <v/>
      </c>
      <c r="I605" t="str">
        <f>IF(LEN(TRIM(E605))=0, "", GetSampleVolumeBySpecimenPrep(H605))</f>
        <v/>
      </c>
      <c r="L605" t="str">
        <f>IF(LEN(TRIM(E605))=0,"",VLOOKUP("Manifest Id",config!A:B,2,FALSE))</f>
        <v/>
      </c>
      <c r="M605" t="str">
        <f>IF(LEN(TRIM(E605))=0, "",VLOOKUP("Project Name",config!A:B,2,FALSE))</f>
        <v/>
      </c>
      <c r="N605" t="str">
        <f>IF(LEN(TRIM(E605))=0, "",VLOOKUP("Center Name",config!A:B,2,FALSE))</f>
        <v/>
      </c>
      <c r="O605" s="7" t="str">
        <f>IF(LEN(TRIM(E605))=0,"",VLOOKUP("Shipment Date",config!A:B,2,FALSE))</f>
        <v/>
      </c>
      <c r="P605" s="7" t="str">
        <f t="shared" si="38"/>
        <v/>
      </c>
      <c r="Q605" s="7" t="str">
        <f>IF(LEN(TRIM(D605))=0,"",GetConfigParameterValue("Collection Site"))</f>
        <v/>
      </c>
      <c r="R605" t="str">
        <f>IF(LEN(TRIM(E605))=0, "", GetManifestComments(H605))</f>
        <v/>
      </c>
      <c r="S605" t="str">
        <f>IF(LEN(TRIM(E605))=0,"",IF(ISERROR(VLOOKUP(E605,'Manifest MDB data'!A:A,1,FALSE)),"OK","EXISTS!!!"))</f>
        <v/>
      </c>
    </row>
    <row r="606" spans="4:19" x14ac:dyDescent="0.25">
      <c r="D606" t="str">
        <f t="shared" si="39"/>
        <v/>
      </c>
      <c r="E606" t="str">
        <f t="shared" si="40"/>
        <v/>
      </c>
      <c r="F606" t="str">
        <f t="shared" si="37"/>
        <v/>
      </c>
      <c r="G606" t="str">
        <f>IF(LEN(TRIM(E606))=0, "", GetSampleTissueBySpecimenPrep(H606))</f>
        <v/>
      </c>
      <c r="H606" t="str">
        <f>IF(LEN(TRIM(E606))=0, "", GetSpecimenPrepName())</f>
        <v/>
      </c>
      <c r="I606" t="str">
        <f>IF(LEN(TRIM(E606))=0, "", GetSampleVolumeBySpecimenPrep(H606))</f>
        <v/>
      </c>
      <c r="L606" t="str">
        <f>IF(LEN(TRIM(E606))=0,"",VLOOKUP("Manifest Id",config!A:B,2,FALSE))</f>
        <v/>
      </c>
      <c r="M606" t="str">
        <f>IF(LEN(TRIM(E606))=0, "",VLOOKUP("Project Name",config!A:B,2,FALSE))</f>
        <v/>
      </c>
      <c r="N606" t="str">
        <f>IF(LEN(TRIM(E606))=0, "",VLOOKUP("Center Name",config!A:B,2,FALSE))</f>
        <v/>
      </c>
      <c r="O606" s="7" t="str">
        <f>IF(LEN(TRIM(E606))=0,"",VLOOKUP("Shipment Date",config!A:B,2,FALSE))</f>
        <v/>
      </c>
      <c r="P606" s="7" t="str">
        <f t="shared" si="38"/>
        <v/>
      </c>
      <c r="Q606" s="7" t="str">
        <f>IF(LEN(TRIM(D606))=0,"",GetConfigParameterValue("Collection Site"))</f>
        <v/>
      </c>
      <c r="R606" t="str">
        <f>IF(LEN(TRIM(E606))=0, "", GetManifestComments(H606))</f>
        <v/>
      </c>
      <c r="S606" t="str">
        <f>IF(LEN(TRIM(E606))=0,"",IF(ISERROR(VLOOKUP(E606,'Manifest MDB data'!A:A,1,FALSE)),"OK","EXISTS!!!"))</f>
        <v/>
      </c>
    </row>
    <row r="607" spans="4:19" x14ac:dyDescent="0.25">
      <c r="D607" t="str">
        <f t="shared" si="39"/>
        <v/>
      </c>
      <c r="E607" t="str">
        <f t="shared" si="40"/>
        <v/>
      </c>
      <c r="F607" t="str">
        <f t="shared" si="37"/>
        <v/>
      </c>
      <c r="G607" t="str">
        <f>IF(LEN(TRIM(E607))=0, "", GetSampleTissueBySpecimenPrep(H607))</f>
        <v/>
      </c>
      <c r="H607" t="str">
        <f>IF(LEN(TRIM(E607))=0, "", GetSpecimenPrepName())</f>
        <v/>
      </c>
      <c r="I607" t="str">
        <f>IF(LEN(TRIM(E607))=0, "", GetSampleVolumeBySpecimenPrep(H607))</f>
        <v/>
      </c>
      <c r="L607" t="str">
        <f>IF(LEN(TRIM(E607))=0,"",VLOOKUP("Manifest Id",config!A:B,2,FALSE))</f>
        <v/>
      </c>
      <c r="M607" t="str">
        <f>IF(LEN(TRIM(E607))=0, "",VLOOKUP("Project Name",config!A:B,2,FALSE))</f>
        <v/>
      </c>
      <c r="N607" t="str">
        <f>IF(LEN(TRIM(E607))=0, "",VLOOKUP("Center Name",config!A:B,2,FALSE))</f>
        <v/>
      </c>
      <c r="O607" s="7" t="str">
        <f>IF(LEN(TRIM(E607))=0,"",VLOOKUP("Shipment Date",config!A:B,2,FALSE))</f>
        <v/>
      </c>
      <c r="P607" s="7" t="str">
        <f t="shared" si="38"/>
        <v/>
      </c>
      <c r="Q607" s="7" t="str">
        <f>IF(LEN(TRIM(D607))=0,"",GetConfigParameterValue("Collection Site"))</f>
        <v/>
      </c>
      <c r="R607" t="str">
        <f>IF(LEN(TRIM(E607))=0, "", GetManifestComments(H607))</f>
        <v/>
      </c>
      <c r="S607" t="str">
        <f>IF(LEN(TRIM(E607))=0,"",IF(ISERROR(VLOOKUP(E607,'Manifest MDB data'!A:A,1,FALSE)),"OK","EXISTS!!!"))</f>
        <v/>
      </c>
    </row>
    <row r="608" spans="4:19" x14ac:dyDescent="0.25">
      <c r="D608" t="str">
        <f t="shared" si="39"/>
        <v/>
      </c>
      <c r="E608" t="str">
        <f t="shared" si="40"/>
        <v/>
      </c>
      <c r="F608" t="str">
        <f t="shared" si="37"/>
        <v/>
      </c>
      <c r="G608" t="str">
        <f>IF(LEN(TRIM(E608))=0, "", GetSampleTissueBySpecimenPrep(H608))</f>
        <v/>
      </c>
      <c r="H608" t="str">
        <f>IF(LEN(TRIM(E608))=0, "", GetSpecimenPrepName())</f>
        <v/>
      </c>
      <c r="I608" t="str">
        <f>IF(LEN(TRIM(E608))=0, "", GetSampleVolumeBySpecimenPrep(H608))</f>
        <v/>
      </c>
      <c r="L608" t="str">
        <f>IF(LEN(TRIM(E608))=0,"",VLOOKUP("Manifest Id",config!A:B,2,FALSE))</f>
        <v/>
      </c>
      <c r="M608" t="str">
        <f>IF(LEN(TRIM(E608))=0, "",VLOOKUP("Project Name",config!A:B,2,FALSE))</f>
        <v/>
      </c>
      <c r="N608" t="str">
        <f>IF(LEN(TRIM(E608))=0, "",VLOOKUP("Center Name",config!A:B,2,FALSE))</f>
        <v/>
      </c>
      <c r="O608" s="7" t="str">
        <f>IF(LEN(TRIM(E608))=0,"",VLOOKUP("Shipment Date",config!A:B,2,FALSE))</f>
        <v/>
      </c>
      <c r="P608" s="7" t="str">
        <f t="shared" si="38"/>
        <v/>
      </c>
      <c r="Q608" s="7" t="str">
        <f>IF(LEN(TRIM(D608))=0,"",GetConfigParameterValue("Collection Site"))</f>
        <v/>
      </c>
      <c r="R608" t="str">
        <f>IF(LEN(TRIM(E608))=0, "", GetManifestComments(H608))</f>
        <v/>
      </c>
      <c r="S608" t="str">
        <f>IF(LEN(TRIM(E608))=0,"",IF(ISERROR(VLOOKUP(E608,'Manifest MDB data'!A:A,1,FALSE)),"OK","EXISTS!!!"))</f>
        <v/>
      </c>
    </row>
    <row r="609" spans="4:19" x14ac:dyDescent="0.25">
      <c r="D609" t="str">
        <f t="shared" si="39"/>
        <v/>
      </c>
      <c r="E609" t="str">
        <f t="shared" si="40"/>
        <v/>
      </c>
      <c r="F609" t="str">
        <f t="shared" si="37"/>
        <v/>
      </c>
      <c r="G609" t="str">
        <f>IF(LEN(TRIM(E609))=0, "", GetSampleTissueBySpecimenPrep(H609))</f>
        <v/>
      </c>
      <c r="H609" t="str">
        <f>IF(LEN(TRIM(E609))=0, "", GetSpecimenPrepName())</f>
        <v/>
      </c>
      <c r="I609" t="str">
        <f>IF(LEN(TRIM(E609))=0, "", GetSampleVolumeBySpecimenPrep(H609))</f>
        <v/>
      </c>
      <c r="L609" t="str">
        <f>IF(LEN(TRIM(E609))=0,"",VLOOKUP("Manifest Id",config!A:B,2,FALSE))</f>
        <v/>
      </c>
      <c r="M609" t="str">
        <f>IF(LEN(TRIM(E609))=0, "",VLOOKUP("Project Name",config!A:B,2,FALSE))</f>
        <v/>
      </c>
      <c r="N609" t="str">
        <f>IF(LEN(TRIM(E609))=0, "",VLOOKUP("Center Name",config!A:B,2,FALSE))</f>
        <v/>
      </c>
      <c r="O609" s="7" t="str">
        <f>IF(LEN(TRIM(E609))=0,"",VLOOKUP("Shipment Date",config!A:B,2,FALSE))</f>
        <v/>
      </c>
      <c r="P609" s="7" t="str">
        <f t="shared" si="38"/>
        <v/>
      </c>
      <c r="Q609" s="7" t="str">
        <f>IF(LEN(TRIM(D609))=0,"",GetConfigParameterValue("Collection Site"))</f>
        <v/>
      </c>
      <c r="R609" t="str">
        <f>IF(LEN(TRIM(E609))=0, "", GetManifestComments(H609))</f>
        <v/>
      </c>
      <c r="S609" t="str">
        <f>IF(LEN(TRIM(E609))=0,"",IF(ISERROR(VLOOKUP(E609,'Manifest MDB data'!A:A,1,FALSE)),"OK","EXISTS!!!"))</f>
        <v/>
      </c>
    </row>
    <row r="610" spans="4:19" x14ac:dyDescent="0.25">
      <c r="D610" t="str">
        <f t="shared" si="39"/>
        <v/>
      </c>
      <c r="E610" t="str">
        <f t="shared" si="40"/>
        <v/>
      </c>
      <c r="F610" t="str">
        <f t="shared" si="37"/>
        <v/>
      </c>
      <c r="G610" t="str">
        <f>IF(LEN(TRIM(E610))=0, "", GetSampleTissueBySpecimenPrep(H610))</f>
        <v/>
      </c>
      <c r="H610" t="str">
        <f>IF(LEN(TRIM(E610))=0, "", GetSpecimenPrepName())</f>
        <v/>
      </c>
      <c r="I610" t="str">
        <f>IF(LEN(TRIM(E610))=0, "", GetSampleVolumeBySpecimenPrep(H610))</f>
        <v/>
      </c>
      <c r="L610" t="str">
        <f>IF(LEN(TRIM(E610))=0,"",VLOOKUP("Manifest Id",config!A:B,2,FALSE))</f>
        <v/>
      </c>
      <c r="M610" t="str">
        <f>IF(LEN(TRIM(E610))=0, "",VLOOKUP("Project Name",config!A:B,2,FALSE))</f>
        <v/>
      </c>
      <c r="N610" t="str">
        <f>IF(LEN(TRIM(E610))=0, "",VLOOKUP("Center Name",config!A:B,2,FALSE))</f>
        <v/>
      </c>
      <c r="O610" s="7" t="str">
        <f>IF(LEN(TRIM(E610))=0,"",VLOOKUP("Shipment Date",config!A:B,2,FALSE))</f>
        <v/>
      </c>
      <c r="P610" s="7" t="str">
        <f t="shared" si="38"/>
        <v/>
      </c>
      <c r="Q610" s="7" t="str">
        <f>IF(LEN(TRIM(D610))=0,"",GetConfigParameterValue("Collection Site"))</f>
        <v/>
      </c>
      <c r="R610" t="str">
        <f>IF(LEN(TRIM(E610))=0, "", GetManifestComments(H610))</f>
        <v/>
      </c>
      <c r="S610" t="str">
        <f>IF(LEN(TRIM(E610))=0,"",IF(ISERROR(VLOOKUP(E610,'Manifest MDB data'!A:A,1,FALSE)),"OK","EXISTS!!!"))</f>
        <v/>
      </c>
    </row>
    <row r="611" spans="4:19" x14ac:dyDescent="0.25">
      <c r="D611" t="str">
        <f t="shared" si="39"/>
        <v/>
      </c>
      <c r="E611" t="str">
        <f t="shared" si="40"/>
        <v/>
      </c>
      <c r="F611" t="str">
        <f t="shared" si="37"/>
        <v/>
      </c>
      <c r="G611" t="str">
        <f>IF(LEN(TRIM(E611))=0, "", GetSampleTissueBySpecimenPrep(H611))</f>
        <v/>
      </c>
      <c r="H611" t="str">
        <f>IF(LEN(TRIM(E611))=0, "", GetSpecimenPrepName())</f>
        <v/>
      </c>
      <c r="I611" t="str">
        <f>IF(LEN(TRIM(E611))=0, "", GetSampleVolumeBySpecimenPrep(H611))</f>
        <v/>
      </c>
      <c r="L611" t="str">
        <f>IF(LEN(TRIM(E611))=0,"",VLOOKUP("Manifest Id",config!A:B,2,FALSE))</f>
        <v/>
      </c>
      <c r="M611" t="str">
        <f>IF(LEN(TRIM(E611))=0, "",VLOOKUP("Project Name",config!A:B,2,FALSE))</f>
        <v/>
      </c>
      <c r="N611" t="str">
        <f>IF(LEN(TRIM(E611))=0, "",VLOOKUP("Center Name",config!A:B,2,FALSE))</f>
        <v/>
      </c>
      <c r="O611" s="7" t="str">
        <f>IF(LEN(TRIM(E611))=0,"",VLOOKUP("Shipment Date",config!A:B,2,FALSE))</f>
        <v/>
      </c>
      <c r="P611" s="7" t="str">
        <f t="shared" si="38"/>
        <v/>
      </c>
      <c r="Q611" s="7" t="str">
        <f>IF(LEN(TRIM(D611))=0,"",GetConfigParameterValue("Collection Site"))</f>
        <v/>
      </c>
      <c r="R611" t="str">
        <f>IF(LEN(TRIM(E611))=0, "", GetManifestComments(H611))</f>
        <v/>
      </c>
      <c r="S611" t="str">
        <f>IF(LEN(TRIM(E611))=0,"",IF(ISERROR(VLOOKUP(E611,'Manifest MDB data'!A:A,1,FALSE)),"OK","EXISTS!!!"))</f>
        <v/>
      </c>
    </row>
    <row r="612" spans="4:19" x14ac:dyDescent="0.25">
      <c r="D612" t="str">
        <f t="shared" si="39"/>
        <v/>
      </c>
      <c r="E612" t="str">
        <f t="shared" si="40"/>
        <v/>
      </c>
      <c r="F612" t="str">
        <f t="shared" si="37"/>
        <v/>
      </c>
      <c r="G612" t="str">
        <f>IF(LEN(TRIM(E612))=0, "", GetSampleTissueBySpecimenPrep(H612))</f>
        <v/>
      </c>
      <c r="H612" t="str">
        <f>IF(LEN(TRIM(E612))=0, "", GetSpecimenPrepName())</f>
        <v/>
      </c>
      <c r="I612" t="str">
        <f>IF(LEN(TRIM(E612))=0, "", GetSampleVolumeBySpecimenPrep(H612))</f>
        <v/>
      </c>
      <c r="L612" t="str">
        <f>IF(LEN(TRIM(E612))=0,"",VLOOKUP("Manifest Id",config!A:B,2,FALSE))</f>
        <v/>
      </c>
      <c r="M612" t="str">
        <f>IF(LEN(TRIM(E612))=0, "",VLOOKUP("Project Name",config!A:B,2,FALSE))</f>
        <v/>
      </c>
      <c r="N612" t="str">
        <f>IF(LEN(TRIM(E612))=0, "",VLOOKUP("Center Name",config!A:B,2,FALSE))</f>
        <v/>
      </c>
      <c r="O612" s="7" t="str">
        <f>IF(LEN(TRIM(E612))=0,"",VLOOKUP("Shipment Date",config!A:B,2,FALSE))</f>
        <v/>
      </c>
      <c r="P612" s="7" t="str">
        <f t="shared" si="38"/>
        <v/>
      </c>
      <c r="Q612" s="7" t="str">
        <f>IF(LEN(TRIM(D612))=0,"",GetConfigParameterValue("Collection Site"))</f>
        <v/>
      </c>
      <c r="R612" t="str">
        <f>IF(LEN(TRIM(E612))=0, "", GetManifestComments(H612))</f>
        <v/>
      </c>
      <c r="S612" t="str">
        <f>IF(LEN(TRIM(E612))=0,"",IF(ISERROR(VLOOKUP(E612,'Manifest MDB data'!A:A,1,FALSE)),"OK","EXISTS!!!"))</f>
        <v/>
      </c>
    </row>
    <row r="613" spans="4:19" x14ac:dyDescent="0.25">
      <c r="D613" t="str">
        <f t="shared" si="39"/>
        <v/>
      </c>
      <c r="E613" t="str">
        <f t="shared" si="40"/>
        <v/>
      </c>
      <c r="F613" t="str">
        <f t="shared" si="37"/>
        <v/>
      </c>
      <c r="G613" t="str">
        <f>IF(LEN(TRIM(E613))=0, "", GetSampleTissueBySpecimenPrep(H613))</f>
        <v/>
      </c>
      <c r="H613" t="str">
        <f>IF(LEN(TRIM(E613))=0, "", GetSpecimenPrepName())</f>
        <v/>
      </c>
      <c r="I613" t="str">
        <f>IF(LEN(TRIM(E613))=0, "", GetSampleVolumeBySpecimenPrep(H613))</f>
        <v/>
      </c>
      <c r="L613" t="str">
        <f>IF(LEN(TRIM(E613))=0,"",VLOOKUP("Manifest Id",config!A:B,2,FALSE))</f>
        <v/>
      </c>
      <c r="M613" t="str">
        <f>IF(LEN(TRIM(E613))=0, "",VLOOKUP("Project Name",config!A:B,2,FALSE))</f>
        <v/>
      </c>
      <c r="N613" t="str">
        <f>IF(LEN(TRIM(E613))=0, "",VLOOKUP("Center Name",config!A:B,2,FALSE))</f>
        <v/>
      </c>
      <c r="O613" s="7" t="str">
        <f>IF(LEN(TRIM(E613))=0,"",VLOOKUP("Shipment Date",config!A:B,2,FALSE))</f>
        <v/>
      </c>
      <c r="P613" s="7" t="str">
        <f t="shared" si="38"/>
        <v/>
      </c>
      <c r="Q613" s="7" t="str">
        <f>IF(LEN(TRIM(D613))=0,"",GetConfigParameterValue("Collection Site"))</f>
        <v/>
      </c>
      <c r="R613" t="str">
        <f>IF(LEN(TRIM(E613))=0, "", GetManifestComments(H613))</f>
        <v/>
      </c>
      <c r="S613" t="str">
        <f>IF(LEN(TRIM(E613))=0,"",IF(ISERROR(VLOOKUP(E613,'Manifest MDB data'!A:A,1,FALSE)),"OK","EXISTS!!!"))</f>
        <v/>
      </c>
    </row>
    <row r="614" spans="4:19" x14ac:dyDescent="0.25">
      <c r="D614" t="str">
        <f t="shared" si="39"/>
        <v/>
      </c>
      <c r="E614" t="str">
        <f t="shared" si="40"/>
        <v/>
      </c>
      <c r="F614" t="str">
        <f t="shared" si="37"/>
        <v/>
      </c>
      <c r="G614" t="str">
        <f>IF(LEN(TRIM(E614))=0, "", GetSampleTissueBySpecimenPrep(H614))</f>
        <v/>
      </c>
      <c r="H614" t="str">
        <f>IF(LEN(TRIM(E614))=0, "", GetSpecimenPrepName())</f>
        <v/>
      </c>
      <c r="I614" t="str">
        <f>IF(LEN(TRIM(E614))=0, "", GetSampleVolumeBySpecimenPrep(H614))</f>
        <v/>
      </c>
      <c r="L614" t="str">
        <f>IF(LEN(TRIM(E614))=0,"",VLOOKUP("Manifest Id",config!A:B,2,FALSE))</f>
        <v/>
      </c>
      <c r="M614" t="str">
        <f>IF(LEN(TRIM(E614))=0, "",VLOOKUP("Project Name",config!A:B,2,FALSE))</f>
        <v/>
      </c>
      <c r="N614" t="str">
        <f>IF(LEN(TRIM(E614))=0, "",VLOOKUP("Center Name",config!A:B,2,FALSE))</f>
        <v/>
      </c>
      <c r="O614" s="7" t="str">
        <f>IF(LEN(TRIM(E614))=0,"",VLOOKUP("Shipment Date",config!A:B,2,FALSE))</f>
        <v/>
      </c>
      <c r="P614" s="7" t="str">
        <f t="shared" si="38"/>
        <v/>
      </c>
      <c r="Q614" s="7" t="str">
        <f>IF(LEN(TRIM(D614))=0,"",GetConfigParameterValue("Collection Site"))</f>
        <v/>
      </c>
      <c r="R614" t="str">
        <f>IF(LEN(TRIM(E614))=0, "", GetManifestComments(H614))</f>
        <v/>
      </c>
      <c r="S614" t="str">
        <f>IF(LEN(TRIM(E614))=0,"",IF(ISERROR(VLOOKUP(E614,'Manifest MDB data'!A:A,1,FALSE)),"OK","EXISTS!!!"))</f>
        <v/>
      </c>
    </row>
    <row r="615" spans="4:19" x14ac:dyDescent="0.25">
      <c r="D615" t="str">
        <f t="shared" si="39"/>
        <v/>
      </c>
      <c r="E615" t="str">
        <f t="shared" si="40"/>
        <v/>
      </c>
      <c r="F615" t="str">
        <f t="shared" si="37"/>
        <v/>
      </c>
      <c r="G615" t="str">
        <f>IF(LEN(TRIM(E615))=0, "", GetSampleTissueBySpecimenPrep(H615))</f>
        <v/>
      </c>
      <c r="H615" t="str">
        <f>IF(LEN(TRIM(E615))=0, "", GetSpecimenPrepName())</f>
        <v/>
      </c>
      <c r="I615" t="str">
        <f>IF(LEN(TRIM(E615))=0, "", GetSampleVolumeBySpecimenPrep(H615))</f>
        <v/>
      </c>
      <c r="L615" t="str">
        <f>IF(LEN(TRIM(E615))=0,"",VLOOKUP("Manifest Id",config!A:B,2,FALSE))</f>
        <v/>
      </c>
      <c r="M615" t="str">
        <f>IF(LEN(TRIM(E615))=0, "",VLOOKUP("Project Name",config!A:B,2,FALSE))</f>
        <v/>
      </c>
      <c r="N615" t="str">
        <f>IF(LEN(TRIM(E615))=0, "",VLOOKUP("Center Name",config!A:B,2,FALSE))</f>
        <v/>
      </c>
      <c r="O615" s="7" t="str">
        <f>IF(LEN(TRIM(E615))=0,"",VLOOKUP("Shipment Date",config!A:B,2,FALSE))</f>
        <v/>
      </c>
      <c r="P615" s="7" t="str">
        <f t="shared" si="38"/>
        <v/>
      </c>
      <c r="Q615" s="7" t="str">
        <f>IF(LEN(TRIM(D615))=0,"",GetConfigParameterValue("Collection Site"))</f>
        <v/>
      </c>
      <c r="R615" t="str">
        <f>IF(LEN(TRIM(E615))=0, "", GetManifestComments(H615))</f>
        <v/>
      </c>
      <c r="S615" t="str">
        <f>IF(LEN(TRIM(E615))=0,"",IF(ISERROR(VLOOKUP(E615,'Manifest MDB data'!A:A,1,FALSE)),"OK","EXISTS!!!"))</f>
        <v/>
      </c>
    </row>
    <row r="616" spans="4:19" x14ac:dyDescent="0.25">
      <c r="D616" t="str">
        <f t="shared" si="39"/>
        <v/>
      </c>
      <c r="E616" t="str">
        <f t="shared" si="40"/>
        <v/>
      </c>
      <c r="F616" t="str">
        <f t="shared" si="37"/>
        <v/>
      </c>
      <c r="G616" t="str">
        <f>IF(LEN(TRIM(E616))=0, "", GetSampleTissueBySpecimenPrep(H616))</f>
        <v/>
      </c>
      <c r="H616" t="str">
        <f>IF(LEN(TRIM(E616))=0, "", GetSpecimenPrepName())</f>
        <v/>
      </c>
      <c r="I616" t="str">
        <f>IF(LEN(TRIM(E616))=0, "", GetSampleVolumeBySpecimenPrep(H616))</f>
        <v/>
      </c>
      <c r="L616" t="str">
        <f>IF(LEN(TRIM(E616))=0,"",VLOOKUP("Manifest Id",config!A:B,2,FALSE))</f>
        <v/>
      </c>
      <c r="M616" t="str">
        <f>IF(LEN(TRIM(E616))=0, "",VLOOKUP("Project Name",config!A:B,2,FALSE))</f>
        <v/>
      </c>
      <c r="N616" t="str">
        <f>IF(LEN(TRIM(E616))=0, "",VLOOKUP("Center Name",config!A:B,2,FALSE))</f>
        <v/>
      </c>
      <c r="O616" s="7" t="str">
        <f>IF(LEN(TRIM(E616))=0,"",VLOOKUP("Shipment Date",config!A:B,2,FALSE))</f>
        <v/>
      </c>
      <c r="P616" s="7" t="str">
        <f t="shared" si="38"/>
        <v/>
      </c>
      <c r="Q616" s="7" t="str">
        <f>IF(LEN(TRIM(D616))=0,"",GetConfigParameterValue("Collection Site"))</f>
        <v/>
      </c>
      <c r="R616" t="str">
        <f>IF(LEN(TRIM(E616))=0, "", GetManifestComments(H616))</f>
        <v/>
      </c>
      <c r="S616" t="str">
        <f>IF(LEN(TRIM(E616))=0,"",IF(ISERROR(VLOOKUP(E616,'Manifest MDB data'!A:A,1,FALSE)),"OK","EXISTS!!!"))</f>
        <v/>
      </c>
    </row>
    <row r="617" spans="4:19" x14ac:dyDescent="0.25">
      <c r="D617" t="str">
        <f t="shared" si="39"/>
        <v/>
      </c>
      <c r="E617" t="str">
        <f t="shared" si="40"/>
        <v/>
      </c>
      <c r="F617" t="str">
        <f t="shared" si="37"/>
        <v/>
      </c>
      <c r="G617" t="str">
        <f>IF(LEN(TRIM(E617))=0, "", GetSampleTissueBySpecimenPrep(H617))</f>
        <v/>
      </c>
      <c r="H617" t="str">
        <f>IF(LEN(TRIM(E617))=0, "", GetSpecimenPrepName())</f>
        <v/>
      </c>
      <c r="I617" t="str">
        <f>IF(LEN(TRIM(E617))=0, "", GetSampleVolumeBySpecimenPrep(H617))</f>
        <v/>
      </c>
      <c r="L617" t="str">
        <f>IF(LEN(TRIM(E617))=0,"",VLOOKUP("Manifest Id",config!A:B,2,FALSE))</f>
        <v/>
      </c>
      <c r="M617" t="str">
        <f>IF(LEN(TRIM(E617))=0, "",VLOOKUP("Project Name",config!A:B,2,FALSE))</f>
        <v/>
      </c>
      <c r="N617" t="str">
        <f>IF(LEN(TRIM(E617))=0, "",VLOOKUP("Center Name",config!A:B,2,FALSE))</f>
        <v/>
      </c>
      <c r="O617" s="7" t="str">
        <f>IF(LEN(TRIM(E617))=0,"",VLOOKUP("Shipment Date",config!A:B,2,FALSE))</f>
        <v/>
      </c>
      <c r="P617" s="7" t="str">
        <f t="shared" si="38"/>
        <v/>
      </c>
      <c r="Q617" s="7" t="str">
        <f>IF(LEN(TRIM(D617))=0,"",GetConfigParameterValue("Collection Site"))</f>
        <v/>
      </c>
      <c r="R617" t="str">
        <f>IF(LEN(TRIM(E617))=0, "", GetManifestComments(H617))</f>
        <v/>
      </c>
      <c r="S617" t="str">
        <f>IF(LEN(TRIM(E617))=0,"",IF(ISERROR(VLOOKUP(E617,'Manifest MDB data'!A:A,1,FALSE)),"OK","EXISTS!!!"))</f>
        <v/>
      </c>
    </row>
    <row r="618" spans="4:19" x14ac:dyDescent="0.25">
      <c r="D618" t="str">
        <f t="shared" si="39"/>
        <v/>
      </c>
      <c r="E618" t="str">
        <f t="shared" si="40"/>
        <v/>
      </c>
      <c r="F618" t="str">
        <f t="shared" si="37"/>
        <v/>
      </c>
      <c r="G618" t="str">
        <f>IF(LEN(TRIM(E618))=0, "", GetSampleTissueBySpecimenPrep(H618))</f>
        <v/>
      </c>
      <c r="H618" t="str">
        <f>IF(LEN(TRIM(E618))=0, "", GetSpecimenPrepName())</f>
        <v/>
      </c>
      <c r="I618" t="str">
        <f>IF(LEN(TRIM(E618))=0, "", GetSampleVolumeBySpecimenPrep(H618))</f>
        <v/>
      </c>
      <c r="L618" t="str">
        <f>IF(LEN(TRIM(E618))=0,"",VLOOKUP("Manifest Id",config!A:B,2,FALSE))</f>
        <v/>
      </c>
      <c r="M618" t="str">
        <f>IF(LEN(TRIM(E618))=0, "",VLOOKUP("Project Name",config!A:B,2,FALSE))</f>
        <v/>
      </c>
      <c r="N618" t="str">
        <f>IF(LEN(TRIM(E618))=0, "",VLOOKUP("Center Name",config!A:B,2,FALSE))</f>
        <v/>
      </c>
      <c r="O618" s="7" t="str">
        <f>IF(LEN(TRIM(E618))=0,"",VLOOKUP("Shipment Date",config!A:B,2,FALSE))</f>
        <v/>
      </c>
      <c r="P618" s="7" t="str">
        <f t="shared" si="38"/>
        <v/>
      </c>
      <c r="Q618" s="7" t="str">
        <f>IF(LEN(TRIM(D618))=0,"",GetConfigParameterValue("Collection Site"))</f>
        <v/>
      </c>
      <c r="R618" t="str">
        <f>IF(LEN(TRIM(E618))=0, "", GetManifestComments(H618))</f>
        <v/>
      </c>
      <c r="S618" t="str">
        <f>IF(LEN(TRIM(E618))=0,"",IF(ISERROR(VLOOKUP(E618,'Manifest MDB data'!A:A,1,FALSE)),"OK","EXISTS!!!"))</f>
        <v/>
      </c>
    </row>
    <row r="619" spans="4:19" x14ac:dyDescent="0.25">
      <c r="D619" t="str">
        <f t="shared" si="39"/>
        <v/>
      </c>
      <c r="E619" t="str">
        <f t="shared" si="40"/>
        <v/>
      </c>
      <c r="F619" t="str">
        <f t="shared" si="37"/>
        <v/>
      </c>
      <c r="G619" t="str">
        <f>IF(LEN(TRIM(E619))=0, "", GetSampleTissueBySpecimenPrep(H619))</f>
        <v/>
      </c>
      <c r="H619" t="str">
        <f>IF(LEN(TRIM(E619))=0, "", GetSpecimenPrepName())</f>
        <v/>
      </c>
      <c r="I619" t="str">
        <f>IF(LEN(TRIM(E619))=0, "", GetSampleVolumeBySpecimenPrep(H619))</f>
        <v/>
      </c>
      <c r="L619" t="str">
        <f>IF(LEN(TRIM(E619))=0,"",VLOOKUP("Manifest Id",config!A:B,2,FALSE))</f>
        <v/>
      </c>
      <c r="M619" t="str">
        <f>IF(LEN(TRIM(E619))=0, "",VLOOKUP("Project Name",config!A:B,2,FALSE))</f>
        <v/>
      </c>
      <c r="N619" t="str">
        <f>IF(LEN(TRIM(E619))=0, "",VLOOKUP("Center Name",config!A:B,2,FALSE))</f>
        <v/>
      </c>
      <c r="O619" s="7" t="str">
        <f>IF(LEN(TRIM(E619))=0,"",VLOOKUP("Shipment Date",config!A:B,2,FALSE))</f>
        <v/>
      </c>
      <c r="P619" s="7" t="str">
        <f t="shared" si="38"/>
        <v/>
      </c>
      <c r="Q619" s="7" t="str">
        <f>IF(LEN(TRIM(D619))=0,"",GetConfigParameterValue("Collection Site"))</f>
        <v/>
      </c>
      <c r="R619" t="str">
        <f>IF(LEN(TRIM(E619))=0, "", GetManifestComments(H619))</f>
        <v/>
      </c>
      <c r="S619" t="str">
        <f>IF(LEN(TRIM(E619))=0,"",IF(ISERROR(VLOOKUP(E619,'Manifest MDB data'!A:A,1,FALSE)),"OK","EXISTS!!!"))</f>
        <v/>
      </c>
    </row>
    <row r="620" spans="4:19" x14ac:dyDescent="0.25">
      <c r="D620" t="str">
        <f t="shared" si="39"/>
        <v/>
      </c>
      <c r="E620" t="str">
        <f t="shared" si="40"/>
        <v/>
      </c>
      <c r="F620" t="str">
        <f t="shared" si="37"/>
        <v/>
      </c>
      <c r="G620" t="str">
        <f>IF(LEN(TRIM(E620))=0, "", GetSampleTissueBySpecimenPrep(H620))</f>
        <v/>
      </c>
      <c r="H620" t="str">
        <f>IF(LEN(TRIM(E620))=0, "", GetSpecimenPrepName())</f>
        <v/>
      </c>
      <c r="I620" t="str">
        <f>IF(LEN(TRIM(E620))=0, "", GetSampleVolumeBySpecimenPrep(H620))</f>
        <v/>
      </c>
      <c r="L620" t="str">
        <f>IF(LEN(TRIM(E620))=0,"",VLOOKUP("Manifest Id",config!A:B,2,FALSE))</f>
        <v/>
      </c>
      <c r="M620" t="str">
        <f>IF(LEN(TRIM(E620))=0, "",VLOOKUP("Project Name",config!A:B,2,FALSE))</f>
        <v/>
      </c>
      <c r="N620" t="str">
        <f>IF(LEN(TRIM(E620))=0, "",VLOOKUP("Center Name",config!A:B,2,FALSE))</f>
        <v/>
      </c>
      <c r="O620" s="7" t="str">
        <f>IF(LEN(TRIM(E620))=0,"",VLOOKUP("Shipment Date",config!A:B,2,FALSE))</f>
        <v/>
      </c>
      <c r="P620" s="7" t="str">
        <f t="shared" si="38"/>
        <v/>
      </c>
      <c r="Q620" s="7" t="str">
        <f>IF(LEN(TRIM(D620))=0,"",GetConfigParameterValue("Collection Site"))</f>
        <v/>
      </c>
      <c r="R620" t="str">
        <f>IF(LEN(TRIM(E620))=0, "", GetManifestComments(H620))</f>
        <v/>
      </c>
      <c r="S620" t="str">
        <f>IF(LEN(TRIM(E620))=0,"",IF(ISERROR(VLOOKUP(E620,'Manifest MDB data'!A:A,1,FALSE)),"OK","EXISTS!!!"))</f>
        <v/>
      </c>
    </row>
    <row r="621" spans="4:19" x14ac:dyDescent="0.25">
      <c r="D621" t="str">
        <f t="shared" si="39"/>
        <v/>
      </c>
      <c r="E621" t="str">
        <f t="shared" si="40"/>
        <v/>
      </c>
      <c r="F621" t="str">
        <f t="shared" si="37"/>
        <v/>
      </c>
      <c r="G621" t="str">
        <f>IF(LEN(TRIM(E621))=0, "", GetSampleTissueBySpecimenPrep(H621))</f>
        <v/>
      </c>
      <c r="H621" t="str">
        <f>IF(LEN(TRIM(E621))=0, "", GetSpecimenPrepName())</f>
        <v/>
      </c>
      <c r="I621" t="str">
        <f>IF(LEN(TRIM(E621))=0, "", GetSampleVolumeBySpecimenPrep(H621))</f>
        <v/>
      </c>
      <c r="L621" t="str">
        <f>IF(LEN(TRIM(E621))=0,"",VLOOKUP("Manifest Id",config!A:B,2,FALSE))</f>
        <v/>
      </c>
      <c r="M621" t="str">
        <f>IF(LEN(TRIM(E621))=0, "",VLOOKUP("Project Name",config!A:B,2,FALSE))</f>
        <v/>
      </c>
      <c r="N621" t="str">
        <f>IF(LEN(TRIM(E621))=0, "",VLOOKUP("Center Name",config!A:B,2,FALSE))</f>
        <v/>
      </c>
      <c r="O621" s="7" t="str">
        <f>IF(LEN(TRIM(E621))=0,"",VLOOKUP("Shipment Date",config!A:B,2,FALSE))</f>
        <v/>
      </c>
      <c r="P621" s="7" t="str">
        <f t="shared" si="38"/>
        <v/>
      </c>
      <c r="Q621" s="7" t="str">
        <f>IF(LEN(TRIM(D621))=0,"",GetConfigParameterValue("Collection Site"))</f>
        <v/>
      </c>
      <c r="R621" t="str">
        <f>IF(LEN(TRIM(E621))=0, "", GetManifestComments(H621))</f>
        <v/>
      </c>
      <c r="S621" t="str">
        <f>IF(LEN(TRIM(E621))=0,"",IF(ISERROR(VLOOKUP(E621,'Manifest MDB data'!A:A,1,FALSE)),"OK","EXISTS!!!"))</f>
        <v/>
      </c>
    </row>
    <row r="622" spans="4:19" x14ac:dyDescent="0.25">
      <c r="D622" t="str">
        <f t="shared" si="39"/>
        <v/>
      </c>
      <c r="E622" t="str">
        <f t="shared" si="40"/>
        <v/>
      </c>
      <c r="F622" t="str">
        <f t="shared" si="37"/>
        <v/>
      </c>
      <c r="G622" t="str">
        <f>IF(LEN(TRIM(E622))=0, "", GetSampleTissueBySpecimenPrep(H622))</f>
        <v/>
      </c>
      <c r="H622" t="str">
        <f>IF(LEN(TRIM(E622))=0, "", GetSpecimenPrepName())</f>
        <v/>
      </c>
      <c r="I622" t="str">
        <f>IF(LEN(TRIM(E622))=0, "", GetSampleVolumeBySpecimenPrep(H622))</f>
        <v/>
      </c>
      <c r="L622" t="str">
        <f>IF(LEN(TRIM(E622))=0,"",VLOOKUP("Manifest Id",config!A:B,2,FALSE))</f>
        <v/>
      </c>
      <c r="M622" t="str">
        <f>IF(LEN(TRIM(E622))=0, "",VLOOKUP("Project Name",config!A:B,2,FALSE))</f>
        <v/>
      </c>
      <c r="N622" t="str">
        <f>IF(LEN(TRIM(E622))=0, "",VLOOKUP("Center Name",config!A:B,2,FALSE))</f>
        <v/>
      </c>
      <c r="O622" s="7" t="str">
        <f>IF(LEN(TRIM(E622))=0,"",VLOOKUP("Shipment Date",config!A:B,2,FALSE))</f>
        <v/>
      </c>
      <c r="P622" s="7" t="str">
        <f t="shared" si="38"/>
        <v/>
      </c>
      <c r="Q622" s="7" t="str">
        <f>IF(LEN(TRIM(D622))=0,"",GetConfigParameterValue("Collection Site"))</f>
        <v/>
      </c>
      <c r="R622" t="str">
        <f>IF(LEN(TRIM(E622))=0, "", GetManifestComments(H622))</f>
        <v/>
      </c>
      <c r="S622" t="str">
        <f>IF(LEN(TRIM(E622))=0,"",IF(ISERROR(VLOOKUP(E622,'Manifest MDB data'!A:A,1,FALSE)),"OK","EXISTS!!!"))</f>
        <v/>
      </c>
    </row>
    <row r="623" spans="4:19" x14ac:dyDescent="0.25">
      <c r="D623" t="str">
        <f t="shared" si="39"/>
        <v/>
      </c>
      <c r="E623" t="str">
        <f t="shared" si="40"/>
        <v/>
      </c>
      <c r="F623" t="str">
        <f t="shared" si="37"/>
        <v/>
      </c>
      <c r="G623" t="str">
        <f>IF(LEN(TRIM(E623))=0, "", GetSampleTissueBySpecimenPrep(H623))</f>
        <v/>
      </c>
      <c r="H623" t="str">
        <f>IF(LEN(TRIM(E623))=0, "", GetSpecimenPrepName())</f>
        <v/>
      </c>
      <c r="I623" t="str">
        <f>IF(LEN(TRIM(E623))=0, "", GetSampleVolumeBySpecimenPrep(H623))</f>
        <v/>
      </c>
      <c r="L623" t="str">
        <f>IF(LEN(TRIM(E623))=0,"",VLOOKUP("Manifest Id",config!A:B,2,FALSE))</f>
        <v/>
      </c>
      <c r="M623" t="str">
        <f>IF(LEN(TRIM(E623))=0, "",VLOOKUP("Project Name",config!A:B,2,FALSE))</f>
        <v/>
      </c>
      <c r="N623" t="str">
        <f>IF(LEN(TRIM(E623))=0, "",VLOOKUP("Center Name",config!A:B,2,FALSE))</f>
        <v/>
      </c>
      <c r="O623" s="7" t="str">
        <f>IF(LEN(TRIM(E623))=0,"",VLOOKUP("Shipment Date",config!A:B,2,FALSE))</f>
        <v/>
      </c>
      <c r="P623" s="7" t="str">
        <f t="shared" si="38"/>
        <v/>
      </c>
      <c r="Q623" s="7" t="str">
        <f>IF(LEN(TRIM(D623))=0,"",GetConfigParameterValue("Collection Site"))</f>
        <v/>
      </c>
      <c r="R623" t="str">
        <f>IF(LEN(TRIM(E623))=0, "", GetManifestComments(H623))</f>
        <v/>
      </c>
      <c r="S623" t="str">
        <f>IF(LEN(TRIM(E623))=0,"",IF(ISERROR(VLOOKUP(E623,'Manifest MDB data'!A:A,1,FALSE)),"OK","EXISTS!!!"))</f>
        <v/>
      </c>
    </row>
    <row r="624" spans="4:19" x14ac:dyDescent="0.25">
      <c r="D624" t="str">
        <f t="shared" si="39"/>
        <v/>
      </c>
      <c r="E624" t="str">
        <f t="shared" si="40"/>
        <v/>
      </c>
      <c r="F624" t="str">
        <f t="shared" si="37"/>
        <v/>
      </c>
      <c r="G624" t="str">
        <f>IF(LEN(TRIM(E624))=0, "", GetSampleTissueBySpecimenPrep(H624))</f>
        <v/>
      </c>
      <c r="H624" t="str">
        <f>IF(LEN(TRIM(E624))=0, "", GetSpecimenPrepName())</f>
        <v/>
      </c>
      <c r="I624" t="str">
        <f>IF(LEN(TRIM(E624))=0, "", GetSampleVolumeBySpecimenPrep(H624))</f>
        <v/>
      </c>
      <c r="L624" t="str">
        <f>IF(LEN(TRIM(E624))=0,"",VLOOKUP("Manifest Id",config!A:B,2,FALSE))</f>
        <v/>
      </c>
      <c r="M624" t="str">
        <f>IF(LEN(TRIM(E624))=0, "",VLOOKUP("Project Name",config!A:B,2,FALSE))</f>
        <v/>
      </c>
      <c r="N624" t="str">
        <f>IF(LEN(TRIM(E624))=0, "",VLOOKUP("Center Name",config!A:B,2,FALSE))</f>
        <v/>
      </c>
      <c r="O624" s="7" t="str">
        <f>IF(LEN(TRIM(E624))=0,"",VLOOKUP("Shipment Date",config!A:B,2,FALSE))</f>
        <v/>
      </c>
      <c r="P624" s="7" t="str">
        <f t="shared" si="38"/>
        <v/>
      </c>
      <c r="Q624" s="7" t="str">
        <f>IF(LEN(TRIM(D624))=0,"",GetConfigParameterValue("Collection Site"))</f>
        <v/>
      </c>
      <c r="R624" t="str">
        <f>IF(LEN(TRIM(E624))=0, "", GetManifestComments(H624))</f>
        <v/>
      </c>
      <c r="S624" t="str">
        <f>IF(LEN(TRIM(E624))=0,"",IF(ISERROR(VLOOKUP(E624,'Manifest MDB data'!A:A,1,FALSE)),"OK","EXISTS!!!"))</f>
        <v/>
      </c>
    </row>
    <row r="625" spans="4:19" x14ac:dyDescent="0.25">
      <c r="D625" t="str">
        <f t="shared" si="39"/>
        <v/>
      </c>
      <c r="E625" t="str">
        <f t="shared" si="40"/>
        <v/>
      </c>
      <c r="F625" t="str">
        <f t="shared" si="37"/>
        <v/>
      </c>
      <c r="G625" t="str">
        <f>IF(LEN(TRIM(E625))=0, "", GetSampleTissueBySpecimenPrep(H625))</f>
        <v/>
      </c>
      <c r="H625" t="str">
        <f>IF(LEN(TRIM(E625))=0, "", GetSpecimenPrepName())</f>
        <v/>
      </c>
      <c r="I625" t="str">
        <f>IF(LEN(TRIM(E625))=0, "", GetSampleVolumeBySpecimenPrep(H625))</f>
        <v/>
      </c>
      <c r="L625" t="str">
        <f>IF(LEN(TRIM(E625))=0,"",VLOOKUP("Manifest Id",config!A:B,2,FALSE))</f>
        <v/>
      </c>
      <c r="M625" t="str">
        <f>IF(LEN(TRIM(E625))=0, "",VLOOKUP("Project Name",config!A:B,2,FALSE))</f>
        <v/>
      </c>
      <c r="N625" t="str">
        <f>IF(LEN(TRIM(E625))=0, "",VLOOKUP("Center Name",config!A:B,2,FALSE))</f>
        <v/>
      </c>
      <c r="O625" s="7" t="str">
        <f>IF(LEN(TRIM(E625))=0,"",VLOOKUP("Shipment Date",config!A:B,2,FALSE))</f>
        <v/>
      </c>
      <c r="P625" s="7" t="str">
        <f t="shared" si="38"/>
        <v/>
      </c>
      <c r="Q625" s="7" t="str">
        <f>IF(LEN(TRIM(D625))=0,"",GetConfigParameterValue("Collection Site"))</f>
        <v/>
      </c>
      <c r="R625" t="str">
        <f>IF(LEN(TRIM(E625))=0, "", GetManifestComments(H625))</f>
        <v/>
      </c>
      <c r="S625" t="str">
        <f>IF(LEN(TRIM(E625))=0,"",IF(ISERROR(VLOOKUP(E625,'Manifest MDB data'!A:A,1,FALSE)),"OK","EXISTS!!!"))</f>
        <v/>
      </c>
    </row>
    <row r="626" spans="4:19" x14ac:dyDescent="0.25">
      <c r="D626" t="str">
        <f t="shared" si="39"/>
        <v/>
      </c>
      <c r="E626" t="str">
        <f t="shared" si="40"/>
        <v/>
      </c>
      <c r="F626" t="str">
        <f t="shared" si="37"/>
        <v/>
      </c>
      <c r="G626" t="str">
        <f>IF(LEN(TRIM(E626))=0, "", GetSampleTissueBySpecimenPrep(H626))</f>
        <v/>
      </c>
      <c r="H626" t="str">
        <f>IF(LEN(TRIM(E626))=0, "", GetSpecimenPrepName())</f>
        <v/>
      </c>
      <c r="I626" t="str">
        <f>IF(LEN(TRIM(E626))=0, "", GetSampleVolumeBySpecimenPrep(H626))</f>
        <v/>
      </c>
      <c r="L626" t="str">
        <f>IF(LEN(TRIM(E626))=0,"",VLOOKUP("Manifest Id",config!A:B,2,FALSE))</f>
        <v/>
      </c>
      <c r="M626" t="str">
        <f>IF(LEN(TRIM(E626))=0, "",VLOOKUP("Project Name",config!A:B,2,FALSE))</f>
        <v/>
      </c>
      <c r="N626" t="str">
        <f>IF(LEN(TRIM(E626))=0, "",VLOOKUP("Center Name",config!A:B,2,FALSE))</f>
        <v/>
      </c>
      <c r="O626" s="7" t="str">
        <f>IF(LEN(TRIM(E626))=0,"",VLOOKUP("Shipment Date",config!A:B,2,FALSE))</f>
        <v/>
      </c>
      <c r="P626" s="7" t="str">
        <f t="shared" si="38"/>
        <v/>
      </c>
      <c r="Q626" s="7" t="str">
        <f>IF(LEN(TRIM(D626))=0,"",GetConfigParameterValue("Collection Site"))</f>
        <v/>
      </c>
      <c r="R626" t="str">
        <f>IF(LEN(TRIM(E626))=0, "", GetManifestComments(H626))</f>
        <v/>
      </c>
      <c r="S626" t="str">
        <f>IF(LEN(TRIM(E626))=0,"",IF(ISERROR(VLOOKUP(E626,'Manifest MDB data'!A:A,1,FALSE)),"OK","EXISTS!!!"))</f>
        <v/>
      </c>
    </row>
    <row r="627" spans="4:19" x14ac:dyDescent="0.25">
      <c r="D627" t="str">
        <f t="shared" si="39"/>
        <v/>
      </c>
      <c r="E627" t="str">
        <f t="shared" si="40"/>
        <v/>
      </c>
      <c r="F627" t="str">
        <f t="shared" si="37"/>
        <v/>
      </c>
      <c r="G627" t="str">
        <f>IF(LEN(TRIM(E627))=0, "", GetSampleTissueBySpecimenPrep(H627))</f>
        <v/>
      </c>
      <c r="H627" t="str">
        <f>IF(LEN(TRIM(E627))=0, "", GetSpecimenPrepName())</f>
        <v/>
      </c>
      <c r="I627" t="str">
        <f>IF(LEN(TRIM(E627))=0, "", GetSampleVolumeBySpecimenPrep(H627))</f>
        <v/>
      </c>
      <c r="L627" t="str">
        <f>IF(LEN(TRIM(E627))=0,"",VLOOKUP("Manifest Id",config!A:B,2,FALSE))</f>
        <v/>
      </c>
      <c r="M627" t="str">
        <f>IF(LEN(TRIM(E627))=0, "",VLOOKUP("Project Name",config!A:B,2,FALSE))</f>
        <v/>
      </c>
      <c r="N627" t="str">
        <f>IF(LEN(TRIM(E627))=0, "",VLOOKUP("Center Name",config!A:B,2,FALSE))</f>
        <v/>
      </c>
      <c r="O627" s="7" t="str">
        <f>IF(LEN(TRIM(E627))=0,"",VLOOKUP("Shipment Date",config!A:B,2,FALSE))</f>
        <v/>
      </c>
      <c r="P627" s="7" t="str">
        <f t="shared" si="38"/>
        <v/>
      </c>
      <c r="Q627" s="7" t="str">
        <f>IF(LEN(TRIM(D627))=0,"",GetConfigParameterValue("Collection Site"))</f>
        <v/>
      </c>
      <c r="R627" t="str">
        <f>IF(LEN(TRIM(E627))=0, "", GetManifestComments(H627))</f>
        <v/>
      </c>
      <c r="S627" t="str">
        <f>IF(LEN(TRIM(E627))=0,"",IF(ISERROR(VLOOKUP(E627,'Manifest MDB data'!A:A,1,FALSE)),"OK","EXISTS!!!"))</f>
        <v/>
      </c>
    </row>
    <row r="628" spans="4:19" x14ac:dyDescent="0.25">
      <c r="D628" t="str">
        <f t="shared" si="39"/>
        <v/>
      </c>
      <c r="E628" t="str">
        <f t="shared" si="40"/>
        <v/>
      </c>
      <c r="F628" t="str">
        <f t="shared" si="37"/>
        <v/>
      </c>
      <c r="G628" t="str">
        <f>IF(LEN(TRIM(E628))=0, "", GetSampleTissueBySpecimenPrep(H628))</f>
        <v/>
      </c>
      <c r="H628" t="str">
        <f>IF(LEN(TRIM(E628))=0, "", GetSpecimenPrepName())</f>
        <v/>
      </c>
      <c r="I628" t="str">
        <f>IF(LEN(TRIM(E628))=0, "", GetSampleVolumeBySpecimenPrep(H628))</f>
        <v/>
      </c>
      <c r="L628" t="str">
        <f>IF(LEN(TRIM(E628))=0,"",VLOOKUP("Manifest Id",config!A:B,2,FALSE))</f>
        <v/>
      </c>
      <c r="M628" t="str">
        <f>IF(LEN(TRIM(E628))=0, "",VLOOKUP("Project Name",config!A:B,2,FALSE))</f>
        <v/>
      </c>
      <c r="N628" t="str">
        <f>IF(LEN(TRIM(E628))=0, "",VLOOKUP("Center Name",config!A:B,2,FALSE))</f>
        <v/>
      </c>
      <c r="O628" s="7" t="str">
        <f>IF(LEN(TRIM(E628))=0,"",VLOOKUP("Shipment Date",config!A:B,2,FALSE))</f>
        <v/>
      </c>
      <c r="P628" s="7" t="str">
        <f t="shared" si="38"/>
        <v/>
      </c>
      <c r="Q628" s="7" t="str">
        <f>IF(LEN(TRIM(D628))=0,"",GetConfigParameterValue("Collection Site"))</f>
        <v/>
      </c>
      <c r="R628" t="str">
        <f>IF(LEN(TRIM(E628))=0, "", GetManifestComments(H628))</f>
        <v/>
      </c>
      <c r="S628" t="str">
        <f>IF(LEN(TRIM(E628))=0,"",IF(ISERROR(VLOOKUP(E628,'Manifest MDB data'!A:A,1,FALSE)),"OK","EXISTS!!!"))</f>
        <v/>
      </c>
    </row>
    <row r="629" spans="4:19" x14ac:dyDescent="0.25">
      <c r="D629" t="str">
        <f t="shared" si="39"/>
        <v/>
      </c>
      <c r="E629" t="str">
        <f t="shared" si="40"/>
        <v/>
      </c>
      <c r="F629" t="str">
        <f t="shared" si="37"/>
        <v/>
      </c>
      <c r="G629" t="str">
        <f>IF(LEN(TRIM(E629))=0, "", GetSampleTissueBySpecimenPrep(H629))</f>
        <v/>
      </c>
      <c r="H629" t="str">
        <f>IF(LEN(TRIM(E629))=0, "", GetSpecimenPrepName())</f>
        <v/>
      </c>
      <c r="I629" t="str">
        <f>IF(LEN(TRIM(E629))=0, "", GetSampleVolumeBySpecimenPrep(H629))</f>
        <v/>
      </c>
      <c r="L629" t="str">
        <f>IF(LEN(TRIM(E629))=0,"",VLOOKUP("Manifest Id",config!A:B,2,FALSE))</f>
        <v/>
      </c>
      <c r="M629" t="str">
        <f>IF(LEN(TRIM(E629))=0, "",VLOOKUP("Project Name",config!A:B,2,FALSE))</f>
        <v/>
      </c>
      <c r="N629" t="str">
        <f>IF(LEN(TRIM(E629))=0, "",VLOOKUP("Center Name",config!A:B,2,FALSE))</f>
        <v/>
      </c>
      <c r="O629" s="7" t="str">
        <f>IF(LEN(TRIM(E629))=0,"",VLOOKUP("Shipment Date",config!A:B,2,FALSE))</f>
        <v/>
      </c>
      <c r="P629" s="7" t="str">
        <f t="shared" si="38"/>
        <v/>
      </c>
      <c r="Q629" s="7" t="str">
        <f>IF(LEN(TRIM(D629))=0,"",GetConfigParameterValue("Collection Site"))</f>
        <v/>
      </c>
      <c r="R629" t="str">
        <f>IF(LEN(TRIM(E629))=0, "", GetManifestComments(H629))</f>
        <v/>
      </c>
      <c r="S629" t="str">
        <f>IF(LEN(TRIM(E629))=0,"",IF(ISERROR(VLOOKUP(E629,'Manifest MDB data'!A:A,1,FALSE)),"OK","EXISTS!!!"))</f>
        <v/>
      </c>
    </row>
    <row r="630" spans="4:19" x14ac:dyDescent="0.25">
      <c r="D630" t="str">
        <f t="shared" si="39"/>
        <v/>
      </c>
      <c r="E630" t="str">
        <f t="shared" si="40"/>
        <v/>
      </c>
      <c r="F630" t="str">
        <f t="shared" ref="F630:F693" si="41">IF(LEN(TRIM(E630))=0, "", "Human")</f>
        <v/>
      </c>
      <c r="G630" t="str">
        <f>IF(LEN(TRIM(E630))=0, "", GetSampleTissueBySpecimenPrep(H630))</f>
        <v/>
      </c>
      <c r="H630" t="str">
        <f>IF(LEN(TRIM(E630))=0, "", GetSpecimenPrepName())</f>
        <v/>
      </c>
      <c r="I630" t="str">
        <f>IF(LEN(TRIM(E630))=0, "", GetSampleVolumeBySpecimenPrep(H630))</f>
        <v/>
      </c>
      <c r="L630" t="str">
        <f>IF(LEN(TRIM(E630))=0,"",VLOOKUP("Manifest Id",config!A:B,2,FALSE))</f>
        <v/>
      </c>
      <c r="M630" t="str">
        <f>IF(LEN(TRIM(E630))=0, "",VLOOKUP("Project Name",config!A:B,2,FALSE))</f>
        <v/>
      </c>
      <c r="N630" t="str">
        <f>IF(LEN(TRIM(E630))=0, "",VLOOKUP("Center Name",config!A:B,2,FALSE))</f>
        <v/>
      </c>
      <c r="O630" s="7" t="str">
        <f>IF(LEN(TRIM(E630))=0,"",VLOOKUP("Shipment Date",config!A:B,2,FALSE))</f>
        <v/>
      </c>
      <c r="P630" s="7" t="str">
        <f t="shared" si="38"/>
        <v/>
      </c>
      <c r="Q630" s="7" t="str">
        <f>IF(LEN(TRIM(D630))=0,"",GetConfigParameterValue("Collection Site"))</f>
        <v/>
      </c>
      <c r="R630" t="str">
        <f>IF(LEN(TRIM(E630))=0, "", GetManifestComments(H630))</f>
        <v/>
      </c>
      <c r="S630" t="str">
        <f>IF(LEN(TRIM(E630))=0,"",IF(ISERROR(VLOOKUP(E630,'Manifest MDB data'!A:A,1,FALSE)),"OK","EXISTS!!!"))</f>
        <v/>
      </c>
    </row>
    <row r="631" spans="4:19" x14ac:dyDescent="0.25">
      <c r="D631" t="str">
        <f t="shared" si="39"/>
        <v/>
      </c>
      <c r="E631" t="str">
        <f t="shared" si="40"/>
        <v/>
      </c>
      <c r="F631" t="str">
        <f t="shared" si="41"/>
        <v/>
      </c>
      <c r="G631" t="str">
        <f>IF(LEN(TRIM(E631))=0, "", GetSampleTissueBySpecimenPrep(H631))</f>
        <v/>
      </c>
      <c r="H631" t="str">
        <f>IF(LEN(TRIM(E631))=0, "", GetSpecimenPrepName())</f>
        <v/>
      </c>
      <c r="I631" t="str">
        <f>IF(LEN(TRIM(E631))=0, "", GetSampleVolumeBySpecimenPrep(H631))</f>
        <v/>
      </c>
      <c r="L631" t="str">
        <f>IF(LEN(TRIM(E631))=0,"",VLOOKUP("Manifest Id",config!A:B,2,FALSE))</f>
        <v/>
      </c>
      <c r="M631" t="str">
        <f>IF(LEN(TRIM(E631))=0, "",VLOOKUP("Project Name",config!A:B,2,FALSE))</f>
        <v/>
      </c>
      <c r="N631" t="str">
        <f>IF(LEN(TRIM(E631))=0, "",VLOOKUP("Center Name",config!A:B,2,FALSE))</f>
        <v/>
      </c>
      <c r="O631" s="7" t="str">
        <f>IF(LEN(TRIM(E631))=0,"",VLOOKUP("Shipment Date",config!A:B,2,FALSE))</f>
        <v/>
      </c>
      <c r="P631" s="7" t="str">
        <f t="shared" si="38"/>
        <v/>
      </c>
      <c r="Q631" s="7" t="str">
        <f>IF(LEN(TRIM(D631))=0,"",GetConfigParameterValue("Collection Site"))</f>
        <v/>
      </c>
      <c r="R631" t="str">
        <f>IF(LEN(TRIM(E631))=0, "", GetManifestComments(H631))</f>
        <v/>
      </c>
      <c r="S631" t="str">
        <f>IF(LEN(TRIM(E631))=0,"",IF(ISERROR(VLOOKUP(E631,'Manifest MDB data'!A:A,1,FALSE)),"OK","EXISTS!!!"))</f>
        <v/>
      </c>
    </row>
    <row r="632" spans="4:19" x14ac:dyDescent="0.25">
      <c r="D632" t="str">
        <f t="shared" si="39"/>
        <v/>
      </c>
      <c r="E632" t="str">
        <f t="shared" si="40"/>
        <v/>
      </c>
      <c r="F632" t="str">
        <f t="shared" si="41"/>
        <v/>
      </c>
      <c r="G632" t="str">
        <f>IF(LEN(TRIM(E632))=0, "", GetSampleTissueBySpecimenPrep(H632))</f>
        <v/>
      </c>
      <c r="H632" t="str">
        <f>IF(LEN(TRIM(E632))=0, "", GetSpecimenPrepName())</f>
        <v/>
      </c>
      <c r="I632" t="str">
        <f>IF(LEN(TRIM(E632))=0, "", GetSampleVolumeBySpecimenPrep(H632))</f>
        <v/>
      </c>
      <c r="L632" t="str">
        <f>IF(LEN(TRIM(E632))=0,"",VLOOKUP("Manifest Id",config!A:B,2,FALSE))</f>
        <v/>
      </c>
      <c r="M632" t="str">
        <f>IF(LEN(TRIM(E632))=0, "",VLOOKUP("Project Name",config!A:B,2,FALSE))</f>
        <v/>
      </c>
      <c r="N632" t="str">
        <f>IF(LEN(TRIM(E632))=0, "",VLOOKUP("Center Name",config!A:B,2,FALSE))</f>
        <v/>
      </c>
      <c r="O632" s="7" t="str">
        <f>IF(LEN(TRIM(E632))=0,"",VLOOKUP("Shipment Date",config!A:B,2,FALSE))</f>
        <v/>
      </c>
      <c r="P632" s="7" t="str">
        <f t="shared" si="38"/>
        <v/>
      </c>
      <c r="Q632" s="7" t="str">
        <f>IF(LEN(TRIM(D632))=0,"",GetConfigParameterValue("Collection Site"))</f>
        <v/>
      </c>
      <c r="R632" t="str">
        <f>IF(LEN(TRIM(E632))=0, "", GetManifestComments(H632))</f>
        <v/>
      </c>
      <c r="S632" t="str">
        <f>IF(LEN(TRIM(E632))=0,"",IF(ISERROR(VLOOKUP(E632,'Manifest MDB data'!A:A,1,FALSE)),"OK","EXISTS!!!"))</f>
        <v/>
      </c>
    </row>
    <row r="633" spans="4:19" x14ac:dyDescent="0.25">
      <c r="D633" t="str">
        <f t="shared" si="39"/>
        <v/>
      </c>
      <c r="E633" t="str">
        <f t="shared" si="40"/>
        <v/>
      </c>
      <c r="F633" t="str">
        <f t="shared" si="41"/>
        <v/>
      </c>
      <c r="G633" t="str">
        <f>IF(LEN(TRIM(E633))=0, "", GetSampleTissueBySpecimenPrep(H633))</f>
        <v/>
      </c>
      <c r="H633" t="str">
        <f>IF(LEN(TRIM(E633))=0, "", GetSpecimenPrepName())</f>
        <v/>
      </c>
      <c r="I633" t="str">
        <f>IF(LEN(TRIM(E633))=0, "", GetSampleVolumeBySpecimenPrep(H633))</f>
        <v/>
      </c>
      <c r="L633" t="str">
        <f>IF(LEN(TRIM(E633))=0,"",VLOOKUP("Manifest Id",config!A:B,2,FALSE))</f>
        <v/>
      </c>
      <c r="M633" t="str">
        <f>IF(LEN(TRIM(E633))=0, "",VLOOKUP("Project Name",config!A:B,2,FALSE))</f>
        <v/>
      </c>
      <c r="N633" t="str">
        <f>IF(LEN(TRIM(E633))=0, "",VLOOKUP("Center Name",config!A:B,2,FALSE))</f>
        <v/>
      </c>
      <c r="O633" s="7" t="str">
        <f>IF(LEN(TRIM(E633))=0,"",VLOOKUP("Shipment Date",config!A:B,2,FALSE))</f>
        <v/>
      </c>
      <c r="P633" s="7" t="str">
        <f t="shared" si="38"/>
        <v/>
      </c>
      <c r="Q633" s="7" t="str">
        <f>IF(LEN(TRIM(D633))=0,"",GetConfigParameterValue("Collection Site"))</f>
        <v/>
      </c>
      <c r="R633" t="str">
        <f>IF(LEN(TRIM(E633))=0, "", GetManifestComments(H633))</f>
        <v/>
      </c>
      <c r="S633" t="str">
        <f>IF(LEN(TRIM(E633))=0,"",IF(ISERROR(VLOOKUP(E633,'Manifest MDB data'!A:A,1,FALSE)),"OK","EXISTS!!!"))</f>
        <v/>
      </c>
    </row>
    <row r="634" spans="4:19" x14ac:dyDescent="0.25">
      <c r="D634" t="str">
        <f t="shared" si="39"/>
        <v/>
      </c>
      <c r="E634" t="str">
        <f t="shared" si="40"/>
        <v/>
      </c>
      <c r="F634" t="str">
        <f t="shared" si="41"/>
        <v/>
      </c>
      <c r="G634" t="str">
        <f>IF(LEN(TRIM(E634))=0, "", GetSampleTissueBySpecimenPrep(H634))</f>
        <v/>
      </c>
      <c r="H634" t="str">
        <f>IF(LEN(TRIM(E634))=0, "", GetSpecimenPrepName())</f>
        <v/>
      </c>
      <c r="I634" t="str">
        <f>IF(LEN(TRIM(E634))=0, "", GetSampleVolumeBySpecimenPrep(H634))</f>
        <v/>
      </c>
      <c r="L634" t="str">
        <f>IF(LEN(TRIM(E634))=0,"",VLOOKUP("Manifest Id",config!A:B,2,FALSE))</f>
        <v/>
      </c>
      <c r="M634" t="str">
        <f>IF(LEN(TRIM(E634))=0, "",VLOOKUP("Project Name",config!A:B,2,FALSE))</f>
        <v/>
      </c>
      <c r="N634" t="str">
        <f>IF(LEN(TRIM(E634))=0, "",VLOOKUP("Center Name",config!A:B,2,FALSE))</f>
        <v/>
      </c>
      <c r="O634" s="7" t="str">
        <f>IF(LEN(TRIM(E634))=0,"",VLOOKUP("Shipment Date",config!A:B,2,FALSE))</f>
        <v/>
      </c>
      <c r="P634" s="7" t="str">
        <f t="shared" si="38"/>
        <v/>
      </c>
      <c r="Q634" s="7" t="str">
        <f>IF(LEN(TRIM(D634))=0,"",GetConfigParameterValue("Collection Site"))</f>
        <v/>
      </c>
      <c r="R634" t="str">
        <f>IF(LEN(TRIM(E634))=0, "", GetManifestComments(H634))</f>
        <v/>
      </c>
      <c r="S634" t="str">
        <f>IF(LEN(TRIM(E634))=0,"",IF(ISERROR(VLOOKUP(E634,'Manifest MDB data'!A:A,1,FALSE)),"OK","EXISTS!!!"))</f>
        <v/>
      </c>
    </row>
    <row r="635" spans="4:19" x14ac:dyDescent="0.25">
      <c r="D635" t="str">
        <f t="shared" si="39"/>
        <v/>
      </c>
      <c r="E635" t="str">
        <f t="shared" si="40"/>
        <v/>
      </c>
      <c r="F635" t="str">
        <f t="shared" si="41"/>
        <v/>
      </c>
      <c r="G635" t="str">
        <f>IF(LEN(TRIM(E635))=0, "", GetSampleTissueBySpecimenPrep(H635))</f>
        <v/>
      </c>
      <c r="H635" t="str">
        <f>IF(LEN(TRIM(E635))=0, "", GetSpecimenPrepName())</f>
        <v/>
      </c>
      <c r="I635" t="str">
        <f>IF(LEN(TRIM(E635))=0, "", GetSampleVolumeBySpecimenPrep(H635))</f>
        <v/>
      </c>
      <c r="L635" t="str">
        <f>IF(LEN(TRIM(E635))=0,"",VLOOKUP("Manifest Id",config!A:B,2,FALSE))</f>
        <v/>
      </c>
      <c r="M635" t="str">
        <f>IF(LEN(TRIM(E635))=0, "",VLOOKUP("Project Name",config!A:B,2,FALSE))</f>
        <v/>
      </c>
      <c r="N635" t="str">
        <f>IF(LEN(TRIM(E635))=0, "",VLOOKUP("Center Name",config!A:B,2,FALSE))</f>
        <v/>
      </c>
      <c r="O635" s="7" t="str">
        <f>IF(LEN(TRIM(E635))=0,"",VLOOKUP("Shipment Date",config!A:B,2,FALSE))</f>
        <v/>
      </c>
      <c r="P635" s="7" t="str">
        <f t="shared" si="38"/>
        <v/>
      </c>
      <c r="Q635" s="7" t="str">
        <f>IF(LEN(TRIM(D635))=0,"",GetConfigParameterValue("Collection Site"))</f>
        <v/>
      </c>
      <c r="R635" t="str">
        <f>IF(LEN(TRIM(E635))=0, "", GetManifestComments(H635))</f>
        <v/>
      </c>
      <c r="S635" t="str">
        <f>IF(LEN(TRIM(E635))=0,"",IF(ISERROR(VLOOKUP(E635,'Manifest MDB data'!A:A,1,FALSE)),"OK","EXISTS!!!"))</f>
        <v/>
      </c>
    </row>
    <row r="636" spans="4:19" x14ac:dyDescent="0.25">
      <c r="D636" t="str">
        <f t="shared" si="39"/>
        <v/>
      </c>
      <c r="E636" t="str">
        <f t="shared" si="40"/>
        <v/>
      </c>
      <c r="F636" t="str">
        <f t="shared" si="41"/>
        <v/>
      </c>
      <c r="G636" t="str">
        <f>IF(LEN(TRIM(E636))=0, "", GetSampleTissueBySpecimenPrep(H636))</f>
        <v/>
      </c>
      <c r="H636" t="str">
        <f>IF(LEN(TRIM(E636))=0, "", GetSpecimenPrepName())</f>
        <v/>
      </c>
      <c r="I636" t="str">
        <f>IF(LEN(TRIM(E636))=0, "", GetSampleVolumeBySpecimenPrep(H636))</f>
        <v/>
      </c>
      <c r="L636" t="str">
        <f>IF(LEN(TRIM(E636))=0,"",VLOOKUP("Manifest Id",config!A:B,2,FALSE))</f>
        <v/>
      </c>
      <c r="M636" t="str">
        <f>IF(LEN(TRIM(E636))=0, "",VLOOKUP("Project Name",config!A:B,2,FALSE))</f>
        <v/>
      </c>
      <c r="N636" t="str">
        <f>IF(LEN(TRIM(E636))=0, "",VLOOKUP("Center Name",config!A:B,2,FALSE))</f>
        <v/>
      </c>
      <c r="O636" s="7" t="str">
        <f>IF(LEN(TRIM(E636))=0,"",VLOOKUP("Shipment Date",config!A:B,2,FALSE))</f>
        <v/>
      </c>
      <c r="P636" s="7" t="str">
        <f t="shared" si="38"/>
        <v/>
      </c>
      <c r="Q636" s="7" t="str">
        <f>IF(LEN(TRIM(D636))=0,"",GetConfigParameterValue("Collection Site"))</f>
        <v/>
      </c>
      <c r="R636" t="str">
        <f>IF(LEN(TRIM(E636))=0, "", GetManifestComments(H636))</f>
        <v/>
      </c>
      <c r="S636" t="str">
        <f>IF(LEN(TRIM(E636))=0,"",IF(ISERROR(VLOOKUP(E636,'Manifest MDB data'!A:A,1,FALSE)),"OK","EXISTS!!!"))</f>
        <v/>
      </c>
    </row>
    <row r="637" spans="4:19" x14ac:dyDescent="0.25">
      <c r="D637" t="str">
        <f t="shared" si="39"/>
        <v/>
      </c>
      <c r="E637" t="str">
        <f t="shared" si="40"/>
        <v/>
      </c>
      <c r="F637" t="str">
        <f t="shared" si="41"/>
        <v/>
      </c>
      <c r="G637" t="str">
        <f>IF(LEN(TRIM(E637))=0, "", GetSampleTissueBySpecimenPrep(H637))</f>
        <v/>
      </c>
      <c r="H637" t="str">
        <f>IF(LEN(TRIM(E637))=0, "", GetSpecimenPrepName())</f>
        <v/>
      </c>
      <c r="I637" t="str">
        <f>IF(LEN(TRIM(E637))=0, "", GetSampleVolumeBySpecimenPrep(H637))</f>
        <v/>
      </c>
      <c r="L637" t="str">
        <f>IF(LEN(TRIM(E637))=0,"",VLOOKUP("Manifest Id",config!A:B,2,FALSE))</f>
        <v/>
      </c>
      <c r="M637" t="str">
        <f>IF(LEN(TRIM(E637))=0, "",VLOOKUP("Project Name",config!A:B,2,FALSE))</f>
        <v/>
      </c>
      <c r="N637" t="str">
        <f>IF(LEN(TRIM(E637))=0, "",VLOOKUP("Center Name",config!A:B,2,FALSE))</f>
        <v/>
      </c>
      <c r="O637" s="7" t="str">
        <f>IF(LEN(TRIM(E637))=0,"",VLOOKUP("Shipment Date",config!A:B,2,FALSE))</f>
        <v/>
      </c>
      <c r="P637" s="7" t="str">
        <f t="shared" si="38"/>
        <v/>
      </c>
      <c r="Q637" s="7" t="str">
        <f>IF(LEN(TRIM(D637))=0,"",GetConfigParameterValue("Collection Site"))</f>
        <v/>
      </c>
      <c r="R637" t="str">
        <f>IF(LEN(TRIM(E637))=0, "", GetManifestComments(H637))</f>
        <v/>
      </c>
      <c r="S637" t="str">
        <f>IF(LEN(TRIM(E637))=0,"",IF(ISERROR(VLOOKUP(E637,'Manifest MDB data'!A:A,1,FALSE)),"OK","EXISTS!!!"))</f>
        <v/>
      </c>
    </row>
    <row r="638" spans="4:19" x14ac:dyDescent="0.25">
      <c r="D638" t="str">
        <f t="shared" si="39"/>
        <v/>
      </c>
      <c r="E638" t="str">
        <f t="shared" si="40"/>
        <v/>
      </c>
      <c r="F638" t="str">
        <f t="shared" si="41"/>
        <v/>
      </c>
      <c r="G638" t="str">
        <f>IF(LEN(TRIM(E638))=0, "", GetSampleTissueBySpecimenPrep(H638))</f>
        <v/>
      </c>
      <c r="H638" t="str">
        <f>IF(LEN(TRIM(E638))=0, "", GetSpecimenPrepName())</f>
        <v/>
      </c>
      <c r="I638" t="str">
        <f>IF(LEN(TRIM(E638))=0, "", GetSampleVolumeBySpecimenPrep(H638))</f>
        <v/>
      </c>
      <c r="L638" t="str">
        <f>IF(LEN(TRIM(E638))=0,"",VLOOKUP("Manifest Id",config!A:B,2,FALSE))</f>
        <v/>
      </c>
      <c r="M638" t="str">
        <f>IF(LEN(TRIM(E638))=0, "",VLOOKUP("Project Name",config!A:B,2,FALSE))</f>
        <v/>
      </c>
      <c r="N638" t="str">
        <f>IF(LEN(TRIM(E638))=0, "",VLOOKUP("Center Name",config!A:B,2,FALSE))</f>
        <v/>
      </c>
      <c r="O638" s="7" t="str">
        <f>IF(LEN(TRIM(E638))=0,"",VLOOKUP("Shipment Date",config!A:B,2,FALSE))</f>
        <v/>
      </c>
      <c r="P638" s="7" t="str">
        <f t="shared" si="38"/>
        <v/>
      </c>
      <c r="Q638" s="7" t="str">
        <f>IF(LEN(TRIM(D638))=0,"",GetConfigParameterValue("Collection Site"))</f>
        <v/>
      </c>
      <c r="R638" t="str">
        <f>IF(LEN(TRIM(E638))=0, "", GetManifestComments(H638))</f>
        <v/>
      </c>
      <c r="S638" t="str">
        <f>IF(LEN(TRIM(E638))=0,"",IF(ISERROR(VLOOKUP(E638,'Manifest MDB data'!A:A,1,FALSE)),"OK","EXISTS!!!"))</f>
        <v/>
      </c>
    </row>
    <row r="639" spans="4:19" x14ac:dyDescent="0.25">
      <c r="D639" t="str">
        <f t="shared" si="39"/>
        <v/>
      </c>
      <c r="E639" t="str">
        <f t="shared" si="40"/>
        <v/>
      </c>
      <c r="F639" t="str">
        <f t="shared" si="41"/>
        <v/>
      </c>
      <c r="G639" t="str">
        <f>IF(LEN(TRIM(E639))=0, "", GetSampleTissueBySpecimenPrep(H639))</f>
        <v/>
      </c>
      <c r="H639" t="str">
        <f>IF(LEN(TRIM(E639))=0, "", GetSpecimenPrepName())</f>
        <v/>
      </c>
      <c r="I639" t="str">
        <f>IF(LEN(TRIM(E639))=0, "", GetSampleVolumeBySpecimenPrep(H639))</f>
        <v/>
      </c>
      <c r="L639" t="str">
        <f>IF(LEN(TRIM(E639))=0,"",VLOOKUP("Manifest Id",config!A:B,2,FALSE))</f>
        <v/>
      </c>
      <c r="M639" t="str">
        <f>IF(LEN(TRIM(E639))=0, "",VLOOKUP("Project Name",config!A:B,2,FALSE))</f>
        <v/>
      </c>
      <c r="N639" t="str">
        <f>IF(LEN(TRIM(E639))=0, "",VLOOKUP("Center Name",config!A:B,2,FALSE))</f>
        <v/>
      </c>
      <c r="O639" s="7" t="str">
        <f>IF(LEN(TRIM(E639))=0,"",VLOOKUP("Shipment Date",config!A:B,2,FALSE))</f>
        <v/>
      </c>
      <c r="P639" s="7" t="str">
        <f t="shared" si="38"/>
        <v/>
      </c>
      <c r="Q639" s="7" t="str">
        <f>IF(LEN(TRIM(D639))=0,"",GetConfigParameterValue("Collection Site"))</f>
        <v/>
      </c>
      <c r="R639" t="str">
        <f>IF(LEN(TRIM(E639))=0, "", GetManifestComments(H639))</f>
        <v/>
      </c>
      <c r="S639" t="str">
        <f>IF(LEN(TRIM(E639))=0,"",IF(ISERROR(VLOOKUP(E639,'Manifest MDB data'!A:A,1,FALSE)),"OK","EXISTS!!!"))</f>
        <v/>
      </c>
    </row>
    <row r="640" spans="4:19" x14ac:dyDescent="0.25">
      <c r="D640" t="str">
        <f t="shared" si="39"/>
        <v/>
      </c>
      <c r="E640" t="str">
        <f t="shared" si="40"/>
        <v/>
      </c>
      <c r="F640" t="str">
        <f t="shared" si="41"/>
        <v/>
      </c>
      <c r="G640" t="str">
        <f>IF(LEN(TRIM(E640))=0, "", GetSampleTissueBySpecimenPrep(H640))</f>
        <v/>
      </c>
      <c r="H640" t="str">
        <f>IF(LEN(TRIM(E640))=0, "", GetSpecimenPrepName())</f>
        <v/>
      </c>
      <c r="I640" t="str">
        <f>IF(LEN(TRIM(E640))=0, "", GetSampleVolumeBySpecimenPrep(H640))</f>
        <v/>
      </c>
      <c r="L640" t="str">
        <f>IF(LEN(TRIM(E640))=0,"",VLOOKUP("Manifest Id",config!A:B,2,FALSE))</f>
        <v/>
      </c>
      <c r="M640" t="str">
        <f>IF(LEN(TRIM(E640))=0, "",VLOOKUP("Project Name",config!A:B,2,FALSE))</f>
        <v/>
      </c>
      <c r="N640" t="str">
        <f>IF(LEN(TRIM(E640))=0, "",VLOOKUP("Center Name",config!A:B,2,FALSE))</f>
        <v/>
      </c>
      <c r="O640" s="7" t="str">
        <f>IF(LEN(TRIM(E640))=0,"",VLOOKUP("Shipment Date",config!A:B,2,FALSE))</f>
        <v/>
      </c>
      <c r="P640" s="7" t="str">
        <f t="shared" si="38"/>
        <v/>
      </c>
      <c r="Q640" s="7" t="str">
        <f>IF(LEN(TRIM(D640))=0,"",GetConfigParameterValue("Collection Site"))</f>
        <v/>
      </c>
      <c r="R640" t="str">
        <f>IF(LEN(TRIM(E640))=0, "", GetManifestComments(H640))</f>
        <v/>
      </c>
      <c r="S640" t="str">
        <f>IF(LEN(TRIM(E640))=0,"",IF(ISERROR(VLOOKUP(E640,'Manifest MDB data'!A:A,1,FALSE)),"OK","EXISTS!!!"))</f>
        <v/>
      </c>
    </row>
    <row r="641" spans="4:19" x14ac:dyDescent="0.25">
      <c r="D641" t="str">
        <f t="shared" si="39"/>
        <v/>
      </c>
      <c r="E641" t="str">
        <f t="shared" si="40"/>
        <v/>
      </c>
      <c r="F641" t="str">
        <f t="shared" si="41"/>
        <v/>
      </c>
      <c r="G641" t="str">
        <f>IF(LEN(TRIM(E641))=0, "", GetSampleTissueBySpecimenPrep(H641))</f>
        <v/>
      </c>
      <c r="H641" t="str">
        <f>IF(LEN(TRIM(E641))=0, "", GetSpecimenPrepName())</f>
        <v/>
      </c>
      <c r="I641" t="str">
        <f>IF(LEN(TRIM(E641))=0, "", GetSampleVolumeBySpecimenPrep(H641))</f>
        <v/>
      </c>
      <c r="L641" t="str">
        <f>IF(LEN(TRIM(E641))=0,"",VLOOKUP("Manifest Id",config!A:B,2,FALSE))</f>
        <v/>
      </c>
      <c r="M641" t="str">
        <f>IF(LEN(TRIM(E641))=0, "",VLOOKUP("Project Name",config!A:B,2,FALSE))</f>
        <v/>
      </c>
      <c r="N641" t="str">
        <f>IF(LEN(TRIM(E641))=0, "",VLOOKUP("Center Name",config!A:B,2,FALSE))</f>
        <v/>
      </c>
      <c r="O641" s="7" t="str">
        <f>IF(LEN(TRIM(E641))=0,"",VLOOKUP("Shipment Date",config!A:B,2,FALSE))</f>
        <v/>
      </c>
      <c r="P641" s="7" t="str">
        <f t="shared" si="38"/>
        <v/>
      </c>
      <c r="Q641" s="7" t="str">
        <f>IF(LEN(TRIM(D641))=0,"",GetConfigParameterValue("Collection Site"))</f>
        <v/>
      </c>
      <c r="R641" t="str">
        <f>IF(LEN(TRIM(E641))=0, "", GetManifestComments(H641))</f>
        <v/>
      </c>
      <c r="S641" t="str">
        <f>IF(LEN(TRIM(E641))=0,"",IF(ISERROR(VLOOKUP(E641,'Manifest MDB data'!A:A,1,FALSE)),"OK","EXISTS!!!"))</f>
        <v/>
      </c>
    </row>
    <row r="642" spans="4:19" x14ac:dyDescent="0.25">
      <c r="D642" t="str">
        <f t="shared" si="39"/>
        <v/>
      </c>
      <c r="E642" t="str">
        <f t="shared" si="40"/>
        <v/>
      </c>
      <c r="F642" t="str">
        <f t="shared" si="41"/>
        <v/>
      </c>
      <c r="G642" t="str">
        <f>IF(LEN(TRIM(E642))=0, "", GetSampleTissueBySpecimenPrep(H642))</f>
        <v/>
      </c>
      <c r="H642" t="str">
        <f>IF(LEN(TRIM(E642))=0, "", GetSpecimenPrepName())</f>
        <v/>
      </c>
      <c r="I642" t="str">
        <f>IF(LEN(TRIM(E642))=0, "", GetSampleVolumeBySpecimenPrep(H642))</f>
        <v/>
      </c>
      <c r="L642" t="str">
        <f>IF(LEN(TRIM(E642))=0,"",VLOOKUP("Manifest Id",config!A:B,2,FALSE))</f>
        <v/>
      </c>
      <c r="M642" t="str">
        <f>IF(LEN(TRIM(E642))=0, "",VLOOKUP("Project Name",config!A:B,2,FALSE))</f>
        <v/>
      </c>
      <c r="N642" t="str">
        <f>IF(LEN(TRIM(E642))=0, "",VLOOKUP("Center Name",config!A:B,2,FALSE))</f>
        <v/>
      </c>
      <c r="O642" s="7" t="str">
        <f>IF(LEN(TRIM(E642))=0,"",VLOOKUP("Shipment Date",config!A:B,2,FALSE))</f>
        <v/>
      </c>
      <c r="P642" s="7" t="str">
        <f t="shared" ref="P642:P705" si="42">getColumnValueBySubjectID("Visit Date", RIGHT(LEFT(D642,7),4))</f>
        <v/>
      </c>
      <c r="Q642" s="7" t="str">
        <f>IF(LEN(TRIM(D642))=0,"",GetConfigParameterValue("Collection Site"))</f>
        <v/>
      </c>
      <c r="R642" t="str">
        <f>IF(LEN(TRIM(E642))=0, "", GetManifestComments(H642))</f>
        <v/>
      </c>
      <c r="S642" t="str">
        <f>IF(LEN(TRIM(E642))=0,"",IF(ISERROR(VLOOKUP(E642,'Manifest MDB data'!A:A,1,FALSE)),"OK","EXISTS!!!"))</f>
        <v/>
      </c>
    </row>
    <row r="643" spans="4:19" x14ac:dyDescent="0.25">
      <c r="D643" t="str">
        <f t="shared" ref="D643:D706" si="43">GetSampleId((ROW()))</f>
        <v/>
      </c>
      <c r="E643" t="str">
        <f t="shared" ref="E643:E706" si="44">GetAliquotId((ROW()))</f>
        <v/>
      </c>
      <c r="F643" t="str">
        <f t="shared" si="41"/>
        <v/>
      </c>
      <c r="G643" t="str">
        <f>IF(LEN(TRIM(E643))=0, "", GetSampleTissueBySpecimenPrep(H643))</f>
        <v/>
      </c>
      <c r="H643" t="str">
        <f>IF(LEN(TRIM(E643))=0, "", GetSpecimenPrepName())</f>
        <v/>
      </c>
      <c r="I643" t="str">
        <f>IF(LEN(TRIM(E643))=0, "", GetSampleVolumeBySpecimenPrep(H643))</f>
        <v/>
      </c>
      <c r="L643" t="str">
        <f>IF(LEN(TRIM(E643))=0,"",VLOOKUP("Manifest Id",config!A:B,2,FALSE))</f>
        <v/>
      </c>
      <c r="M643" t="str">
        <f>IF(LEN(TRIM(E643))=0, "",VLOOKUP("Project Name",config!A:B,2,FALSE))</f>
        <v/>
      </c>
      <c r="N643" t="str">
        <f>IF(LEN(TRIM(E643))=0, "",VLOOKUP("Center Name",config!A:B,2,FALSE))</f>
        <v/>
      </c>
      <c r="O643" s="7" t="str">
        <f>IF(LEN(TRIM(E643))=0,"",VLOOKUP("Shipment Date",config!A:B,2,FALSE))</f>
        <v/>
      </c>
      <c r="P643" s="7" t="str">
        <f t="shared" si="42"/>
        <v/>
      </c>
      <c r="Q643" s="7" t="str">
        <f>IF(LEN(TRIM(D643))=0,"",GetConfigParameterValue("Collection Site"))</f>
        <v/>
      </c>
      <c r="R643" t="str">
        <f>IF(LEN(TRIM(E643))=0, "", GetManifestComments(H643))</f>
        <v/>
      </c>
      <c r="S643" t="str">
        <f>IF(LEN(TRIM(E643))=0,"",IF(ISERROR(VLOOKUP(E643,'Manifest MDB data'!A:A,1,FALSE)),"OK","EXISTS!!!"))</f>
        <v/>
      </c>
    </row>
    <row r="644" spans="4:19" x14ac:dyDescent="0.25">
      <c r="D644" t="str">
        <f t="shared" si="43"/>
        <v/>
      </c>
      <c r="E644" t="str">
        <f t="shared" si="44"/>
        <v/>
      </c>
      <c r="F644" t="str">
        <f t="shared" si="41"/>
        <v/>
      </c>
      <c r="G644" t="str">
        <f>IF(LEN(TRIM(E644))=0, "", GetSampleTissueBySpecimenPrep(H644))</f>
        <v/>
      </c>
      <c r="H644" t="str">
        <f>IF(LEN(TRIM(E644))=0, "", GetSpecimenPrepName())</f>
        <v/>
      </c>
      <c r="I644" t="str">
        <f>IF(LEN(TRIM(E644))=0, "", GetSampleVolumeBySpecimenPrep(H644))</f>
        <v/>
      </c>
      <c r="L644" t="str">
        <f>IF(LEN(TRIM(E644))=0,"",VLOOKUP("Manifest Id",config!A:B,2,FALSE))</f>
        <v/>
      </c>
      <c r="M644" t="str">
        <f>IF(LEN(TRIM(E644))=0, "",VLOOKUP("Project Name",config!A:B,2,FALSE))</f>
        <v/>
      </c>
      <c r="N644" t="str">
        <f>IF(LEN(TRIM(E644))=0, "",VLOOKUP("Center Name",config!A:B,2,FALSE))</f>
        <v/>
      </c>
      <c r="O644" s="7" t="str">
        <f>IF(LEN(TRIM(E644))=0,"",VLOOKUP("Shipment Date",config!A:B,2,FALSE))</f>
        <v/>
      </c>
      <c r="P644" s="7" t="str">
        <f t="shared" si="42"/>
        <v/>
      </c>
      <c r="Q644" s="7" t="str">
        <f>IF(LEN(TRIM(D644))=0,"",GetConfigParameterValue("Collection Site"))</f>
        <v/>
      </c>
      <c r="R644" t="str">
        <f>IF(LEN(TRIM(E644))=0, "", GetManifestComments(H644))</f>
        <v/>
      </c>
      <c r="S644" t="str">
        <f>IF(LEN(TRIM(E644))=0,"",IF(ISERROR(VLOOKUP(E644,'Manifest MDB data'!A:A,1,FALSE)),"OK","EXISTS!!!"))</f>
        <v/>
      </c>
    </row>
    <row r="645" spans="4:19" x14ac:dyDescent="0.25">
      <c r="D645" t="str">
        <f t="shared" si="43"/>
        <v/>
      </c>
      <c r="E645" t="str">
        <f t="shared" si="44"/>
        <v/>
      </c>
      <c r="F645" t="str">
        <f t="shared" si="41"/>
        <v/>
      </c>
      <c r="G645" t="str">
        <f>IF(LEN(TRIM(E645))=0, "", GetSampleTissueBySpecimenPrep(H645))</f>
        <v/>
      </c>
      <c r="H645" t="str">
        <f>IF(LEN(TRIM(E645))=0, "", GetSpecimenPrepName())</f>
        <v/>
      </c>
      <c r="I645" t="str">
        <f>IF(LEN(TRIM(E645))=0, "", GetSampleVolumeBySpecimenPrep(H645))</f>
        <v/>
      </c>
      <c r="L645" t="str">
        <f>IF(LEN(TRIM(E645))=0,"",VLOOKUP("Manifest Id",config!A:B,2,FALSE))</f>
        <v/>
      </c>
      <c r="M645" t="str">
        <f>IF(LEN(TRIM(E645))=0, "",VLOOKUP("Project Name",config!A:B,2,FALSE))</f>
        <v/>
      </c>
      <c r="N645" t="str">
        <f>IF(LEN(TRIM(E645))=0, "",VLOOKUP("Center Name",config!A:B,2,FALSE))</f>
        <v/>
      </c>
      <c r="O645" s="7" t="str">
        <f>IF(LEN(TRIM(E645))=0,"",VLOOKUP("Shipment Date",config!A:B,2,FALSE))</f>
        <v/>
      </c>
      <c r="P645" s="7" t="str">
        <f t="shared" si="42"/>
        <v/>
      </c>
      <c r="Q645" s="7" t="str">
        <f>IF(LEN(TRIM(D645))=0,"",GetConfigParameterValue("Collection Site"))</f>
        <v/>
      </c>
      <c r="R645" t="str">
        <f>IF(LEN(TRIM(E645))=0, "", GetManifestComments(H645))</f>
        <v/>
      </c>
      <c r="S645" t="str">
        <f>IF(LEN(TRIM(E645))=0,"",IF(ISERROR(VLOOKUP(E645,'Manifest MDB data'!A:A,1,FALSE)),"OK","EXISTS!!!"))</f>
        <v/>
      </c>
    </row>
    <row r="646" spans="4:19" x14ac:dyDescent="0.25">
      <c r="D646" t="str">
        <f t="shared" si="43"/>
        <v/>
      </c>
      <c r="E646" t="str">
        <f t="shared" si="44"/>
        <v/>
      </c>
      <c r="F646" t="str">
        <f t="shared" si="41"/>
        <v/>
      </c>
      <c r="G646" t="str">
        <f>IF(LEN(TRIM(E646))=0, "", GetSampleTissueBySpecimenPrep(H646))</f>
        <v/>
      </c>
      <c r="H646" t="str">
        <f>IF(LEN(TRIM(E646))=0, "", GetSpecimenPrepName())</f>
        <v/>
      </c>
      <c r="I646" t="str">
        <f>IF(LEN(TRIM(E646))=0, "", GetSampleVolumeBySpecimenPrep(H646))</f>
        <v/>
      </c>
      <c r="L646" t="str">
        <f>IF(LEN(TRIM(E646))=0,"",VLOOKUP("Manifest Id",config!A:B,2,FALSE))</f>
        <v/>
      </c>
      <c r="M646" t="str">
        <f>IF(LEN(TRIM(E646))=0, "",VLOOKUP("Project Name",config!A:B,2,FALSE))</f>
        <v/>
      </c>
      <c r="N646" t="str">
        <f>IF(LEN(TRIM(E646))=0, "",VLOOKUP("Center Name",config!A:B,2,FALSE))</f>
        <v/>
      </c>
      <c r="O646" s="7" t="str">
        <f>IF(LEN(TRIM(E646))=0,"",VLOOKUP("Shipment Date",config!A:B,2,FALSE))</f>
        <v/>
      </c>
      <c r="P646" s="7" t="str">
        <f t="shared" si="42"/>
        <v/>
      </c>
      <c r="Q646" s="7" t="str">
        <f>IF(LEN(TRIM(D646))=0,"",GetConfigParameterValue("Collection Site"))</f>
        <v/>
      </c>
      <c r="R646" t="str">
        <f>IF(LEN(TRIM(E646))=0, "", GetManifestComments(H646))</f>
        <v/>
      </c>
      <c r="S646" t="str">
        <f>IF(LEN(TRIM(E646))=0,"",IF(ISERROR(VLOOKUP(E646,'Manifest MDB data'!A:A,1,FALSE)),"OK","EXISTS!!!"))</f>
        <v/>
      </c>
    </row>
    <row r="647" spans="4:19" x14ac:dyDescent="0.25">
      <c r="D647" t="str">
        <f t="shared" si="43"/>
        <v/>
      </c>
      <c r="E647" t="str">
        <f t="shared" si="44"/>
        <v/>
      </c>
      <c r="F647" t="str">
        <f t="shared" si="41"/>
        <v/>
      </c>
      <c r="G647" t="str">
        <f>IF(LEN(TRIM(E647))=0, "", GetSampleTissueBySpecimenPrep(H647))</f>
        <v/>
      </c>
      <c r="H647" t="str">
        <f>IF(LEN(TRIM(E647))=0, "", GetSpecimenPrepName())</f>
        <v/>
      </c>
      <c r="I647" t="str">
        <f>IF(LEN(TRIM(E647))=0, "", GetSampleVolumeBySpecimenPrep(H647))</f>
        <v/>
      </c>
      <c r="L647" t="str">
        <f>IF(LEN(TRIM(E647))=0,"",VLOOKUP("Manifest Id",config!A:B,2,FALSE))</f>
        <v/>
      </c>
      <c r="M647" t="str">
        <f>IF(LEN(TRIM(E647))=0, "",VLOOKUP("Project Name",config!A:B,2,FALSE))</f>
        <v/>
      </c>
      <c r="N647" t="str">
        <f>IF(LEN(TRIM(E647))=0, "",VLOOKUP("Center Name",config!A:B,2,FALSE))</f>
        <v/>
      </c>
      <c r="O647" s="7" t="str">
        <f>IF(LEN(TRIM(E647))=0,"",VLOOKUP("Shipment Date",config!A:B,2,FALSE))</f>
        <v/>
      </c>
      <c r="P647" s="7" t="str">
        <f t="shared" si="42"/>
        <v/>
      </c>
      <c r="Q647" s="7" t="str">
        <f>IF(LEN(TRIM(D647))=0,"",GetConfigParameterValue("Collection Site"))</f>
        <v/>
      </c>
      <c r="R647" t="str">
        <f>IF(LEN(TRIM(E647))=0, "", GetManifestComments(H647))</f>
        <v/>
      </c>
      <c r="S647" t="str">
        <f>IF(LEN(TRIM(E647))=0,"",IF(ISERROR(VLOOKUP(E647,'Manifest MDB data'!A:A,1,FALSE)),"OK","EXISTS!!!"))</f>
        <v/>
      </c>
    </row>
    <row r="648" spans="4:19" x14ac:dyDescent="0.25">
      <c r="D648" t="str">
        <f t="shared" si="43"/>
        <v/>
      </c>
      <c r="E648" t="str">
        <f t="shared" si="44"/>
        <v/>
      </c>
      <c r="F648" t="str">
        <f t="shared" si="41"/>
        <v/>
      </c>
      <c r="G648" t="str">
        <f>IF(LEN(TRIM(E648))=0, "", GetSampleTissueBySpecimenPrep(H648))</f>
        <v/>
      </c>
      <c r="H648" t="str">
        <f>IF(LEN(TRIM(E648))=0, "", GetSpecimenPrepName())</f>
        <v/>
      </c>
      <c r="I648" t="str">
        <f>IF(LEN(TRIM(E648))=0, "", GetSampleVolumeBySpecimenPrep(H648))</f>
        <v/>
      </c>
      <c r="L648" t="str">
        <f>IF(LEN(TRIM(E648))=0,"",VLOOKUP("Manifest Id",config!A:B,2,FALSE))</f>
        <v/>
      </c>
      <c r="M648" t="str">
        <f>IF(LEN(TRIM(E648))=0, "",VLOOKUP("Project Name",config!A:B,2,FALSE))</f>
        <v/>
      </c>
      <c r="N648" t="str">
        <f>IF(LEN(TRIM(E648))=0, "",VLOOKUP("Center Name",config!A:B,2,FALSE))</f>
        <v/>
      </c>
      <c r="O648" s="7" t="str">
        <f>IF(LEN(TRIM(E648))=0,"",VLOOKUP("Shipment Date",config!A:B,2,FALSE))</f>
        <v/>
      </c>
      <c r="P648" s="7" t="str">
        <f t="shared" si="42"/>
        <v/>
      </c>
      <c r="Q648" s="7" t="str">
        <f>IF(LEN(TRIM(D648))=0,"",GetConfigParameterValue("Collection Site"))</f>
        <v/>
      </c>
      <c r="R648" t="str">
        <f>IF(LEN(TRIM(E648))=0, "", GetManifestComments(H648))</f>
        <v/>
      </c>
      <c r="S648" t="str">
        <f>IF(LEN(TRIM(E648))=0,"",IF(ISERROR(VLOOKUP(E648,'Manifest MDB data'!A:A,1,FALSE)),"OK","EXISTS!!!"))</f>
        <v/>
      </c>
    </row>
    <row r="649" spans="4:19" x14ac:dyDescent="0.25">
      <c r="D649" t="str">
        <f t="shared" si="43"/>
        <v/>
      </c>
      <c r="E649" t="str">
        <f t="shared" si="44"/>
        <v/>
      </c>
      <c r="F649" t="str">
        <f t="shared" si="41"/>
        <v/>
      </c>
      <c r="G649" t="str">
        <f>IF(LEN(TRIM(E649))=0, "", GetSampleTissueBySpecimenPrep(H649))</f>
        <v/>
      </c>
      <c r="H649" t="str">
        <f>IF(LEN(TRIM(E649))=0, "", GetSpecimenPrepName())</f>
        <v/>
      </c>
      <c r="I649" t="str">
        <f>IF(LEN(TRIM(E649))=0, "", GetSampleVolumeBySpecimenPrep(H649))</f>
        <v/>
      </c>
      <c r="L649" t="str">
        <f>IF(LEN(TRIM(E649))=0,"",VLOOKUP("Manifest Id",config!A:B,2,FALSE))</f>
        <v/>
      </c>
      <c r="M649" t="str">
        <f>IF(LEN(TRIM(E649))=0, "",VLOOKUP("Project Name",config!A:B,2,FALSE))</f>
        <v/>
      </c>
      <c r="N649" t="str">
        <f>IF(LEN(TRIM(E649))=0, "",VLOOKUP("Center Name",config!A:B,2,FALSE))</f>
        <v/>
      </c>
      <c r="O649" s="7" t="str">
        <f>IF(LEN(TRIM(E649))=0,"",VLOOKUP("Shipment Date",config!A:B,2,FALSE))</f>
        <v/>
      </c>
      <c r="P649" s="7" t="str">
        <f t="shared" si="42"/>
        <v/>
      </c>
      <c r="Q649" s="7" t="str">
        <f>IF(LEN(TRIM(D649))=0,"",GetConfigParameterValue("Collection Site"))</f>
        <v/>
      </c>
      <c r="R649" t="str">
        <f>IF(LEN(TRIM(E649))=0, "", GetManifestComments(H649))</f>
        <v/>
      </c>
      <c r="S649" t="str">
        <f>IF(LEN(TRIM(E649))=0,"",IF(ISERROR(VLOOKUP(E649,'Manifest MDB data'!A:A,1,FALSE)),"OK","EXISTS!!!"))</f>
        <v/>
      </c>
    </row>
    <row r="650" spans="4:19" x14ac:dyDescent="0.25">
      <c r="D650" t="str">
        <f t="shared" si="43"/>
        <v/>
      </c>
      <c r="E650" t="str">
        <f t="shared" si="44"/>
        <v/>
      </c>
      <c r="F650" t="str">
        <f t="shared" si="41"/>
        <v/>
      </c>
      <c r="G650" t="str">
        <f>IF(LEN(TRIM(E650))=0, "", GetSampleTissueBySpecimenPrep(H650))</f>
        <v/>
      </c>
      <c r="H650" t="str">
        <f>IF(LEN(TRIM(E650))=0, "", GetSpecimenPrepName())</f>
        <v/>
      </c>
      <c r="I650" t="str">
        <f>IF(LEN(TRIM(E650))=0, "", GetSampleVolumeBySpecimenPrep(H650))</f>
        <v/>
      </c>
      <c r="L650" t="str">
        <f>IF(LEN(TRIM(E650))=0,"",VLOOKUP("Manifest Id",config!A:B,2,FALSE))</f>
        <v/>
      </c>
      <c r="M650" t="str">
        <f>IF(LEN(TRIM(E650))=0, "",VLOOKUP("Project Name",config!A:B,2,FALSE))</f>
        <v/>
      </c>
      <c r="N650" t="str">
        <f>IF(LEN(TRIM(E650))=0, "",VLOOKUP("Center Name",config!A:B,2,FALSE))</f>
        <v/>
      </c>
      <c r="O650" s="7" t="str">
        <f>IF(LEN(TRIM(E650))=0,"",VLOOKUP("Shipment Date",config!A:B,2,FALSE))</f>
        <v/>
      </c>
      <c r="P650" s="7" t="str">
        <f t="shared" si="42"/>
        <v/>
      </c>
      <c r="Q650" s="7" t="str">
        <f>IF(LEN(TRIM(D650))=0,"",GetConfigParameterValue("Collection Site"))</f>
        <v/>
      </c>
      <c r="R650" t="str">
        <f>IF(LEN(TRIM(E650))=0, "", GetManifestComments(H650))</f>
        <v/>
      </c>
      <c r="S650" t="str">
        <f>IF(LEN(TRIM(E650))=0,"",IF(ISERROR(VLOOKUP(E650,'Manifest MDB data'!A:A,1,FALSE)),"OK","EXISTS!!!"))</f>
        <v/>
      </c>
    </row>
    <row r="651" spans="4:19" x14ac:dyDescent="0.25">
      <c r="D651" t="str">
        <f t="shared" si="43"/>
        <v/>
      </c>
      <c r="E651" t="str">
        <f t="shared" si="44"/>
        <v/>
      </c>
      <c r="F651" t="str">
        <f t="shared" si="41"/>
        <v/>
      </c>
      <c r="G651" t="str">
        <f>IF(LEN(TRIM(E651))=0, "", GetSampleTissueBySpecimenPrep(H651))</f>
        <v/>
      </c>
      <c r="H651" t="str">
        <f>IF(LEN(TRIM(E651))=0, "", GetSpecimenPrepName())</f>
        <v/>
      </c>
      <c r="I651" t="str">
        <f>IF(LEN(TRIM(E651))=0, "", GetSampleVolumeBySpecimenPrep(H651))</f>
        <v/>
      </c>
      <c r="L651" t="str">
        <f>IF(LEN(TRIM(E651))=0,"",VLOOKUP("Manifest Id",config!A:B,2,FALSE))</f>
        <v/>
      </c>
      <c r="M651" t="str">
        <f>IF(LEN(TRIM(E651))=0, "",VLOOKUP("Project Name",config!A:B,2,FALSE))</f>
        <v/>
      </c>
      <c r="N651" t="str">
        <f>IF(LEN(TRIM(E651))=0, "",VLOOKUP("Center Name",config!A:B,2,FALSE))</f>
        <v/>
      </c>
      <c r="O651" s="7" t="str">
        <f>IF(LEN(TRIM(E651))=0,"",VLOOKUP("Shipment Date",config!A:B,2,FALSE))</f>
        <v/>
      </c>
      <c r="P651" s="7" t="str">
        <f t="shared" si="42"/>
        <v/>
      </c>
      <c r="Q651" s="7" t="str">
        <f>IF(LEN(TRIM(D651))=0,"",GetConfigParameterValue("Collection Site"))</f>
        <v/>
      </c>
      <c r="R651" t="str">
        <f>IF(LEN(TRIM(E651))=0, "", GetManifestComments(H651))</f>
        <v/>
      </c>
      <c r="S651" t="str">
        <f>IF(LEN(TRIM(E651))=0,"",IF(ISERROR(VLOOKUP(E651,'Manifest MDB data'!A:A,1,FALSE)),"OK","EXISTS!!!"))</f>
        <v/>
      </c>
    </row>
    <row r="652" spans="4:19" x14ac:dyDescent="0.25">
      <c r="D652" t="str">
        <f t="shared" si="43"/>
        <v/>
      </c>
      <c r="E652" t="str">
        <f t="shared" si="44"/>
        <v/>
      </c>
      <c r="F652" t="str">
        <f t="shared" si="41"/>
        <v/>
      </c>
      <c r="G652" t="str">
        <f>IF(LEN(TRIM(E652))=0, "", GetSampleTissueBySpecimenPrep(H652))</f>
        <v/>
      </c>
      <c r="H652" t="str">
        <f>IF(LEN(TRIM(E652))=0, "", GetSpecimenPrepName())</f>
        <v/>
      </c>
      <c r="I652" t="str">
        <f>IF(LEN(TRIM(E652))=0, "", GetSampleVolumeBySpecimenPrep(H652))</f>
        <v/>
      </c>
      <c r="L652" t="str">
        <f>IF(LEN(TRIM(E652))=0,"",VLOOKUP("Manifest Id",config!A:B,2,FALSE))</f>
        <v/>
      </c>
      <c r="M652" t="str">
        <f>IF(LEN(TRIM(E652))=0, "",VLOOKUP("Project Name",config!A:B,2,FALSE))</f>
        <v/>
      </c>
      <c r="N652" t="str">
        <f>IF(LEN(TRIM(E652))=0, "",VLOOKUP("Center Name",config!A:B,2,FALSE))</f>
        <v/>
      </c>
      <c r="O652" s="7" t="str">
        <f>IF(LEN(TRIM(E652))=0,"",VLOOKUP("Shipment Date",config!A:B,2,FALSE))</f>
        <v/>
      </c>
      <c r="P652" s="7" t="str">
        <f t="shared" si="42"/>
        <v/>
      </c>
      <c r="Q652" s="7" t="str">
        <f>IF(LEN(TRIM(D652))=0,"",GetConfigParameterValue("Collection Site"))</f>
        <v/>
      </c>
      <c r="R652" t="str">
        <f>IF(LEN(TRIM(E652))=0, "", GetManifestComments(H652))</f>
        <v/>
      </c>
      <c r="S652" t="str">
        <f>IF(LEN(TRIM(E652))=0,"",IF(ISERROR(VLOOKUP(E652,'Manifest MDB data'!A:A,1,FALSE)),"OK","EXISTS!!!"))</f>
        <v/>
      </c>
    </row>
    <row r="653" spans="4:19" x14ac:dyDescent="0.25">
      <c r="D653" t="str">
        <f t="shared" si="43"/>
        <v/>
      </c>
      <c r="E653" t="str">
        <f t="shared" si="44"/>
        <v/>
      </c>
      <c r="F653" t="str">
        <f t="shared" si="41"/>
        <v/>
      </c>
      <c r="G653" t="str">
        <f>IF(LEN(TRIM(E653))=0, "", GetSampleTissueBySpecimenPrep(H653))</f>
        <v/>
      </c>
      <c r="H653" t="str">
        <f>IF(LEN(TRIM(E653))=0, "", GetSpecimenPrepName())</f>
        <v/>
      </c>
      <c r="I653" t="str">
        <f>IF(LEN(TRIM(E653))=0, "", GetSampleVolumeBySpecimenPrep(H653))</f>
        <v/>
      </c>
      <c r="L653" t="str">
        <f>IF(LEN(TRIM(E653))=0,"",VLOOKUP("Manifest Id",config!A:B,2,FALSE))</f>
        <v/>
      </c>
      <c r="M653" t="str">
        <f>IF(LEN(TRIM(E653))=0, "",VLOOKUP("Project Name",config!A:B,2,FALSE))</f>
        <v/>
      </c>
      <c r="N653" t="str">
        <f>IF(LEN(TRIM(E653))=0, "",VLOOKUP("Center Name",config!A:B,2,FALSE))</f>
        <v/>
      </c>
      <c r="O653" s="7" t="str">
        <f>IF(LEN(TRIM(E653))=0,"",VLOOKUP("Shipment Date",config!A:B,2,FALSE))</f>
        <v/>
      </c>
      <c r="P653" s="7" t="str">
        <f t="shared" si="42"/>
        <v/>
      </c>
      <c r="Q653" s="7" t="str">
        <f>IF(LEN(TRIM(D653))=0,"",GetConfigParameterValue("Collection Site"))</f>
        <v/>
      </c>
      <c r="R653" t="str">
        <f>IF(LEN(TRIM(E653))=0, "", GetManifestComments(H653))</f>
        <v/>
      </c>
      <c r="S653" t="str">
        <f>IF(LEN(TRIM(E653))=0,"",IF(ISERROR(VLOOKUP(E653,'Manifest MDB data'!A:A,1,FALSE)),"OK","EXISTS!!!"))</f>
        <v/>
      </c>
    </row>
    <row r="654" spans="4:19" x14ac:dyDescent="0.25">
      <c r="D654" t="str">
        <f t="shared" si="43"/>
        <v/>
      </c>
      <c r="E654" t="str">
        <f t="shared" si="44"/>
        <v/>
      </c>
      <c r="F654" t="str">
        <f t="shared" si="41"/>
        <v/>
      </c>
      <c r="G654" t="str">
        <f>IF(LEN(TRIM(E654))=0, "", GetSampleTissueBySpecimenPrep(H654))</f>
        <v/>
      </c>
      <c r="H654" t="str">
        <f>IF(LEN(TRIM(E654))=0, "", GetSpecimenPrepName())</f>
        <v/>
      </c>
      <c r="I654" t="str">
        <f>IF(LEN(TRIM(E654))=0, "", GetSampleVolumeBySpecimenPrep(H654))</f>
        <v/>
      </c>
      <c r="L654" t="str">
        <f>IF(LEN(TRIM(E654))=0,"",VLOOKUP("Manifest Id",config!A:B,2,FALSE))</f>
        <v/>
      </c>
      <c r="M654" t="str">
        <f>IF(LEN(TRIM(E654))=0, "",VLOOKUP("Project Name",config!A:B,2,FALSE))</f>
        <v/>
      </c>
      <c r="N654" t="str">
        <f>IF(LEN(TRIM(E654))=0, "",VLOOKUP("Center Name",config!A:B,2,FALSE))</f>
        <v/>
      </c>
      <c r="O654" s="7" t="str">
        <f>IF(LEN(TRIM(E654))=0,"",VLOOKUP("Shipment Date",config!A:B,2,FALSE))</f>
        <v/>
      </c>
      <c r="P654" s="7" t="str">
        <f t="shared" si="42"/>
        <v/>
      </c>
      <c r="Q654" s="7" t="str">
        <f>IF(LEN(TRIM(D654))=0,"",GetConfigParameterValue("Collection Site"))</f>
        <v/>
      </c>
      <c r="R654" t="str">
        <f>IF(LEN(TRIM(E654))=0, "", GetManifestComments(H654))</f>
        <v/>
      </c>
      <c r="S654" t="str">
        <f>IF(LEN(TRIM(E654))=0,"",IF(ISERROR(VLOOKUP(E654,'Manifest MDB data'!A:A,1,FALSE)),"OK","EXISTS!!!"))</f>
        <v/>
      </c>
    </row>
    <row r="655" spans="4:19" x14ac:dyDescent="0.25">
      <c r="D655" t="str">
        <f t="shared" si="43"/>
        <v/>
      </c>
      <c r="E655" t="str">
        <f t="shared" si="44"/>
        <v/>
      </c>
      <c r="F655" t="str">
        <f t="shared" si="41"/>
        <v/>
      </c>
      <c r="G655" t="str">
        <f>IF(LEN(TRIM(E655))=0, "", GetSampleTissueBySpecimenPrep(H655))</f>
        <v/>
      </c>
      <c r="H655" t="str">
        <f>IF(LEN(TRIM(E655))=0, "", GetSpecimenPrepName())</f>
        <v/>
      </c>
      <c r="I655" t="str">
        <f>IF(LEN(TRIM(E655))=0, "", GetSampleVolumeBySpecimenPrep(H655))</f>
        <v/>
      </c>
      <c r="L655" t="str">
        <f>IF(LEN(TRIM(E655))=0,"",VLOOKUP("Manifest Id",config!A:B,2,FALSE))</f>
        <v/>
      </c>
      <c r="M655" t="str">
        <f>IF(LEN(TRIM(E655))=0, "",VLOOKUP("Project Name",config!A:B,2,FALSE))</f>
        <v/>
      </c>
      <c r="N655" t="str">
        <f>IF(LEN(TRIM(E655))=0, "",VLOOKUP("Center Name",config!A:B,2,FALSE))</f>
        <v/>
      </c>
      <c r="O655" s="7" t="str">
        <f>IF(LEN(TRIM(E655))=0,"",VLOOKUP("Shipment Date",config!A:B,2,FALSE))</f>
        <v/>
      </c>
      <c r="P655" s="7" t="str">
        <f t="shared" si="42"/>
        <v/>
      </c>
      <c r="Q655" s="7" t="str">
        <f>IF(LEN(TRIM(D655))=0,"",GetConfigParameterValue("Collection Site"))</f>
        <v/>
      </c>
      <c r="R655" t="str">
        <f>IF(LEN(TRIM(E655))=0, "", GetManifestComments(H655))</f>
        <v/>
      </c>
      <c r="S655" t="str">
        <f>IF(LEN(TRIM(E655))=0,"",IF(ISERROR(VLOOKUP(E655,'Manifest MDB data'!A:A,1,FALSE)),"OK","EXISTS!!!"))</f>
        <v/>
      </c>
    </row>
    <row r="656" spans="4:19" x14ac:dyDescent="0.25">
      <c r="D656" t="str">
        <f t="shared" si="43"/>
        <v/>
      </c>
      <c r="E656" t="str">
        <f t="shared" si="44"/>
        <v/>
      </c>
      <c r="F656" t="str">
        <f t="shared" si="41"/>
        <v/>
      </c>
      <c r="G656" t="str">
        <f>IF(LEN(TRIM(E656))=0, "", GetSampleTissueBySpecimenPrep(H656))</f>
        <v/>
      </c>
      <c r="H656" t="str">
        <f>IF(LEN(TRIM(E656))=0, "", GetSpecimenPrepName())</f>
        <v/>
      </c>
      <c r="I656" t="str">
        <f>IF(LEN(TRIM(E656))=0, "", GetSampleVolumeBySpecimenPrep(H656))</f>
        <v/>
      </c>
      <c r="L656" t="str">
        <f>IF(LEN(TRIM(E656))=0,"",VLOOKUP("Manifest Id",config!A:B,2,FALSE))</f>
        <v/>
      </c>
      <c r="M656" t="str">
        <f>IF(LEN(TRIM(E656))=0, "",VLOOKUP("Project Name",config!A:B,2,FALSE))</f>
        <v/>
      </c>
      <c r="N656" t="str">
        <f>IF(LEN(TRIM(E656))=0, "",VLOOKUP("Center Name",config!A:B,2,FALSE))</f>
        <v/>
      </c>
      <c r="O656" s="7" t="str">
        <f>IF(LEN(TRIM(E656))=0,"",VLOOKUP("Shipment Date",config!A:B,2,FALSE))</f>
        <v/>
      </c>
      <c r="P656" s="7" t="str">
        <f t="shared" si="42"/>
        <v/>
      </c>
      <c r="Q656" s="7" t="str">
        <f>IF(LEN(TRIM(D656))=0,"",GetConfigParameterValue("Collection Site"))</f>
        <v/>
      </c>
      <c r="R656" t="str">
        <f>IF(LEN(TRIM(E656))=0, "", GetManifestComments(H656))</f>
        <v/>
      </c>
      <c r="S656" t="str">
        <f>IF(LEN(TRIM(E656))=0,"",IF(ISERROR(VLOOKUP(E656,'Manifest MDB data'!A:A,1,FALSE)),"OK","EXISTS!!!"))</f>
        <v/>
      </c>
    </row>
    <row r="657" spans="4:19" x14ac:dyDescent="0.25">
      <c r="D657" t="str">
        <f t="shared" si="43"/>
        <v/>
      </c>
      <c r="E657" t="str">
        <f t="shared" si="44"/>
        <v/>
      </c>
      <c r="F657" t="str">
        <f t="shared" si="41"/>
        <v/>
      </c>
      <c r="G657" t="str">
        <f>IF(LEN(TRIM(E657))=0, "", GetSampleTissueBySpecimenPrep(H657))</f>
        <v/>
      </c>
      <c r="H657" t="str">
        <f>IF(LEN(TRIM(E657))=0, "", GetSpecimenPrepName())</f>
        <v/>
      </c>
      <c r="I657" t="str">
        <f>IF(LEN(TRIM(E657))=0, "", GetSampleVolumeBySpecimenPrep(H657))</f>
        <v/>
      </c>
      <c r="L657" t="str">
        <f>IF(LEN(TRIM(E657))=0,"",VLOOKUP("Manifest Id",config!A:B,2,FALSE))</f>
        <v/>
      </c>
      <c r="M657" t="str">
        <f>IF(LEN(TRIM(E657))=0, "",VLOOKUP("Project Name",config!A:B,2,FALSE))</f>
        <v/>
      </c>
      <c r="N657" t="str">
        <f>IF(LEN(TRIM(E657))=0, "",VLOOKUP("Center Name",config!A:B,2,FALSE))</f>
        <v/>
      </c>
      <c r="O657" s="7" t="str">
        <f>IF(LEN(TRIM(E657))=0,"",VLOOKUP("Shipment Date",config!A:B,2,FALSE))</f>
        <v/>
      </c>
      <c r="P657" s="7" t="str">
        <f t="shared" si="42"/>
        <v/>
      </c>
      <c r="Q657" s="7" t="str">
        <f>IF(LEN(TRIM(D657))=0,"",GetConfigParameterValue("Collection Site"))</f>
        <v/>
      </c>
      <c r="R657" t="str">
        <f>IF(LEN(TRIM(E657))=0, "", GetManifestComments(H657))</f>
        <v/>
      </c>
      <c r="S657" t="str">
        <f>IF(LEN(TRIM(E657))=0,"",IF(ISERROR(VLOOKUP(E657,'Manifest MDB data'!A:A,1,FALSE)),"OK","EXISTS!!!"))</f>
        <v/>
      </c>
    </row>
    <row r="658" spans="4:19" x14ac:dyDescent="0.25">
      <c r="D658" t="str">
        <f t="shared" si="43"/>
        <v/>
      </c>
      <c r="E658" t="str">
        <f t="shared" si="44"/>
        <v/>
      </c>
      <c r="F658" t="str">
        <f t="shared" si="41"/>
        <v/>
      </c>
      <c r="G658" t="str">
        <f>IF(LEN(TRIM(E658))=0, "", GetSampleTissueBySpecimenPrep(H658))</f>
        <v/>
      </c>
      <c r="H658" t="str">
        <f>IF(LEN(TRIM(E658))=0, "", GetSpecimenPrepName())</f>
        <v/>
      </c>
      <c r="I658" t="str">
        <f>IF(LEN(TRIM(E658))=0, "", GetSampleVolumeBySpecimenPrep(H658))</f>
        <v/>
      </c>
      <c r="L658" t="str">
        <f>IF(LEN(TRIM(E658))=0,"",VLOOKUP("Manifest Id",config!A:B,2,FALSE))</f>
        <v/>
      </c>
      <c r="M658" t="str">
        <f>IF(LEN(TRIM(E658))=0, "",VLOOKUP("Project Name",config!A:B,2,FALSE))</f>
        <v/>
      </c>
      <c r="N658" t="str">
        <f>IF(LEN(TRIM(E658))=0, "",VLOOKUP("Center Name",config!A:B,2,FALSE))</f>
        <v/>
      </c>
      <c r="O658" s="7" t="str">
        <f>IF(LEN(TRIM(E658))=0,"",VLOOKUP("Shipment Date",config!A:B,2,FALSE))</f>
        <v/>
      </c>
      <c r="P658" s="7" t="str">
        <f t="shared" si="42"/>
        <v/>
      </c>
      <c r="Q658" s="7" t="str">
        <f>IF(LEN(TRIM(D658))=0,"",GetConfigParameterValue("Collection Site"))</f>
        <v/>
      </c>
      <c r="R658" t="str">
        <f>IF(LEN(TRIM(E658))=0, "", GetManifestComments(H658))</f>
        <v/>
      </c>
      <c r="S658" t="str">
        <f>IF(LEN(TRIM(E658))=0,"",IF(ISERROR(VLOOKUP(E658,'Manifest MDB data'!A:A,1,FALSE)),"OK","EXISTS!!!"))</f>
        <v/>
      </c>
    </row>
    <row r="659" spans="4:19" x14ac:dyDescent="0.25">
      <c r="D659" t="str">
        <f t="shared" si="43"/>
        <v/>
      </c>
      <c r="E659" t="str">
        <f t="shared" si="44"/>
        <v/>
      </c>
      <c r="F659" t="str">
        <f t="shared" si="41"/>
        <v/>
      </c>
      <c r="G659" t="str">
        <f>IF(LEN(TRIM(E659))=0, "", GetSampleTissueBySpecimenPrep(H659))</f>
        <v/>
      </c>
      <c r="H659" t="str">
        <f>IF(LEN(TRIM(E659))=0, "", GetSpecimenPrepName())</f>
        <v/>
      </c>
      <c r="I659" t="str">
        <f>IF(LEN(TRIM(E659))=0, "", GetSampleVolumeBySpecimenPrep(H659))</f>
        <v/>
      </c>
      <c r="L659" t="str">
        <f>IF(LEN(TRIM(E659))=0,"",VLOOKUP("Manifest Id",config!A:B,2,FALSE))</f>
        <v/>
      </c>
      <c r="M659" t="str">
        <f>IF(LEN(TRIM(E659))=0, "",VLOOKUP("Project Name",config!A:B,2,FALSE))</f>
        <v/>
      </c>
      <c r="N659" t="str">
        <f>IF(LEN(TRIM(E659))=0, "",VLOOKUP("Center Name",config!A:B,2,FALSE))</f>
        <v/>
      </c>
      <c r="O659" s="7" t="str">
        <f>IF(LEN(TRIM(E659))=0,"",VLOOKUP("Shipment Date",config!A:B,2,FALSE))</f>
        <v/>
      </c>
      <c r="P659" s="7" t="str">
        <f t="shared" si="42"/>
        <v/>
      </c>
      <c r="Q659" s="7" t="str">
        <f>IF(LEN(TRIM(D659))=0,"",GetConfigParameterValue("Collection Site"))</f>
        <v/>
      </c>
      <c r="R659" t="str">
        <f>IF(LEN(TRIM(E659))=0, "", GetManifestComments(H659))</f>
        <v/>
      </c>
      <c r="S659" t="str">
        <f>IF(LEN(TRIM(E659))=0,"",IF(ISERROR(VLOOKUP(E659,'Manifest MDB data'!A:A,1,FALSE)),"OK","EXISTS!!!"))</f>
        <v/>
      </c>
    </row>
    <row r="660" spans="4:19" x14ac:dyDescent="0.25">
      <c r="D660" t="str">
        <f t="shared" si="43"/>
        <v/>
      </c>
      <c r="E660" t="str">
        <f t="shared" si="44"/>
        <v/>
      </c>
      <c r="F660" t="str">
        <f t="shared" si="41"/>
        <v/>
      </c>
      <c r="G660" t="str">
        <f>IF(LEN(TRIM(E660))=0, "", GetSampleTissueBySpecimenPrep(H660))</f>
        <v/>
      </c>
      <c r="H660" t="str">
        <f>IF(LEN(TRIM(E660))=0, "", GetSpecimenPrepName())</f>
        <v/>
      </c>
      <c r="I660" t="str">
        <f>IF(LEN(TRIM(E660))=0, "", GetSampleVolumeBySpecimenPrep(H660))</f>
        <v/>
      </c>
      <c r="L660" t="str">
        <f>IF(LEN(TRIM(E660))=0,"",VLOOKUP("Manifest Id",config!A:B,2,FALSE))</f>
        <v/>
      </c>
      <c r="M660" t="str">
        <f>IF(LEN(TRIM(E660))=0, "",VLOOKUP("Project Name",config!A:B,2,FALSE))</f>
        <v/>
      </c>
      <c r="N660" t="str">
        <f>IF(LEN(TRIM(E660))=0, "",VLOOKUP("Center Name",config!A:B,2,FALSE))</f>
        <v/>
      </c>
      <c r="O660" s="7" t="str">
        <f>IF(LEN(TRIM(E660))=0,"",VLOOKUP("Shipment Date",config!A:B,2,FALSE))</f>
        <v/>
      </c>
      <c r="P660" s="7" t="str">
        <f t="shared" si="42"/>
        <v/>
      </c>
      <c r="Q660" s="7" t="str">
        <f>IF(LEN(TRIM(D660))=0,"",GetConfigParameterValue("Collection Site"))</f>
        <v/>
      </c>
      <c r="R660" t="str">
        <f>IF(LEN(TRIM(E660))=0, "", GetManifestComments(H660))</f>
        <v/>
      </c>
      <c r="S660" t="str">
        <f>IF(LEN(TRIM(E660))=0,"",IF(ISERROR(VLOOKUP(E660,'Manifest MDB data'!A:A,1,FALSE)),"OK","EXISTS!!!"))</f>
        <v/>
      </c>
    </row>
    <row r="661" spans="4:19" x14ac:dyDescent="0.25">
      <c r="D661" t="str">
        <f t="shared" si="43"/>
        <v/>
      </c>
      <c r="E661" t="str">
        <f t="shared" si="44"/>
        <v/>
      </c>
      <c r="F661" t="str">
        <f t="shared" si="41"/>
        <v/>
      </c>
      <c r="G661" t="str">
        <f>IF(LEN(TRIM(E661))=0, "", GetSampleTissueBySpecimenPrep(H661))</f>
        <v/>
      </c>
      <c r="H661" t="str">
        <f>IF(LEN(TRIM(E661))=0, "", GetSpecimenPrepName())</f>
        <v/>
      </c>
      <c r="I661" t="str">
        <f>IF(LEN(TRIM(E661))=0, "", GetSampleVolumeBySpecimenPrep(H661))</f>
        <v/>
      </c>
      <c r="L661" t="str">
        <f>IF(LEN(TRIM(E661))=0,"",VLOOKUP("Manifest Id",config!A:B,2,FALSE))</f>
        <v/>
      </c>
      <c r="M661" t="str">
        <f>IF(LEN(TRIM(E661))=0, "",VLOOKUP("Project Name",config!A:B,2,FALSE))</f>
        <v/>
      </c>
      <c r="N661" t="str">
        <f>IF(LEN(TRIM(E661))=0, "",VLOOKUP("Center Name",config!A:B,2,FALSE))</f>
        <v/>
      </c>
      <c r="O661" s="7" t="str">
        <f>IF(LEN(TRIM(E661))=0,"",VLOOKUP("Shipment Date",config!A:B,2,FALSE))</f>
        <v/>
      </c>
      <c r="P661" s="7" t="str">
        <f t="shared" si="42"/>
        <v/>
      </c>
      <c r="Q661" s="7" t="str">
        <f>IF(LEN(TRIM(D661))=0,"",GetConfigParameterValue("Collection Site"))</f>
        <v/>
      </c>
      <c r="R661" t="str">
        <f>IF(LEN(TRIM(E661))=0, "", GetManifestComments(H661))</f>
        <v/>
      </c>
      <c r="S661" t="str">
        <f>IF(LEN(TRIM(E661))=0,"",IF(ISERROR(VLOOKUP(E661,'Manifest MDB data'!A:A,1,FALSE)),"OK","EXISTS!!!"))</f>
        <v/>
      </c>
    </row>
    <row r="662" spans="4:19" x14ac:dyDescent="0.25">
      <c r="D662" t="str">
        <f t="shared" si="43"/>
        <v/>
      </c>
      <c r="E662" t="str">
        <f t="shared" si="44"/>
        <v/>
      </c>
      <c r="F662" t="str">
        <f t="shared" si="41"/>
        <v/>
      </c>
      <c r="G662" t="str">
        <f>IF(LEN(TRIM(E662))=0, "", GetSampleTissueBySpecimenPrep(H662))</f>
        <v/>
      </c>
      <c r="H662" t="str">
        <f>IF(LEN(TRIM(E662))=0, "", GetSpecimenPrepName())</f>
        <v/>
      </c>
      <c r="I662" t="str">
        <f>IF(LEN(TRIM(E662))=0, "", GetSampleVolumeBySpecimenPrep(H662))</f>
        <v/>
      </c>
      <c r="L662" t="str">
        <f>IF(LEN(TRIM(E662))=0,"",VLOOKUP("Manifest Id",config!A:B,2,FALSE))</f>
        <v/>
      </c>
      <c r="M662" t="str">
        <f>IF(LEN(TRIM(E662))=0, "",VLOOKUP("Project Name",config!A:B,2,FALSE))</f>
        <v/>
      </c>
      <c r="N662" t="str">
        <f>IF(LEN(TRIM(E662))=0, "",VLOOKUP("Center Name",config!A:B,2,FALSE))</f>
        <v/>
      </c>
      <c r="O662" s="7" t="str">
        <f>IF(LEN(TRIM(E662))=0,"",VLOOKUP("Shipment Date",config!A:B,2,FALSE))</f>
        <v/>
      </c>
      <c r="P662" s="7" t="str">
        <f t="shared" si="42"/>
        <v/>
      </c>
      <c r="Q662" s="7" t="str">
        <f>IF(LEN(TRIM(D662))=0,"",GetConfigParameterValue("Collection Site"))</f>
        <v/>
      </c>
      <c r="R662" t="str">
        <f>IF(LEN(TRIM(E662))=0, "", GetManifestComments(H662))</f>
        <v/>
      </c>
      <c r="S662" t="str">
        <f>IF(LEN(TRIM(E662))=0,"",IF(ISERROR(VLOOKUP(E662,'Manifest MDB data'!A:A,1,FALSE)),"OK","EXISTS!!!"))</f>
        <v/>
      </c>
    </row>
    <row r="663" spans="4:19" x14ac:dyDescent="0.25">
      <c r="D663" t="str">
        <f t="shared" si="43"/>
        <v/>
      </c>
      <c r="E663" t="str">
        <f t="shared" si="44"/>
        <v/>
      </c>
      <c r="F663" t="str">
        <f t="shared" si="41"/>
        <v/>
      </c>
      <c r="G663" t="str">
        <f>IF(LEN(TRIM(E663))=0, "", GetSampleTissueBySpecimenPrep(H663))</f>
        <v/>
      </c>
      <c r="H663" t="str">
        <f>IF(LEN(TRIM(E663))=0, "", GetSpecimenPrepName())</f>
        <v/>
      </c>
      <c r="I663" t="str">
        <f>IF(LEN(TRIM(E663))=0, "", GetSampleVolumeBySpecimenPrep(H663))</f>
        <v/>
      </c>
      <c r="L663" t="str">
        <f>IF(LEN(TRIM(E663))=0,"",VLOOKUP("Manifest Id",config!A:B,2,FALSE))</f>
        <v/>
      </c>
      <c r="M663" t="str">
        <f>IF(LEN(TRIM(E663))=0, "",VLOOKUP("Project Name",config!A:B,2,FALSE))</f>
        <v/>
      </c>
      <c r="N663" t="str">
        <f>IF(LEN(TRIM(E663))=0, "",VLOOKUP("Center Name",config!A:B,2,FALSE))</f>
        <v/>
      </c>
      <c r="O663" s="7" t="str">
        <f>IF(LEN(TRIM(E663))=0,"",VLOOKUP("Shipment Date",config!A:B,2,FALSE))</f>
        <v/>
      </c>
      <c r="P663" s="7" t="str">
        <f t="shared" si="42"/>
        <v/>
      </c>
      <c r="Q663" s="7" t="str">
        <f>IF(LEN(TRIM(D663))=0,"",GetConfigParameterValue("Collection Site"))</f>
        <v/>
      </c>
      <c r="R663" t="str">
        <f>IF(LEN(TRIM(E663))=0, "", GetManifestComments(H663))</f>
        <v/>
      </c>
      <c r="S663" t="str">
        <f>IF(LEN(TRIM(E663))=0,"",IF(ISERROR(VLOOKUP(E663,'Manifest MDB data'!A:A,1,FALSE)),"OK","EXISTS!!!"))</f>
        <v/>
      </c>
    </row>
    <row r="664" spans="4:19" x14ac:dyDescent="0.25">
      <c r="D664" t="str">
        <f t="shared" si="43"/>
        <v/>
      </c>
      <c r="E664" t="str">
        <f t="shared" si="44"/>
        <v/>
      </c>
      <c r="F664" t="str">
        <f t="shared" si="41"/>
        <v/>
      </c>
      <c r="G664" t="str">
        <f>IF(LEN(TRIM(E664))=0, "", GetSampleTissueBySpecimenPrep(H664))</f>
        <v/>
      </c>
      <c r="H664" t="str">
        <f>IF(LEN(TRIM(E664))=0, "", GetSpecimenPrepName())</f>
        <v/>
      </c>
      <c r="I664" t="str">
        <f>IF(LEN(TRIM(E664))=0, "", GetSampleVolumeBySpecimenPrep(H664))</f>
        <v/>
      </c>
      <c r="L664" t="str">
        <f>IF(LEN(TRIM(E664))=0,"",VLOOKUP("Manifest Id",config!A:B,2,FALSE))</f>
        <v/>
      </c>
      <c r="M664" t="str">
        <f>IF(LEN(TRIM(E664))=0, "",VLOOKUP("Project Name",config!A:B,2,FALSE))</f>
        <v/>
      </c>
      <c r="N664" t="str">
        <f>IF(LEN(TRIM(E664))=0, "",VLOOKUP("Center Name",config!A:B,2,FALSE))</f>
        <v/>
      </c>
      <c r="O664" s="7" t="str">
        <f>IF(LEN(TRIM(E664))=0,"",VLOOKUP("Shipment Date",config!A:B,2,FALSE))</f>
        <v/>
      </c>
      <c r="P664" s="7" t="str">
        <f t="shared" si="42"/>
        <v/>
      </c>
      <c r="Q664" s="7" t="str">
        <f>IF(LEN(TRIM(D664))=0,"",GetConfigParameterValue("Collection Site"))</f>
        <v/>
      </c>
      <c r="R664" t="str">
        <f>IF(LEN(TRIM(E664))=0, "", GetManifestComments(H664))</f>
        <v/>
      </c>
      <c r="S664" t="str">
        <f>IF(LEN(TRIM(E664))=0,"",IF(ISERROR(VLOOKUP(E664,'Manifest MDB data'!A:A,1,FALSE)),"OK","EXISTS!!!"))</f>
        <v/>
      </c>
    </row>
    <row r="665" spans="4:19" x14ac:dyDescent="0.25">
      <c r="D665" t="str">
        <f t="shared" si="43"/>
        <v/>
      </c>
      <c r="E665" t="str">
        <f t="shared" si="44"/>
        <v/>
      </c>
      <c r="F665" t="str">
        <f t="shared" si="41"/>
        <v/>
      </c>
      <c r="G665" t="str">
        <f>IF(LEN(TRIM(E665))=0, "", GetSampleTissueBySpecimenPrep(H665))</f>
        <v/>
      </c>
      <c r="H665" t="str">
        <f>IF(LEN(TRIM(E665))=0, "", GetSpecimenPrepName())</f>
        <v/>
      </c>
      <c r="I665" t="str">
        <f>IF(LEN(TRIM(E665))=0, "", GetSampleVolumeBySpecimenPrep(H665))</f>
        <v/>
      </c>
      <c r="L665" t="str">
        <f>IF(LEN(TRIM(E665))=0,"",VLOOKUP("Manifest Id",config!A:B,2,FALSE))</f>
        <v/>
      </c>
      <c r="M665" t="str">
        <f>IF(LEN(TRIM(E665))=0, "",VLOOKUP("Project Name",config!A:B,2,FALSE))</f>
        <v/>
      </c>
      <c r="N665" t="str">
        <f>IF(LEN(TRIM(E665))=0, "",VLOOKUP("Center Name",config!A:B,2,FALSE))</f>
        <v/>
      </c>
      <c r="O665" s="7" t="str">
        <f>IF(LEN(TRIM(E665))=0,"",VLOOKUP("Shipment Date",config!A:B,2,FALSE))</f>
        <v/>
      </c>
      <c r="P665" s="7" t="str">
        <f t="shared" si="42"/>
        <v/>
      </c>
      <c r="Q665" s="7" t="str">
        <f>IF(LEN(TRIM(D665))=0,"",GetConfigParameterValue("Collection Site"))</f>
        <v/>
      </c>
      <c r="R665" t="str">
        <f>IF(LEN(TRIM(E665))=0, "", GetManifestComments(H665))</f>
        <v/>
      </c>
      <c r="S665" t="str">
        <f>IF(LEN(TRIM(E665))=0,"",IF(ISERROR(VLOOKUP(E665,'Manifest MDB data'!A:A,1,FALSE)),"OK","EXISTS!!!"))</f>
        <v/>
      </c>
    </row>
    <row r="666" spans="4:19" x14ac:dyDescent="0.25">
      <c r="D666" t="str">
        <f t="shared" si="43"/>
        <v/>
      </c>
      <c r="E666" t="str">
        <f t="shared" si="44"/>
        <v/>
      </c>
      <c r="F666" t="str">
        <f t="shared" si="41"/>
        <v/>
      </c>
      <c r="G666" t="str">
        <f>IF(LEN(TRIM(E666))=0, "", GetSampleTissueBySpecimenPrep(H666))</f>
        <v/>
      </c>
      <c r="H666" t="str">
        <f>IF(LEN(TRIM(E666))=0, "", GetSpecimenPrepName())</f>
        <v/>
      </c>
      <c r="I666" t="str">
        <f>IF(LEN(TRIM(E666))=0, "", GetSampleVolumeBySpecimenPrep(H666))</f>
        <v/>
      </c>
      <c r="L666" t="str">
        <f>IF(LEN(TRIM(E666))=0,"",VLOOKUP("Manifest Id",config!A:B,2,FALSE))</f>
        <v/>
      </c>
      <c r="M666" t="str">
        <f>IF(LEN(TRIM(E666))=0, "",VLOOKUP("Project Name",config!A:B,2,FALSE))</f>
        <v/>
      </c>
      <c r="N666" t="str">
        <f>IF(LEN(TRIM(E666))=0, "",VLOOKUP("Center Name",config!A:B,2,FALSE))</f>
        <v/>
      </c>
      <c r="O666" s="7" t="str">
        <f>IF(LEN(TRIM(E666))=0,"",VLOOKUP("Shipment Date",config!A:B,2,FALSE))</f>
        <v/>
      </c>
      <c r="P666" s="7" t="str">
        <f t="shared" si="42"/>
        <v/>
      </c>
      <c r="Q666" s="7" t="str">
        <f>IF(LEN(TRIM(D666))=0,"",GetConfigParameterValue("Collection Site"))</f>
        <v/>
      </c>
      <c r="R666" t="str">
        <f>IF(LEN(TRIM(E666))=0, "", GetManifestComments(H666))</f>
        <v/>
      </c>
      <c r="S666" t="str">
        <f>IF(LEN(TRIM(E666))=0,"",IF(ISERROR(VLOOKUP(E666,'Manifest MDB data'!A:A,1,FALSE)),"OK","EXISTS!!!"))</f>
        <v/>
      </c>
    </row>
    <row r="667" spans="4:19" x14ac:dyDescent="0.25">
      <c r="D667" t="str">
        <f t="shared" si="43"/>
        <v/>
      </c>
      <c r="E667" t="str">
        <f t="shared" si="44"/>
        <v/>
      </c>
      <c r="F667" t="str">
        <f t="shared" si="41"/>
        <v/>
      </c>
      <c r="G667" t="str">
        <f>IF(LEN(TRIM(E667))=0, "", GetSampleTissueBySpecimenPrep(H667))</f>
        <v/>
      </c>
      <c r="H667" t="str">
        <f>IF(LEN(TRIM(E667))=0, "", GetSpecimenPrepName())</f>
        <v/>
      </c>
      <c r="I667" t="str">
        <f>IF(LEN(TRIM(E667))=0, "", GetSampleVolumeBySpecimenPrep(H667))</f>
        <v/>
      </c>
      <c r="L667" t="str">
        <f>IF(LEN(TRIM(E667))=0,"",VLOOKUP("Manifest Id",config!A:B,2,FALSE))</f>
        <v/>
      </c>
      <c r="M667" t="str">
        <f>IF(LEN(TRIM(E667))=0, "",VLOOKUP("Project Name",config!A:B,2,FALSE))</f>
        <v/>
      </c>
      <c r="N667" t="str">
        <f>IF(LEN(TRIM(E667))=0, "",VLOOKUP("Center Name",config!A:B,2,FALSE))</f>
        <v/>
      </c>
      <c r="O667" s="7" t="str">
        <f>IF(LEN(TRIM(E667))=0,"",VLOOKUP("Shipment Date",config!A:B,2,FALSE))</f>
        <v/>
      </c>
      <c r="P667" s="7" t="str">
        <f t="shared" si="42"/>
        <v/>
      </c>
      <c r="Q667" s="7" t="str">
        <f>IF(LEN(TRIM(D667))=0,"",GetConfigParameterValue("Collection Site"))</f>
        <v/>
      </c>
      <c r="R667" t="str">
        <f>IF(LEN(TRIM(E667))=0, "", GetManifestComments(H667))</f>
        <v/>
      </c>
      <c r="S667" t="str">
        <f>IF(LEN(TRIM(E667))=0,"",IF(ISERROR(VLOOKUP(E667,'Manifest MDB data'!A:A,1,FALSE)),"OK","EXISTS!!!"))</f>
        <v/>
      </c>
    </row>
    <row r="668" spans="4:19" x14ac:dyDescent="0.25">
      <c r="D668" t="str">
        <f t="shared" si="43"/>
        <v/>
      </c>
      <c r="E668" t="str">
        <f t="shared" si="44"/>
        <v/>
      </c>
      <c r="F668" t="str">
        <f t="shared" si="41"/>
        <v/>
      </c>
      <c r="G668" t="str">
        <f>IF(LEN(TRIM(E668))=0, "", GetSampleTissueBySpecimenPrep(H668))</f>
        <v/>
      </c>
      <c r="H668" t="str">
        <f>IF(LEN(TRIM(E668))=0, "", GetSpecimenPrepName())</f>
        <v/>
      </c>
      <c r="I668" t="str">
        <f>IF(LEN(TRIM(E668))=0, "", GetSampleVolumeBySpecimenPrep(H668))</f>
        <v/>
      </c>
      <c r="L668" t="str">
        <f>IF(LEN(TRIM(E668))=0,"",VLOOKUP("Manifest Id",config!A:B,2,FALSE))</f>
        <v/>
      </c>
      <c r="M668" t="str">
        <f>IF(LEN(TRIM(E668))=0, "",VLOOKUP("Project Name",config!A:B,2,FALSE))</f>
        <v/>
      </c>
      <c r="N668" t="str">
        <f>IF(LEN(TRIM(E668))=0, "",VLOOKUP("Center Name",config!A:B,2,FALSE))</f>
        <v/>
      </c>
      <c r="O668" s="7" t="str">
        <f>IF(LEN(TRIM(E668))=0,"",VLOOKUP("Shipment Date",config!A:B,2,FALSE))</f>
        <v/>
      </c>
      <c r="P668" s="7" t="str">
        <f t="shared" si="42"/>
        <v/>
      </c>
      <c r="Q668" s="7" t="str">
        <f>IF(LEN(TRIM(D668))=0,"",GetConfigParameterValue("Collection Site"))</f>
        <v/>
      </c>
      <c r="R668" t="str">
        <f>IF(LEN(TRIM(E668))=0, "", GetManifestComments(H668))</f>
        <v/>
      </c>
      <c r="S668" t="str">
        <f>IF(LEN(TRIM(E668))=0,"",IF(ISERROR(VLOOKUP(E668,'Manifest MDB data'!A:A,1,FALSE)),"OK","EXISTS!!!"))</f>
        <v/>
      </c>
    </row>
    <row r="669" spans="4:19" x14ac:dyDescent="0.25">
      <c r="D669" t="str">
        <f t="shared" si="43"/>
        <v/>
      </c>
      <c r="E669" t="str">
        <f t="shared" si="44"/>
        <v/>
      </c>
      <c r="F669" t="str">
        <f t="shared" si="41"/>
        <v/>
      </c>
      <c r="G669" t="str">
        <f>IF(LEN(TRIM(E669))=0, "", GetSampleTissueBySpecimenPrep(H669))</f>
        <v/>
      </c>
      <c r="H669" t="str">
        <f>IF(LEN(TRIM(E669))=0, "", GetSpecimenPrepName())</f>
        <v/>
      </c>
      <c r="I669" t="str">
        <f>IF(LEN(TRIM(E669))=0, "", GetSampleVolumeBySpecimenPrep(H669))</f>
        <v/>
      </c>
      <c r="L669" t="str">
        <f>IF(LEN(TRIM(E669))=0,"",VLOOKUP("Manifest Id",config!A:B,2,FALSE))</f>
        <v/>
      </c>
      <c r="M669" t="str">
        <f>IF(LEN(TRIM(E669))=0, "",VLOOKUP("Project Name",config!A:B,2,FALSE))</f>
        <v/>
      </c>
      <c r="N669" t="str">
        <f>IF(LEN(TRIM(E669))=0, "",VLOOKUP("Center Name",config!A:B,2,FALSE))</f>
        <v/>
      </c>
      <c r="O669" s="7" t="str">
        <f>IF(LEN(TRIM(E669))=0,"",VLOOKUP("Shipment Date",config!A:B,2,FALSE))</f>
        <v/>
      </c>
      <c r="P669" s="7" t="str">
        <f t="shared" si="42"/>
        <v/>
      </c>
      <c r="Q669" s="7" t="str">
        <f>IF(LEN(TRIM(D669))=0,"",GetConfigParameterValue("Collection Site"))</f>
        <v/>
      </c>
      <c r="R669" t="str">
        <f>IF(LEN(TRIM(E669))=0, "", GetManifestComments(H669))</f>
        <v/>
      </c>
      <c r="S669" t="str">
        <f>IF(LEN(TRIM(E669))=0,"",IF(ISERROR(VLOOKUP(E669,'Manifest MDB data'!A:A,1,FALSE)),"OK","EXISTS!!!"))</f>
        <v/>
      </c>
    </row>
    <row r="670" spans="4:19" x14ac:dyDescent="0.25">
      <c r="D670" t="str">
        <f t="shared" si="43"/>
        <v/>
      </c>
      <c r="E670" t="str">
        <f t="shared" si="44"/>
        <v/>
      </c>
      <c r="F670" t="str">
        <f t="shared" si="41"/>
        <v/>
      </c>
      <c r="G670" t="str">
        <f>IF(LEN(TRIM(E670))=0, "", GetSampleTissueBySpecimenPrep(H670))</f>
        <v/>
      </c>
      <c r="H670" t="str">
        <f>IF(LEN(TRIM(E670))=0, "", GetSpecimenPrepName())</f>
        <v/>
      </c>
      <c r="I670" t="str">
        <f>IF(LEN(TRIM(E670))=0, "", GetSampleVolumeBySpecimenPrep(H670))</f>
        <v/>
      </c>
      <c r="L670" t="str">
        <f>IF(LEN(TRIM(E670))=0,"",VLOOKUP("Manifest Id",config!A:B,2,FALSE))</f>
        <v/>
      </c>
      <c r="M670" t="str">
        <f>IF(LEN(TRIM(E670))=0, "",VLOOKUP("Project Name",config!A:B,2,FALSE))</f>
        <v/>
      </c>
      <c r="N670" t="str">
        <f>IF(LEN(TRIM(E670))=0, "",VLOOKUP("Center Name",config!A:B,2,FALSE))</f>
        <v/>
      </c>
      <c r="O670" s="7" t="str">
        <f>IF(LEN(TRIM(E670))=0,"",VLOOKUP("Shipment Date",config!A:B,2,FALSE))</f>
        <v/>
      </c>
      <c r="P670" s="7" t="str">
        <f t="shared" si="42"/>
        <v/>
      </c>
      <c r="Q670" s="7" t="str">
        <f>IF(LEN(TRIM(D670))=0,"",GetConfigParameterValue("Collection Site"))</f>
        <v/>
      </c>
      <c r="R670" t="str">
        <f>IF(LEN(TRIM(E670))=0, "", GetManifestComments(H670))</f>
        <v/>
      </c>
      <c r="S670" t="str">
        <f>IF(LEN(TRIM(E670))=0,"",IF(ISERROR(VLOOKUP(E670,'Manifest MDB data'!A:A,1,FALSE)),"OK","EXISTS!!!"))</f>
        <v/>
      </c>
    </row>
    <row r="671" spans="4:19" x14ac:dyDescent="0.25">
      <c r="D671" t="str">
        <f t="shared" si="43"/>
        <v/>
      </c>
      <c r="E671" t="str">
        <f t="shared" si="44"/>
        <v/>
      </c>
      <c r="F671" t="str">
        <f t="shared" si="41"/>
        <v/>
      </c>
      <c r="G671" t="str">
        <f>IF(LEN(TRIM(E671))=0, "", GetSampleTissueBySpecimenPrep(H671))</f>
        <v/>
      </c>
      <c r="H671" t="str">
        <f>IF(LEN(TRIM(E671))=0, "", GetSpecimenPrepName())</f>
        <v/>
      </c>
      <c r="I671" t="str">
        <f>IF(LEN(TRIM(E671))=0, "", GetSampleVolumeBySpecimenPrep(H671))</f>
        <v/>
      </c>
      <c r="L671" t="str">
        <f>IF(LEN(TRIM(E671))=0,"",VLOOKUP("Manifest Id",config!A:B,2,FALSE))</f>
        <v/>
      </c>
      <c r="M671" t="str">
        <f>IF(LEN(TRIM(E671))=0, "",VLOOKUP("Project Name",config!A:B,2,FALSE))</f>
        <v/>
      </c>
      <c r="N671" t="str">
        <f>IF(LEN(TRIM(E671))=0, "",VLOOKUP("Center Name",config!A:B,2,FALSE))</f>
        <v/>
      </c>
      <c r="O671" s="7" t="str">
        <f>IF(LEN(TRIM(E671))=0,"",VLOOKUP("Shipment Date",config!A:B,2,FALSE))</f>
        <v/>
      </c>
      <c r="P671" s="7" t="str">
        <f t="shared" si="42"/>
        <v/>
      </c>
      <c r="Q671" s="7" t="str">
        <f>IF(LEN(TRIM(D671))=0,"",GetConfigParameterValue("Collection Site"))</f>
        <v/>
      </c>
      <c r="R671" t="str">
        <f>IF(LEN(TRIM(E671))=0, "", GetManifestComments(H671))</f>
        <v/>
      </c>
      <c r="S671" t="str">
        <f>IF(LEN(TRIM(E671))=0,"",IF(ISERROR(VLOOKUP(E671,'Manifest MDB data'!A:A,1,FALSE)),"OK","EXISTS!!!"))</f>
        <v/>
      </c>
    </row>
    <row r="672" spans="4:19" x14ac:dyDescent="0.25">
      <c r="D672" t="str">
        <f t="shared" si="43"/>
        <v/>
      </c>
      <c r="E672" t="str">
        <f t="shared" si="44"/>
        <v/>
      </c>
      <c r="F672" t="str">
        <f t="shared" si="41"/>
        <v/>
      </c>
      <c r="G672" t="str">
        <f>IF(LEN(TRIM(E672))=0, "", GetSampleTissueBySpecimenPrep(H672))</f>
        <v/>
      </c>
      <c r="H672" t="str">
        <f>IF(LEN(TRIM(E672))=0, "", GetSpecimenPrepName())</f>
        <v/>
      </c>
      <c r="I672" t="str">
        <f>IF(LEN(TRIM(E672))=0, "", GetSampleVolumeBySpecimenPrep(H672))</f>
        <v/>
      </c>
      <c r="L672" t="str">
        <f>IF(LEN(TRIM(E672))=0,"",VLOOKUP("Manifest Id",config!A:B,2,FALSE))</f>
        <v/>
      </c>
      <c r="M672" t="str">
        <f>IF(LEN(TRIM(E672))=0, "",VLOOKUP("Project Name",config!A:B,2,FALSE))</f>
        <v/>
      </c>
      <c r="N672" t="str">
        <f>IF(LEN(TRIM(E672))=0, "",VLOOKUP("Center Name",config!A:B,2,FALSE))</f>
        <v/>
      </c>
      <c r="O672" s="7" t="str">
        <f>IF(LEN(TRIM(E672))=0,"",VLOOKUP("Shipment Date",config!A:B,2,FALSE))</f>
        <v/>
      </c>
      <c r="P672" s="7" t="str">
        <f t="shared" si="42"/>
        <v/>
      </c>
      <c r="Q672" s="7" t="str">
        <f>IF(LEN(TRIM(D672))=0,"",GetConfigParameterValue("Collection Site"))</f>
        <v/>
      </c>
      <c r="R672" t="str">
        <f>IF(LEN(TRIM(E672))=0, "", GetManifestComments(H672))</f>
        <v/>
      </c>
      <c r="S672" t="str">
        <f>IF(LEN(TRIM(E672))=0,"",IF(ISERROR(VLOOKUP(E672,'Manifest MDB data'!A:A,1,FALSE)),"OK","EXISTS!!!"))</f>
        <v/>
      </c>
    </row>
    <row r="673" spans="4:19" x14ac:dyDescent="0.25">
      <c r="D673" t="str">
        <f t="shared" si="43"/>
        <v/>
      </c>
      <c r="E673" t="str">
        <f t="shared" si="44"/>
        <v/>
      </c>
      <c r="F673" t="str">
        <f t="shared" si="41"/>
        <v/>
      </c>
      <c r="G673" t="str">
        <f>IF(LEN(TRIM(E673))=0, "", GetSampleTissueBySpecimenPrep(H673))</f>
        <v/>
      </c>
      <c r="H673" t="str">
        <f>IF(LEN(TRIM(E673))=0, "", GetSpecimenPrepName())</f>
        <v/>
      </c>
      <c r="I673" t="str">
        <f>IF(LEN(TRIM(E673))=0, "", GetSampleVolumeBySpecimenPrep(H673))</f>
        <v/>
      </c>
      <c r="L673" t="str">
        <f>IF(LEN(TRIM(E673))=0,"",VLOOKUP("Manifest Id",config!A:B,2,FALSE))</f>
        <v/>
      </c>
      <c r="M673" t="str">
        <f>IF(LEN(TRIM(E673))=0, "",VLOOKUP("Project Name",config!A:B,2,FALSE))</f>
        <v/>
      </c>
      <c r="N673" t="str">
        <f>IF(LEN(TRIM(E673))=0, "",VLOOKUP("Center Name",config!A:B,2,FALSE))</f>
        <v/>
      </c>
      <c r="O673" s="7" t="str">
        <f>IF(LEN(TRIM(E673))=0,"",VLOOKUP("Shipment Date",config!A:B,2,FALSE))</f>
        <v/>
      </c>
      <c r="P673" s="7" t="str">
        <f t="shared" si="42"/>
        <v/>
      </c>
      <c r="Q673" s="7" t="str">
        <f>IF(LEN(TRIM(D673))=0,"",GetConfigParameterValue("Collection Site"))</f>
        <v/>
      </c>
      <c r="R673" t="str">
        <f>IF(LEN(TRIM(E673))=0, "", GetManifestComments(H673))</f>
        <v/>
      </c>
      <c r="S673" t="str">
        <f>IF(LEN(TRIM(E673))=0,"",IF(ISERROR(VLOOKUP(E673,'Manifest MDB data'!A:A,1,FALSE)),"OK","EXISTS!!!"))</f>
        <v/>
      </c>
    </row>
    <row r="674" spans="4:19" x14ac:dyDescent="0.25">
      <c r="D674" t="str">
        <f t="shared" si="43"/>
        <v/>
      </c>
      <c r="E674" t="str">
        <f t="shared" si="44"/>
        <v/>
      </c>
      <c r="F674" t="str">
        <f t="shared" si="41"/>
        <v/>
      </c>
      <c r="G674" t="str">
        <f>IF(LEN(TRIM(E674))=0, "", GetSampleTissueBySpecimenPrep(H674))</f>
        <v/>
      </c>
      <c r="H674" t="str">
        <f>IF(LEN(TRIM(E674))=0, "", GetSpecimenPrepName())</f>
        <v/>
      </c>
      <c r="I674" t="str">
        <f>IF(LEN(TRIM(E674))=0, "", GetSampleVolumeBySpecimenPrep(H674))</f>
        <v/>
      </c>
      <c r="L674" t="str">
        <f>IF(LEN(TRIM(E674))=0,"",VLOOKUP("Manifest Id",config!A:B,2,FALSE))</f>
        <v/>
      </c>
      <c r="M674" t="str">
        <f>IF(LEN(TRIM(E674))=0, "",VLOOKUP("Project Name",config!A:B,2,FALSE))</f>
        <v/>
      </c>
      <c r="N674" t="str">
        <f>IF(LEN(TRIM(E674))=0, "",VLOOKUP("Center Name",config!A:B,2,FALSE))</f>
        <v/>
      </c>
      <c r="O674" s="7" t="str">
        <f>IF(LEN(TRIM(E674))=0,"",VLOOKUP("Shipment Date",config!A:B,2,FALSE))</f>
        <v/>
      </c>
      <c r="P674" s="7" t="str">
        <f t="shared" si="42"/>
        <v/>
      </c>
      <c r="Q674" s="7" t="str">
        <f>IF(LEN(TRIM(D674))=0,"",GetConfigParameterValue("Collection Site"))</f>
        <v/>
      </c>
      <c r="R674" t="str">
        <f>IF(LEN(TRIM(E674))=0, "", GetManifestComments(H674))</f>
        <v/>
      </c>
      <c r="S674" t="str">
        <f>IF(LEN(TRIM(E674))=0,"",IF(ISERROR(VLOOKUP(E674,'Manifest MDB data'!A:A,1,FALSE)),"OK","EXISTS!!!"))</f>
        <v/>
      </c>
    </row>
    <row r="675" spans="4:19" x14ac:dyDescent="0.25">
      <c r="D675" t="str">
        <f t="shared" si="43"/>
        <v/>
      </c>
      <c r="E675" t="str">
        <f t="shared" si="44"/>
        <v/>
      </c>
      <c r="F675" t="str">
        <f t="shared" si="41"/>
        <v/>
      </c>
      <c r="G675" t="str">
        <f>IF(LEN(TRIM(E675))=0, "", GetSampleTissueBySpecimenPrep(H675))</f>
        <v/>
      </c>
      <c r="H675" t="str">
        <f>IF(LEN(TRIM(E675))=0, "", GetSpecimenPrepName())</f>
        <v/>
      </c>
      <c r="I675" t="str">
        <f>IF(LEN(TRIM(E675))=0, "", GetSampleVolumeBySpecimenPrep(H675))</f>
        <v/>
      </c>
      <c r="L675" t="str">
        <f>IF(LEN(TRIM(E675))=0,"",VLOOKUP("Manifest Id",config!A:B,2,FALSE))</f>
        <v/>
      </c>
      <c r="M675" t="str">
        <f>IF(LEN(TRIM(E675))=0, "",VLOOKUP("Project Name",config!A:B,2,FALSE))</f>
        <v/>
      </c>
      <c r="N675" t="str">
        <f>IF(LEN(TRIM(E675))=0, "",VLOOKUP("Center Name",config!A:B,2,FALSE))</f>
        <v/>
      </c>
      <c r="O675" s="7" t="str">
        <f>IF(LEN(TRIM(E675))=0,"",VLOOKUP("Shipment Date",config!A:B,2,FALSE))</f>
        <v/>
      </c>
      <c r="P675" s="7" t="str">
        <f t="shared" si="42"/>
        <v/>
      </c>
      <c r="Q675" s="7" t="str">
        <f>IF(LEN(TRIM(D675))=0,"",GetConfigParameterValue("Collection Site"))</f>
        <v/>
      </c>
      <c r="R675" t="str">
        <f>IF(LEN(TRIM(E675))=0, "", GetManifestComments(H675))</f>
        <v/>
      </c>
      <c r="S675" t="str">
        <f>IF(LEN(TRIM(E675))=0,"",IF(ISERROR(VLOOKUP(E675,'Manifest MDB data'!A:A,1,FALSE)),"OK","EXISTS!!!"))</f>
        <v/>
      </c>
    </row>
    <row r="676" spans="4:19" x14ac:dyDescent="0.25">
      <c r="D676" t="str">
        <f t="shared" si="43"/>
        <v/>
      </c>
      <c r="E676" t="str">
        <f t="shared" si="44"/>
        <v/>
      </c>
      <c r="F676" t="str">
        <f t="shared" si="41"/>
        <v/>
      </c>
      <c r="G676" t="str">
        <f>IF(LEN(TRIM(E676))=0, "", GetSampleTissueBySpecimenPrep(H676))</f>
        <v/>
      </c>
      <c r="H676" t="str">
        <f>IF(LEN(TRIM(E676))=0, "", GetSpecimenPrepName())</f>
        <v/>
      </c>
      <c r="I676" t="str">
        <f>IF(LEN(TRIM(E676))=0, "", GetSampleVolumeBySpecimenPrep(H676))</f>
        <v/>
      </c>
      <c r="L676" t="str">
        <f>IF(LEN(TRIM(E676))=0,"",VLOOKUP("Manifest Id",config!A:B,2,FALSE))</f>
        <v/>
      </c>
      <c r="M676" t="str">
        <f>IF(LEN(TRIM(E676))=0, "",VLOOKUP("Project Name",config!A:B,2,FALSE))</f>
        <v/>
      </c>
      <c r="N676" t="str">
        <f>IF(LEN(TRIM(E676))=0, "",VLOOKUP("Center Name",config!A:B,2,FALSE))</f>
        <v/>
      </c>
      <c r="O676" s="7" t="str">
        <f>IF(LEN(TRIM(E676))=0,"",VLOOKUP("Shipment Date",config!A:B,2,FALSE))</f>
        <v/>
      </c>
      <c r="P676" s="7" t="str">
        <f t="shared" si="42"/>
        <v/>
      </c>
      <c r="Q676" s="7" t="str">
        <f>IF(LEN(TRIM(D676))=0,"",GetConfigParameterValue("Collection Site"))</f>
        <v/>
      </c>
      <c r="R676" t="str">
        <f>IF(LEN(TRIM(E676))=0, "", GetManifestComments(H676))</f>
        <v/>
      </c>
      <c r="S676" t="str">
        <f>IF(LEN(TRIM(E676))=0,"",IF(ISERROR(VLOOKUP(E676,'Manifest MDB data'!A:A,1,FALSE)),"OK","EXISTS!!!"))</f>
        <v/>
      </c>
    </row>
    <row r="677" spans="4:19" x14ac:dyDescent="0.25">
      <c r="D677" t="str">
        <f t="shared" si="43"/>
        <v/>
      </c>
      <c r="E677" t="str">
        <f t="shared" si="44"/>
        <v/>
      </c>
      <c r="F677" t="str">
        <f t="shared" si="41"/>
        <v/>
      </c>
      <c r="G677" t="str">
        <f>IF(LEN(TRIM(E677))=0, "", GetSampleTissueBySpecimenPrep(H677))</f>
        <v/>
      </c>
      <c r="H677" t="str">
        <f>IF(LEN(TRIM(E677))=0, "", GetSpecimenPrepName())</f>
        <v/>
      </c>
      <c r="I677" t="str">
        <f>IF(LEN(TRIM(E677))=0, "", GetSampleVolumeBySpecimenPrep(H677))</f>
        <v/>
      </c>
      <c r="L677" t="str">
        <f>IF(LEN(TRIM(E677))=0,"",VLOOKUP("Manifest Id",config!A:B,2,FALSE))</f>
        <v/>
      </c>
      <c r="M677" t="str">
        <f>IF(LEN(TRIM(E677))=0, "",VLOOKUP("Project Name",config!A:B,2,FALSE))</f>
        <v/>
      </c>
      <c r="N677" t="str">
        <f>IF(LEN(TRIM(E677))=0, "",VLOOKUP("Center Name",config!A:B,2,FALSE))</f>
        <v/>
      </c>
      <c r="O677" s="7" t="str">
        <f>IF(LEN(TRIM(E677))=0,"",VLOOKUP("Shipment Date",config!A:B,2,FALSE))</f>
        <v/>
      </c>
      <c r="P677" s="7" t="str">
        <f t="shared" si="42"/>
        <v/>
      </c>
      <c r="Q677" s="7" t="str">
        <f>IF(LEN(TRIM(D677))=0,"",GetConfigParameterValue("Collection Site"))</f>
        <v/>
      </c>
      <c r="R677" t="str">
        <f>IF(LEN(TRIM(E677))=0, "", GetManifestComments(H677))</f>
        <v/>
      </c>
      <c r="S677" t="str">
        <f>IF(LEN(TRIM(E677))=0,"",IF(ISERROR(VLOOKUP(E677,'Manifest MDB data'!A:A,1,FALSE)),"OK","EXISTS!!!"))</f>
        <v/>
      </c>
    </row>
    <row r="678" spans="4:19" x14ac:dyDescent="0.25">
      <c r="D678" t="str">
        <f t="shared" si="43"/>
        <v/>
      </c>
      <c r="E678" t="str">
        <f t="shared" si="44"/>
        <v/>
      </c>
      <c r="F678" t="str">
        <f t="shared" si="41"/>
        <v/>
      </c>
      <c r="G678" t="str">
        <f>IF(LEN(TRIM(E678))=0, "", GetSampleTissueBySpecimenPrep(H678))</f>
        <v/>
      </c>
      <c r="H678" t="str">
        <f>IF(LEN(TRIM(E678))=0, "", GetSpecimenPrepName())</f>
        <v/>
      </c>
      <c r="I678" t="str">
        <f>IF(LEN(TRIM(E678))=0, "", GetSampleVolumeBySpecimenPrep(H678))</f>
        <v/>
      </c>
      <c r="L678" t="str">
        <f>IF(LEN(TRIM(E678))=0,"",VLOOKUP("Manifest Id",config!A:B,2,FALSE))</f>
        <v/>
      </c>
      <c r="M678" t="str">
        <f>IF(LEN(TRIM(E678))=0, "",VLOOKUP("Project Name",config!A:B,2,FALSE))</f>
        <v/>
      </c>
      <c r="N678" t="str">
        <f>IF(LEN(TRIM(E678))=0, "",VLOOKUP("Center Name",config!A:B,2,FALSE))</f>
        <v/>
      </c>
      <c r="O678" s="7" t="str">
        <f>IF(LEN(TRIM(E678))=0,"",VLOOKUP("Shipment Date",config!A:B,2,FALSE))</f>
        <v/>
      </c>
      <c r="P678" s="7" t="str">
        <f t="shared" si="42"/>
        <v/>
      </c>
      <c r="Q678" s="7" t="str">
        <f>IF(LEN(TRIM(D678))=0,"",GetConfigParameterValue("Collection Site"))</f>
        <v/>
      </c>
      <c r="R678" t="str">
        <f>IF(LEN(TRIM(E678))=0, "", GetManifestComments(H678))</f>
        <v/>
      </c>
      <c r="S678" t="str">
        <f>IF(LEN(TRIM(E678))=0,"",IF(ISERROR(VLOOKUP(E678,'Manifest MDB data'!A:A,1,FALSE)),"OK","EXISTS!!!"))</f>
        <v/>
      </c>
    </row>
    <row r="679" spans="4:19" x14ac:dyDescent="0.25">
      <c r="D679" t="str">
        <f t="shared" si="43"/>
        <v/>
      </c>
      <c r="E679" t="str">
        <f t="shared" si="44"/>
        <v/>
      </c>
      <c r="F679" t="str">
        <f t="shared" si="41"/>
        <v/>
      </c>
      <c r="G679" t="str">
        <f>IF(LEN(TRIM(E679))=0, "", GetSampleTissueBySpecimenPrep(H679))</f>
        <v/>
      </c>
      <c r="H679" t="str">
        <f>IF(LEN(TRIM(E679))=0, "", GetSpecimenPrepName())</f>
        <v/>
      </c>
      <c r="I679" t="str">
        <f>IF(LEN(TRIM(E679))=0, "", GetSampleVolumeBySpecimenPrep(H679))</f>
        <v/>
      </c>
      <c r="L679" t="str">
        <f>IF(LEN(TRIM(E679))=0,"",VLOOKUP("Manifest Id",config!A:B,2,FALSE))</f>
        <v/>
      </c>
      <c r="M679" t="str">
        <f>IF(LEN(TRIM(E679))=0, "",VLOOKUP("Project Name",config!A:B,2,FALSE))</f>
        <v/>
      </c>
      <c r="N679" t="str">
        <f>IF(LEN(TRIM(E679))=0, "",VLOOKUP("Center Name",config!A:B,2,FALSE))</f>
        <v/>
      </c>
      <c r="O679" s="7" t="str">
        <f>IF(LEN(TRIM(E679))=0,"",VLOOKUP("Shipment Date",config!A:B,2,FALSE))</f>
        <v/>
      </c>
      <c r="P679" s="7" t="str">
        <f t="shared" si="42"/>
        <v/>
      </c>
      <c r="Q679" s="7" t="str">
        <f>IF(LEN(TRIM(D679))=0,"",GetConfigParameterValue("Collection Site"))</f>
        <v/>
      </c>
      <c r="R679" t="str">
        <f>IF(LEN(TRIM(E679))=0, "", GetManifestComments(H679))</f>
        <v/>
      </c>
      <c r="S679" t="str">
        <f>IF(LEN(TRIM(E679))=0,"",IF(ISERROR(VLOOKUP(E679,'Manifest MDB data'!A:A,1,FALSE)),"OK","EXISTS!!!"))</f>
        <v/>
      </c>
    </row>
    <row r="680" spans="4:19" x14ac:dyDescent="0.25">
      <c r="D680" t="str">
        <f t="shared" si="43"/>
        <v/>
      </c>
      <c r="E680" t="str">
        <f t="shared" si="44"/>
        <v/>
      </c>
      <c r="F680" t="str">
        <f t="shared" si="41"/>
        <v/>
      </c>
      <c r="G680" t="str">
        <f>IF(LEN(TRIM(E680))=0, "", GetSampleTissueBySpecimenPrep(H680))</f>
        <v/>
      </c>
      <c r="H680" t="str">
        <f>IF(LEN(TRIM(E680))=0, "", GetSpecimenPrepName())</f>
        <v/>
      </c>
      <c r="I680" t="str">
        <f>IF(LEN(TRIM(E680))=0, "", GetSampleVolumeBySpecimenPrep(H680))</f>
        <v/>
      </c>
      <c r="L680" t="str">
        <f>IF(LEN(TRIM(E680))=0,"",VLOOKUP("Manifest Id",config!A:B,2,FALSE))</f>
        <v/>
      </c>
      <c r="M680" t="str">
        <f>IF(LEN(TRIM(E680))=0, "",VLOOKUP("Project Name",config!A:B,2,FALSE))</f>
        <v/>
      </c>
      <c r="N680" t="str">
        <f>IF(LEN(TRIM(E680))=0, "",VLOOKUP("Center Name",config!A:B,2,FALSE))</f>
        <v/>
      </c>
      <c r="O680" s="7" t="str">
        <f>IF(LEN(TRIM(E680))=0,"",VLOOKUP("Shipment Date",config!A:B,2,FALSE))</f>
        <v/>
      </c>
      <c r="P680" s="7" t="str">
        <f t="shared" si="42"/>
        <v/>
      </c>
      <c r="Q680" s="7" t="str">
        <f>IF(LEN(TRIM(D680))=0,"",GetConfigParameterValue("Collection Site"))</f>
        <v/>
      </c>
      <c r="R680" t="str">
        <f>IF(LEN(TRIM(E680))=0, "", GetManifestComments(H680))</f>
        <v/>
      </c>
      <c r="S680" t="str">
        <f>IF(LEN(TRIM(E680))=0,"",IF(ISERROR(VLOOKUP(E680,'Manifest MDB data'!A:A,1,FALSE)),"OK","EXISTS!!!"))</f>
        <v/>
      </c>
    </row>
    <row r="681" spans="4:19" x14ac:dyDescent="0.25">
      <c r="D681" t="str">
        <f t="shared" si="43"/>
        <v/>
      </c>
      <c r="E681" t="str">
        <f t="shared" si="44"/>
        <v/>
      </c>
      <c r="F681" t="str">
        <f t="shared" si="41"/>
        <v/>
      </c>
      <c r="G681" t="str">
        <f>IF(LEN(TRIM(E681))=0, "", GetSampleTissueBySpecimenPrep(H681))</f>
        <v/>
      </c>
      <c r="H681" t="str">
        <f>IF(LEN(TRIM(E681))=0, "", GetSpecimenPrepName())</f>
        <v/>
      </c>
      <c r="I681" t="str">
        <f>IF(LEN(TRIM(E681))=0, "", GetSampleVolumeBySpecimenPrep(H681))</f>
        <v/>
      </c>
      <c r="L681" t="str">
        <f>IF(LEN(TRIM(E681))=0,"",VLOOKUP("Manifest Id",config!A:B,2,FALSE))</f>
        <v/>
      </c>
      <c r="M681" t="str">
        <f>IF(LEN(TRIM(E681))=0, "",VLOOKUP("Project Name",config!A:B,2,FALSE))</f>
        <v/>
      </c>
      <c r="N681" t="str">
        <f>IF(LEN(TRIM(E681))=0, "",VLOOKUP("Center Name",config!A:B,2,FALSE))</f>
        <v/>
      </c>
      <c r="O681" s="7" t="str">
        <f>IF(LEN(TRIM(E681))=0,"",VLOOKUP("Shipment Date",config!A:B,2,FALSE))</f>
        <v/>
      </c>
      <c r="P681" s="7" t="str">
        <f t="shared" si="42"/>
        <v/>
      </c>
      <c r="Q681" s="7" t="str">
        <f>IF(LEN(TRIM(D681))=0,"",GetConfigParameterValue("Collection Site"))</f>
        <v/>
      </c>
      <c r="R681" t="str">
        <f>IF(LEN(TRIM(E681))=0, "", GetManifestComments(H681))</f>
        <v/>
      </c>
      <c r="S681" t="str">
        <f>IF(LEN(TRIM(E681))=0,"",IF(ISERROR(VLOOKUP(E681,'Manifest MDB data'!A:A,1,FALSE)),"OK","EXISTS!!!"))</f>
        <v/>
      </c>
    </row>
    <row r="682" spans="4:19" x14ac:dyDescent="0.25">
      <c r="D682" t="str">
        <f t="shared" si="43"/>
        <v/>
      </c>
      <c r="E682" t="str">
        <f t="shared" si="44"/>
        <v/>
      </c>
      <c r="F682" t="str">
        <f t="shared" si="41"/>
        <v/>
      </c>
      <c r="G682" t="str">
        <f>IF(LEN(TRIM(E682))=0, "", GetSampleTissueBySpecimenPrep(H682))</f>
        <v/>
      </c>
      <c r="H682" t="str">
        <f>IF(LEN(TRIM(E682))=0, "", GetSpecimenPrepName())</f>
        <v/>
      </c>
      <c r="I682" t="str">
        <f>IF(LEN(TRIM(E682))=0, "", GetSampleVolumeBySpecimenPrep(H682))</f>
        <v/>
      </c>
      <c r="L682" t="str">
        <f>IF(LEN(TRIM(E682))=0,"",VLOOKUP("Manifest Id",config!A:B,2,FALSE))</f>
        <v/>
      </c>
      <c r="M682" t="str">
        <f>IF(LEN(TRIM(E682))=0, "",VLOOKUP("Project Name",config!A:B,2,FALSE))</f>
        <v/>
      </c>
      <c r="N682" t="str">
        <f>IF(LEN(TRIM(E682))=0, "",VLOOKUP("Center Name",config!A:B,2,FALSE))</f>
        <v/>
      </c>
      <c r="O682" s="7" t="str">
        <f>IF(LEN(TRIM(E682))=0,"",VLOOKUP("Shipment Date",config!A:B,2,FALSE))</f>
        <v/>
      </c>
      <c r="P682" s="7" t="str">
        <f t="shared" si="42"/>
        <v/>
      </c>
      <c r="Q682" s="7" t="str">
        <f>IF(LEN(TRIM(D682))=0,"",GetConfigParameterValue("Collection Site"))</f>
        <v/>
      </c>
      <c r="R682" t="str">
        <f>IF(LEN(TRIM(E682))=0, "", GetManifestComments(H682))</f>
        <v/>
      </c>
      <c r="S682" t="str">
        <f>IF(LEN(TRIM(E682))=0,"",IF(ISERROR(VLOOKUP(E682,'Manifest MDB data'!A:A,1,FALSE)),"OK","EXISTS!!!"))</f>
        <v/>
      </c>
    </row>
    <row r="683" spans="4:19" x14ac:dyDescent="0.25">
      <c r="D683" t="str">
        <f t="shared" si="43"/>
        <v/>
      </c>
      <c r="E683" t="str">
        <f t="shared" si="44"/>
        <v/>
      </c>
      <c r="F683" t="str">
        <f t="shared" si="41"/>
        <v/>
      </c>
      <c r="G683" t="str">
        <f>IF(LEN(TRIM(E683))=0, "", GetSampleTissueBySpecimenPrep(H683))</f>
        <v/>
      </c>
      <c r="H683" t="str">
        <f>IF(LEN(TRIM(E683))=0, "", GetSpecimenPrepName())</f>
        <v/>
      </c>
      <c r="I683" t="str">
        <f>IF(LEN(TRIM(E683))=0, "", GetSampleVolumeBySpecimenPrep(H683))</f>
        <v/>
      </c>
      <c r="L683" t="str">
        <f>IF(LEN(TRIM(E683))=0,"",VLOOKUP("Manifest Id",config!A:B,2,FALSE))</f>
        <v/>
      </c>
      <c r="M683" t="str">
        <f>IF(LEN(TRIM(E683))=0, "",VLOOKUP("Project Name",config!A:B,2,FALSE))</f>
        <v/>
      </c>
      <c r="N683" t="str">
        <f>IF(LEN(TRIM(E683))=0, "",VLOOKUP("Center Name",config!A:B,2,FALSE))</f>
        <v/>
      </c>
      <c r="O683" s="7" t="str">
        <f>IF(LEN(TRIM(E683))=0,"",VLOOKUP("Shipment Date",config!A:B,2,FALSE))</f>
        <v/>
      </c>
      <c r="P683" s="7" t="str">
        <f t="shared" si="42"/>
        <v/>
      </c>
      <c r="Q683" s="7" t="str">
        <f>IF(LEN(TRIM(D683))=0,"",GetConfigParameterValue("Collection Site"))</f>
        <v/>
      </c>
      <c r="R683" t="str">
        <f>IF(LEN(TRIM(E683))=0, "", GetManifestComments(H683))</f>
        <v/>
      </c>
      <c r="S683" t="str">
        <f>IF(LEN(TRIM(E683))=0,"",IF(ISERROR(VLOOKUP(E683,'Manifest MDB data'!A:A,1,FALSE)),"OK","EXISTS!!!"))</f>
        <v/>
      </c>
    </row>
    <row r="684" spans="4:19" x14ac:dyDescent="0.25">
      <c r="D684" t="str">
        <f t="shared" si="43"/>
        <v/>
      </c>
      <c r="E684" t="str">
        <f t="shared" si="44"/>
        <v/>
      </c>
      <c r="F684" t="str">
        <f t="shared" si="41"/>
        <v/>
      </c>
      <c r="G684" t="str">
        <f>IF(LEN(TRIM(E684))=0, "", GetSampleTissueBySpecimenPrep(H684))</f>
        <v/>
      </c>
      <c r="H684" t="str">
        <f>IF(LEN(TRIM(E684))=0, "", GetSpecimenPrepName())</f>
        <v/>
      </c>
      <c r="I684" t="str">
        <f>IF(LEN(TRIM(E684))=0, "", GetSampleVolumeBySpecimenPrep(H684))</f>
        <v/>
      </c>
      <c r="L684" t="str">
        <f>IF(LEN(TRIM(E684))=0,"",VLOOKUP("Manifest Id",config!A:B,2,FALSE))</f>
        <v/>
      </c>
      <c r="M684" t="str">
        <f>IF(LEN(TRIM(E684))=0, "",VLOOKUP("Project Name",config!A:B,2,FALSE))</f>
        <v/>
      </c>
      <c r="N684" t="str">
        <f>IF(LEN(TRIM(E684))=0, "",VLOOKUP("Center Name",config!A:B,2,FALSE))</f>
        <v/>
      </c>
      <c r="O684" s="7" t="str">
        <f>IF(LEN(TRIM(E684))=0,"",VLOOKUP("Shipment Date",config!A:B,2,FALSE))</f>
        <v/>
      </c>
      <c r="P684" s="7" t="str">
        <f t="shared" si="42"/>
        <v/>
      </c>
      <c r="Q684" s="7" t="str">
        <f>IF(LEN(TRIM(D684))=0,"",GetConfigParameterValue("Collection Site"))</f>
        <v/>
      </c>
      <c r="R684" t="str">
        <f>IF(LEN(TRIM(E684))=0, "", GetManifestComments(H684))</f>
        <v/>
      </c>
      <c r="S684" t="str">
        <f>IF(LEN(TRIM(E684))=0,"",IF(ISERROR(VLOOKUP(E684,'Manifest MDB data'!A:A,1,FALSE)),"OK","EXISTS!!!"))</f>
        <v/>
      </c>
    </row>
    <row r="685" spans="4:19" x14ac:dyDescent="0.25">
      <c r="D685" t="str">
        <f t="shared" si="43"/>
        <v/>
      </c>
      <c r="E685" t="str">
        <f t="shared" si="44"/>
        <v/>
      </c>
      <c r="F685" t="str">
        <f t="shared" si="41"/>
        <v/>
      </c>
      <c r="G685" t="str">
        <f>IF(LEN(TRIM(E685))=0, "", GetSampleTissueBySpecimenPrep(H685))</f>
        <v/>
      </c>
      <c r="H685" t="str">
        <f>IF(LEN(TRIM(E685))=0, "", GetSpecimenPrepName())</f>
        <v/>
      </c>
      <c r="I685" t="str">
        <f>IF(LEN(TRIM(E685))=0, "", GetSampleVolumeBySpecimenPrep(H685))</f>
        <v/>
      </c>
      <c r="L685" t="str">
        <f>IF(LEN(TRIM(E685))=0,"",VLOOKUP("Manifest Id",config!A:B,2,FALSE))</f>
        <v/>
      </c>
      <c r="M685" t="str">
        <f>IF(LEN(TRIM(E685))=0, "",VLOOKUP("Project Name",config!A:B,2,FALSE))</f>
        <v/>
      </c>
      <c r="N685" t="str">
        <f>IF(LEN(TRIM(E685))=0, "",VLOOKUP("Center Name",config!A:B,2,FALSE))</f>
        <v/>
      </c>
      <c r="O685" s="7" t="str">
        <f>IF(LEN(TRIM(E685))=0,"",VLOOKUP("Shipment Date",config!A:B,2,FALSE))</f>
        <v/>
      </c>
      <c r="P685" s="7" t="str">
        <f t="shared" si="42"/>
        <v/>
      </c>
      <c r="Q685" s="7" t="str">
        <f>IF(LEN(TRIM(D685))=0,"",GetConfigParameterValue("Collection Site"))</f>
        <v/>
      </c>
      <c r="R685" t="str">
        <f>IF(LEN(TRIM(E685))=0, "", GetManifestComments(H685))</f>
        <v/>
      </c>
      <c r="S685" t="str">
        <f>IF(LEN(TRIM(E685))=0,"",IF(ISERROR(VLOOKUP(E685,'Manifest MDB data'!A:A,1,FALSE)),"OK","EXISTS!!!"))</f>
        <v/>
      </c>
    </row>
    <row r="686" spans="4:19" x14ac:dyDescent="0.25">
      <c r="D686" t="str">
        <f t="shared" si="43"/>
        <v/>
      </c>
      <c r="E686" t="str">
        <f t="shared" si="44"/>
        <v/>
      </c>
      <c r="F686" t="str">
        <f t="shared" si="41"/>
        <v/>
      </c>
      <c r="G686" t="str">
        <f>IF(LEN(TRIM(E686))=0, "", GetSampleTissueBySpecimenPrep(H686))</f>
        <v/>
      </c>
      <c r="H686" t="str">
        <f>IF(LEN(TRIM(E686))=0, "", GetSpecimenPrepName())</f>
        <v/>
      </c>
      <c r="I686" t="str">
        <f>IF(LEN(TRIM(E686))=0, "", GetSampleVolumeBySpecimenPrep(H686))</f>
        <v/>
      </c>
      <c r="L686" t="str">
        <f>IF(LEN(TRIM(E686))=0,"",VLOOKUP("Manifest Id",config!A:B,2,FALSE))</f>
        <v/>
      </c>
      <c r="M686" t="str">
        <f>IF(LEN(TRIM(E686))=0, "",VLOOKUP("Project Name",config!A:B,2,FALSE))</f>
        <v/>
      </c>
      <c r="N686" t="str">
        <f>IF(LEN(TRIM(E686))=0, "",VLOOKUP("Center Name",config!A:B,2,FALSE))</f>
        <v/>
      </c>
      <c r="O686" s="7" t="str">
        <f>IF(LEN(TRIM(E686))=0,"",VLOOKUP("Shipment Date",config!A:B,2,FALSE))</f>
        <v/>
      </c>
      <c r="P686" s="7" t="str">
        <f t="shared" si="42"/>
        <v/>
      </c>
      <c r="Q686" s="7" t="str">
        <f>IF(LEN(TRIM(D686))=0,"",GetConfigParameterValue("Collection Site"))</f>
        <v/>
      </c>
      <c r="R686" t="str">
        <f>IF(LEN(TRIM(E686))=0, "", GetManifestComments(H686))</f>
        <v/>
      </c>
      <c r="S686" t="str">
        <f>IF(LEN(TRIM(E686))=0,"",IF(ISERROR(VLOOKUP(E686,'Manifest MDB data'!A:A,1,FALSE)),"OK","EXISTS!!!"))</f>
        <v/>
      </c>
    </row>
    <row r="687" spans="4:19" x14ac:dyDescent="0.25">
      <c r="D687" t="str">
        <f t="shared" si="43"/>
        <v/>
      </c>
      <c r="E687" t="str">
        <f t="shared" si="44"/>
        <v/>
      </c>
      <c r="F687" t="str">
        <f t="shared" si="41"/>
        <v/>
      </c>
      <c r="G687" t="str">
        <f>IF(LEN(TRIM(E687))=0, "", GetSampleTissueBySpecimenPrep(H687))</f>
        <v/>
      </c>
      <c r="H687" t="str">
        <f>IF(LEN(TRIM(E687))=0, "", GetSpecimenPrepName())</f>
        <v/>
      </c>
      <c r="I687" t="str">
        <f>IF(LEN(TRIM(E687))=0, "", GetSampleVolumeBySpecimenPrep(H687))</f>
        <v/>
      </c>
      <c r="L687" t="str">
        <f>IF(LEN(TRIM(E687))=0,"",VLOOKUP("Manifest Id",config!A:B,2,FALSE))</f>
        <v/>
      </c>
      <c r="M687" t="str">
        <f>IF(LEN(TRIM(E687))=0, "",VLOOKUP("Project Name",config!A:B,2,FALSE))</f>
        <v/>
      </c>
      <c r="N687" t="str">
        <f>IF(LEN(TRIM(E687))=0, "",VLOOKUP("Center Name",config!A:B,2,FALSE))</f>
        <v/>
      </c>
      <c r="O687" s="7" t="str">
        <f>IF(LEN(TRIM(E687))=0,"",VLOOKUP("Shipment Date",config!A:B,2,FALSE))</f>
        <v/>
      </c>
      <c r="P687" s="7" t="str">
        <f t="shared" si="42"/>
        <v/>
      </c>
      <c r="Q687" s="7" t="str">
        <f>IF(LEN(TRIM(D687))=0,"",GetConfigParameterValue("Collection Site"))</f>
        <v/>
      </c>
      <c r="R687" t="str">
        <f>IF(LEN(TRIM(E687))=0, "", GetManifestComments(H687))</f>
        <v/>
      </c>
      <c r="S687" t="str">
        <f>IF(LEN(TRIM(E687))=0,"",IF(ISERROR(VLOOKUP(E687,'Manifest MDB data'!A:A,1,FALSE)),"OK","EXISTS!!!"))</f>
        <v/>
      </c>
    </row>
    <row r="688" spans="4:19" x14ac:dyDescent="0.25">
      <c r="D688" t="str">
        <f t="shared" si="43"/>
        <v/>
      </c>
      <c r="E688" t="str">
        <f t="shared" si="44"/>
        <v/>
      </c>
      <c r="F688" t="str">
        <f t="shared" si="41"/>
        <v/>
      </c>
      <c r="G688" t="str">
        <f>IF(LEN(TRIM(E688))=0, "", GetSampleTissueBySpecimenPrep(H688))</f>
        <v/>
      </c>
      <c r="H688" t="str">
        <f>IF(LEN(TRIM(E688))=0, "", GetSpecimenPrepName())</f>
        <v/>
      </c>
      <c r="I688" t="str">
        <f>IF(LEN(TRIM(E688))=0, "", GetSampleVolumeBySpecimenPrep(H688))</f>
        <v/>
      </c>
      <c r="L688" t="str">
        <f>IF(LEN(TRIM(E688))=0,"",VLOOKUP("Manifest Id",config!A:B,2,FALSE))</f>
        <v/>
      </c>
      <c r="M688" t="str">
        <f>IF(LEN(TRIM(E688))=0, "",VLOOKUP("Project Name",config!A:B,2,FALSE))</f>
        <v/>
      </c>
      <c r="N688" t="str">
        <f>IF(LEN(TRIM(E688))=0, "",VLOOKUP("Center Name",config!A:B,2,FALSE))</f>
        <v/>
      </c>
      <c r="O688" s="7" t="str">
        <f>IF(LEN(TRIM(E688))=0,"",VLOOKUP("Shipment Date",config!A:B,2,FALSE))</f>
        <v/>
      </c>
      <c r="P688" s="7" t="str">
        <f t="shared" si="42"/>
        <v/>
      </c>
      <c r="Q688" s="7" t="str">
        <f>IF(LEN(TRIM(D688))=0,"",GetConfigParameterValue("Collection Site"))</f>
        <v/>
      </c>
      <c r="R688" t="str">
        <f>IF(LEN(TRIM(E688))=0, "", GetManifestComments(H688))</f>
        <v/>
      </c>
      <c r="S688" t="str">
        <f>IF(LEN(TRIM(E688))=0,"",IF(ISERROR(VLOOKUP(E688,'Manifest MDB data'!A:A,1,FALSE)),"OK","EXISTS!!!"))</f>
        <v/>
      </c>
    </row>
    <row r="689" spans="4:19" x14ac:dyDescent="0.25">
      <c r="D689" t="str">
        <f t="shared" si="43"/>
        <v/>
      </c>
      <c r="E689" t="str">
        <f t="shared" si="44"/>
        <v/>
      </c>
      <c r="F689" t="str">
        <f t="shared" si="41"/>
        <v/>
      </c>
      <c r="G689" t="str">
        <f>IF(LEN(TRIM(E689))=0, "", GetSampleTissueBySpecimenPrep(H689))</f>
        <v/>
      </c>
      <c r="H689" t="str">
        <f>IF(LEN(TRIM(E689))=0, "", GetSpecimenPrepName())</f>
        <v/>
      </c>
      <c r="I689" t="str">
        <f>IF(LEN(TRIM(E689))=0, "", GetSampleVolumeBySpecimenPrep(H689))</f>
        <v/>
      </c>
      <c r="L689" t="str">
        <f>IF(LEN(TRIM(E689))=0,"",VLOOKUP("Manifest Id",config!A:B,2,FALSE))</f>
        <v/>
      </c>
      <c r="M689" t="str">
        <f>IF(LEN(TRIM(E689))=0, "",VLOOKUP("Project Name",config!A:B,2,FALSE))</f>
        <v/>
      </c>
      <c r="N689" t="str">
        <f>IF(LEN(TRIM(E689))=0, "",VLOOKUP("Center Name",config!A:B,2,FALSE))</f>
        <v/>
      </c>
      <c r="O689" s="7" t="str">
        <f>IF(LEN(TRIM(E689))=0,"",VLOOKUP("Shipment Date",config!A:B,2,FALSE))</f>
        <v/>
      </c>
      <c r="P689" s="7" t="str">
        <f t="shared" si="42"/>
        <v/>
      </c>
      <c r="Q689" s="7" t="str">
        <f>IF(LEN(TRIM(D689))=0,"",GetConfigParameterValue("Collection Site"))</f>
        <v/>
      </c>
      <c r="R689" t="str">
        <f>IF(LEN(TRIM(E689))=0, "", GetManifestComments(H689))</f>
        <v/>
      </c>
      <c r="S689" t="str">
        <f>IF(LEN(TRIM(E689))=0,"",IF(ISERROR(VLOOKUP(E689,'Manifest MDB data'!A:A,1,FALSE)),"OK","EXISTS!!!"))</f>
        <v/>
      </c>
    </row>
    <row r="690" spans="4:19" x14ac:dyDescent="0.25">
      <c r="D690" t="str">
        <f t="shared" si="43"/>
        <v/>
      </c>
      <c r="E690" t="str">
        <f t="shared" si="44"/>
        <v/>
      </c>
      <c r="F690" t="str">
        <f t="shared" si="41"/>
        <v/>
      </c>
      <c r="G690" t="str">
        <f>IF(LEN(TRIM(E690))=0, "", GetSampleTissueBySpecimenPrep(H690))</f>
        <v/>
      </c>
      <c r="H690" t="str">
        <f>IF(LEN(TRIM(E690))=0, "", GetSpecimenPrepName())</f>
        <v/>
      </c>
      <c r="I690" t="str">
        <f>IF(LEN(TRIM(E690))=0, "", GetSampleVolumeBySpecimenPrep(H690))</f>
        <v/>
      </c>
      <c r="L690" t="str">
        <f>IF(LEN(TRIM(E690))=0,"",VLOOKUP("Manifest Id",config!A:B,2,FALSE))</f>
        <v/>
      </c>
      <c r="M690" t="str">
        <f>IF(LEN(TRIM(E690))=0, "",VLOOKUP("Project Name",config!A:B,2,FALSE))</f>
        <v/>
      </c>
      <c r="N690" t="str">
        <f>IF(LEN(TRIM(E690))=0, "",VLOOKUP("Center Name",config!A:B,2,FALSE))</f>
        <v/>
      </c>
      <c r="O690" s="7" t="str">
        <f>IF(LEN(TRIM(E690))=0,"",VLOOKUP("Shipment Date",config!A:B,2,FALSE))</f>
        <v/>
      </c>
      <c r="P690" s="7" t="str">
        <f t="shared" si="42"/>
        <v/>
      </c>
      <c r="Q690" s="7" t="str">
        <f>IF(LEN(TRIM(D690))=0,"",GetConfigParameterValue("Collection Site"))</f>
        <v/>
      </c>
      <c r="R690" t="str">
        <f>IF(LEN(TRIM(E690))=0, "", GetManifestComments(H690))</f>
        <v/>
      </c>
      <c r="S690" t="str">
        <f>IF(LEN(TRIM(E690))=0,"",IF(ISERROR(VLOOKUP(E690,'Manifest MDB data'!A:A,1,FALSE)),"OK","EXISTS!!!"))</f>
        <v/>
      </c>
    </row>
    <row r="691" spans="4:19" x14ac:dyDescent="0.25">
      <c r="D691" t="str">
        <f t="shared" si="43"/>
        <v/>
      </c>
      <c r="E691" t="str">
        <f t="shared" si="44"/>
        <v/>
      </c>
      <c r="F691" t="str">
        <f t="shared" si="41"/>
        <v/>
      </c>
      <c r="G691" t="str">
        <f>IF(LEN(TRIM(E691))=0, "", GetSampleTissueBySpecimenPrep(H691))</f>
        <v/>
      </c>
      <c r="H691" t="str">
        <f>IF(LEN(TRIM(E691))=0, "", GetSpecimenPrepName())</f>
        <v/>
      </c>
      <c r="I691" t="str">
        <f>IF(LEN(TRIM(E691))=0, "", GetSampleVolumeBySpecimenPrep(H691))</f>
        <v/>
      </c>
      <c r="L691" t="str">
        <f>IF(LEN(TRIM(E691))=0,"",VLOOKUP("Manifest Id",config!A:B,2,FALSE))</f>
        <v/>
      </c>
      <c r="M691" t="str">
        <f>IF(LEN(TRIM(E691))=0, "",VLOOKUP("Project Name",config!A:B,2,FALSE))</f>
        <v/>
      </c>
      <c r="N691" t="str">
        <f>IF(LEN(TRIM(E691))=0, "",VLOOKUP("Center Name",config!A:B,2,FALSE))</f>
        <v/>
      </c>
      <c r="O691" s="7" t="str">
        <f>IF(LEN(TRIM(E691))=0,"",VLOOKUP("Shipment Date",config!A:B,2,FALSE))</f>
        <v/>
      </c>
      <c r="P691" s="7" t="str">
        <f t="shared" si="42"/>
        <v/>
      </c>
      <c r="Q691" s="7" t="str">
        <f>IF(LEN(TRIM(D691))=0,"",GetConfigParameterValue("Collection Site"))</f>
        <v/>
      </c>
      <c r="R691" t="str">
        <f>IF(LEN(TRIM(E691))=0, "", GetManifestComments(H691))</f>
        <v/>
      </c>
      <c r="S691" t="str">
        <f>IF(LEN(TRIM(E691))=0,"",IF(ISERROR(VLOOKUP(E691,'Manifest MDB data'!A:A,1,FALSE)),"OK","EXISTS!!!"))</f>
        <v/>
      </c>
    </row>
    <row r="692" spans="4:19" x14ac:dyDescent="0.25">
      <c r="D692" t="str">
        <f t="shared" si="43"/>
        <v/>
      </c>
      <c r="E692" t="str">
        <f t="shared" si="44"/>
        <v/>
      </c>
      <c r="F692" t="str">
        <f t="shared" si="41"/>
        <v/>
      </c>
      <c r="G692" t="str">
        <f>IF(LEN(TRIM(E692))=0, "", GetSampleTissueBySpecimenPrep(H692))</f>
        <v/>
      </c>
      <c r="H692" t="str">
        <f>IF(LEN(TRIM(E692))=0, "", GetSpecimenPrepName())</f>
        <v/>
      </c>
      <c r="I692" t="str">
        <f>IF(LEN(TRIM(E692))=0, "", GetSampleVolumeBySpecimenPrep(H692))</f>
        <v/>
      </c>
      <c r="L692" t="str">
        <f>IF(LEN(TRIM(E692))=0,"",VLOOKUP("Manifest Id",config!A:B,2,FALSE))</f>
        <v/>
      </c>
      <c r="M692" t="str">
        <f>IF(LEN(TRIM(E692))=0, "",VLOOKUP("Project Name",config!A:B,2,FALSE))</f>
        <v/>
      </c>
      <c r="N692" t="str">
        <f>IF(LEN(TRIM(E692))=0, "",VLOOKUP("Center Name",config!A:B,2,FALSE))</f>
        <v/>
      </c>
      <c r="O692" s="7" t="str">
        <f>IF(LEN(TRIM(E692))=0,"",VLOOKUP("Shipment Date",config!A:B,2,FALSE))</f>
        <v/>
      </c>
      <c r="P692" s="7" t="str">
        <f t="shared" si="42"/>
        <v/>
      </c>
      <c r="Q692" s="7" t="str">
        <f>IF(LEN(TRIM(D692))=0,"",GetConfigParameterValue("Collection Site"))</f>
        <v/>
      </c>
      <c r="R692" t="str">
        <f>IF(LEN(TRIM(E692))=0, "", GetManifestComments(H692))</f>
        <v/>
      </c>
      <c r="S692" t="str">
        <f>IF(LEN(TRIM(E692))=0,"",IF(ISERROR(VLOOKUP(E692,'Manifest MDB data'!A:A,1,FALSE)),"OK","EXISTS!!!"))</f>
        <v/>
      </c>
    </row>
    <row r="693" spans="4:19" x14ac:dyDescent="0.25">
      <c r="D693" t="str">
        <f t="shared" si="43"/>
        <v/>
      </c>
      <c r="E693" t="str">
        <f t="shared" si="44"/>
        <v/>
      </c>
      <c r="F693" t="str">
        <f t="shared" si="41"/>
        <v/>
      </c>
      <c r="G693" t="str">
        <f>IF(LEN(TRIM(E693))=0, "", GetSampleTissueBySpecimenPrep(H693))</f>
        <v/>
      </c>
      <c r="H693" t="str">
        <f>IF(LEN(TRIM(E693))=0, "", GetSpecimenPrepName())</f>
        <v/>
      </c>
      <c r="I693" t="str">
        <f>IF(LEN(TRIM(E693))=0, "", GetSampleVolumeBySpecimenPrep(H693))</f>
        <v/>
      </c>
      <c r="L693" t="str">
        <f>IF(LEN(TRIM(E693))=0,"",VLOOKUP("Manifest Id",config!A:B,2,FALSE))</f>
        <v/>
      </c>
      <c r="M693" t="str">
        <f>IF(LEN(TRIM(E693))=0, "",VLOOKUP("Project Name",config!A:B,2,FALSE))</f>
        <v/>
      </c>
      <c r="N693" t="str">
        <f>IF(LEN(TRIM(E693))=0, "",VLOOKUP("Center Name",config!A:B,2,FALSE))</f>
        <v/>
      </c>
      <c r="O693" s="7" t="str">
        <f>IF(LEN(TRIM(E693))=0,"",VLOOKUP("Shipment Date",config!A:B,2,FALSE))</f>
        <v/>
      </c>
      <c r="P693" s="7" t="str">
        <f t="shared" si="42"/>
        <v/>
      </c>
      <c r="Q693" s="7" t="str">
        <f>IF(LEN(TRIM(D693))=0,"",GetConfigParameterValue("Collection Site"))</f>
        <v/>
      </c>
      <c r="R693" t="str">
        <f>IF(LEN(TRIM(E693))=0, "", GetManifestComments(H693))</f>
        <v/>
      </c>
      <c r="S693" t="str">
        <f>IF(LEN(TRIM(E693))=0,"",IF(ISERROR(VLOOKUP(E693,'Manifest MDB data'!A:A,1,FALSE)),"OK","EXISTS!!!"))</f>
        <v/>
      </c>
    </row>
    <row r="694" spans="4:19" x14ac:dyDescent="0.25">
      <c r="D694" t="str">
        <f t="shared" si="43"/>
        <v/>
      </c>
      <c r="E694" t="str">
        <f t="shared" si="44"/>
        <v/>
      </c>
      <c r="F694" t="str">
        <f t="shared" ref="F694:F757" si="45">IF(LEN(TRIM(E694))=0, "", "Human")</f>
        <v/>
      </c>
      <c r="G694" t="str">
        <f>IF(LEN(TRIM(E694))=0, "", GetSampleTissueBySpecimenPrep(H694))</f>
        <v/>
      </c>
      <c r="H694" t="str">
        <f>IF(LEN(TRIM(E694))=0, "", GetSpecimenPrepName())</f>
        <v/>
      </c>
      <c r="I694" t="str">
        <f>IF(LEN(TRIM(E694))=0, "", GetSampleVolumeBySpecimenPrep(H694))</f>
        <v/>
      </c>
      <c r="L694" t="str">
        <f>IF(LEN(TRIM(E694))=0,"",VLOOKUP("Manifest Id",config!A:B,2,FALSE))</f>
        <v/>
      </c>
      <c r="M694" t="str">
        <f>IF(LEN(TRIM(E694))=0, "",VLOOKUP("Project Name",config!A:B,2,FALSE))</f>
        <v/>
      </c>
      <c r="N694" t="str">
        <f>IF(LEN(TRIM(E694))=0, "",VLOOKUP("Center Name",config!A:B,2,FALSE))</f>
        <v/>
      </c>
      <c r="O694" s="7" t="str">
        <f>IF(LEN(TRIM(E694))=0,"",VLOOKUP("Shipment Date",config!A:B,2,FALSE))</f>
        <v/>
      </c>
      <c r="P694" s="7" t="str">
        <f t="shared" si="42"/>
        <v/>
      </c>
      <c r="Q694" s="7" t="str">
        <f>IF(LEN(TRIM(D694))=0,"",GetConfigParameterValue("Collection Site"))</f>
        <v/>
      </c>
      <c r="R694" t="str">
        <f>IF(LEN(TRIM(E694))=0, "", GetManifestComments(H694))</f>
        <v/>
      </c>
      <c r="S694" t="str">
        <f>IF(LEN(TRIM(E694))=0,"",IF(ISERROR(VLOOKUP(E694,'Manifest MDB data'!A:A,1,FALSE)),"OK","EXISTS!!!"))</f>
        <v/>
      </c>
    </row>
    <row r="695" spans="4:19" x14ac:dyDescent="0.25">
      <c r="D695" t="str">
        <f t="shared" si="43"/>
        <v/>
      </c>
      <c r="E695" t="str">
        <f t="shared" si="44"/>
        <v/>
      </c>
      <c r="F695" t="str">
        <f t="shared" si="45"/>
        <v/>
      </c>
      <c r="G695" t="str">
        <f>IF(LEN(TRIM(E695))=0, "", GetSampleTissueBySpecimenPrep(H695))</f>
        <v/>
      </c>
      <c r="H695" t="str">
        <f>IF(LEN(TRIM(E695))=0, "", GetSpecimenPrepName())</f>
        <v/>
      </c>
      <c r="I695" t="str">
        <f>IF(LEN(TRIM(E695))=0, "", GetSampleVolumeBySpecimenPrep(H695))</f>
        <v/>
      </c>
      <c r="L695" t="str">
        <f>IF(LEN(TRIM(E695))=0,"",VLOOKUP("Manifest Id",config!A:B,2,FALSE))</f>
        <v/>
      </c>
      <c r="M695" t="str">
        <f>IF(LEN(TRIM(E695))=0, "",VLOOKUP("Project Name",config!A:B,2,FALSE))</f>
        <v/>
      </c>
      <c r="N695" t="str">
        <f>IF(LEN(TRIM(E695))=0, "",VLOOKUP("Center Name",config!A:B,2,FALSE))</f>
        <v/>
      </c>
      <c r="O695" s="7" t="str">
        <f>IF(LEN(TRIM(E695))=0,"",VLOOKUP("Shipment Date",config!A:B,2,FALSE))</f>
        <v/>
      </c>
      <c r="P695" s="7" t="str">
        <f t="shared" si="42"/>
        <v/>
      </c>
      <c r="Q695" s="7" t="str">
        <f>IF(LEN(TRIM(D695))=0,"",GetConfigParameterValue("Collection Site"))</f>
        <v/>
      </c>
      <c r="R695" t="str">
        <f>IF(LEN(TRIM(E695))=0, "", GetManifestComments(H695))</f>
        <v/>
      </c>
      <c r="S695" t="str">
        <f>IF(LEN(TRIM(E695))=0,"",IF(ISERROR(VLOOKUP(E695,'Manifest MDB data'!A:A,1,FALSE)),"OK","EXISTS!!!"))</f>
        <v/>
      </c>
    </row>
    <row r="696" spans="4:19" x14ac:dyDescent="0.25">
      <c r="D696" t="str">
        <f t="shared" si="43"/>
        <v/>
      </c>
      <c r="E696" t="str">
        <f t="shared" si="44"/>
        <v/>
      </c>
      <c r="F696" t="str">
        <f t="shared" si="45"/>
        <v/>
      </c>
      <c r="G696" t="str">
        <f>IF(LEN(TRIM(E696))=0, "", GetSampleTissueBySpecimenPrep(H696))</f>
        <v/>
      </c>
      <c r="H696" t="str">
        <f>IF(LEN(TRIM(E696))=0, "", GetSpecimenPrepName())</f>
        <v/>
      </c>
      <c r="I696" t="str">
        <f>IF(LEN(TRIM(E696))=0, "", GetSampleVolumeBySpecimenPrep(H696))</f>
        <v/>
      </c>
      <c r="L696" t="str">
        <f>IF(LEN(TRIM(E696))=0,"",VLOOKUP("Manifest Id",config!A:B,2,FALSE))</f>
        <v/>
      </c>
      <c r="M696" t="str">
        <f>IF(LEN(TRIM(E696))=0, "",VLOOKUP("Project Name",config!A:B,2,FALSE))</f>
        <v/>
      </c>
      <c r="N696" t="str">
        <f>IF(LEN(TRIM(E696))=0, "",VLOOKUP("Center Name",config!A:B,2,FALSE))</f>
        <v/>
      </c>
      <c r="O696" s="7" t="str">
        <f>IF(LEN(TRIM(E696))=0,"",VLOOKUP("Shipment Date",config!A:B,2,FALSE))</f>
        <v/>
      </c>
      <c r="P696" s="7" t="str">
        <f t="shared" si="42"/>
        <v/>
      </c>
      <c r="Q696" s="7" t="str">
        <f>IF(LEN(TRIM(D696))=0,"",GetConfigParameterValue("Collection Site"))</f>
        <v/>
      </c>
      <c r="R696" t="str">
        <f>IF(LEN(TRIM(E696))=0, "", GetManifestComments(H696))</f>
        <v/>
      </c>
      <c r="S696" t="str">
        <f>IF(LEN(TRIM(E696))=0,"",IF(ISERROR(VLOOKUP(E696,'Manifest MDB data'!A:A,1,FALSE)),"OK","EXISTS!!!"))</f>
        <v/>
      </c>
    </row>
    <row r="697" spans="4:19" x14ac:dyDescent="0.25">
      <c r="D697" t="str">
        <f t="shared" si="43"/>
        <v/>
      </c>
      <c r="E697" t="str">
        <f t="shared" si="44"/>
        <v/>
      </c>
      <c r="F697" t="str">
        <f t="shared" si="45"/>
        <v/>
      </c>
      <c r="G697" t="str">
        <f>IF(LEN(TRIM(E697))=0, "", GetSampleTissueBySpecimenPrep(H697))</f>
        <v/>
      </c>
      <c r="H697" t="str">
        <f>IF(LEN(TRIM(E697))=0, "", GetSpecimenPrepName())</f>
        <v/>
      </c>
      <c r="I697" t="str">
        <f>IF(LEN(TRIM(E697))=0, "", GetSampleVolumeBySpecimenPrep(H697))</f>
        <v/>
      </c>
      <c r="L697" t="str">
        <f>IF(LEN(TRIM(E697))=0,"",VLOOKUP("Manifest Id",config!A:B,2,FALSE))</f>
        <v/>
      </c>
      <c r="M697" t="str">
        <f>IF(LEN(TRIM(E697))=0, "",VLOOKUP("Project Name",config!A:B,2,FALSE))</f>
        <v/>
      </c>
      <c r="N697" t="str">
        <f>IF(LEN(TRIM(E697))=0, "",VLOOKUP("Center Name",config!A:B,2,FALSE))</f>
        <v/>
      </c>
      <c r="O697" s="7" t="str">
        <f>IF(LEN(TRIM(E697))=0,"",VLOOKUP("Shipment Date",config!A:B,2,FALSE))</f>
        <v/>
      </c>
      <c r="P697" s="7" t="str">
        <f t="shared" si="42"/>
        <v/>
      </c>
      <c r="Q697" s="7" t="str">
        <f>IF(LEN(TRIM(D697))=0,"",GetConfigParameterValue("Collection Site"))</f>
        <v/>
      </c>
      <c r="R697" t="str">
        <f>IF(LEN(TRIM(E697))=0, "", GetManifestComments(H697))</f>
        <v/>
      </c>
      <c r="S697" t="str">
        <f>IF(LEN(TRIM(E697))=0,"",IF(ISERROR(VLOOKUP(E697,'Manifest MDB data'!A:A,1,FALSE)),"OK","EXISTS!!!"))</f>
        <v/>
      </c>
    </row>
    <row r="698" spans="4:19" x14ac:dyDescent="0.25">
      <c r="D698" t="str">
        <f t="shared" si="43"/>
        <v/>
      </c>
      <c r="E698" t="str">
        <f t="shared" si="44"/>
        <v/>
      </c>
      <c r="F698" t="str">
        <f t="shared" si="45"/>
        <v/>
      </c>
      <c r="G698" t="str">
        <f>IF(LEN(TRIM(E698))=0, "", GetSampleTissueBySpecimenPrep(H698))</f>
        <v/>
      </c>
      <c r="H698" t="str">
        <f>IF(LEN(TRIM(E698))=0, "", GetSpecimenPrepName())</f>
        <v/>
      </c>
      <c r="I698" t="str">
        <f>IF(LEN(TRIM(E698))=0, "", GetSampleVolumeBySpecimenPrep(H698))</f>
        <v/>
      </c>
      <c r="L698" t="str">
        <f>IF(LEN(TRIM(E698))=0,"",VLOOKUP("Manifest Id",config!A:B,2,FALSE))</f>
        <v/>
      </c>
      <c r="M698" t="str">
        <f>IF(LEN(TRIM(E698))=0, "",VLOOKUP("Project Name",config!A:B,2,FALSE))</f>
        <v/>
      </c>
      <c r="N698" t="str">
        <f>IF(LEN(TRIM(E698))=0, "",VLOOKUP("Center Name",config!A:B,2,FALSE))</f>
        <v/>
      </c>
      <c r="O698" s="7" t="str">
        <f>IF(LEN(TRIM(E698))=0,"",VLOOKUP("Shipment Date",config!A:B,2,FALSE))</f>
        <v/>
      </c>
      <c r="P698" s="7" t="str">
        <f t="shared" si="42"/>
        <v/>
      </c>
      <c r="Q698" s="7" t="str">
        <f>IF(LEN(TRIM(D698))=0,"",GetConfigParameterValue("Collection Site"))</f>
        <v/>
      </c>
      <c r="R698" t="str">
        <f>IF(LEN(TRIM(E698))=0, "", GetManifestComments(H698))</f>
        <v/>
      </c>
      <c r="S698" t="str">
        <f>IF(LEN(TRIM(E698))=0,"",IF(ISERROR(VLOOKUP(E698,'Manifest MDB data'!A:A,1,FALSE)),"OK","EXISTS!!!"))</f>
        <v/>
      </c>
    </row>
    <row r="699" spans="4:19" x14ac:dyDescent="0.25">
      <c r="D699" t="str">
        <f t="shared" si="43"/>
        <v/>
      </c>
      <c r="E699" t="str">
        <f t="shared" si="44"/>
        <v/>
      </c>
      <c r="F699" t="str">
        <f t="shared" si="45"/>
        <v/>
      </c>
      <c r="G699" t="str">
        <f>IF(LEN(TRIM(E699))=0, "", GetSampleTissueBySpecimenPrep(H699))</f>
        <v/>
      </c>
      <c r="H699" t="str">
        <f>IF(LEN(TRIM(E699))=0, "", GetSpecimenPrepName())</f>
        <v/>
      </c>
      <c r="I699" t="str">
        <f>IF(LEN(TRIM(E699))=0, "", GetSampleVolumeBySpecimenPrep(H699))</f>
        <v/>
      </c>
      <c r="L699" t="str">
        <f>IF(LEN(TRIM(E699))=0,"",VLOOKUP("Manifest Id",config!A:B,2,FALSE))</f>
        <v/>
      </c>
      <c r="M699" t="str">
        <f>IF(LEN(TRIM(E699))=0, "",VLOOKUP("Project Name",config!A:B,2,FALSE))</f>
        <v/>
      </c>
      <c r="N699" t="str">
        <f>IF(LEN(TRIM(E699))=0, "",VLOOKUP("Center Name",config!A:B,2,FALSE))</f>
        <v/>
      </c>
      <c r="O699" s="7" t="str">
        <f>IF(LEN(TRIM(E699))=0,"",VLOOKUP("Shipment Date",config!A:B,2,FALSE))</f>
        <v/>
      </c>
      <c r="P699" s="7" t="str">
        <f t="shared" si="42"/>
        <v/>
      </c>
      <c r="Q699" s="7" t="str">
        <f>IF(LEN(TRIM(D699))=0,"",GetConfigParameterValue("Collection Site"))</f>
        <v/>
      </c>
      <c r="R699" t="str">
        <f>IF(LEN(TRIM(E699))=0, "", GetManifestComments(H699))</f>
        <v/>
      </c>
      <c r="S699" t="str">
        <f>IF(LEN(TRIM(E699))=0,"",IF(ISERROR(VLOOKUP(E699,'Manifest MDB data'!A:A,1,FALSE)),"OK","EXISTS!!!"))</f>
        <v/>
      </c>
    </row>
    <row r="700" spans="4:19" x14ac:dyDescent="0.25">
      <c r="D700" t="str">
        <f t="shared" si="43"/>
        <v/>
      </c>
      <c r="E700" t="str">
        <f t="shared" si="44"/>
        <v/>
      </c>
      <c r="F700" t="str">
        <f t="shared" si="45"/>
        <v/>
      </c>
      <c r="G700" t="str">
        <f>IF(LEN(TRIM(E700))=0, "", GetSampleTissueBySpecimenPrep(H700))</f>
        <v/>
      </c>
      <c r="H700" t="str">
        <f>IF(LEN(TRIM(E700))=0, "", GetSpecimenPrepName())</f>
        <v/>
      </c>
      <c r="I700" t="str">
        <f>IF(LEN(TRIM(E700))=0, "", GetSampleVolumeBySpecimenPrep(H700))</f>
        <v/>
      </c>
      <c r="L700" t="str">
        <f>IF(LEN(TRIM(E700))=0,"",VLOOKUP("Manifest Id",config!A:B,2,FALSE))</f>
        <v/>
      </c>
      <c r="M700" t="str">
        <f>IF(LEN(TRIM(E700))=0, "",VLOOKUP("Project Name",config!A:B,2,FALSE))</f>
        <v/>
      </c>
      <c r="N700" t="str">
        <f>IF(LEN(TRIM(E700))=0, "",VLOOKUP("Center Name",config!A:B,2,FALSE))</f>
        <v/>
      </c>
      <c r="O700" s="7" t="str">
        <f>IF(LEN(TRIM(E700))=0,"",VLOOKUP("Shipment Date",config!A:B,2,FALSE))</f>
        <v/>
      </c>
      <c r="P700" s="7" t="str">
        <f t="shared" si="42"/>
        <v/>
      </c>
      <c r="Q700" s="7" t="str">
        <f>IF(LEN(TRIM(D700))=0,"",GetConfigParameterValue("Collection Site"))</f>
        <v/>
      </c>
      <c r="R700" t="str">
        <f>IF(LEN(TRIM(E700))=0, "", GetManifestComments(H700))</f>
        <v/>
      </c>
      <c r="S700" t="str">
        <f>IF(LEN(TRIM(E700))=0,"",IF(ISERROR(VLOOKUP(E700,'Manifest MDB data'!A:A,1,FALSE)),"OK","EXISTS!!!"))</f>
        <v/>
      </c>
    </row>
    <row r="701" spans="4:19" x14ac:dyDescent="0.25">
      <c r="D701" t="str">
        <f t="shared" si="43"/>
        <v/>
      </c>
      <c r="E701" t="str">
        <f t="shared" si="44"/>
        <v/>
      </c>
      <c r="F701" t="str">
        <f t="shared" si="45"/>
        <v/>
      </c>
      <c r="G701" t="str">
        <f>IF(LEN(TRIM(E701))=0, "", GetSampleTissueBySpecimenPrep(H701))</f>
        <v/>
      </c>
      <c r="H701" t="str">
        <f>IF(LEN(TRIM(E701))=0, "", GetSpecimenPrepName())</f>
        <v/>
      </c>
      <c r="I701" t="str">
        <f>IF(LEN(TRIM(E701))=0, "", GetSampleVolumeBySpecimenPrep(H701))</f>
        <v/>
      </c>
      <c r="L701" t="str">
        <f>IF(LEN(TRIM(E701))=0,"",VLOOKUP("Manifest Id",config!A:B,2,FALSE))</f>
        <v/>
      </c>
      <c r="M701" t="str">
        <f>IF(LEN(TRIM(E701))=0, "",VLOOKUP("Project Name",config!A:B,2,FALSE))</f>
        <v/>
      </c>
      <c r="N701" t="str">
        <f>IF(LEN(TRIM(E701))=0, "",VLOOKUP("Center Name",config!A:B,2,FALSE))</f>
        <v/>
      </c>
      <c r="O701" s="7" t="str">
        <f>IF(LEN(TRIM(E701))=0,"",VLOOKUP("Shipment Date",config!A:B,2,FALSE))</f>
        <v/>
      </c>
      <c r="P701" s="7" t="str">
        <f t="shared" si="42"/>
        <v/>
      </c>
      <c r="Q701" s="7" t="str">
        <f>IF(LEN(TRIM(D701))=0,"",GetConfigParameterValue("Collection Site"))</f>
        <v/>
      </c>
      <c r="R701" t="str">
        <f>IF(LEN(TRIM(E701))=0, "", GetManifestComments(H701))</f>
        <v/>
      </c>
      <c r="S701" t="str">
        <f>IF(LEN(TRIM(E701))=0,"",IF(ISERROR(VLOOKUP(E701,'Manifest MDB data'!A:A,1,FALSE)),"OK","EXISTS!!!"))</f>
        <v/>
      </c>
    </row>
    <row r="702" spans="4:19" x14ac:dyDescent="0.25">
      <c r="D702" t="str">
        <f t="shared" si="43"/>
        <v/>
      </c>
      <c r="E702" t="str">
        <f t="shared" si="44"/>
        <v/>
      </c>
      <c r="F702" t="str">
        <f t="shared" si="45"/>
        <v/>
      </c>
      <c r="G702" t="str">
        <f>IF(LEN(TRIM(E702))=0, "", GetSampleTissueBySpecimenPrep(H702))</f>
        <v/>
      </c>
      <c r="H702" t="str">
        <f>IF(LEN(TRIM(E702))=0, "", GetSpecimenPrepName())</f>
        <v/>
      </c>
      <c r="I702" t="str">
        <f>IF(LEN(TRIM(E702))=0, "", GetSampleVolumeBySpecimenPrep(H702))</f>
        <v/>
      </c>
      <c r="L702" t="str">
        <f>IF(LEN(TRIM(E702))=0,"",VLOOKUP("Manifest Id",config!A:B,2,FALSE))</f>
        <v/>
      </c>
      <c r="M702" t="str">
        <f>IF(LEN(TRIM(E702))=0, "",VLOOKUP("Project Name",config!A:B,2,FALSE))</f>
        <v/>
      </c>
      <c r="N702" t="str">
        <f>IF(LEN(TRIM(E702))=0, "",VLOOKUP("Center Name",config!A:B,2,FALSE))</f>
        <v/>
      </c>
      <c r="O702" s="7" t="str">
        <f>IF(LEN(TRIM(E702))=0,"",VLOOKUP("Shipment Date",config!A:B,2,FALSE))</f>
        <v/>
      </c>
      <c r="P702" s="7" t="str">
        <f t="shared" si="42"/>
        <v/>
      </c>
      <c r="Q702" s="7" t="str">
        <f>IF(LEN(TRIM(D702))=0,"",GetConfigParameterValue("Collection Site"))</f>
        <v/>
      </c>
      <c r="R702" t="str">
        <f>IF(LEN(TRIM(E702))=0, "", GetManifestComments(H702))</f>
        <v/>
      </c>
      <c r="S702" t="str">
        <f>IF(LEN(TRIM(E702))=0,"",IF(ISERROR(VLOOKUP(E702,'Manifest MDB data'!A:A,1,FALSE)),"OK","EXISTS!!!"))</f>
        <v/>
      </c>
    </row>
    <row r="703" spans="4:19" x14ac:dyDescent="0.25">
      <c r="D703" t="str">
        <f t="shared" si="43"/>
        <v/>
      </c>
      <c r="E703" t="str">
        <f t="shared" si="44"/>
        <v/>
      </c>
      <c r="F703" t="str">
        <f t="shared" si="45"/>
        <v/>
      </c>
      <c r="G703" t="str">
        <f>IF(LEN(TRIM(E703))=0, "", GetSampleTissueBySpecimenPrep(H703))</f>
        <v/>
      </c>
      <c r="H703" t="str">
        <f>IF(LEN(TRIM(E703))=0, "", GetSpecimenPrepName())</f>
        <v/>
      </c>
      <c r="I703" t="str">
        <f>IF(LEN(TRIM(E703))=0, "", GetSampleVolumeBySpecimenPrep(H703))</f>
        <v/>
      </c>
      <c r="L703" t="str">
        <f>IF(LEN(TRIM(E703))=0,"",VLOOKUP("Manifest Id",config!A:B,2,FALSE))</f>
        <v/>
      </c>
      <c r="M703" t="str">
        <f>IF(LEN(TRIM(E703))=0, "",VLOOKUP("Project Name",config!A:B,2,FALSE))</f>
        <v/>
      </c>
      <c r="N703" t="str">
        <f>IF(LEN(TRIM(E703))=0, "",VLOOKUP("Center Name",config!A:B,2,FALSE))</f>
        <v/>
      </c>
      <c r="O703" s="7" t="str">
        <f>IF(LEN(TRIM(E703))=0,"",VLOOKUP("Shipment Date",config!A:B,2,FALSE))</f>
        <v/>
      </c>
      <c r="P703" s="7" t="str">
        <f t="shared" si="42"/>
        <v/>
      </c>
      <c r="Q703" s="7" t="str">
        <f>IF(LEN(TRIM(D703))=0,"",GetConfigParameterValue("Collection Site"))</f>
        <v/>
      </c>
      <c r="R703" t="str">
        <f>IF(LEN(TRIM(E703))=0, "", GetManifestComments(H703))</f>
        <v/>
      </c>
      <c r="S703" t="str">
        <f>IF(LEN(TRIM(E703))=0,"",IF(ISERROR(VLOOKUP(E703,'Manifest MDB data'!A:A,1,FALSE)),"OK","EXISTS!!!"))</f>
        <v/>
      </c>
    </row>
    <row r="704" spans="4:19" x14ac:dyDescent="0.25">
      <c r="D704" t="str">
        <f t="shared" si="43"/>
        <v/>
      </c>
      <c r="E704" t="str">
        <f t="shared" si="44"/>
        <v/>
      </c>
      <c r="F704" t="str">
        <f t="shared" si="45"/>
        <v/>
      </c>
      <c r="G704" t="str">
        <f>IF(LEN(TRIM(E704))=0, "", GetSampleTissueBySpecimenPrep(H704))</f>
        <v/>
      </c>
      <c r="H704" t="str">
        <f>IF(LEN(TRIM(E704))=0, "", GetSpecimenPrepName())</f>
        <v/>
      </c>
      <c r="I704" t="str">
        <f>IF(LEN(TRIM(E704))=0, "", GetSampleVolumeBySpecimenPrep(H704))</f>
        <v/>
      </c>
      <c r="L704" t="str">
        <f>IF(LEN(TRIM(E704))=0,"",VLOOKUP("Manifest Id",config!A:B,2,FALSE))</f>
        <v/>
      </c>
      <c r="M704" t="str">
        <f>IF(LEN(TRIM(E704))=0, "",VLOOKUP("Project Name",config!A:B,2,FALSE))</f>
        <v/>
      </c>
      <c r="N704" t="str">
        <f>IF(LEN(TRIM(E704))=0, "",VLOOKUP("Center Name",config!A:B,2,FALSE))</f>
        <v/>
      </c>
      <c r="O704" s="7" t="str">
        <f>IF(LEN(TRIM(E704))=0,"",VLOOKUP("Shipment Date",config!A:B,2,FALSE))</f>
        <v/>
      </c>
      <c r="P704" s="7" t="str">
        <f t="shared" si="42"/>
        <v/>
      </c>
      <c r="Q704" s="7" t="str">
        <f>IF(LEN(TRIM(D704))=0,"",GetConfigParameterValue("Collection Site"))</f>
        <v/>
      </c>
      <c r="R704" t="str">
        <f>IF(LEN(TRIM(E704))=0, "", GetManifestComments(H704))</f>
        <v/>
      </c>
      <c r="S704" t="str">
        <f>IF(LEN(TRIM(E704))=0,"",IF(ISERROR(VLOOKUP(E704,'Manifest MDB data'!A:A,1,FALSE)),"OK","EXISTS!!!"))</f>
        <v/>
      </c>
    </row>
    <row r="705" spans="4:19" x14ac:dyDescent="0.25">
      <c r="D705" t="str">
        <f t="shared" si="43"/>
        <v/>
      </c>
      <c r="E705" t="str">
        <f t="shared" si="44"/>
        <v/>
      </c>
      <c r="F705" t="str">
        <f t="shared" si="45"/>
        <v/>
      </c>
      <c r="G705" t="str">
        <f>IF(LEN(TRIM(E705))=0, "", GetSampleTissueBySpecimenPrep(H705))</f>
        <v/>
      </c>
      <c r="H705" t="str">
        <f>IF(LEN(TRIM(E705))=0, "", GetSpecimenPrepName())</f>
        <v/>
      </c>
      <c r="I705" t="str">
        <f>IF(LEN(TRIM(E705))=0, "", GetSampleVolumeBySpecimenPrep(H705))</f>
        <v/>
      </c>
      <c r="L705" t="str">
        <f>IF(LEN(TRIM(E705))=0,"",VLOOKUP("Manifest Id",config!A:B,2,FALSE))</f>
        <v/>
      </c>
      <c r="M705" t="str">
        <f>IF(LEN(TRIM(E705))=0, "",VLOOKUP("Project Name",config!A:B,2,FALSE))</f>
        <v/>
      </c>
      <c r="N705" t="str">
        <f>IF(LEN(TRIM(E705))=0, "",VLOOKUP("Center Name",config!A:B,2,FALSE))</f>
        <v/>
      </c>
      <c r="O705" s="7" t="str">
        <f>IF(LEN(TRIM(E705))=0,"",VLOOKUP("Shipment Date",config!A:B,2,FALSE))</f>
        <v/>
      </c>
      <c r="P705" s="7" t="str">
        <f t="shared" si="42"/>
        <v/>
      </c>
      <c r="Q705" s="7" t="str">
        <f>IF(LEN(TRIM(D705))=0,"",GetConfigParameterValue("Collection Site"))</f>
        <v/>
      </c>
      <c r="R705" t="str">
        <f>IF(LEN(TRIM(E705))=0, "", GetManifestComments(H705))</f>
        <v/>
      </c>
      <c r="S705" t="str">
        <f>IF(LEN(TRIM(E705))=0,"",IF(ISERROR(VLOOKUP(E705,'Manifest MDB data'!A:A,1,FALSE)),"OK","EXISTS!!!"))</f>
        <v/>
      </c>
    </row>
    <row r="706" spans="4:19" x14ac:dyDescent="0.25">
      <c r="D706" t="str">
        <f t="shared" si="43"/>
        <v/>
      </c>
      <c r="E706" t="str">
        <f t="shared" si="44"/>
        <v/>
      </c>
      <c r="F706" t="str">
        <f t="shared" si="45"/>
        <v/>
      </c>
      <c r="G706" t="str">
        <f>IF(LEN(TRIM(E706))=0, "", GetSampleTissueBySpecimenPrep(H706))</f>
        <v/>
      </c>
      <c r="H706" t="str">
        <f>IF(LEN(TRIM(E706))=0, "", GetSpecimenPrepName())</f>
        <v/>
      </c>
      <c r="I706" t="str">
        <f>IF(LEN(TRIM(E706))=0, "", GetSampleVolumeBySpecimenPrep(H706))</f>
        <v/>
      </c>
      <c r="L706" t="str">
        <f>IF(LEN(TRIM(E706))=0,"",VLOOKUP("Manifest Id",config!A:B,2,FALSE))</f>
        <v/>
      </c>
      <c r="M706" t="str">
        <f>IF(LEN(TRIM(E706))=0, "",VLOOKUP("Project Name",config!A:B,2,FALSE))</f>
        <v/>
      </c>
      <c r="N706" t="str">
        <f>IF(LEN(TRIM(E706))=0, "",VLOOKUP("Center Name",config!A:B,2,FALSE))</f>
        <v/>
      </c>
      <c r="O706" s="7" t="str">
        <f>IF(LEN(TRIM(E706))=0,"",VLOOKUP("Shipment Date",config!A:B,2,FALSE))</f>
        <v/>
      </c>
      <c r="P706" s="7" t="str">
        <f t="shared" ref="P706:P769" si="46">getColumnValueBySubjectID("Visit Date", RIGHT(LEFT(D706,7),4))</f>
        <v/>
      </c>
      <c r="Q706" s="7" t="str">
        <f>IF(LEN(TRIM(D706))=0,"",GetConfigParameterValue("Collection Site"))</f>
        <v/>
      </c>
      <c r="R706" t="str">
        <f>IF(LEN(TRIM(E706))=0, "", GetManifestComments(H706))</f>
        <v/>
      </c>
      <c r="S706" t="str">
        <f>IF(LEN(TRIM(E706))=0,"",IF(ISERROR(VLOOKUP(E706,'Manifest MDB data'!A:A,1,FALSE)),"OK","EXISTS!!!"))</f>
        <v/>
      </c>
    </row>
    <row r="707" spans="4:19" x14ac:dyDescent="0.25">
      <c r="D707" t="str">
        <f t="shared" ref="D707:D770" si="47">GetSampleId((ROW()))</f>
        <v/>
      </c>
      <c r="E707" t="str">
        <f t="shared" ref="E707:E770" si="48">GetAliquotId((ROW()))</f>
        <v/>
      </c>
      <c r="F707" t="str">
        <f t="shared" si="45"/>
        <v/>
      </c>
      <c r="G707" t="str">
        <f>IF(LEN(TRIM(E707))=0, "", GetSampleTissueBySpecimenPrep(H707))</f>
        <v/>
      </c>
      <c r="H707" t="str">
        <f>IF(LEN(TRIM(E707))=0, "", GetSpecimenPrepName())</f>
        <v/>
      </c>
      <c r="I707" t="str">
        <f>IF(LEN(TRIM(E707))=0, "", GetSampleVolumeBySpecimenPrep(H707))</f>
        <v/>
      </c>
      <c r="L707" t="str">
        <f>IF(LEN(TRIM(E707))=0,"",VLOOKUP("Manifest Id",config!A:B,2,FALSE))</f>
        <v/>
      </c>
      <c r="M707" t="str">
        <f>IF(LEN(TRIM(E707))=0, "",VLOOKUP("Project Name",config!A:B,2,FALSE))</f>
        <v/>
      </c>
      <c r="N707" t="str">
        <f>IF(LEN(TRIM(E707))=0, "",VLOOKUP("Center Name",config!A:B,2,FALSE))</f>
        <v/>
      </c>
      <c r="O707" s="7" t="str">
        <f>IF(LEN(TRIM(E707))=0,"",VLOOKUP("Shipment Date",config!A:B,2,FALSE))</f>
        <v/>
      </c>
      <c r="P707" s="7" t="str">
        <f t="shared" si="46"/>
        <v/>
      </c>
      <c r="Q707" s="7" t="str">
        <f>IF(LEN(TRIM(D707))=0,"",GetConfigParameterValue("Collection Site"))</f>
        <v/>
      </c>
      <c r="R707" t="str">
        <f>IF(LEN(TRIM(E707))=0, "", GetManifestComments(H707))</f>
        <v/>
      </c>
      <c r="S707" t="str">
        <f>IF(LEN(TRIM(E707))=0,"",IF(ISERROR(VLOOKUP(E707,'Manifest MDB data'!A:A,1,FALSE)),"OK","EXISTS!!!"))</f>
        <v/>
      </c>
    </row>
    <row r="708" spans="4:19" x14ac:dyDescent="0.25">
      <c r="D708" t="str">
        <f t="shared" si="47"/>
        <v/>
      </c>
      <c r="E708" t="str">
        <f t="shared" si="48"/>
        <v/>
      </c>
      <c r="F708" t="str">
        <f t="shared" si="45"/>
        <v/>
      </c>
      <c r="G708" t="str">
        <f>IF(LEN(TRIM(E708))=0, "", GetSampleTissueBySpecimenPrep(H708))</f>
        <v/>
      </c>
      <c r="H708" t="str">
        <f>IF(LEN(TRIM(E708))=0, "", GetSpecimenPrepName())</f>
        <v/>
      </c>
      <c r="I708" t="str">
        <f>IF(LEN(TRIM(E708))=0, "", GetSampleVolumeBySpecimenPrep(H708))</f>
        <v/>
      </c>
      <c r="L708" t="str">
        <f>IF(LEN(TRIM(E708))=0,"",VLOOKUP("Manifest Id",config!A:B,2,FALSE))</f>
        <v/>
      </c>
      <c r="M708" t="str">
        <f>IF(LEN(TRIM(E708))=0, "",VLOOKUP("Project Name",config!A:B,2,FALSE))</f>
        <v/>
      </c>
      <c r="N708" t="str">
        <f>IF(LEN(TRIM(E708))=0, "",VLOOKUP("Center Name",config!A:B,2,FALSE))</f>
        <v/>
      </c>
      <c r="O708" s="7" t="str">
        <f>IF(LEN(TRIM(E708))=0,"",VLOOKUP("Shipment Date",config!A:B,2,FALSE))</f>
        <v/>
      </c>
      <c r="P708" s="7" t="str">
        <f t="shared" si="46"/>
        <v/>
      </c>
      <c r="Q708" s="7" t="str">
        <f>IF(LEN(TRIM(D708))=0,"",GetConfigParameterValue("Collection Site"))</f>
        <v/>
      </c>
      <c r="R708" t="str">
        <f>IF(LEN(TRIM(E708))=0, "", GetManifestComments(H708))</f>
        <v/>
      </c>
      <c r="S708" t="str">
        <f>IF(LEN(TRIM(E708))=0,"",IF(ISERROR(VLOOKUP(E708,'Manifest MDB data'!A:A,1,FALSE)),"OK","EXISTS!!!"))</f>
        <v/>
      </c>
    </row>
    <row r="709" spans="4:19" x14ac:dyDescent="0.25">
      <c r="D709" t="str">
        <f t="shared" si="47"/>
        <v/>
      </c>
      <c r="E709" t="str">
        <f t="shared" si="48"/>
        <v/>
      </c>
      <c r="F709" t="str">
        <f t="shared" si="45"/>
        <v/>
      </c>
      <c r="G709" t="str">
        <f>IF(LEN(TRIM(E709))=0, "", GetSampleTissueBySpecimenPrep(H709))</f>
        <v/>
      </c>
      <c r="H709" t="str">
        <f>IF(LEN(TRIM(E709))=0, "", GetSpecimenPrepName())</f>
        <v/>
      </c>
      <c r="I709" t="str">
        <f>IF(LEN(TRIM(E709))=0, "", GetSampleVolumeBySpecimenPrep(H709))</f>
        <v/>
      </c>
      <c r="L709" t="str">
        <f>IF(LEN(TRIM(E709))=0,"",VLOOKUP("Manifest Id",config!A:B,2,FALSE))</f>
        <v/>
      </c>
      <c r="M709" t="str">
        <f>IF(LEN(TRIM(E709))=0, "",VLOOKUP("Project Name",config!A:B,2,FALSE))</f>
        <v/>
      </c>
      <c r="N709" t="str">
        <f>IF(LEN(TRIM(E709))=0, "",VLOOKUP("Center Name",config!A:B,2,FALSE))</f>
        <v/>
      </c>
      <c r="O709" s="7" t="str">
        <f>IF(LEN(TRIM(E709))=0,"",VLOOKUP("Shipment Date",config!A:B,2,FALSE))</f>
        <v/>
      </c>
      <c r="P709" s="7" t="str">
        <f t="shared" si="46"/>
        <v/>
      </c>
      <c r="Q709" s="7" t="str">
        <f>IF(LEN(TRIM(D709))=0,"",GetConfigParameterValue("Collection Site"))</f>
        <v/>
      </c>
      <c r="R709" t="str">
        <f>IF(LEN(TRIM(E709))=0, "", GetManifestComments(H709))</f>
        <v/>
      </c>
      <c r="S709" t="str">
        <f>IF(LEN(TRIM(E709))=0,"",IF(ISERROR(VLOOKUP(E709,'Manifest MDB data'!A:A,1,FALSE)),"OK","EXISTS!!!"))</f>
        <v/>
      </c>
    </row>
    <row r="710" spans="4:19" x14ac:dyDescent="0.25">
      <c r="D710" t="str">
        <f t="shared" si="47"/>
        <v/>
      </c>
      <c r="E710" t="str">
        <f t="shared" si="48"/>
        <v/>
      </c>
      <c r="F710" t="str">
        <f t="shared" si="45"/>
        <v/>
      </c>
      <c r="G710" t="str">
        <f>IF(LEN(TRIM(E710))=0, "", GetSampleTissueBySpecimenPrep(H710))</f>
        <v/>
      </c>
      <c r="H710" t="str">
        <f>IF(LEN(TRIM(E710))=0, "", GetSpecimenPrepName())</f>
        <v/>
      </c>
      <c r="I710" t="str">
        <f>IF(LEN(TRIM(E710))=0, "", GetSampleVolumeBySpecimenPrep(H710))</f>
        <v/>
      </c>
      <c r="L710" t="str">
        <f>IF(LEN(TRIM(E710))=0,"",VLOOKUP("Manifest Id",config!A:B,2,FALSE))</f>
        <v/>
      </c>
      <c r="M710" t="str">
        <f>IF(LEN(TRIM(E710))=0, "",VLOOKUP("Project Name",config!A:B,2,FALSE))</f>
        <v/>
      </c>
      <c r="N710" t="str">
        <f>IF(LEN(TRIM(E710))=0, "",VLOOKUP("Center Name",config!A:B,2,FALSE))</f>
        <v/>
      </c>
      <c r="O710" s="7" t="str">
        <f>IF(LEN(TRIM(E710))=0,"",VLOOKUP("Shipment Date",config!A:B,2,FALSE))</f>
        <v/>
      </c>
      <c r="P710" s="7" t="str">
        <f t="shared" si="46"/>
        <v/>
      </c>
      <c r="Q710" s="7" t="str">
        <f>IF(LEN(TRIM(D710))=0,"",GetConfigParameterValue("Collection Site"))</f>
        <v/>
      </c>
      <c r="R710" t="str">
        <f>IF(LEN(TRIM(E710))=0, "", GetManifestComments(H710))</f>
        <v/>
      </c>
      <c r="S710" t="str">
        <f>IF(LEN(TRIM(E710))=0,"",IF(ISERROR(VLOOKUP(E710,'Manifest MDB data'!A:A,1,FALSE)),"OK","EXISTS!!!"))</f>
        <v/>
      </c>
    </row>
    <row r="711" spans="4:19" x14ac:dyDescent="0.25">
      <c r="D711" t="str">
        <f t="shared" si="47"/>
        <v/>
      </c>
      <c r="E711" t="str">
        <f t="shared" si="48"/>
        <v/>
      </c>
      <c r="F711" t="str">
        <f t="shared" si="45"/>
        <v/>
      </c>
      <c r="G711" t="str">
        <f>IF(LEN(TRIM(E711))=0, "", GetSampleTissueBySpecimenPrep(H711))</f>
        <v/>
      </c>
      <c r="H711" t="str">
        <f>IF(LEN(TRIM(E711))=0, "", GetSpecimenPrepName())</f>
        <v/>
      </c>
      <c r="I711" t="str">
        <f>IF(LEN(TRIM(E711))=0, "", GetSampleVolumeBySpecimenPrep(H711))</f>
        <v/>
      </c>
      <c r="L711" t="str">
        <f>IF(LEN(TRIM(E711))=0,"",VLOOKUP("Manifest Id",config!A:B,2,FALSE))</f>
        <v/>
      </c>
      <c r="M711" t="str">
        <f>IF(LEN(TRIM(E711))=0, "",VLOOKUP("Project Name",config!A:B,2,FALSE))</f>
        <v/>
      </c>
      <c r="N711" t="str">
        <f>IF(LEN(TRIM(E711))=0, "",VLOOKUP("Center Name",config!A:B,2,FALSE))</f>
        <v/>
      </c>
      <c r="O711" s="7" t="str">
        <f>IF(LEN(TRIM(E711))=0,"",VLOOKUP("Shipment Date",config!A:B,2,FALSE))</f>
        <v/>
      </c>
      <c r="P711" s="7" t="str">
        <f t="shared" si="46"/>
        <v/>
      </c>
      <c r="Q711" s="7" t="str">
        <f>IF(LEN(TRIM(D711))=0,"",GetConfigParameterValue("Collection Site"))</f>
        <v/>
      </c>
      <c r="R711" t="str">
        <f>IF(LEN(TRIM(E711))=0, "", GetManifestComments(H711))</f>
        <v/>
      </c>
      <c r="S711" t="str">
        <f>IF(LEN(TRIM(E711))=0,"",IF(ISERROR(VLOOKUP(E711,'Manifest MDB data'!A:A,1,FALSE)),"OK","EXISTS!!!"))</f>
        <v/>
      </c>
    </row>
    <row r="712" spans="4:19" x14ac:dyDescent="0.25">
      <c r="D712" t="str">
        <f t="shared" si="47"/>
        <v/>
      </c>
      <c r="E712" t="str">
        <f t="shared" si="48"/>
        <v/>
      </c>
      <c r="F712" t="str">
        <f t="shared" si="45"/>
        <v/>
      </c>
      <c r="G712" t="str">
        <f>IF(LEN(TRIM(E712))=0, "", GetSampleTissueBySpecimenPrep(H712))</f>
        <v/>
      </c>
      <c r="H712" t="str">
        <f>IF(LEN(TRIM(E712))=0, "", GetSpecimenPrepName())</f>
        <v/>
      </c>
      <c r="I712" t="str">
        <f>IF(LEN(TRIM(E712))=0, "", GetSampleVolumeBySpecimenPrep(H712))</f>
        <v/>
      </c>
      <c r="L712" t="str">
        <f>IF(LEN(TRIM(E712))=0,"",VLOOKUP("Manifest Id",config!A:B,2,FALSE))</f>
        <v/>
      </c>
      <c r="M712" t="str">
        <f>IF(LEN(TRIM(E712))=0, "",VLOOKUP("Project Name",config!A:B,2,FALSE))</f>
        <v/>
      </c>
      <c r="N712" t="str">
        <f>IF(LEN(TRIM(E712))=0, "",VLOOKUP("Center Name",config!A:B,2,FALSE))</f>
        <v/>
      </c>
      <c r="O712" s="7" t="str">
        <f>IF(LEN(TRIM(E712))=0,"",VLOOKUP("Shipment Date",config!A:B,2,FALSE))</f>
        <v/>
      </c>
      <c r="P712" s="7" t="str">
        <f t="shared" si="46"/>
        <v/>
      </c>
      <c r="Q712" s="7" t="str">
        <f>IF(LEN(TRIM(D712))=0,"",GetConfigParameterValue("Collection Site"))</f>
        <v/>
      </c>
      <c r="R712" t="str">
        <f>IF(LEN(TRIM(E712))=0, "", GetManifestComments(H712))</f>
        <v/>
      </c>
      <c r="S712" t="str">
        <f>IF(LEN(TRIM(E712))=0,"",IF(ISERROR(VLOOKUP(E712,'Manifest MDB data'!A:A,1,FALSE)),"OK","EXISTS!!!"))</f>
        <v/>
      </c>
    </row>
    <row r="713" spans="4:19" x14ac:dyDescent="0.25">
      <c r="D713" t="str">
        <f t="shared" si="47"/>
        <v/>
      </c>
      <c r="E713" t="str">
        <f t="shared" si="48"/>
        <v/>
      </c>
      <c r="F713" t="str">
        <f t="shared" si="45"/>
        <v/>
      </c>
      <c r="G713" t="str">
        <f>IF(LEN(TRIM(E713))=0, "", GetSampleTissueBySpecimenPrep(H713))</f>
        <v/>
      </c>
      <c r="H713" t="str">
        <f>IF(LEN(TRIM(E713))=0, "", GetSpecimenPrepName())</f>
        <v/>
      </c>
      <c r="I713" t="str">
        <f>IF(LEN(TRIM(E713))=0, "", GetSampleVolumeBySpecimenPrep(H713))</f>
        <v/>
      </c>
      <c r="L713" t="str">
        <f>IF(LEN(TRIM(E713))=0,"",VLOOKUP("Manifest Id",config!A:B,2,FALSE))</f>
        <v/>
      </c>
      <c r="M713" t="str">
        <f>IF(LEN(TRIM(E713))=0, "",VLOOKUP("Project Name",config!A:B,2,FALSE))</f>
        <v/>
      </c>
      <c r="N713" t="str">
        <f>IF(LEN(TRIM(E713))=0, "",VLOOKUP("Center Name",config!A:B,2,FALSE))</f>
        <v/>
      </c>
      <c r="O713" s="7" t="str">
        <f>IF(LEN(TRIM(E713))=0,"",VLOOKUP("Shipment Date",config!A:B,2,FALSE))</f>
        <v/>
      </c>
      <c r="P713" s="7" t="str">
        <f t="shared" si="46"/>
        <v/>
      </c>
      <c r="Q713" s="7" t="str">
        <f>IF(LEN(TRIM(D713))=0,"",GetConfigParameterValue("Collection Site"))</f>
        <v/>
      </c>
      <c r="R713" t="str">
        <f>IF(LEN(TRIM(E713))=0, "", GetManifestComments(H713))</f>
        <v/>
      </c>
      <c r="S713" t="str">
        <f>IF(LEN(TRIM(E713))=0,"",IF(ISERROR(VLOOKUP(E713,'Manifest MDB data'!A:A,1,FALSE)),"OK","EXISTS!!!"))</f>
        <v/>
      </c>
    </row>
    <row r="714" spans="4:19" x14ac:dyDescent="0.25">
      <c r="D714" t="str">
        <f t="shared" si="47"/>
        <v/>
      </c>
      <c r="E714" t="str">
        <f t="shared" si="48"/>
        <v/>
      </c>
      <c r="F714" t="str">
        <f t="shared" si="45"/>
        <v/>
      </c>
      <c r="G714" t="str">
        <f>IF(LEN(TRIM(E714))=0, "", GetSampleTissueBySpecimenPrep(H714))</f>
        <v/>
      </c>
      <c r="H714" t="str">
        <f>IF(LEN(TRIM(E714))=0, "", GetSpecimenPrepName())</f>
        <v/>
      </c>
      <c r="I714" t="str">
        <f>IF(LEN(TRIM(E714))=0, "", GetSampleVolumeBySpecimenPrep(H714))</f>
        <v/>
      </c>
      <c r="L714" t="str">
        <f>IF(LEN(TRIM(E714))=0,"",VLOOKUP("Manifest Id",config!A:B,2,FALSE))</f>
        <v/>
      </c>
      <c r="M714" t="str">
        <f>IF(LEN(TRIM(E714))=0, "",VLOOKUP("Project Name",config!A:B,2,FALSE))</f>
        <v/>
      </c>
      <c r="N714" t="str">
        <f>IF(LEN(TRIM(E714))=0, "",VLOOKUP("Center Name",config!A:B,2,FALSE))</f>
        <v/>
      </c>
      <c r="O714" s="7" t="str">
        <f>IF(LEN(TRIM(E714))=0,"",VLOOKUP("Shipment Date",config!A:B,2,FALSE))</f>
        <v/>
      </c>
      <c r="P714" s="7" t="str">
        <f t="shared" si="46"/>
        <v/>
      </c>
      <c r="Q714" s="7" t="str">
        <f>IF(LEN(TRIM(D714))=0,"",GetConfigParameterValue("Collection Site"))</f>
        <v/>
      </c>
      <c r="R714" t="str">
        <f>IF(LEN(TRIM(E714))=0, "", GetManifestComments(H714))</f>
        <v/>
      </c>
      <c r="S714" t="str">
        <f>IF(LEN(TRIM(E714))=0,"",IF(ISERROR(VLOOKUP(E714,'Manifest MDB data'!A:A,1,FALSE)),"OK","EXISTS!!!"))</f>
        <v/>
      </c>
    </row>
    <row r="715" spans="4:19" x14ac:dyDescent="0.25">
      <c r="D715" t="str">
        <f t="shared" si="47"/>
        <v/>
      </c>
      <c r="E715" t="str">
        <f t="shared" si="48"/>
        <v/>
      </c>
      <c r="F715" t="str">
        <f t="shared" si="45"/>
        <v/>
      </c>
      <c r="G715" t="str">
        <f>IF(LEN(TRIM(E715))=0, "", GetSampleTissueBySpecimenPrep(H715))</f>
        <v/>
      </c>
      <c r="H715" t="str">
        <f>IF(LEN(TRIM(E715))=0, "", GetSpecimenPrepName())</f>
        <v/>
      </c>
      <c r="I715" t="str">
        <f>IF(LEN(TRIM(E715))=0, "", GetSampleVolumeBySpecimenPrep(H715))</f>
        <v/>
      </c>
      <c r="L715" t="str">
        <f>IF(LEN(TRIM(E715))=0,"",VLOOKUP("Manifest Id",config!A:B,2,FALSE))</f>
        <v/>
      </c>
      <c r="M715" t="str">
        <f>IF(LEN(TRIM(E715))=0, "",VLOOKUP("Project Name",config!A:B,2,FALSE))</f>
        <v/>
      </c>
      <c r="N715" t="str">
        <f>IF(LEN(TRIM(E715))=0, "",VLOOKUP("Center Name",config!A:B,2,FALSE))</f>
        <v/>
      </c>
      <c r="O715" s="7" t="str">
        <f>IF(LEN(TRIM(E715))=0,"",VLOOKUP("Shipment Date",config!A:B,2,FALSE))</f>
        <v/>
      </c>
      <c r="P715" s="7" t="str">
        <f t="shared" si="46"/>
        <v/>
      </c>
      <c r="Q715" s="7" t="str">
        <f>IF(LEN(TRIM(D715))=0,"",GetConfigParameterValue("Collection Site"))</f>
        <v/>
      </c>
      <c r="R715" t="str">
        <f>IF(LEN(TRIM(E715))=0, "", GetManifestComments(H715))</f>
        <v/>
      </c>
      <c r="S715" t="str">
        <f>IF(LEN(TRIM(E715))=0,"",IF(ISERROR(VLOOKUP(E715,'Manifest MDB data'!A:A,1,FALSE)),"OK","EXISTS!!!"))</f>
        <v/>
      </c>
    </row>
    <row r="716" spans="4:19" x14ac:dyDescent="0.25">
      <c r="D716" t="str">
        <f t="shared" si="47"/>
        <v/>
      </c>
      <c r="E716" t="str">
        <f t="shared" si="48"/>
        <v/>
      </c>
      <c r="F716" t="str">
        <f t="shared" si="45"/>
        <v/>
      </c>
      <c r="G716" t="str">
        <f>IF(LEN(TRIM(E716))=0, "", GetSampleTissueBySpecimenPrep(H716))</f>
        <v/>
      </c>
      <c r="H716" t="str">
        <f>IF(LEN(TRIM(E716))=0, "", GetSpecimenPrepName())</f>
        <v/>
      </c>
      <c r="I716" t="str">
        <f>IF(LEN(TRIM(E716))=0, "", GetSampleVolumeBySpecimenPrep(H716))</f>
        <v/>
      </c>
      <c r="L716" t="str">
        <f>IF(LEN(TRIM(E716))=0,"",VLOOKUP("Manifest Id",config!A:B,2,FALSE))</f>
        <v/>
      </c>
      <c r="M716" t="str">
        <f>IF(LEN(TRIM(E716))=0, "",VLOOKUP("Project Name",config!A:B,2,FALSE))</f>
        <v/>
      </c>
      <c r="N716" t="str">
        <f>IF(LEN(TRIM(E716))=0, "",VLOOKUP("Center Name",config!A:B,2,FALSE))</f>
        <v/>
      </c>
      <c r="O716" s="7" t="str">
        <f>IF(LEN(TRIM(E716))=0,"",VLOOKUP("Shipment Date",config!A:B,2,FALSE))</f>
        <v/>
      </c>
      <c r="P716" s="7" t="str">
        <f t="shared" si="46"/>
        <v/>
      </c>
      <c r="Q716" s="7" t="str">
        <f>IF(LEN(TRIM(D716))=0,"",GetConfigParameterValue("Collection Site"))</f>
        <v/>
      </c>
      <c r="R716" t="str">
        <f>IF(LEN(TRIM(E716))=0, "", GetManifestComments(H716))</f>
        <v/>
      </c>
      <c r="S716" t="str">
        <f>IF(LEN(TRIM(E716))=0,"",IF(ISERROR(VLOOKUP(E716,'Manifest MDB data'!A:A,1,FALSE)),"OK","EXISTS!!!"))</f>
        <v/>
      </c>
    </row>
    <row r="717" spans="4:19" x14ac:dyDescent="0.25">
      <c r="D717" t="str">
        <f t="shared" si="47"/>
        <v/>
      </c>
      <c r="E717" t="str">
        <f t="shared" si="48"/>
        <v/>
      </c>
      <c r="F717" t="str">
        <f t="shared" si="45"/>
        <v/>
      </c>
      <c r="G717" t="str">
        <f>IF(LEN(TRIM(E717))=0, "", GetSampleTissueBySpecimenPrep(H717))</f>
        <v/>
      </c>
      <c r="H717" t="str">
        <f>IF(LEN(TRIM(E717))=0, "", GetSpecimenPrepName())</f>
        <v/>
      </c>
      <c r="I717" t="str">
        <f>IF(LEN(TRIM(E717))=0, "", GetSampleVolumeBySpecimenPrep(H717))</f>
        <v/>
      </c>
      <c r="L717" t="str">
        <f>IF(LEN(TRIM(E717))=0,"",VLOOKUP("Manifest Id",config!A:B,2,FALSE))</f>
        <v/>
      </c>
      <c r="M717" t="str">
        <f>IF(LEN(TRIM(E717))=0, "",VLOOKUP("Project Name",config!A:B,2,FALSE))</f>
        <v/>
      </c>
      <c r="N717" t="str">
        <f>IF(LEN(TRIM(E717))=0, "",VLOOKUP("Center Name",config!A:B,2,FALSE))</f>
        <v/>
      </c>
      <c r="O717" s="7" t="str">
        <f>IF(LEN(TRIM(E717))=0,"",VLOOKUP("Shipment Date",config!A:B,2,FALSE))</f>
        <v/>
      </c>
      <c r="P717" s="7" t="str">
        <f t="shared" si="46"/>
        <v/>
      </c>
      <c r="Q717" s="7" t="str">
        <f>IF(LEN(TRIM(D717))=0,"",GetConfigParameterValue("Collection Site"))</f>
        <v/>
      </c>
      <c r="R717" t="str">
        <f>IF(LEN(TRIM(E717))=0, "", GetManifestComments(H717))</f>
        <v/>
      </c>
      <c r="S717" t="str">
        <f>IF(LEN(TRIM(E717))=0,"",IF(ISERROR(VLOOKUP(E717,'Manifest MDB data'!A:A,1,FALSE)),"OK","EXISTS!!!"))</f>
        <v/>
      </c>
    </row>
    <row r="718" spans="4:19" x14ac:dyDescent="0.25">
      <c r="D718" t="str">
        <f t="shared" si="47"/>
        <v/>
      </c>
      <c r="E718" t="str">
        <f t="shared" si="48"/>
        <v/>
      </c>
      <c r="F718" t="str">
        <f t="shared" si="45"/>
        <v/>
      </c>
      <c r="G718" t="str">
        <f>IF(LEN(TRIM(E718))=0, "", GetSampleTissueBySpecimenPrep(H718))</f>
        <v/>
      </c>
      <c r="H718" t="str">
        <f>IF(LEN(TRIM(E718))=0, "", GetSpecimenPrepName())</f>
        <v/>
      </c>
      <c r="I718" t="str">
        <f>IF(LEN(TRIM(E718))=0, "", GetSampleVolumeBySpecimenPrep(H718))</f>
        <v/>
      </c>
      <c r="L718" t="str">
        <f>IF(LEN(TRIM(E718))=0,"",VLOOKUP("Manifest Id",config!A:B,2,FALSE))</f>
        <v/>
      </c>
      <c r="M718" t="str">
        <f>IF(LEN(TRIM(E718))=0, "",VLOOKUP("Project Name",config!A:B,2,FALSE))</f>
        <v/>
      </c>
      <c r="N718" t="str">
        <f>IF(LEN(TRIM(E718))=0, "",VLOOKUP("Center Name",config!A:B,2,FALSE))</f>
        <v/>
      </c>
      <c r="O718" s="7" t="str">
        <f>IF(LEN(TRIM(E718))=0,"",VLOOKUP("Shipment Date",config!A:B,2,FALSE))</f>
        <v/>
      </c>
      <c r="P718" s="7" t="str">
        <f t="shared" si="46"/>
        <v/>
      </c>
      <c r="Q718" s="7" t="str">
        <f>IF(LEN(TRIM(D718))=0,"",GetConfigParameterValue("Collection Site"))</f>
        <v/>
      </c>
      <c r="R718" t="str">
        <f>IF(LEN(TRIM(E718))=0, "", GetManifestComments(H718))</f>
        <v/>
      </c>
      <c r="S718" t="str">
        <f>IF(LEN(TRIM(E718))=0,"",IF(ISERROR(VLOOKUP(E718,'Manifest MDB data'!A:A,1,FALSE)),"OK","EXISTS!!!"))</f>
        <v/>
      </c>
    </row>
    <row r="719" spans="4:19" x14ac:dyDescent="0.25">
      <c r="D719" t="str">
        <f t="shared" si="47"/>
        <v/>
      </c>
      <c r="E719" t="str">
        <f t="shared" si="48"/>
        <v/>
      </c>
      <c r="F719" t="str">
        <f t="shared" si="45"/>
        <v/>
      </c>
      <c r="G719" t="str">
        <f>IF(LEN(TRIM(E719))=0, "", GetSampleTissueBySpecimenPrep(H719))</f>
        <v/>
      </c>
      <c r="H719" t="str">
        <f>IF(LEN(TRIM(E719))=0, "", GetSpecimenPrepName())</f>
        <v/>
      </c>
      <c r="I719" t="str">
        <f>IF(LEN(TRIM(E719))=0, "", GetSampleVolumeBySpecimenPrep(H719))</f>
        <v/>
      </c>
      <c r="L719" t="str">
        <f>IF(LEN(TRIM(E719))=0,"",VLOOKUP("Manifest Id",config!A:B,2,FALSE))</f>
        <v/>
      </c>
      <c r="M719" t="str">
        <f>IF(LEN(TRIM(E719))=0, "",VLOOKUP("Project Name",config!A:B,2,FALSE))</f>
        <v/>
      </c>
      <c r="N719" t="str">
        <f>IF(LEN(TRIM(E719))=0, "",VLOOKUP("Center Name",config!A:B,2,FALSE))</f>
        <v/>
      </c>
      <c r="O719" s="7" t="str">
        <f>IF(LEN(TRIM(E719))=0,"",VLOOKUP("Shipment Date",config!A:B,2,FALSE))</f>
        <v/>
      </c>
      <c r="P719" s="7" t="str">
        <f t="shared" si="46"/>
        <v/>
      </c>
      <c r="Q719" s="7" t="str">
        <f>IF(LEN(TRIM(D719))=0,"",GetConfigParameterValue("Collection Site"))</f>
        <v/>
      </c>
      <c r="R719" t="str">
        <f>IF(LEN(TRIM(E719))=0, "", GetManifestComments(H719))</f>
        <v/>
      </c>
      <c r="S719" t="str">
        <f>IF(LEN(TRIM(E719))=0,"",IF(ISERROR(VLOOKUP(E719,'Manifest MDB data'!A:A,1,FALSE)),"OK","EXISTS!!!"))</f>
        <v/>
      </c>
    </row>
    <row r="720" spans="4:19" x14ac:dyDescent="0.25">
      <c r="D720" t="str">
        <f t="shared" si="47"/>
        <v/>
      </c>
      <c r="E720" t="str">
        <f t="shared" si="48"/>
        <v/>
      </c>
      <c r="F720" t="str">
        <f t="shared" si="45"/>
        <v/>
      </c>
      <c r="G720" t="str">
        <f>IF(LEN(TRIM(E720))=0, "", GetSampleTissueBySpecimenPrep(H720))</f>
        <v/>
      </c>
      <c r="H720" t="str">
        <f>IF(LEN(TRIM(E720))=0, "", GetSpecimenPrepName())</f>
        <v/>
      </c>
      <c r="I720" t="str">
        <f>IF(LEN(TRIM(E720))=0, "", GetSampleVolumeBySpecimenPrep(H720))</f>
        <v/>
      </c>
      <c r="L720" t="str">
        <f>IF(LEN(TRIM(E720))=0,"",VLOOKUP("Manifest Id",config!A:B,2,FALSE))</f>
        <v/>
      </c>
      <c r="M720" t="str">
        <f>IF(LEN(TRIM(E720))=0, "",VLOOKUP("Project Name",config!A:B,2,FALSE))</f>
        <v/>
      </c>
      <c r="N720" t="str">
        <f>IF(LEN(TRIM(E720))=0, "",VLOOKUP("Center Name",config!A:B,2,FALSE))</f>
        <v/>
      </c>
      <c r="O720" s="7" t="str">
        <f>IF(LEN(TRIM(E720))=0,"",VLOOKUP("Shipment Date",config!A:B,2,FALSE))</f>
        <v/>
      </c>
      <c r="P720" s="7" t="str">
        <f t="shared" si="46"/>
        <v/>
      </c>
      <c r="Q720" s="7" t="str">
        <f>IF(LEN(TRIM(D720))=0,"",GetConfigParameterValue("Collection Site"))</f>
        <v/>
      </c>
      <c r="R720" t="str">
        <f>IF(LEN(TRIM(E720))=0, "", GetManifestComments(H720))</f>
        <v/>
      </c>
      <c r="S720" t="str">
        <f>IF(LEN(TRIM(E720))=0,"",IF(ISERROR(VLOOKUP(E720,'Manifest MDB data'!A:A,1,FALSE)),"OK","EXISTS!!!"))</f>
        <v/>
      </c>
    </row>
    <row r="721" spans="4:19" x14ac:dyDescent="0.25">
      <c r="D721" t="str">
        <f t="shared" si="47"/>
        <v/>
      </c>
      <c r="E721" t="str">
        <f t="shared" si="48"/>
        <v/>
      </c>
      <c r="F721" t="str">
        <f t="shared" si="45"/>
        <v/>
      </c>
      <c r="G721" t="str">
        <f>IF(LEN(TRIM(E721))=0, "", GetSampleTissueBySpecimenPrep(H721))</f>
        <v/>
      </c>
      <c r="H721" t="str">
        <f>IF(LEN(TRIM(E721))=0, "", GetSpecimenPrepName())</f>
        <v/>
      </c>
      <c r="I721" t="str">
        <f>IF(LEN(TRIM(E721))=0, "", GetSampleVolumeBySpecimenPrep(H721))</f>
        <v/>
      </c>
      <c r="L721" t="str">
        <f>IF(LEN(TRIM(E721))=0,"",VLOOKUP("Manifest Id",config!A:B,2,FALSE))</f>
        <v/>
      </c>
      <c r="M721" t="str">
        <f>IF(LEN(TRIM(E721))=0, "",VLOOKUP("Project Name",config!A:B,2,FALSE))</f>
        <v/>
      </c>
      <c r="N721" t="str">
        <f>IF(LEN(TRIM(E721))=0, "",VLOOKUP("Center Name",config!A:B,2,FALSE))</f>
        <v/>
      </c>
      <c r="O721" s="7" t="str">
        <f>IF(LEN(TRIM(E721))=0,"",VLOOKUP("Shipment Date",config!A:B,2,FALSE))</f>
        <v/>
      </c>
      <c r="P721" s="7" t="str">
        <f t="shared" si="46"/>
        <v/>
      </c>
      <c r="Q721" s="7" t="str">
        <f>IF(LEN(TRIM(D721))=0,"",GetConfigParameterValue("Collection Site"))</f>
        <v/>
      </c>
      <c r="R721" t="str">
        <f>IF(LEN(TRIM(E721))=0, "", GetManifestComments(H721))</f>
        <v/>
      </c>
      <c r="S721" t="str">
        <f>IF(LEN(TRIM(E721))=0,"",IF(ISERROR(VLOOKUP(E721,'Manifest MDB data'!A:A,1,FALSE)),"OK","EXISTS!!!"))</f>
        <v/>
      </c>
    </row>
    <row r="722" spans="4:19" x14ac:dyDescent="0.25">
      <c r="D722" t="str">
        <f t="shared" si="47"/>
        <v/>
      </c>
      <c r="E722" t="str">
        <f t="shared" si="48"/>
        <v/>
      </c>
      <c r="F722" t="str">
        <f t="shared" si="45"/>
        <v/>
      </c>
      <c r="G722" t="str">
        <f>IF(LEN(TRIM(E722))=0, "", GetSampleTissueBySpecimenPrep(H722))</f>
        <v/>
      </c>
      <c r="H722" t="str">
        <f>IF(LEN(TRIM(E722))=0, "", GetSpecimenPrepName())</f>
        <v/>
      </c>
      <c r="I722" t="str">
        <f>IF(LEN(TRIM(E722))=0, "", GetSampleVolumeBySpecimenPrep(H722))</f>
        <v/>
      </c>
      <c r="L722" t="str">
        <f>IF(LEN(TRIM(E722))=0,"",VLOOKUP("Manifest Id",config!A:B,2,FALSE))</f>
        <v/>
      </c>
      <c r="M722" t="str">
        <f>IF(LEN(TRIM(E722))=0, "",VLOOKUP("Project Name",config!A:B,2,FALSE))</f>
        <v/>
      </c>
      <c r="N722" t="str">
        <f>IF(LEN(TRIM(E722))=0, "",VLOOKUP("Center Name",config!A:B,2,FALSE))</f>
        <v/>
      </c>
      <c r="O722" s="7" t="str">
        <f>IF(LEN(TRIM(E722))=0,"",VLOOKUP("Shipment Date",config!A:B,2,FALSE))</f>
        <v/>
      </c>
      <c r="P722" s="7" t="str">
        <f t="shared" si="46"/>
        <v/>
      </c>
      <c r="Q722" s="7" t="str">
        <f>IF(LEN(TRIM(D722))=0,"",GetConfigParameterValue("Collection Site"))</f>
        <v/>
      </c>
      <c r="R722" t="str">
        <f>IF(LEN(TRIM(E722))=0, "", GetManifestComments(H722))</f>
        <v/>
      </c>
      <c r="S722" t="str">
        <f>IF(LEN(TRIM(E722))=0,"",IF(ISERROR(VLOOKUP(E722,'Manifest MDB data'!A:A,1,FALSE)),"OK","EXISTS!!!"))</f>
        <v/>
      </c>
    </row>
    <row r="723" spans="4:19" x14ac:dyDescent="0.25">
      <c r="D723" t="str">
        <f t="shared" si="47"/>
        <v/>
      </c>
      <c r="E723" t="str">
        <f t="shared" si="48"/>
        <v/>
      </c>
      <c r="F723" t="str">
        <f t="shared" si="45"/>
        <v/>
      </c>
      <c r="G723" t="str">
        <f>IF(LEN(TRIM(E723))=0, "", GetSampleTissueBySpecimenPrep(H723))</f>
        <v/>
      </c>
      <c r="H723" t="str">
        <f>IF(LEN(TRIM(E723))=0, "", GetSpecimenPrepName())</f>
        <v/>
      </c>
      <c r="I723" t="str">
        <f>IF(LEN(TRIM(E723))=0, "", GetSampleVolumeBySpecimenPrep(H723))</f>
        <v/>
      </c>
      <c r="L723" t="str">
        <f>IF(LEN(TRIM(E723))=0,"",VLOOKUP("Manifest Id",config!A:B,2,FALSE))</f>
        <v/>
      </c>
      <c r="M723" t="str">
        <f>IF(LEN(TRIM(E723))=0, "",VLOOKUP("Project Name",config!A:B,2,FALSE))</f>
        <v/>
      </c>
      <c r="N723" t="str">
        <f>IF(LEN(TRIM(E723))=0, "",VLOOKUP("Center Name",config!A:B,2,FALSE))</f>
        <v/>
      </c>
      <c r="O723" s="7" t="str">
        <f>IF(LEN(TRIM(E723))=0,"",VLOOKUP("Shipment Date",config!A:B,2,FALSE))</f>
        <v/>
      </c>
      <c r="P723" s="7" t="str">
        <f t="shared" si="46"/>
        <v/>
      </c>
      <c r="Q723" s="7" t="str">
        <f>IF(LEN(TRIM(D723))=0,"",GetConfigParameterValue("Collection Site"))</f>
        <v/>
      </c>
      <c r="R723" t="str">
        <f>IF(LEN(TRIM(E723))=0, "", GetManifestComments(H723))</f>
        <v/>
      </c>
      <c r="S723" t="str">
        <f>IF(LEN(TRIM(E723))=0,"",IF(ISERROR(VLOOKUP(E723,'Manifest MDB data'!A:A,1,FALSE)),"OK","EXISTS!!!"))</f>
        <v/>
      </c>
    </row>
    <row r="724" spans="4:19" x14ac:dyDescent="0.25">
      <c r="D724" t="str">
        <f t="shared" si="47"/>
        <v/>
      </c>
      <c r="E724" t="str">
        <f t="shared" si="48"/>
        <v/>
      </c>
      <c r="F724" t="str">
        <f t="shared" si="45"/>
        <v/>
      </c>
      <c r="G724" t="str">
        <f>IF(LEN(TRIM(E724))=0, "", GetSampleTissueBySpecimenPrep(H724))</f>
        <v/>
      </c>
      <c r="H724" t="str">
        <f>IF(LEN(TRIM(E724))=0, "", GetSpecimenPrepName())</f>
        <v/>
      </c>
      <c r="I724" t="str">
        <f>IF(LEN(TRIM(E724))=0, "", GetSampleVolumeBySpecimenPrep(H724))</f>
        <v/>
      </c>
      <c r="L724" t="str">
        <f>IF(LEN(TRIM(E724))=0,"",VLOOKUP("Manifest Id",config!A:B,2,FALSE))</f>
        <v/>
      </c>
      <c r="M724" t="str">
        <f>IF(LEN(TRIM(E724))=0, "",VLOOKUP("Project Name",config!A:B,2,FALSE))</f>
        <v/>
      </c>
      <c r="N724" t="str">
        <f>IF(LEN(TRIM(E724))=0, "",VLOOKUP("Center Name",config!A:B,2,FALSE))</f>
        <v/>
      </c>
      <c r="O724" s="7" t="str">
        <f>IF(LEN(TRIM(E724))=0,"",VLOOKUP("Shipment Date",config!A:B,2,FALSE))</f>
        <v/>
      </c>
      <c r="P724" s="7" t="str">
        <f t="shared" si="46"/>
        <v/>
      </c>
      <c r="Q724" s="7" t="str">
        <f>IF(LEN(TRIM(D724))=0,"",GetConfigParameterValue("Collection Site"))</f>
        <v/>
      </c>
      <c r="R724" t="str">
        <f>IF(LEN(TRIM(E724))=0, "", GetManifestComments(H724))</f>
        <v/>
      </c>
      <c r="S724" t="str">
        <f>IF(LEN(TRIM(E724))=0,"",IF(ISERROR(VLOOKUP(E724,'Manifest MDB data'!A:A,1,FALSE)),"OK","EXISTS!!!"))</f>
        <v/>
      </c>
    </row>
    <row r="725" spans="4:19" x14ac:dyDescent="0.25">
      <c r="D725" t="str">
        <f t="shared" si="47"/>
        <v/>
      </c>
      <c r="E725" t="str">
        <f t="shared" si="48"/>
        <v/>
      </c>
      <c r="F725" t="str">
        <f t="shared" si="45"/>
        <v/>
      </c>
      <c r="G725" t="str">
        <f>IF(LEN(TRIM(E725))=0, "", GetSampleTissueBySpecimenPrep(H725))</f>
        <v/>
      </c>
      <c r="H725" t="str">
        <f>IF(LEN(TRIM(E725))=0, "", GetSpecimenPrepName())</f>
        <v/>
      </c>
      <c r="I725" t="str">
        <f>IF(LEN(TRIM(E725))=0, "", GetSampleVolumeBySpecimenPrep(H725))</f>
        <v/>
      </c>
      <c r="L725" t="str">
        <f>IF(LEN(TRIM(E725))=0,"",VLOOKUP("Manifest Id",config!A:B,2,FALSE))</f>
        <v/>
      </c>
      <c r="M725" t="str">
        <f>IF(LEN(TRIM(E725))=0, "",VLOOKUP("Project Name",config!A:B,2,FALSE))</f>
        <v/>
      </c>
      <c r="N725" t="str">
        <f>IF(LEN(TRIM(E725))=0, "",VLOOKUP("Center Name",config!A:B,2,FALSE))</f>
        <v/>
      </c>
      <c r="O725" s="7" t="str">
        <f>IF(LEN(TRIM(E725))=0,"",VLOOKUP("Shipment Date",config!A:B,2,FALSE))</f>
        <v/>
      </c>
      <c r="P725" s="7" t="str">
        <f t="shared" si="46"/>
        <v/>
      </c>
      <c r="Q725" s="7" t="str">
        <f>IF(LEN(TRIM(D725))=0,"",GetConfigParameterValue("Collection Site"))</f>
        <v/>
      </c>
      <c r="R725" t="str">
        <f>IF(LEN(TRIM(E725))=0, "", GetManifestComments(H725))</f>
        <v/>
      </c>
      <c r="S725" t="str">
        <f>IF(LEN(TRIM(E725))=0,"",IF(ISERROR(VLOOKUP(E725,'Manifest MDB data'!A:A,1,FALSE)),"OK","EXISTS!!!"))</f>
        <v/>
      </c>
    </row>
    <row r="726" spans="4:19" x14ac:dyDescent="0.25">
      <c r="D726" t="str">
        <f t="shared" si="47"/>
        <v/>
      </c>
      <c r="E726" t="str">
        <f t="shared" si="48"/>
        <v/>
      </c>
      <c r="F726" t="str">
        <f t="shared" si="45"/>
        <v/>
      </c>
      <c r="G726" t="str">
        <f>IF(LEN(TRIM(E726))=0, "", GetSampleTissueBySpecimenPrep(H726))</f>
        <v/>
      </c>
      <c r="H726" t="str">
        <f>IF(LEN(TRIM(E726))=0, "", GetSpecimenPrepName())</f>
        <v/>
      </c>
      <c r="I726" t="str">
        <f>IF(LEN(TRIM(E726))=0, "", GetSampleVolumeBySpecimenPrep(H726))</f>
        <v/>
      </c>
      <c r="L726" t="str">
        <f>IF(LEN(TRIM(E726))=0,"",VLOOKUP("Manifest Id",config!A:B,2,FALSE))</f>
        <v/>
      </c>
      <c r="M726" t="str">
        <f>IF(LEN(TRIM(E726))=0, "",VLOOKUP("Project Name",config!A:B,2,FALSE))</f>
        <v/>
      </c>
      <c r="N726" t="str">
        <f>IF(LEN(TRIM(E726))=0, "",VLOOKUP("Center Name",config!A:B,2,FALSE))</f>
        <v/>
      </c>
      <c r="O726" s="7" t="str">
        <f>IF(LEN(TRIM(E726))=0,"",VLOOKUP("Shipment Date",config!A:B,2,FALSE))</f>
        <v/>
      </c>
      <c r="P726" s="7" t="str">
        <f t="shared" si="46"/>
        <v/>
      </c>
      <c r="Q726" s="7" t="str">
        <f>IF(LEN(TRIM(D726))=0,"",GetConfigParameterValue("Collection Site"))</f>
        <v/>
      </c>
      <c r="R726" t="str">
        <f>IF(LEN(TRIM(E726))=0, "", GetManifestComments(H726))</f>
        <v/>
      </c>
      <c r="S726" t="str">
        <f>IF(LEN(TRIM(E726))=0,"",IF(ISERROR(VLOOKUP(E726,'Manifest MDB data'!A:A,1,FALSE)),"OK","EXISTS!!!"))</f>
        <v/>
      </c>
    </row>
    <row r="727" spans="4:19" x14ac:dyDescent="0.25">
      <c r="D727" t="str">
        <f t="shared" si="47"/>
        <v/>
      </c>
      <c r="E727" t="str">
        <f t="shared" si="48"/>
        <v/>
      </c>
      <c r="F727" t="str">
        <f t="shared" si="45"/>
        <v/>
      </c>
      <c r="G727" t="str">
        <f>IF(LEN(TRIM(E727))=0, "", GetSampleTissueBySpecimenPrep(H727))</f>
        <v/>
      </c>
      <c r="H727" t="str">
        <f>IF(LEN(TRIM(E727))=0, "", GetSpecimenPrepName())</f>
        <v/>
      </c>
      <c r="I727" t="str">
        <f>IF(LEN(TRIM(E727))=0, "", GetSampleVolumeBySpecimenPrep(H727))</f>
        <v/>
      </c>
      <c r="L727" t="str">
        <f>IF(LEN(TRIM(E727))=0,"",VLOOKUP("Manifest Id",config!A:B,2,FALSE))</f>
        <v/>
      </c>
      <c r="M727" t="str">
        <f>IF(LEN(TRIM(E727))=0, "",VLOOKUP("Project Name",config!A:B,2,FALSE))</f>
        <v/>
      </c>
      <c r="N727" t="str">
        <f>IF(LEN(TRIM(E727))=0, "",VLOOKUP("Center Name",config!A:B,2,FALSE))</f>
        <v/>
      </c>
      <c r="O727" s="7" t="str">
        <f>IF(LEN(TRIM(E727))=0,"",VLOOKUP("Shipment Date",config!A:B,2,FALSE))</f>
        <v/>
      </c>
      <c r="P727" s="7" t="str">
        <f t="shared" si="46"/>
        <v/>
      </c>
      <c r="Q727" s="7" t="str">
        <f>IF(LEN(TRIM(D727))=0,"",GetConfigParameterValue("Collection Site"))</f>
        <v/>
      </c>
      <c r="R727" t="str">
        <f>IF(LEN(TRIM(E727))=0, "", GetManifestComments(H727))</f>
        <v/>
      </c>
      <c r="S727" t="str">
        <f>IF(LEN(TRIM(E727))=0,"",IF(ISERROR(VLOOKUP(E727,'Manifest MDB data'!A:A,1,FALSE)),"OK","EXISTS!!!"))</f>
        <v/>
      </c>
    </row>
    <row r="728" spans="4:19" x14ac:dyDescent="0.25">
      <c r="D728" t="str">
        <f t="shared" si="47"/>
        <v/>
      </c>
      <c r="E728" t="str">
        <f t="shared" si="48"/>
        <v/>
      </c>
      <c r="F728" t="str">
        <f t="shared" si="45"/>
        <v/>
      </c>
      <c r="G728" t="str">
        <f>IF(LEN(TRIM(E728))=0, "", GetSampleTissueBySpecimenPrep(H728))</f>
        <v/>
      </c>
      <c r="H728" t="str">
        <f>IF(LEN(TRIM(E728))=0, "", GetSpecimenPrepName())</f>
        <v/>
      </c>
      <c r="I728" t="str">
        <f>IF(LEN(TRIM(E728))=0, "", GetSampleVolumeBySpecimenPrep(H728))</f>
        <v/>
      </c>
      <c r="L728" t="str">
        <f>IF(LEN(TRIM(E728))=0,"",VLOOKUP("Manifest Id",config!A:B,2,FALSE))</f>
        <v/>
      </c>
      <c r="M728" t="str">
        <f>IF(LEN(TRIM(E728))=0, "",VLOOKUP("Project Name",config!A:B,2,FALSE))</f>
        <v/>
      </c>
      <c r="N728" t="str">
        <f>IF(LEN(TRIM(E728))=0, "",VLOOKUP("Center Name",config!A:B,2,FALSE))</f>
        <v/>
      </c>
      <c r="O728" s="7" t="str">
        <f>IF(LEN(TRIM(E728))=0,"",VLOOKUP("Shipment Date",config!A:B,2,FALSE))</f>
        <v/>
      </c>
      <c r="P728" s="7" t="str">
        <f t="shared" si="46"/>
        <v/>
      </c>
      <c r="Q728" s="7" t="str">
        <f>IF(LEN(TRIM(D728))=0,"",GetConfigParameterValue("Collection Site"))</f>
        <v/>
      </c>
      <c r="R728" t="str">
        <f>IF(LEN(TRIM(E728))=0, "", GetManifestComments(H728))</f>
        <v/>
      </c>
      <c r="S728" t="str">
        <f>IF(LEN(TRIM(E728))=0,"",IF(ISERROR(VLOOKUP(E728,'Manifest MDB data'!A:A,1,FALSE)),"OK","EXISTS!!!"))</f>
        <v/>
      </c>
    </row>
    <row r="729" spans="4:19" x14ac:dyDescent="0.25">
      <c r="D729" t="str">
        <f t="shared" si="47"/>
        <v/>
      </c>
      <c r="E729" t="str">
        <f t="shared" si="48"/>
        <v/>
      </c>
      <c r="F729" t="str">
        <f t="shared" si="45"/>
        <v/>
      </c>
      <c r="G729" t="str">
        <f>IF(LEN(TRIM(E729))=0, "", GetSampleTissueBySpecimenPrep(H729))</f>
        <v/>
      </c>
      <c r="H729" t="str">
        <f>IF(LEN(TRIM(E729))=0, "", GetSpecimenPrepName())</f>
        <v/>
      </c>
      <c r="I729" t="str">
        <f>IF(LEN(TRIM(E729))=0, "", GetSampleVolumeBySpecimenPrep(H729))</f>
        <v/>
      </c>
      <c r="L729" t="str">
        <f>IF(LEN(TRIM(E729))=0,"",VLOOKUP("Manifest Id",config!A:B,2,FALSE))</f>
        <v/>
      </c>
      <c r="M729" t="str">
        <f>IF(LEN(TRIM(E729))=0, "",VLOOKUP("Project Name",config!A:B,2,FALSE))</f>
        <v/>
      </c>
      <c r="N729" t="str">
        <f>IF(LEN(TRIM(E729))=0, "",VLOOKUP("Center Name",config!A:B,2,FALSE))</f>
        <v/>
      </c>
      <c r="O729" s="7" t="str">
        <f>IF(LEN(TRIM(E729))=0,"",VLOOKUP("Shipment Date",config!A:B,2,FALSE))</f>
        <v/>
      </c>
      <c r="P729" s="7" t="str">
        <f t="shared" si="46"/>
        <v/>
      </c>
      <c r="Q729" s="7" t="str">
        <f>IF(LEN(TRIM(D729))=0,"",GetConfigParameterValue("Collection Site"))</f>
        <v/>
      </c>
      <c r="R729" t="str">
        <f>IF(LEN(TRIM(E729))=0, "", GetManifestComments(H729))</f>
        <v/>
      </c>
      <c r="S729" t="str">
        <f>IF(LEN(TRIM(E729))=0,"",IF(ISERROR(VLOOKUP(E729,'Manifest MDB data'!A:A,1,FALSE)),"OK","EXISTS!!!"))</f>
        <v/>
      </c>
    </row>
    <row r="730" spans="4:19" x14ac:dyDescent="0.25">
      <c r="D730" t="str">
        <f t="shared" si="47"/>
        <v/>
      </c>
      <c r="E730" t="str">
        <f t="shared" si="48"/>
        <v/>
      </c>
      <c r="F730" t="str">
        <f t="shared" si="45"/>
        <v/>
      </c>
      <c r="G730" t="str">
        <f>IF(LEN(TRIM(E730))=0, "", GetSampleTissueBySpecimenPrep(H730))</f>
        <v/>
      </c>
      <c r="H730" t="str">
        <f>IF(LEN(TRIM(E730))=0, "", GetSpecimenPrepName())</f>
        <v/>
      </c>
      <c r="I730" t="str">
        <f>IF(LEN(TRIM(E730))=0, "", GetSampleVolumeBySpecimenPrep(H730))</f>
        <v/>
      </c>
      <c r="L730" t="str">
        <f>IF(LEN(TRIM(E730))=0,"",VLOOKUP("Manifest Id",config!A:B,2,FALSE))</f>
        <v/>
      </c>
      <c r="M730" t="str">
        <f>IF(LEN(TRIM(E730))=0, "",VLOOKUP("Project Name",config!A:B,2,FALSE))</f>
        <v/>
      </c>
      <c r="N730" t="str">
        <f>IF(LEN(TRIM(E730))=0, "",VLOOKUP("Center Name",config!A:B,2,FALSE))</f>
        <v/>
      </c>
      <c r="O730" s="7" t="str">
        <f>IF(LEN(TRIM(E730))=0,"",VLOOKUP("Shipment Date",config!A:B,2,FALSE))</f>
        <v/>
      </c>
      <c r="P730" s="7" t="str">
        <f t="shared" si="46"/>
        <v/>
      </c>
      <c r="Q730" s="7" t="str">
        <f>IF(LEN(TRIM(D730))=0,"",GetConfigParameterValue("Collection Site"))</f>
        <v/>
      </c>
      <c r="R730" t="str">
        <f>IF(LEN(TRIM(E730))=0, "", GetManifestComments(H730))</f>
        <v/>
      </c>
      <c r="S730" t="str">
        <f>IF(LEN(TRIM(E730))=0,"",IF(ISERROR(VLOOKUP(E730,'Manifest MDB data'!A:A,1,FALSE)),"OK","EXISTS!!!"))</f>
        <v/>
      </c>
    </row>
    <row r="731" spans="4:19" x14ac:dyDescent="0.25">
      <c r="D731" t="str">
        <f t="shared" si="47"/>
        <v/>
      </c>
      <c r="E731" t="str">
        <f t="shared" si="48"/>
        <v/>
      </c>
      <c r="F731" t="str">
        <f t="shared" si="45"/>
        <v/>
      </c>
      <c r="G731" t="str">
        <f>IF(LEN(TRIM(E731))=0, "", GetSampleTissueBySpecimenPrep(H731))</f>
        <v/>
      </c>
      <c r="H731" t="str">
        <f>IF(LEN(TRIM(E731))=0, "", GetSpecimenPrepName())</f>
        <v/>
      </c>
      <c r="I731" t="str">
        <f>IF(LEN(TRIM(E731))=0, "", GetSampleVolumeBySpecimenPrep(H731))</f>
        <v/>
      </c>
      <c r="L731" t="str">
        <f>IF(LEN(TRIM(E731))=0,"",VLOOKUP("Manifest Id",config!A:B,2,FALSE))</f>
        <v/>
      </c>
      <c r="M731" t="str">
        <f>IF(LEN(TRIM(E731))=0, "",VLOOKUP("Project Name",config!A:B,2,FALSE))</f>
        <v/>
      </c>
      <c r="N731" t="str">
        <f>IF(LEN(TRIM(E731))=0, "",VLOOKUP("Center Name",config!A:B,2,FALSE))</f>
        <v/>
      </c>
      <c r="O731" s="7" t="str">
        <f>IF(LEN(TRIM(E731))=0,"",VLOOKUP("Shipment Date",config!A:B,2,FALSE))</f>
        <v/>
      </c>
      <c r="P731" s="7" t="str">
        <f t="shared" si="46"/>
        <v/>
      </c>
      <c r="Q731" s="7" t="str">
        <f>IF(LEN(TRIM(D731))=0,"",GetConfigParameterValue("Collection Site"))</f>
        <v/>
      </c>
      <c r="R731" t="str">
        <f>IF(LEN(TRIM(E731))=0, "", GetManifestComments(H731))</f>
        <v/>
      </c>
      <c r="S731" t="str">
        <f>IF(LEN(TRIM(E731))=0,"",IF(ISERROR(VLOOKUP(E731,'Manifest MDB data'!A:A,1,FALSE)),"OK","EXISTS!!!"))</f>
        <v/>
      </c>
    </row>
    <row r="732" spans="4:19" x14ac:dyDescent="0.25">
      <c r="D732" t="str">
        <f t="shared" si="47"/>
        <v/>
      </c>
      <c r="E732" t="str">
        <f t="shared" si="48"/>
        <v/>
      </c>
      <c r="F732" t="str">
        <f t="shared" si="45"/>
        <v/>
      </c>
      <c r="G732" t="str">
        <f>IF(LEN(TRIM(E732))=0, "", GetSampleTissueBySpecimenPrep(H732))</f>
        <v/>
      </c>
      <c r="H732" t="str">
        <f>IF(LEN(TRIM(E732))=0, "", GetSpecimenPrepName())</f>
        <v/>
      </c>
      <c r="I732" t="str">
        <f>IF(LEN(TRIM(E732))=0, "", GetSampleVolumeBySpecimenPrep(H732))</f>
        <v/>
      </c>
      <c r="L732" t="str">
        <f>IF(LEN(TRIM(E732))=0,"",VLOOKUP("Manifest Id",config!A:B,2,FALSE))</f>
        <v/>
      </c>
      <c r="M732" t="str">
        <f>IF(LEN(TRIM(E732))=0, "",VLOOKUP("Project Name",config!A:B,2,FALSE))</f>
        <v/>
      </c>
      <c r="N732" t="str">
        <f>IF(LEN(TRIM(E732))=0, "",VLOOKUP("Center Name",config!A:B,2,FALSE))</f>
        <v/>
      </c>
      <c r="O732" s="7" t="str">
        <f>IF(LEN(TRIM(E732))=0,"",VLOOKUP("Shipment Date",config!A:B,2,FALSE))</f>
        <v/>
      </c>
      <c r="P732" s="7" t="str">
        <f t="shared" si="46"/>
        <v/>
      </c>
      <c r="Q732" s="7" t="str">
        <f>IF(LEN(TRIM(D732))=0,"",GetConfigParameterValue("Collection Site"))</f>
        <v/>
      </c>
      <c r="R732" t="str">
        <f>IF(LEN(TRIM(E732))=0, "", GetManifestComments(H732))</f>
        <v/>
      </c>
      <c r="S732" t="str">
        <f>IF(LEN(TRIM(E732))=0,"",IF(ISERROR(VLOOKUP(E732,'Manifest MDB data'!A:A,1,FALSE)),"OK","EXISTS!!!"))</f>
        <v/>
      </c>
    </row>
    <row r="733" spans="4:19" x14ac:dyDescent="0.25">
      <c r="D733" t="str">
        <f t="shared" si="47"/>
        <v/>
      </c>
      <c r="E733" t="str">
        <f t="shared" si="48"/>
        <v/>
      </c>
      <c r="F733" t="str">
        <f t="shared" si="45"/>
        <v/>
      </c>
      <c r="G733" t="str">
        <f>IF(LEN(TRIM(E733))=0, "", GetSampleTissueBySpecimenPrep(H733))</f>
        <v/>
      </c>
      <c r="H733" t="str">
        <f>IF(LEN(TRIM(E733))=0, "", GetSpecimenPrepName())</f>
        <v/>
      </c>
      <c r="I733" t="str">
        <f>IF(LEN(TRIM(E733))=0, "", GetSampleVolumeBySpecimenPrep(H733))</f>
        <v/>
      </c>
      <c r="L733" t="str">
        <f>IF(LEN(TRIM(E733))=0,"",VLOOKUP("Manifest Id",config!A:B,2,FALSE))</f>
        <v/>
      </c>
      <c r="M733" t="str">
        <f>IF(LEN(TRIM(E733))=0, "",VLOOKUP("Project Name",config!A:B,2,FALSE))</f>
        <v/>
      </c>
      <c r="N733" t="str">
        <f>IF(LEN(TRIM(E733))=0, "",VLOOKUP("Center Name",config!A:B,2,FALSE))</f>
        <v/>
      </c>
      <c r="O733" s="7" t="str">
        <f>IF(LEN(TRIM(E733))=0,"",VLOOKUP("Shipment Date",config!A:B,2,FALSE))</f>
        <v/>
      </c>
      <c r="P733" s="7" t="str">
        <f t="shared" si="46"/>
        <v/>
      </c>
      <c r="Q733" s="7" t="str">
        <f>IF(LEN(TRIM(D733))=0,"",GetConfigParameterValue("Collection Site"))</f>
        <v/>
      </c>
      <c r="R733" t="str">
        <f>IF(LEN(TRIM(E733))=0, "", GetManifestComments(H733))</f>
        <v/>
      </c>
      <c r="S733" t="str">
        <f>IF(LEN(TRIM(E733))=0,"",IF(ISERROR(VLOOKUP(E733,'Manifest MDB data'!A:A,1,FALSE)),"OK","EXISTS!!!"))</f>
        <v/>
      </c>
    </row>
    <row r="734" spans="4:19" x14ac:dyDescent="0.25">
      <c r="D734" t="str">
        <f t="shared" si="47"/>
        <v/>
      </c>
      <c r="E734" t="str">
        <f t="shared" si="48"/>
        <v/>
      </c>
      <c r="F734" t="str">
        <f t="shared" si="45"/>
        <v/>
      </c>
      <c r="G734" t="str">
        <f>IF(LEN(TRIM(E734))=0, "", GetSampleTissueBySpecimenPrep(H734))</f>
        <v/>
      </c>
      <c r="H734" t="str">
        <f>IF(LEN(TRIM(E734))=0, "", GetSpecimenPrepName())</f>
        <v/>
      </c>
      <c r="I734" t="str">
        <f>IF(LEN(TRIM(E734))=0, "", GetSampleVolumeBySpecimenPrep(H734))</f>
        <v/>
      </c>
      <c r="L734" t="str">
        <f>IF(LEN(TRIM(E734))=0,"",VLOOKUP("Manifest Id",config!A:B,2,FALSE))</f>
        <v/>
      </c>
      <c r="M734" t="str">
        <f>IF(LEN(TRIM(E734))=0, "",VLOOKUP("Project Name",config!A:B,2,FALSE))</f>
        <v/>
      </c>
      <c r="N734" t="str">
        <f>IF(LEN(TRIM(E734))=0, "",VLOOKUP("Center Name",config!A:B,2,FALSE))</f>
        <v/>
      </c>
      <c r="O734" s="7" t="str">
        <f>IF(LEN(TRIM(E734))=0,"",VLOOKUP("Shipment Date",config!A:B,2,FALSE))</f>
        <v/>
      </c>
      <c r="P734" s="7" t="str">
        <f t="shared" si="46"/>
        <v/>
      </c>
      <c r="Q734" s="7" t="str">
        <f>IF(LEN(TRIM(D734))=0,"",GetConfigParameterValue("Collection Site"))</f>
        <v/>
      </c>
      <c r="R734" t="str">
        <f>IF(LEN(TRIM(E734))=0, "", GetManifestComments(H734))</f>
        <v/>
      </c>
      <c r="S734" t="str">
        <f>IF(LEN(TRIM(E734))=0,"",IF(ISERROR(VLOOKUP(E734,'Manifest MDB data'!A:A,1,FALSE)),"OK","EXISTS!!!"))</f>
        <v/>
      </c>
    </row>
    <row r="735" spans="4:19" x14ac:dyDescent="0.25">
      <c r="D735" t="str">
        <f t="shared" si="47"/>
        <v/>
      </c>
      <c r="E735" t="str">
        <f t="shared" si="48"/>
        <v/>
      </c>
      <c r="F735" t="str">
        <f t="shared" si="45"/>
        <v/>
      </c>
      <c r="G735" t="str">
        <f>IF(LEN(TRIM(E735))=0, "", GetSampleTissueBySpecimenPrep(H735))</f>
        <v/>
      </c>
      <c r="H735" t="str">
        <f>IF(LEN(TRIM(E735))=0, "", GetSpecimenPrepName())</f>
        <v/>
      </c>
      <c r="I735" t="str">
        <f>IF(LEN(TRIM(E735))=0, "", GetSampleVolumeBySpecimenPrep(H735))</f>
        <v/>
      </c>
      <c r="L735" t="str">
        <f>IF(LEN(TRIM(E735))=0,"",VLOOKUP("Manifest Id",config!A:B,2,FALSE))</f>
        <v/>
      </c>
      <c r="M735" t="str">
        <f>IF(LEN(TRIM(E735))=0, "",VLOOKUP("Project Name",config!A:B,2,FALSE))</f>
        <v/>
      </c>
      <c r="N735" t="str">
        <f>IF(LEN(TRIM(E735))=0, "",VLOOKUP("Center Name",config!A:B,2,FALSE))</f>
        <v/>
      </c>
      <c r="O735" s="7" t="str">
        <f>IF(LEN(TRIM(E735))=0,"",VLOOKUP("Shipment Date",config!A:B,2,FALSE))</f>
        <v/>
      </c>
      <c r="P735" s="7" t="str">
        <f t="shared" si="46"/>
        <v/>
      </c>
      <c r="Q735" s="7" t="str">
        <f>IF(LEN(TRIM(D735))=0,"",GetConfigParameterValue("Collection Site"))</f>
        <v/>
      </c>
      <c r="R735" t="str">
        <f>IF(LEN(TRIM(E735))=0, "", GetManifestComments(H735))</f>
        <v/>
      </c>
      <c r="S735" t="str">
        <f>IF(LEN(TRIM(E735))=0,"",IF(ISERROR(VLOOKUP(E735,'Manifest MDB data'!A:A,1,FALSE)),"OK","EXISTS!!!"))</f>
        <v/>
      </c>
    </row>
    <row r="736" spans="4:19" x14ac:dyDescent="0.25">
      <c r="D736" t="str">
        <f t="shared" si="47"/>
        <v/>
      </c>
      <c r="E736" t="str">
        <f t="shared" si="48"/>
        <v/>
      </c>
      <c r="F736" t="str">
        <f t="shared" si="45"/>
        <v/>
      </c>
      <c r="G736" t="str">
        <f>IF(LEN(TRIM(E736))=0, "", GetSampleTissueBySpecimenPrep(H736))</f>
        <v/>
      </c>
      <c r="H736" t="str">
        <f>IF(LEN(TRIM(E736))=0, "", GetSpecimenPrepName())</f>
        <v/>
      </c>
      <c r="I736" t="str">
        <f>IF(LEN(TRIM(E736))=0, "", GetSampleVolumeBySpecimenPrep(H736))</f>
        <v/>
      </c>
      <c r="L736" t="str">
        <f>IF(LEN(TRIM(E736))=0,"",VLOOKUP("Manifest Id",config!A:B,2,FALSE))</f>
        <v/>
      </c>
      <c r="M736" t="str">
        <f>IF(LEN(TRIM(E736))=0, "",VLOOKUP("Project Name",config!A:B,2,FALSE))</f>
        <v/>
      </c>
      <c r="N736" t="str">
        <f>IF(LEN(TRIM(E736))=0, "",VLOOKUP("Center Name",config!A:B,2,FALSE))</f>
        <v/>
      </c>
      <c r="O736" s="7" t="str">
        <f>IF(LEN(TRIM(E736))=0,"",VLOOKUP("Shipment Date",config!A:B,2,FALSE))</f>
        <v/>
      </c>
      <c r="P736" s="7" t="str">
        <f t="shared" si="46"/>
        <v/>
      </c>
      <c r="Q736" s="7" t="str">
        <f>IF(LEN(TRIM(D736))=0,"",GetConfigParameterValue("Collection Site"))</f>
        <v/>
      </c>
      <c r="R736" t="str">
        <f>IF(LEN(TRIM(E736))=0, "", GetManifestComments(H736))</f>
        <v/>
      </c>
      <c r="S736" t="str">
        <f>IF(LEN(TRIM(E736))=0,"",IF(ISERROR(VLOOKUP(E736,'Manifest MDB data'!A:A,1,FALSE)),"OK","EXISTS!!!"))</f>
        <v/>
      </c>
    </row>
    <row r="737" spans="4:19" x14ac:dyDescent="0.25">
      <c r="D737" t="str">
        <f t="shared" si="47"/>
        <v/>
      </c>
      <c r="E737" t="str">
        <f t="shared" si="48"/>
        <v/>
      </c>
      <c r="F737" t="str">
        <f t="shared" si="45"/>
        <v/>
      </c>
      <c r="G737" t="str">
        <f>IF(LEN(TRIM(E737))=0, "", GetSampleTissueBySpecimenPrep(H737))</f>
        <v/>
      </c>
      <c r="H737" t="str">
        <f>IF(LEN(TRIM(E737))=0, "", GetSpecimenPrepName())</f>
        <v/>
      </c>
      <c r="I737" t="str">
        <f>IF(LEN(TRIM(E737))=0, "", GetSampleVolumeBySpecimenPrep(H737))</f>
        <v/>
      </c>
      <c r="L737" t="str">
        <f>IF(LEN(TRIM(E737))=0,"",VLOOKUP("Manifest Id",config!A:B,2,FALSE))</f>
        <v/>
      </c>
      <c r="M737" t="str">
        <f>IF(LEN(TRIM(E737))=0, "",VLOOKUP("Project Name",config!A:B,2,FALSE))</f>
        <v/>
      </c>
      <c r="N737" t="str">
        <f>IF(LEN(TRIM(E737))=0, "",VLOOKUP("Center Name",config!A:B,2,FALSE))</f>
        <v/>
      </c>
      <c r="O737" s="7" t="str">
        <f>IF(LEN(TRIM(E737))=0,"",VLOOKUP("Shipment Date",config!A:B,2,FALSE))</f>
        <v/>
      </c>
      <c r="P737" s="7" t="str">
        <f t="shared" si="46"/>
        <v/>
      </c>
      <c r="Q737" s="7" t="str">
        <f>IF(LEN(TRIM(D737))=0,"",GetConfigParameterValue("Collection Site"))</f>
        <v/>
      </c>
      <c r="R737" t="str">
        <f>IF(LEN(TRIM(E737))=0, "", GetManifestComments(H737))</f>
        <v/>
      </c>
      <c r="S737" t="str">
        <f>IF(LEN(TRIM(E737))=0,"",IF(ISERROR(VLOOKUP(E737,'Manifest MDB data'!A:A,1,FALSE)),"OK","EXISTS!!!"))</f>
        <v/>
      </c>
    </row>
    <row r="738" spans="4:19" x14ac:dyDescent="0.25">
      <c r="D738" t="str">
        <f t="shared" si="47"/>
        <v/>
      </c>
      <c r="E738" t="str">
        <f t="shared" si="48"/>
        <v/>
      </c>
      <c r="F738" t="str">
        <f t="shared" si="45"/>
        <v/>
      </c>
      <c r="G738" t="str">
        <f>IF(LEN(TRIM(E738))=0, "", GetSampleTissueBySpecimenPrep(H738))</f>
        <v/>
      </c>
      <c r="H738" t="str">
        <f>IF(LEN(TRIM(E738))=0, "", GetSpecimenPrepName())</f>
        <v/>
      </c>
      <c r="I738" t="str">
        <f>IF(LEN(TRIM(E738))=0, "", GetSampleVolumeBySpecimenPrep(H738))</f>
        <v/>
      </c>
      <c r="L738" t="str">
        <f>IF(LEN(TRIM(E738))=0,"",VLOOKUP("Manifest Id",config!A:B,2,FALSE))</f>
        <v/>
      </c>
      <c r="M738" t="str">
        <f>IF(LEN(TRIM(E738))=0, "",VLOOKUP("Project Name",config!A:B,2,FALSE))</f>
        <v/>
      </c>
      <c r="N738" t="str">
        <f>IF(LEN(TRIM(E738))=0, "",VLOOKUP("Center Name",config!A:B,2,FALSE))</f>
        <v/>
      </c>
      <c r="O738" s="7" t="str">
        <f>IF(LEN(TRIM(E738))=0,"",VLOOKUP("Shipment Date",config!A:B,2,FALSE))</f>
        <v/>
      </c>
      <c r="P738" s="7" t="str">
        <f t="shared" si="46"/>
        <v/>
      </c>
      <c r="Q738" s="7" t="str">
        <f>IF(LEN(TRIM(D738))=0,"",GetConfigParameterValue("Collection Site"))</f>
        <v/>
      </c>
      <c r="R738" t="str">
        <f>IF(LEN(TRIM(E738))=0, "", GetManifestComments(H738))</f>
        <v/>
      </c>
      <c r="S738" t="str">
        <f>IF(LEN(TRIM(E738))=0,"",IF(ISERROR(VLOOKUP(E738,'Manifest MDB data'!A:A,1,FALSE)),"OK","EXISTS!!!"))</f>
        <v/>
      </c>
    </row>
    <row r="739" spans="4:19" x14ac:dyDescent="0.25">
      <c r="D739" t="str">
        <f t="shared" si="47"/>
        <v/>
      </c>
      <c r="E739" t="str">
        <f t="shared" si="48"/>
        <v/>
      </c>
      <c r="F739" t="str">
        <f t="shared" si="45"/>
        <v/>
      </c>
      <c r="G739" t="str">
        <f>IF(LEN(TRIM(E739))=0, "", GetSampleTissueBySpecimenPrep(H739))</f>
        <v/>
      </c>
      <c r="H739" t="str">
        <f>IF(LEN(TRIM(E739))=0, "", GetSpecimenPrepName())</f>
        <v/>
      </c>
      <c r="I739" t="str">
        <f>IF(LEN(TRIM(E739))=0, "", GetSampleVolumeBySpecimenPrep(H739))</f>
        <v/>
      </c>
      <c r="L739" t="str">
        <f>IF(LEN(TRIM(E739))=0,"",VLOOKUP("Manifest Id",config!A:B,2,FALSE))</f>
        <v/>
      </c>
      <c r="M739" t="str">
        <f>IF(LEN(TRIM(E739))=0, "",VLOOKUP("Project Name",config!A:B,2,FALSE))</f>
        <v/>
      </c>
      <c r="N739" t="str">
        <f>IF(LEN(TRIM(E739))=0, "",VLOOKUP("Center Name",config!A:B,2,FALSE))</f>
        <v/>
      </c>
      <c r="O739" s="7" t="str">
        <f>IF(LEN(TRIM(E739))=0,"",VLOOKUP("Shipment Date",config!A:B,2,FALSE))</f>
        <v/>
      </c>
      <c r="P739" s="7" t="str">
        <f t="shared" si="46"/>
        <v/>
      </c>
      <c r="Q739" s="7" t="str">
        <f>IF(LEN(TRIM(D739))=0,"",GetConfigParameterValue("Collection Site"))</f>
        <v/>
      </c>
      <c r="R739" t="str">
        <f>IF(LEN(TRIM(E739))=0, "", GetManifestComments(H739))</f>
        <v/>
      </c>
      <c r="S739" t="str">
        <f>IF(LEN(TRIM(E739))=0,"",IF(ISERROR(VLOOKUP(E739,'Manifest MDB data'!A:A,1,FALSE)),"OK","EXISTS!!!"))</f>
        <v/>
      </c>
    </row>
    <row r="740" spans="4:19" x14ac:dyDescent="0.25">
      <c r="D740" t="str">
        <f t="shared" si="47"/>
        <v/>
      </c>
      <c r="E740" t="str">
        <f t="shared" si="48"/>
        <v/>
      </c>
      <c r="F740" t="str">
        <f t="shared" si="45"/>
        <v/>
      </c>
      <c r="G740" t="str">
        <f>IF(LEN(TRIM(E740))=0, "", GetSampleTissueBySpecimenPrep(H740))</f>
        <v/>
      </c>
      <c r="H740" t="str">
        <f>IF(LEN(TRIM(E740))=0, "", GetSpecimenPrepName())</f>
        <v/>
      </c>
      <c r="I740" t="str">
        <f>IF(LEN(TRIM(E740))=0, "", GetSampleVolumeBySpecimenPrep(H740))</f>
        <v/>
      </c>
      <c r="L740" t="str">
        <f>IF(LEN(TRIM(E740))=0,"",VLOOKUP("Manifest Id",config!A:B,2,FALSE))</f>
        <v/>
      </c>
      <c r="M740" t="str">
        <f>IF(LEN(TRIM(E740))=0, "",VLOOKUP("Project Name",config!A:B,2,FALSE))</f>
        <v/>
      </c>
      <c r="N740" t="str">
        <f>IF(LEN(TRIM(E740))=0, "",VLOOKUP("Center Name",config!A:B,2,FALSE))</f>
        <v/>
      </c>
      <c r="O740" s="7" t="str">
        <f>IF(LEN(TRIM(E740))=0,"",VLOOKUP("Shipment Date",config!A:B,2,FALSE))</f>
        <v/>
      </c>
      <c r="P740" s="7" t="str">
        <f t="shared" si="46"/>
        <v/>
      </c>
      <c r="Q740" s="7" t="str">
        <f>IF(LEN(TRIM(D740))=0,"",GetConfigParameterValue("Collection Site"))</f>
        <v/>
      </c>
      <c r="R740" t="str">
        <f>IF(LEN(TRIM(E740))=0, "", GetManifestComments(H740))</f>
        <v/>
      </c>
      <c r="S740" t="str">
        <f>IF(LEN(TRIM(E740))=0,"",IF(ISERROR(VLOOKUP(E740,'Manifest MDB data'!A:A,1,FALSE)),"OK","EXISTS!!!"))</f>
        <v/>
      </c>
    </row>
    <row r="741" spans="4:19" x14ac:dyDescent="0.25">
      <c r="D741" t="str">
        <f t="shared" si="47"/>
        <v/>
      </c>
      <c r="E741" t="str">
        <f t="shared" si="48"/>
        <v/>
      </c>
      <c r="F741" t="str">
        <f t="shared" si="45"/>
        <v/>
      </c>
      <c r="G741" t="str">
        <f>IF(LEN(TRIM(E741))=0, "", GetSampleTissueBySpecimenPrep(H741))</f>
        <v/>
      </c>
      <c r="H741" t="str">
        <f>IF(LEN(TRIM(E741))=0, "", GetSpecimenPrepName())</f>
        <v/>
      </c>
      <c r="I741" t="str">
        <f>IF(LEN(TRIM(E741))=0, "", GetSampleVolumeBySpecimenPrep(H741))</f>
        <v/>
      </c>
      <c r="L741" t="str">
        <f>IF(LEN(TRIM(E741))=0,"",VLOOKUP("Manifest Id",config!A:B,2,FALSE))</f>
        <v/>
      </c>
      <c r="M741" t="str">
        <f>IF(LEN(TRIM(E741))=0, "",VLOOKUP("Project Name",config!A:B,2,FALSE))</f>
        <v/>
      </c>
      <c r="N741" t="str">
        <f>IF(LEN(TRIM(E741))=0, "",VLOOKUP("Center Name",config!A:B,2,FALSE))</f>
        <v/>
      </c>
      <c r="O741" s="7" t="str">
        <f>IF(LEN(TRIM(E741))=0,"",VLOOKUP("Shipment Date",config!A:B,2,FALSE))</f>
        <v/>
      </c>
      <c r="P741" s="7" t="str">
        <f t="shared" si="46"/>
        <v/>
      </c>
      <c r="Q741" s="7" t="str">
        <f>IF(LEN(TRIM(D741))=0,"",GetConfigParameterValue("Collection Site"))</f>
        <v/>
      </c>
      <c r="R741" t="str">
        <f>IF(LEN(TRIM(E741))=0, "", GetManifestComments(H741))</f>
        <v/>
      </c>
      <c r="S741" t="str">
        <f>IF(LEN(TRIM(E741))=0,"",IF(ISERROR(VLOOKUP(E741,'Manifest MDB data'!A:A,1,FALSE)),"OK","EXISTS!!!"))</f>
        <v/>
      </c>
    </row>
    <row r="742" spans="4:19" x14ac:dyDescent="0.25">
      <c r="D742" t="str">
        <f t="shared" si="47"/>
        <v/>
      </c>
      <c r="E742" t="str">
        <f t="shared" si="48"/>
        <v/>
      </c>
      <c r="F742" t="str">
        <f t="shared" si="45"/>
        <v/>
      </c>
      <c r="G742" t="str">
        <f>IF(LEN(TRIM(E742))=0, "", GetSampleTissueBySpecimenPrep(H742))</f>
        <v/>
      </c>
      <c r="H742" t="str">
        <f>IF(LEN(TRIM(E742))=0, "", GetSpecimenPrepName())</f>
        <v/>
      </c>
      <c r="I742" t="str">
        <f>IF(LEN(TRIM(E742))=0, "", GetSampleVolumeBySpecimenPrep(H742))</f>
        <v/>
      </c>
      <c r="L742" t="str">
        <f>IF(LEN(TRIM(E742))=0,"",VLOOKUP("Manifest Id",config!A:B,2,FALSE))</f>
        <v/>
      </c>
      <c r="M742" t="str">
        <f>IF(LEN(TRIM(E742))=0, "",VLOOKUP("Project Name",config!A:B,2,FALSE))</f>
        <v/>
      </c>
      <c r="N742" t="str">
        <f>IF(LEN(TRIM(E742))=0, "",VLOOKUP("Center Name",config!A:B,2,FALSE))</f>
        <v/>
      </c>
      <c r="O742" s="7" t="str">
        <f>IF(LEN(TRIM(E742))=0,"",VLOOKUP("Shipment Date",config!A:B,2,FALSE))</f>
        <v/>
      </c>
      <c r="P742" s="7" t="str">
        <f t="shared" si="46"/>
        <v/>
      </c>
      <c r="Q742" s="7" t="str">
        <f>IF(LEN(TRIM(D742))=0,"",GetConfigParameterValue("Collection Site"))</f>
        <v/>
      </c>
      <c r="R742" t="str">
        <f>IF(LEN(TRIM(E742))=0, "", GetManifestComments(H742))</f>
        <v/>
      </c>
      <c r="S742" t="str">
        <f>IF(LEN(TRIM(E742))=0,"",IF(ISERROR(VLOOKUP(E742,'Manifest MDB data'!A:A,1,FALSE)),"OK","EXISTS!!!"))</f>
        <v/>
      </c>
    </row>
    <row r="743" spans="4:19" x14ac:dyDescent="0.25">
      <c r="D743" t="str">
        <f t="shared" si="47"/>
        <v/>
      </c>
      <c r="E743" t="str">
        <f t="shared" si="48"/>
        <v/>
      </c>
      <c r="F743" t="str">
        <f t="shared" si="45"/>
        <v/>
      </c>
      <c r="G743" t="str">
        <f>IF(LEN(TRIM(E743))=0, "", GetSampleTissueBySpecimenPrep(H743))</f>
        <v/>
      </c>
      <c r="H743" t="str">
        <f>IF(LEN(TRIM(E743))=0, "", GetSpecimenPrepName())</f>
        <v/>
      </c>
      <c r="I743" t="str">
        <f>IF(LEN(TRIM(E743))=0, "", GetSampleVolumeBySpecimenPrep(H743))</f>
        <v/>
      </c>
      <c r="L743" t="str">
        <f>IF(LEN(TRIM(E743))=0,"",VLOOKUP("Manifest Id",config!A:B,2,FALSE))</f>
        <v/>
      </c>
      <c r="M743" t="str">
        <f>IF(LEN(TRIM(E743))=0, "",VLOOKUP("Project Name",config!A:B,2,FALSE))</f>
        <v/>
      </c>
      <c r="N743" t="str">
        <f>IF(LEN(TRIM(E743))=0, "",VLOOKUP("Center Name",config!A:B,2,FALSE))</f>
        <v/>
      </c>
      <c r="O743" s="7" t="str">
        <f>IF(LEN(TRIM(E743))=0,"",VLOOKUP("Shipment Date",config!A:B,2,FALSE))</f>
        <v/>
      </c>
      <c r="P743" s="7" t="str">
        <f t="shared" si="46"/>
        <v/>
      </c>
      <c r="Q743" s="7" t="str">
        <f>IF(LEN(TRIM(D743))=0,"",GetConfigParameterValue("Collection Site"))</f>
        <v/>
      </c>
      <c r="R743" t="str">
        <f>IF(LEN(TRIM(E743))=0, "", GetManifestComments(H743))</f>
        <v/>
      </c>
      <c r="S743" t="str">
        <f>IF(LEN(TRIM(E743))=0,"",IF(ISERROR(VLOOKUP(E743,'Manifest MDB data'!A:A,1,FALSE)),"OK","EXISTS!!!"))</f>
        <v/>
      </c>
    </row>
    <row r="744" spans="4:19" x14ac:dyDescent="0.25">
      <c r="D744" t="str">
        <f t="shared" si="47"/>
        <v/>
      </c>
      <c r="E744" t="str">
        <f t="shared" si="48"/>
        <v/>
      </c>
      <c r="F744" t="str">
        <f t="shared" si="45"/>
        <v/>
      </c>
      <c r="G744" t="str">
        <f>IF(LEN(TRIM(E744))=0, "", GetSampleTissueBySpecimenPrep(H744))</f>
        <v/>
      </c>
      <c r="H744" t="str">
        <f>IF(LEN(TRIM(E744))=0, "", GetSpecimenPrepName())</f>
        <v/>
      </c>
      <c r="I744" t="str">
        <f>IF(LEN(TRIM(E744))=0, "", GetSampleVolumeBySpecimenPrep(H744))</f>
        <v/>
      </c>
      <c r="L744" t="str">
        <f>IF(LEN(TRIM(E744))=0,"",VLOOKUP("Manifest Id",config!A:B,2,FALSE))</f>
        <v/>
      </c>
      <c r="M744" t="str">
        <f>IF(LEN(TRIM(E744))=0, "",VLOOKUP("Project Name",config!A:B,2,FALSE))</f>
        <v/>
      </c>
      <c r="N744" t="str">
        <f>IF(LEN(TRIM(E744))=0, "",VLOOKUP("Center Name",config!A:B,2,FALSE))</f>
        <v/>
      </c>
      <c r="O744" s="7" t="str">
        <f>IF(LEN(TRIM(E744))=0,"",VLOOKUP("Shipment Date",config!A:B,2,FALSE))</f>
        <v/>
      </c>
      <c r="P744" s="7" t="str">
        <f t="shared" si="46"/>
        <v/>
      </c>
      <c r="Q744" s="7" t="str">
        <f>IF(LEN(TRIM(D744))=0,"",GetConfigParameterValue("Collection Site"))</f>
        <v/>
      </c>
      <c r="R744" t="str">
        <f>IF(LEN(TRIM(E744))=0, "", GetManifestComments(H744))</f>
        <v/>
      </c>
      <c r="S744" t="str">
        <f>IF(LEN(TRIM(E744))=0,"",IF(ISERROR(VLOOKUP(E744,'Manifest MDB data'!A:A,1,FALSE)),"OK","EXISTS!!!"))</f>
        <v/>
      </c>
    </row>
    <row r="745" spans="4:19" x14ac:dyDescent="0.25">
      <c r="D745" t="str">
        <f t="shared" si="47"/>
        <v/>
      </c>
      <c r="E745" t="str">
        <f t="shared" si="48"/>
        <v/>
      </c>
      <c r="F745" t="str">
        <f t="shared" si="45"/>
        <v/>
      </c>
      <c r="G745" t="str">
        <f>IF(LEN(TRIM(E745))=0, "", GetSampleTissueBySpecimenPrep(H745))</f>
        <v/>
      </c>
      <c r="H745" t="str">
        <f>IF(LEN(TRIM(E745))=0, "", GetSpecimenPrepName())</f>
        <v/>
      </c>
      <c r="I745" t="str">
        <f>IF(LEN(TRIM(E745))=0, "", GetSampleVolumeBySpecimenPrep(H745))</f>
        <v/>
      </c>
      <c r="L745" t="str">
        <f>IF(LEN(TRIM(E745))=0,"",VLOOKUP("Manifest Id",config!A:B,2,FALSE))</f>
        <v/>
      </c>
      <c r="M745" t="str">
        <f>IF(LEN(TRIM(E745))=0, "",VLOOKUP("Project Name",config!A:B,2,FALSE))</f>
        <v/>
      </c>
      <c r="N745" t="str">
        <f>IF(LEN(TRIM(E745))=0, "",VLOOKUP("Center Name",config!A:B,2,FALSE))</f>
        <v/>
      </c>
      <c r="O745" s="7" t="str">
        <f>IF(LEN(TRIM(E745))=0,"",VLOOKUP("Shipment Date",config!A:B,2,FALSE))</f>
        <v/>
      </c>
      <c r="P745" s="7" t="str">
        <f t="shared" si="46"/>
        <v/>
      </c>
      <c r="Q745" s="7" t="str">
        <f>IF(LEN(TRIM(D745))=0,"",GetConfigParameterValue("Collection Site"))</f>
        <v/>
      </c>
      <c r="R745" t="str">
        <f>IF(LEN(TRIM(E745))=0, "", GetManifestComments(H745))</f>
        <v/>
      </c>
      <c r="S745" t="str">
        <f>IF(LEN(TRIM(E745))=0,"",IF(ISERROR(VLOOKUP(E745,'Manifest MDB data'!A:A,1,FALSE)),"OK","EXISTS!!!"))</f>
        <v/>
      </c>
    </row>
    <row r="746" spans="4:19" x14ac:dyDescent="0.25">
      <c r="D746" t="str">
        <f t="shared" si="47"/>
        <v/>
      </c>
      <c r="E746" t="str">
        <f t="shared" si="48"/>
        <v/>
      </c>
      <c r="F746" t="str">
        <f t="shared" si="45"/>
        <v/>
      </c>
      <c r="G746" t="str">
        <f>IF(LEN(TRIM(E746))=0, "", GetSampleTissueBySpecimenPrep(H746))</f>
        <v/>
      </c>
      <c r="H746" t="str">
        <f>IF(LEN(TRIM(E746))=0, "", GetSpecimenPrepName())</f>
        <v/>
      </c>
      <c r="I746" t="str">
        <f>IF(LEN(TRIM(E746))=0, "", GetSampleVolumeBySpecimenPrep(H746))</f>
        <v/>
      </c>
      <c r="L746" t="str">
        <f>IF(LEN(TRIM(E746))=0,"",VLOOKUP("Manifest Id",config!A:B,2,FALSE))</f>
        <v/>
      </c>
      <c r="M746" t="str">
        <f>IF(LEN(TRIM(E746))=0, "",VLOOKUP("Project Name",config!A:B,2,FALSE))</f>
        <v/>
      </c>
      <c r="N746" t="str">
        <f>IF(LEN(TRIM(E746))=0, "",VLOOKUP("Center Name",config!A:B,2,FALSE))</f>
        <v/>
      </c>
      <c r="O746" s="7" t="str">
        <f>IF(LEN(TRIM(E746))=0,"",VLOOKUP("Shipment Date",config!A:B,2,FALSE))</f>
        <v/>
      </c>
      <c r="P746" s="7" t="str">
        <f t="shared" si="46"/>
        <v/>
      </c>
      <c r="Q746" s="7" t="str">
        <f>IF(LEN(TRIM(D746))=0,"",GetConfigParameterValue("Collection Site"))</f>
        <v/>
      </c>
      <c r="R746" t="str">
        <f>IF(LEN(TRIM(E746))=0, "", GetManifestComments(H746))</f>
        <v/>
      </c>
      <c r="S746" t="str">
        <f>IF(LEN(TRIM(E746))=0,"",IF(ISERROR(VLOOKUP(E746,'Manifest MDB data'!A:A,1,FALSE)),"OK","EXISTS!!!"))</f>
        <v/>
      </c>
    </row>
    <row r="747" spans="4:19" x14ac:dyDescent="0.25">
      <c r="D747" t="str">
        <f t="shared" si="47"/>
        <v/>
      </c>
      <c r="E747" t="str">
        <f t="shared" si="48"/>
        <v/>
      </c>
      <c r="F747" t="str">
        <f t="shared" si="45"/>
        <v/>
      </c>
      <c r="G747" t="str">
        <f>IF(LEN(TRIM(E747))=0, "", GetSampleTissueBySpecimenPrep(H747))</f>
        <v/>
      </c>
      <c r="H747" t="str">
        <f>IF(LEN(TRIM(E747))=0, "", GetSpecimenPrepName())</f>
        <v/>
      </c>
      <c r="I747" t="str">
        <f>IF(LEN(TRIM(E747))=0, "", GetSampleVolumeBySpecimenPrep(H747))</f>
        <v/>
      </c>
      <c r="L747" t="str">
        <f>IF(LEN(TRIM(E747))=0,"",VLOOKUP("Manifest Id",config!A:B,2,FALSE))</f>
        <v/>
      </c>
      <c r="M747" t="str">
        <f>IF(LEN(TRIM(E747))=0, "",VLOOKUP("Project Name",config!A:B,2,FALSE))</f>
        <v/>
      </c>
      <c r="N747" t="str">
        <f>IF(LEN(TRIM(E747))=0, "",VLOOKUP("Center Name",config!A:B,2,FALSE))</f>
        <v/>
      </c>
      <c r="O747" s="7" t="str">
        <f>IF(LEN(TRIM(E747))=0,"",VLOOKUP("Shipment Date",config!A:B,2,FALSE))</f>
        <v/>
      </c>
      <c r="P747" s="7" t="str">
        <f t="shared" si="46"/>
        <v/>
      </c>
      <c r="Q747" s="7" t="str">
        <f>IF(LEN(TRIM(D747))=0,"",GetConfigParameterValue("Collection Site"))</f>
        <v/>
      </c>
      <c r="R747" t="str">
        <f>IF(LEN(TRIM(E747))=0, "", GetManifestComments(H747))</f>
        <v/>
      </c>
      <c r="S747" t="str">
        <f>IF(LEN(TRIM(E747))=0,"",IF(ISERROR(VLOOKUP(E747,'Manifest MDB data'!A:A,1,FALSE)),"OK","EXISTS!!!"))</f>
        <v/>
      </c>
    </row>
    <row r="748" spans="4:19" x14ac:dyDescent="0.25">
      <c r="D748" t="str">
        <f t="shared" si="47"/>
        <v/>
      </c>
      <c r="E748" t="str">
        <f t="shared" si="48"/>
        <v/>
      </c>
      <c r="F748" t="str">
        <f t="shared" si="45"/>
        <v/>
      </c>
      <c r="G748" t="str">
        <f>IF(LEN(TRIM(E748))=0, "", GetSampleTissueBySpecimenPrep(H748))</f>
        <v/>
      </c>
      <c r="H748" t="str">
        <f>IF(LEN(TRIM(E748))=0, "", GetSpecimenPrepName())</f>
        <v/>
      </c>
      <c r="I748" t="str">
        <f>IF(LEN(TRIM(E748))=0, "", GetSampleVolumeBySpecimenPrep(H748))</f>
        <v/>
      </c>
      <c r="L748" t="str">
        <f>IF(LEN(TRIM(E748))=0,"",VLOOKUP("Manifest Id",config!A:B,2,FALSE))</f>
        <v/>
      </c>
      <c r="M748" t="str">
        <f>IF(LEN(TRIM(E748))=0, "",VLOOKUP("Project Name",config!A:B,2,FALSE))</f>
        <v/>
      </c>
      <c r="N748" t="str">
        <f>IF(LEN(TRIM(E748))=0, "",VLOOKUP("Center Name",config!A:B,2,FALSE))</f>
        <v/>
      </c>
      <c r="O748" s="7" t="str">
        <f>IF(LEN(TRIM(E748))=0,"",VLOOKUP("Shipment Date",config!A:B,2,FALSE))</f>
        <v/>
      </c>
      <c r="P748" s="7" t="str">
        <f t="shared" si="46"/>
        <v/>
      </c>
      <c r="Q748" s="7" t="str">
        <f>IF(LEN(TRIM(D748))=0,"",GetConfigParameterValue("Collection Site"))</f>
        <v/>
      </c>
      <c r="R748" t="str">
        <f>IF(LEN(TRIM(E748))=0, "", GetManifestComments(H748))</f>
        <v/>
      </c>
      <c r="S748" t="str">
        <f>IF(LEN(TRIM(E748))=0,"",IF(ISERROR(VLOOKUP(E748,'Manifest MDB data'!A:A,1,FALSE)),"OK","EXISTS!!!"))</f>
        <v/>
      </c>
    </row>
    <row r="749" spans="4:19" x14ac:dyDescent="0.25">
      <c r="D749" t="str">
        <f t="shared" si="47"/>
        <v/>
      </c>
      <c r="E749" t="str">
        <f t="shared" si="48"/>
        <v/>
      </c>
      <c r="F749" t="str">
        <f t="shared" si="45"/>
        <v/>
      </c>
      <c r="G749" t="str">
        <f>IF(LEN(TRIM(E749))=0, "", GetSampleTissueBySpecimenPrep(H749))</f>
        <v/>
      </c>
      <c r="H749" t="str">
        <f>IF(LEN(TRIM(E749))=0, "", GetSpecimenPrepName())</f>
        <v/>
      </c>
      <c r="I749" t="str">
        <f>IF(LEN(TRIM(E749))=0, "", GetSampleVolumeBySpecimenPrep(H749))</f>
        <v/>
      </c>
      <c r="L749" t="str">
        <f>IF(LEN(TRIM(E749))=0,"",VLOOKUP("Manifest Id",config!A:B,2,FALSE))</f>
        <v/>
      </c>
      <c r="M749" t="str">
        <f>IF(LEN(TRIM(E749))=0, "",VLOOKUP("Project Name",config!A:B,2,FALSE))</f>
        <v/>
      </c>
      <c r="N749" t="str">
        <f>IF(LEN(TRIM(E749))=0, "",VLOOKUP("Center Name",config!A:B,2,FALSE))</f>
        <v/>
      </c>
      <c r="O749" s="7" t="str">
        <f>IF(LEN(TRIM(E749))=0,"",VLOOKUP("Shipment Date",config!A:B,2,FALSE))</f>
        <v/>
      </c>
      <c r="P749" s="7" t="str">
        <f t="shared" si="46"/>
        <v/>
      </c>
      <c r="Q749" s="7" t="str">
        <f>IF(LEN(TRIM(D749))=0,"",GetConfigParameterValue("Collection Site"))</f>
        <v/>
      </c>
      <c r="R749" t="str">
        <f>IF(LEN(TRIM(E749))=0, "", GetManifestComments(H749))</f>
        <v/>
      </c>
      <c r="S749" t="str">
        <f>IF(LEN(TRIM(E749))=0,"",IF(ISERROR(VLOOKUP(E749,'Manifest MDB data'!A:A,1,FALSE)),"OK","EXISTS!!!"))</f>
        <v/>
      </c>
    </row>
    <row r="750" spans="4:19" x14ac:dyDescent="0.25">
      <c r="D750" t="str">
        <f t="shared" si="47"/>
        <v/>
      </c>
      <c r="E750" t="str">
        <f t="shared" si="48"/>
        <v/>
      </c>
      <c r="F750" t="str">
        <f t="shared" si="45"/>
        <v/>
      </c>
      <c r="G750" t="str">
        <f>IF(LEN(TRIM(E750))=0, "", GetSampleTissueBySpecimenPrep(H750))</f>
        <v/>
      </c>
      <c r="H750" t="str">
        <f>IF(LEN(TRIM(E750))=0, "", GetSpecimenPrepName())</f>
        <v/>
      </c>
      <c r="I750" t="str">
        <f>IF(LEN(TRIM(E750))=0, "", GetSampleVolumeBySpecimenPrep(H750))</f>
        <v/>
      </c>
      <c r="L750" t="str">
        <f>IF(LEN(TRIM(E750))=0,"",VLOOKUP("Manifest Id",config!A:B,2,FALSE))</f>
        <v/>
      </c>
      <c r="M750" t="str">
        <f>IF(LEN(TRIM(E750))=0, "",VLOOKUP("Project Name",config!A:B,2,FALSE))</f>
        <v/>
      </c>
      <c r="N750" t="str">
        <f>IF(LEN(TRIM(E750))=0, "",VLOOKUP("Center Name",config!A:B,2,FALSE))</f>
        <v/>
      </c>
      <c r="O750" s="7" t="str">
        <f>IF(LEN(TRIM(E750))=0,"",VLOOKUP("Shipment Date",config!A:B,2,FALSE))</f>
        <v/>
      </c>
      <c r="P750" s="7" t="str">
        <f t="shared" si="46"/>
        <v/>
      </c>
      <c r="Q750" s="7" t="str">
        <f>IF(LEN(TRIM(D750))=0,"",GetConfigParameterValue("Collection Site"))</f>
        <v/>
      </c>
      <c r="R750" t="str">
        <f>IF(LEN(TRIM(E750))=0, "", GetManifestComments(H750))</f>
        <v/>
      </c>
      <c r="S750" t="str">
        <f>IF(LEN(TRIM(E750))=0,"",IF(ISERROR(VLOOKUP(E750,'Manifest MDB data'!A:A,1,FALSE)),"OK","EXISTS!!!"))</f>
        <v/>
      </c>
    </row>
    <row r="751" spans="4:19" x14ac:dyDescent="0.25">
      <c r="D751" t="str">
        <f t="shared" si="47"/>
        <v/>
      </c>
      <c r="E751" t="str">
        <f t="shared" si="48"/>
        <v/>
      </c>
      <c r="F751" t="str">
        <f t="shared" si="45"/>
        <v/>
      </c>
      <c r="G751" t="str">
        <f>IF(LEN(TRIM(E751))=0, "", GetSampleTissueBySpecimenPrep(H751))</f>
        <v/>
      </c>
      <c r="H751" t="str">
        <f>IF(LEN(TRIM(E751))=0, "", GetSpecimenPrepName())</f>
        <v/>
      </c>
      <c r="I751" t="str">
        <f>IF(LEN(TRIM(E751))=0, "", GetSampleVolumeBySpecimenPrep(H751))</f>
        <v/>
      </c>
      <c r="L751" t="str">
        <f>IF(LEN(TRIM(E751))=0,"",VLOOKUP("Manifest Id",config!A:B,2,FALSE))</f>
        <v/>
      </c>
      <c r="M751" t="str">
        <f>IF(LEN(TRIM(E751))=0, "",VLOOKUP("Project Name",config!A:B,2,FALSE))</f>
        <v/>
      </c>
      <c r="N751" t="str">
        <f>IF(LEN(TRIM(E751))=0, "",VLOOKUP("Center Name",config!A:B,2,FALSE))</f>
        <v/>
      </c>
      <c r="O751" s="7" t="str">
        <f>IF(LEN(TRIM(E751))=0,"",VLOOKUP("Shipment Date",config!A:B,2,FALSE))</f>
        <v/>
      </c>
      <c r="P751" s="7" t="str">
        <f t="shared" si="46"/>
        <v/>
      </c>
      <c r="Q751" s="7" t="str">
        <f>IF(LEN(TRIM(D751))=0,"",GetConfigParameterValue("Collection Site"))</f>
        <v/>
      </c>
      <c r="R751" t="str">
        <f>IF(LEN(TRIM(E751))=0, "", GetManifestComments(H751))</f>
        <v/>
      </c>
      <c r="S751" t="str">
        <f>IF(LEN(TRIM(E751))=0,"",IF(ISERROR(VLOOKUP(E751,'Manifest MDB data'!A:A,1,FALSE)),"OK","EXISTS!!!"))</f>
        <v/>
      </c>
    </row>
    <row r="752" spans="4:19" x14ac:dyDescent="0.25">
      <c r="D752" t="str">
        <f t="shared" si="47"/>
        <v/>
      </c>
      <c r="E752" t="str">
        <f t="shared" si="48"/>
        <v/>
      </c>
      <c r="F752" t="str">
        <f t="shared" si="45"/>
        <v/>
      </c>
      <c r="G752" t="str">
        <f>IF(LEN(TRIM(E752))=0, "", GetSampleTissueBySpecimenPrep(H752))</f>
        <v/>
      </c>
      <c r="H752" t="str">
        <f>IF(LEN(TRIM(E752))=0, "", GetSpecimenPrepName())</f>
        <v/>
      </c>
      <c r="I752" t="str">
        <f>IF(LEN(TRIM(E752))=0, "", GetSampleVolumeBySpecimenPrep(H752))</f>
        <v/>
      </c>
      <c r="L752" t="str">
        <f>IF(LEN(TRIM(E752))=0,"",VLOOKUP("Manifest Id",config!A:B,2,FALSE))</f>
        <v/>
      </c>
      <c r="M752" t="str">
        <f>IF(LEN(TRIM(E752))=0, "",VLOOKUP("Project Name",config!A:B,2,FALSE))</f>
        <v/>
      </c>
      <c r="N752" t="str">
        <f>IF(LEN(TRIM(E752))=0, "",VLOOKUP("Center Name",config!A:B,2,FALSE))</f>
        <v/>
      </c>
      <c r="O752" s="7" t="str">
        <f>IF(LEN(TRIM(E752))=0,"",VLOOKUP("Shipment Date",config!A:B,2,FALSE))</f>
        <v/>
      </c>
      <c r="P752" s="7" t="str">
        <f t="shared" si="46"/>
        <v/>
      </c>
      <c r="Q752" s="7" t="str">
        <f>IF(LEN(TRIM(D752))=0,"",GetConfigParameterValue("Collection Site"))</f>
        <v/>
      </c>
      <c r="R752" t="str">
        <f>IF(LEN(TRIM(E752))=0, "", GetManifestComments(H752))</f>
        <v/>
      </c>
      <c r="S752" t="str">
        <f>IF(LEN(TRIM(E752))=0,"",IF(ISERROR(VLOOKUP(E752,'Manifest MDB data'!A:A,1,FALSE)),"OK","EXISTS!!!"))</f>
        <v/>
      </c>
    </row>
    <row r="753" spans="4:19" x14ac:dyDescent="0.25">
      <c r="D753" t="str">
        <f t="shared" si="47"/>
        <v/>
      </c>
      <c r="E753" t="str">
        <f t="shared" si="48"/>
        <v/>
      </c>
      <c r="F753" t="str">
        <f t="shared" si="45"/>
        <v/>
      </c>
      <c r="G753" t="str">
        <f>IF(LEN(TRIM(E753))=0, "", GetSampleTissueBySpecimenPrep(H753))</f>
        <v/>
      </c>
      <c r="H753" t="str">
        <f>IF(LEN(TRIM(E753))=0, "", GetSpecimenPrepName())</f>
        <v/>
      </c>
      <c r="I753" t="str">
        <f>IF(LEN(TRIM(E753))=0, "", GetSampleVolumeBySpecimenPrep(H753))</f>
        <v/>
      </c>
      <c r="L753" t="str">
        <f>IF(LEN(TRIM(E753))=0,"",VLOOKUP("Manifest Id",config!A:B,2,FALSE))</f>
        <v/>
      </c>
      <c r="M753" t="str">
        <f>IF(LEN(TRIM(E753))=0, "",VLOOKUP("Project Name",config!A:B,2,FALSE))</f>
        <v/>
      </c>
      <c r="N753" t="str">
        <f>IF(LEN(TRIM(E753))=0, "",VLOOKUP("Center Name",config!A:B,2,FALSE))</f>
        <v/>
      </c>
      <c r="O753" s="7" t="str">
        <f>IF(LEN(TRIM(E753))=0,"",VLOOKUP("Shipment Date",config!A:B,2,FALSE))</f>
        <v/>
      </c>
      <c r="P753" s="7" t="str">
        <f t="shared" si="46"/>
        <v/>
      </c>
      <c r="Q753" s="7" t="str">
        <f>IF(LEN(TRIM(D753))=0,"",GetConfigParameterValue("Collection Site"))</f>
        <v/>
      </c>
      <c r="R753" t="str">
        <f>IF(LEN(TRIM(E753))=0, "", GetManifestComments(H753))</f>
        <v/>
      </c>
      <c r="S753" t="str">
        <f>IF(LEN(TRIM(E753))=0,"",IF(ISERROR(VLOOKUP(E753,'Manifest MDB data'!A:A,1,FALSE)),"OK","EXISTS!!!"))</f>
        <v/>
      </c>
    </row>
    <row r="754" spans="4:19" x14ac:dyDescent="0.25">
      <c r="D754" t="str">
        <f t="shared" si="47"/>
        <v/>
      </c>
      <c r="E754" t="str">
        <f t="shared" si="48"/>
        <v/>
      </c>
      <c r="F754" t="str">
        <f t="shared" si="45"/>
        <v/>
      </c>
      <c r="G754" t="str">
        <f>IF(LEN(TRIM(E754))=0, "", GetSampleTissueBySpecimenPrep(H754))</f>
        <v/>
      </c>
      <c r="H754" t="str">
        <f>IF(LEN(TRIM(E754))=0, "", GetSpecimenPrepName())</f>
        <v/>
      </c>
      <c r="I754" t="str">
        <f>IF(LEN(TRIM(E754))=0, "", GetSampleVolumeBySpecimenPrep(H754))</f>
        <v/>
      </c>
      <c r="L754" t="str">
        <f>IF(LEN(TRIM(E754))=0,"",VLOOKUP("Manifest Id",config!A:B,2,FALSE))</f>
        <v/>
      </c>
      <c r="M754" t="str">
        <f>IF(LEN(TRIM(E754))=0, "",VLOOKUP("Project Name",config!A:B,2,FALSE))</f>
        <v/>
      </c>
      <c r="N754" t="str">
        <f>IF(LEN(TRIM(E754))=0, "",VLOOKUP("Center Name",config!A:B,2,FALSE))</f>
        <v/>
      </c>
      <c r="O754" s="7" t="str">
        <f>IF(LEN(TRIM(E754))=0,"",VLOOKUP("Shipment Date",config!A:B,2,FALSE))</f>
        <v/>
      </c>
      <c r="P754" s="7" t="str">
        <f t="shared" si="46"/>
        <v/>
      </c>
      <c r="Q754" s="7" t="str">
        <f>IF(LEN(TRIM(D754))=0,"",GetConfigParameterValue("Collection Site"))</f>
        <v/>
      </c>
      <c r="R754" t="str">
        <f>IF(LEN(TRIM(E754))=0, "", GetManifestComments(H754))</f>
        <v/>
      </c>
      <c r="S754" t="str">
        <f>IF(LEN(TRIM(E754))=0,"",IF(ISERROR(VLOOKUP(E754,'Manifest MDB data'!A:A,1,FALSE)),"OK","EXISTS!!!"))</f>
        <v/>
      </c>
    </row>
    <row r="755" spans="4:19" x14ac:dyDescent="0.25">
      <c r="D755" t="str">
        <f t="shared" si="47"/>
        <v/>
      </c>
      <c r="E755" t="str">
        <f t="shared" si="48"/>
        <v/>
      </c>
      <c r="F755" t="str">
        <f t="shared" si="45"/>
        <v/>
      </c>
      <c r="G755" t="str">
        <f>IF(LEN(TRIM(E755))=0, "", GetSampleTissueBySpecimenPrep(H755))</f>
        <v/>
      </c>
      <c r="H755" t="str">
        <f>IF(LEN(TRIM(E755))=0, "", GetSpecimenPrepName())</f>
        <v/>
      </c>
      <c r="I755" t="str">
        <f>IF(LEN(TRIM(E755))=0, "", GetSampleVolumeBySpecimenPrep(H755))</f>
        <v/>
      </c>
      <c r="L755" t="str">
        <f>IF(LEN(TRIM(E755))=0,"",VLOOKUP("Manifest Id",config!A:B,2,FALSE))</f>
        <v/>
      </c>
      <c r="M755" t="str">
        <f>IF(LEN(TRIM(E755))=0, "",VLOOKUP("Project Name",config!A:B,2,FALSE))</f>
        <v/>
      </c>
      <c r="N755" t="str">
        <f>IF(LEN(TRIM(E755))=0, "",VLOOKUP("Center Name",config!A:B,2,FALSE))</f>
        <v/>
      </c>
      <c r="O755" s="7" t="str">
        <f>IF(LEN(TRIM(E755))=0,"",VLOOKUP("Shipment Date",config!A:B,2,FALSE))</f>
        <v/>
      </c>
      <c r="P755" s="7" t="str">
        <f t="shared" si="46"/>
        <v/>
      </c>
      <c r="Q755" s="7" t="str">
        <f>IF(LEN(TRIM(D755))=0,"",GetConfigParameterValue("Collection Site"))</f>
        <v/>
      </c>
      <c r="R755" t="str">
        <f>IF(LEN(TRIM(E755))=0, "", GetManifestComments(H755))</f>
        <v/>
      </c>
      <c r="S755" t="str">
        <f>IF(LEN(TRIM(E755))=0,"",IF(ISERROR(VLOOKUP(E755,'Manifest MDB data'!A:A,1,FALSE)),"OK","EXISTS!!!"))</f>
        <v/>
      </c>
    </row>
    <row r="756" spans="4:19" x14ac:dyDescent="0.25">
      <c r="D756" t="str">
        <f t="shared" si="47"/>
        <v/>
      </c>
      <c r="E756" t="str">
        <f t="shared" si="48"/>
        <v/>
      </c>
      <c r="F756" t="str">
        <f t="shared" si="45"/>
        <v/>
      </c>
      <c r="G756" t="str">
        <f>IF(LEN(TRIM(E756))=0, "", GetSampleTissueBySpecimenPrep(H756))</f>
        <v/>
      </c>
      <c r="H756" t="str">
        <f>IF(LEN(TRIM(E756))=0, "", GetSpecimenPrepName())</f>
        <v/>
      </c>
      <c r="I756" t="str">
        <f>IF(LEN(TRIM(E756))=0, "", GetSampleVolumeBySpecimenPrep(H756))</f>
        <v/>
      </c>
      <c r="L756" t="str">
        <f>IF(LEN(TRIM(E756))=0,"",VLOOKUP("Manifest Id",config!A:B,2,FALSE))</f>
        <v/>
      </c>
      <c r="M756" t="str">
        <f>IF(LEN(TRIM(E756))=0, "",VLOOKUP("Project Name",config!A:B,2,FALSE))</f>
        <v/>
      </c>
      <c r="N756" t="str">
        <f>IF(LEN(TRIM(E756))=0, "",VLOOKUP("Center Name",config!A:B,2,FALSE))</f>
        <v/>
      </c>
      <c r="O756" s="7" t="str">
        <f>IF(LEN(TRIM(E756))=0,"",VLOOKUP("Shipment Date",config!A:B,2,FALSE))</f>
        <v/>
      </c>
      <c r="P756" s="7" t="str">
        <f t="shared" si="46"/>
        <v/>
      </c>
      <c r="Q756" s="7" t="str">
        <f>IF(LEN(TRIM(D756))=0,"",GetConfigParameterValue("Collection Site"))</f>
        <v/>
      </c>
      <c r="R756" t="str">
        <f>IF(LEN(TRIM(E756))=0, "", GetManifestComments(H756))</f>
        <v/>
      </c>
      <c r="S756" t="str">
        <f>IF(LEN(TRIM(E756))=0,"",IF(ISERROR(VLOOKUP(E756,'Manifest MDB data'!A:A,1,FALSE)),"OK","EXISTS!!!"))</f>
        <v/>
      </c>
    </row>
    <row r="757" spans="4:19" x14ac:dyDescent="0.25">
      <c r="D757" t="str">
        <f t="shared" si="47"/>
        <v/>
      </c>
      <c r="E757" t="str">
        <f t="shared" si="48"/>
        <v/>
      </c>
      <c r="F757" t="str">
        <f t="shared" si="45"/>
        <v/>
      </c>
      <c r="G757" t="str">
        <f>IF(LEN(TRIM(E757))=0, "", GetSampleTissueBySpecimenPrep(H757))</f>
        <v/>
      </c>
      <c r="H757" t="str">
        <f>IF(LEN(TRIM(E757))=0, "", GetSpecimenPrepName())</f>
        <v/>
      </c>
      <c r="I757" t="str">
        <f>IF(LEN(TRIM(E757))=0, "", GetSampleVolumeBySpecimenPrep(H757))</f>
        <v/>
      </c>
      <c r="L757" t="str">
        <f>IF(LEN(TRIM(E757))=0,"",VLOOKUP("Manifest Id",config!A:B,2,FALSE))</f>
        <v/>
      </c>
      <c r="M757" t="str">
        <f>IF(LEN(TRIM(E757))=0, "",VLOOKUP("Project Name",config!A:B,2,FALSE))</f>
        <v/>
      </c>
      <c r="N757" t="str">
        <f>IF(LEN(TRIM(E757))=0, "",VLOOKUP("Center Name",config!A:B,2,FALSE))</f>
        <v/>
      </c>
      <c r="O757" s="7" t="str">
        <f>IF(LEN(TRIM(E757))=0,"",VLOOKUP("Shipment Date",config!A:B,2,FALSE))</f>
        <v/>
      </c>
      <c r="P757" s="7" t="str">
        <f t="shared" si="46"/>
        <v/>
      </c>
      <c r="Q757" s="7" t="str">
        <f>IF(LEN(TRIM(D757))=0,"",GetConfigParameterValue("Collection Site"))</f>
        <v/>
      </c>
      <c r="R757" t="str">
        <f>IF(LEN(TRIM(E757))=0, "", GetManifestComments(H757))</f>
        <v/>
      </c>
      <c r="S757" t="str">
        <f>IF(LEN(TRIM(E757))=0,"",IF(ISERROR(VLOOKUP(E757,'Manifest MDB data'!A:A,1,FALSE)),"OK","EXISTS!!!"))</f>
        <v/>
      </c>
    </row>
    <row r="758" spans="4:19" x14ac:dyDescent="0.25">
      <c r="D758" t="str">
        <f t="shared" si="47"/>
        <v/>
      </c>
      <c r="E758" t="str">
        <f t="shared" si="48"/>
        <v/>
      </c>
      <c r="F758" t="str">
        <f t="shared" ref="F758:F801" si="49">IF(LEN(TRIM(E758))=0, "", "Human")</f>
        <v/>
      </c>
      <c r="G758" t="str">
        <f>IF(LEN(TRIM(E758))=0, "", GetSampleTissueBySpecimenPrep(H758))</f>
        <v/>
      </c>
      <c r="H758" t="str">
        <f>IF(LEN(TRIM(E758))=0, "", GetSpecimenPrepName())</f>
        <v/>
      </c>
      <c r="I758" t="str">
        <f>IF(LEN(TRIM(E758))=0, "", GetSampleVolumeBySpecimenPrep(H758))</f>
        <v/>
      </c>
      <c r="L758" t="str">
        <f>IF(LEN(TRIM(E758))=0,"",VLOOKUP("Manifest Id",config!A:B,2,FALSE))</f>
        <v/>
      </c>
      <c r="M758" t="str">
        <f>IF(LEN(TRIM(E758))=0, "",VLOOKUP("Project Name",config!A:B,2,FALSE))</f>
        <v/>
      </c>
      <c r="N758" t="str">
        <f>IF(LEN(TRIM(E758))=0, "",VLOOKUP("Center Name",config!A:B,2,FALSE))</f>
        <v/>
      </c>
      <c r="O758" s="7" t="str">
        <f>IF(LEN(TRIM(E758))=0,"",VLOOKUP("Shipment Date",config!A:B,2,FALSE))</f>
        <v/>
      </c>
      <c r="P758" s="7" t="str">
        <f t="shared" si="46"/>
        <v/>
      </c>
      <c r="Q758" s="7" t="str">
        <f>IF(LEN(TRIM(D758))=0,"",GetConfigParameterValue("Collection Site"))</f>
        <v/>
      </c>
      <c r="R758" t="str">
        <f>IF(LEN(TRIM(E758))=0, "", GetManifestComments(H758))</f>
        <v/>
      </c>
      <c r="S758" t="str">
        <f>IF(LEN(TRIM(E758))=0,"",IF(ISERROR(VLOOKUP(E758,'Manifest MDB data'!A:A,1,FALSE)),"OK","EXISTS!!!"))</f>
        <v/>
      </c>
    </row>
    <row r="759" spans="4:19" x14ac:dyDescent="0.25">
      <c r="D759" t="str">
        <f t="shared" si="47"/>
        <v/>
      </c>
      <c r="E759" t="str">
        <f t="shared" si="48"/>
        <v/>
      </c>
      <c r="F759" t="str">
        <f t="shared" si="49"/>
        <v/>
      </c>
      <c r="G759" t="str">
        <f>IF(LEN(TRIM(E759))=0, "", GetSampleTissueBySpecimenPrep(H759))</f>
        <v/>
      </c>
      <c r="H759" t="str">
        <f>IF(LEN(TRIM(E759))=0, "", GetSpecimenPrepName())</f>
        <v/>
      </c>
      <c r="I759" t="str">
        <f>IF(LEN(TRIM(E759))=0, "", GetSampleVolumeBySpecimenPrep(H759))</f>
        <v/>
      </c>
      <c r="L759" t="str">
        <f>IF(LEN(TRIM(E759))=0,"",VLOOKUP("Manifest Id",config!A:B,2,FALSE))</f>
        <v/>
      </c>
      <c r="M759" t="str">
        <f>IF(LEN(TRIM(E759))=0, "",VLOOKUP("Project Name",config!A:B,2,FALSE))</f>
        <v/>
      </c>
      <c r="N759" t="str">
        <f>IF(LEN(TRIM(E759))=0, "",VLOOKUP("Center Name",config!A:B,2,FALSE))</f>
        <v/>
      </c>
      <c r="O759" s="7" t="str">
        <f>IF(LEN(TRIM(E759))=0,"",VLOOKUP("Shipment Date",config!A:B,2,FALSE))</f>
        <v/>
      </c>
      <c r="P759" s="7" t="str">
        <f t="shared" si="46"/>
        <v/>
      </c>
      <c r="Q759" s="7" t="str">
        <f>IF(LEN(TRIM(D759))=0,"",GetConfigParameterValue("Collection Site"))</f>
        <v/>
      </c>
      <c r="R759" t="str">
        <f>IF(LEN(TRIM(E759))=0, "", GetManifestComments(H759))</f>
        <v/>
      </c>
      <c r="S759" t="str">
        <f>IF(LEN(TRIM(E759))=0,"",IF(ISERROR(VLOOKUP(E759,'Manifest MDB data'!A:A,1,FALSE)),"OK","EXISTS!!!"))</f>
        <v/>
      </c>
    </row>
    <row r="760" spans="4:19" x14ac:dyDescent="0.25">
      <c r="D760" t="str">
        <f t="shared" si="47"/>
        <v/>
      </c>
      <c r="E760" t="str">
        <f t="shared" si="48"/>
        <v/>
      </c>
      <c r="F760" t="str">
        <f t="shared" si="49"/>
        <v/>
      </c>
      <c r="G760" t="str">
        <f>IF(LEN(TRIM(E760))=0, "", GetSampleTissueBySpecimenPrep(H760))</f>
        <v/>
      </c>
      <c r="H760" t="str">
        <f>IF(LEN(TRIM(E760))=0, "", GetSpecimenPrepName())</f>
        <v/>
      </c>
      <c r="I760" t="str">
        <f>IF(LEN(TRIM(E760))=0, "", GetSampleVolumeBySpecimenPrep(H760))</f>
        <v/>
      </c>
      <c r="L760" t="str">
        <f>IF(LEN(TRIM(E760))=0,"",VLOOKUP("Manifest Id",config!A:B,2,FALSE))</f>
        <v/>
      </c>
      <c r="M760" t="str">
        <f>IF(LEN(TRIM(E760))=0, "",VLOOKUP("Project Name",config!A:B,2,FALSE))</f>
        <v/>
      </c>
      <c r="N760" t="str">
        <f>IF(LEN(TRIM(E760))=0, "",VLOOKUP("Center Name",config!A:B,2,FALSE))</f>
        <v/>
      </c>
      <c r="O760" s="7" t="str">
        <f>IF(LEN(TRIM(E760))=0,"",VLOOKUP("Shipment Date",config!A:B,2,FALSE))</f>
        <v/>
      </c>
      <c r="P760" s="7" t="str">
        <f t="shared" si="46"/>
        <v/>
      </c>
      <c r="Q760" s="7" t="str">
        <f>IF(LEN(TRIM(D760))=0,"",GetConfigParameterValue("Collection Site"))</f>
        <v/>
      </c>
      <c r="R760" t="str">
        <f>IF(LEN(TRIM(E760))=0, "", GetManifestComments(H760))</f>
        <v/>
      </c>
      <c r="S760" t="str">
        <f>IF(LEN(TRIM(E760))=0,"",IF(ISERROR(VLOOKUP(E760,'Manifest MDB data'!A:A,1,FALSE)),"OK","EXISTS!!!"))</f>
        <v/>
      </c>
    </row>
    <row r="761" spans="4:19" x14ac:dyDescent="0.25">
      <c r="D761" t="str">
        <f t="shared" si="47"/>
        <v/>
      </c>
      <c r="E761" t="str">
        <f t="shared" si="48"/>
        <v/>
      </c>
      <c r="F761" t="str">
        <f t="shared" si="49"/>
        <v/>
      </c>
      <c r="G761" t="str">
        <f>IF(LEN(TRIM(E761))=0, "", GetSampleTissueBySpecimenPrep(H761))</f>
        <v/>
      </c>
      <c r="H761" t="str">
        <f>IF(LEN(TRIM(E761))=0, "", GetSpecimenPrepName())</f>
        <v/>
      </c>
      <c r="I761" t="str">
        <f>IF(LEN(TRIM(E761))=0, "", GetSampleVolumeBySpecimenPrep(H761))</f>
        <v/>
      </c>
      <c r="L761" t="str">
        <f>IF(LEN(TRIM(E761))=0,"",VLOOKUP("Manifest Id",config!A:B,2,FALSE))</f>
        <v/>
      </c>
      <c r="M761" t="str">
        <f>IF(LEN(TRIM(E761))=0, "",VLOOKUP("Project Name",config!A:B,2,FALSE))</f>
        <v/>
      </c>
      <c r="N761" t="str">
        <f>IF(LEN(TRIM(E761))=0, "",VLOOKUP("Center Name",config!A:B,2,FALSE))</f>
        <v/>
      </c>
      <c r="O761" s="7" t="str">
        <f>IF(LEN(TRIM(E761))=0,"",VLOOKUP("Shipment Date",config!A:B,2,FALSE))</f>
        <v/>
      </c>
      <c r="P761" s="7" t="str">
        <f t="shared" si="46"/>
        <v/>
      </c>
      <c r="Q761" s="7" t="str">
        <f>IF(LEN(TRIM(D761))=0,"",GetConfigParameterValue("Collection Site"))</f>
        <v/>
      </c>
      <c r="R761" t="str">
        <f>IF(LEN(TRIM(E761))=0, "", GetManifestComments(H761))</f>
        <v/>
      </c>
      <c r="S761" t="str">
        <f>IF(LEN(TRIM(E761))=0,"",IF(ISERROR(VLOOKUP(E761,'Manifest MDB data'!A:A,1,FALSE)),"OK","EXISTS!!!"))</f>
        <v/>
      </c>
    </row>
    <row r="762" spans="4:19" x14ac:dyDescent="0.25">
      <c r="D762" t="str">
        <f t="shared" si="47"/>
        <v/>
      </c>
      <c r="E762" t="str">
        <f t="shared" si="48"/>
        <v/>
      </c>
      <c r="F762" t="str">
        <f t="shared" si="49"/>
        <v/>
      </c>
      <c r="G762" t="str">
        <f>IF(LEN(TRIM(E762))=0, "", GetSampleTissueBySpecimenPrep(H762))</f>
        <v/>
      </c>
      <c r="H762" t="str">
        <f>IF(LEN(TRIM(E762))=0, "", GetSpecimenPrepName())</f>
        <v/>
      </c>
      <c r="I762" t="str">
        <f>IF(LEN(TRIM(E762))=0, "", GetSampleVolumeBySpecimenPrep(H762))</f>
        <v/>
      </c>
      <c r="L762" t="str">
        <f>IF(LEN(TRIM(E762))=0,"",VLOOKUP("Manifest Id",config!A:B,2,FALSE))</f>
        <v/>
      </c>
      <c r="M762" t="str">
        <f>IF(LEN(TRIM(E762))=0, "",VLOOKUP("Project Name",config!A:B,2,FALSE))</f>
        <v/>
      </c>
      <c r="N762" t="str">
        <f>IF(LEN(TRIM(E762))=0, "",VLOOKUP("Center Name",config!A:B,2,FALSE))</f>
        <v/>
      </c>
      <c r="O762" s="7" t="str">
        <f>IF(LEN(TRIM(E762))=0,"",VLOOKUP("Shipment Date",config!A:B,2,FALSE))</f>
        <v/>
      </c>
      <c r="P762" s="7" t="str">
        <f t="shared" si="46"/>
        <v/>
      </c>
      <c r="Q762" s="7" t="str">
        <f>IF(LEN(TRIM(D762))=0,"",GetConfigParameterValue("Collection Site"))</f>
        <v/>
      </c>
      <c r="R762" t="str">
        <f>IF(LEN(TRIM(E762))=0, "", GetManifestComments(H762))</f>
        <v/>
      </c>
      <c r="S762" t="str">
        <f>IF(LEN(TRIM(E762))=0,"",IF(ISERROR(VLOOKUP(E762,'Manifest MDB data'!A:A,1,FALSE)),"OK","EXISTS!!!"))</f>
        <v/>
      </c>
    </row>
    <row r="763" spans="4:19" x14ac:dyDescent="0.25">
      <c r="D763" t="str">
        <f t="shared" si="47"/>
        <v/>
      </c>
      <c r="E763" t="str">
        <f t="shared" si="48"/>
        <v/>
      </c>
      <c r="F763" t="str">
        <f t="shared" si="49"/>
        <v/>
      </c>
      <c r="G763" t="str">
        <f>IF(LEN(TRIM(E763))=0, "", GetSampleTissueBySpecimenPrep(H763))</f>
        <v/>
      </c>
      <c r="H763" t="str">
        <f>IF(LEN(TRIM(E763))=0, "", GetSpecimenPrepName())</f>
        <v/>
      </c>
      <c r="I763" t="str">
        <f>IF(LEN(TRIM(E763))=0, "", GetSampleVolumeBySpecimenPrep(H763))</f>
        <v/>
      </c>
      <c r="L763" t="str">
        <f>IF(LEN(TRIM(E763))=0,"",VLOOKUP("Manifest Id",config!A:B,2,FALSE))</f>
        <v/>
      </c>
      <c r="M763" t="str">
        <f>IF(LEN(TRIM(E763))=0, "",VLOOKUP("Project Name",config!A:B,2,FALSE))</f>
        <v/>
      </c>
      <c r="N763" t="str">
        <f>IF(LEN(TRIM(E763))=0, "",VLOOKUP("Center Name",config!A:B,2,FALSE))</f>
        <v/>
      </c>
      <c r="O763" s="7" t="str">
        <f>IF(LEN(TRIM(E763))=0,"",VLOOKUP("Shipment Date",config!A:B,2,FALSE))</f>
        <v/>
      </c>
      <c r="P763" s="7" t="str">
        <f t="shared" si="46"/>
        <v/>
      </c>
      <c r="Q763" s="7" t="str">
        <f>IF(LEN(TRIM(D763))=0,"",GetConfigParameterValue("Collection Site"))</f>
        <v/>
      </c>
      <c r="R763" t="str">
        <f>IF(LEN(TRIM(E763))=0, "", GetManifestComments(H763))</f>
        <v/>
      </c>
      <c r="S763" t="str">
        <f>IF(LEN(TRIM(E763))=0,"",IF(ISERROR(VLOOKUP(E763,'Manifest MDB data'!A:A,1,FALSE)),"OK","EXISTS!!!"))</f>
        <v/>
      </c>
    </row>
    <row r="764" spans="4:19" x14ac:dyDescent="0.25">
      <c r="D764" t="str">
        <f t="shared" si="47"/>
        <v/>
      </c>
      <c r="E764" t="str">
        <f t="shared" si="48"/>
        <v/>
      </c>
      <c r="F764" t="str">
        <f t="shared" si="49"/>
        <v/>
      </c>
      <c r="G764" t="str">
        <f>IF(LEN(TRIM(E764))=0, "", GetSampleTissueBySpecimenPrep(H764))</f>
        <v/>
      </c>
      <c r="H764" t="str">
        <f>IF(LEN(TRIM(E764))=0, "", GetSpecimenPrepName())</f>
        <v/>
      </c>
      <c r="I764" t="str">
        <f>IF(LEN(TRIM(E764))=0, "", GetSampleVolumeBySpecimenPrep(H764))</f>
        <v/>
      </c>
      <c r="L764" t="str">
        <f>IF(LEN(TRIM(E764))=0,"",VLOOKUP("Manifest Id",config!A:B,2,FALSE))</f>
        <v/>
      </c>
      <c r="M764" t="str">
        <f>IF(LEN(TRIM(E764))=0, "",VLOOKUP("Project Name",config!A:B,2,FALSE))</f>
        <v/>
      </c>
      <c r="N764" t="str">
        <f>IF(LEN(TRIM(E764))=0, "",VLOOKUP("Center Name",config!A:B,2,FALSE))</f>
        <v/>
      </c>
      <c r="O764" s="7" t="str">
        <f>IF(LEN(TRIM(E764))=0,"",VLOOKUP("Shipment Date",config!A:B,2,FALSE))</f>
        <v/>
      </c>
      <c r="P764" s="7" t="str">
        <f t="shared" si="46"/>
        <v/>
      </c>
      <c r="Q764" s="7" t="str">
        <f>IF(LEN(TRIM(D764))=0,"",GetConfigParameterValue("Collection Site"))</f>
        <v/>
      </c>
      <c r="R764" t="str">
        <f>IF(LEN(TRIM(E764))=0, "", GetManifestComments(H764))</f>
        <v/>
      </c>
      <c r="S764" t="str">
        <f>IF(LEN(TRIM(E764))=0,"",IF(ISERROR(VLOOKUP(E764,'Manifest MDB data'!A:A,1,FALSE)),"OK","EXISTS!!!"))</f>
        <v/>
      </c>
    </row>
    <row r="765" spans="4:19" x14ac:dyDescent="0.25">
      <c r="D765" t="str">
        <f t="shared" si="47"/>
        <v/>
      </c>
      <c r="E765" t="str">
        <f t="shared" si="48"/>
        <v/>
      </c>
      <c r="F765" t="str">
        <f t="shared" si="49"/>
        <v/>
      </c>
      <c r="G765" t="str">
        <f>IF(LEN(TRIM(E765))=0, "", GetSampleTissueBySpecimenPrep(H765))</f>
        <v/>
      </c>
      <c r="H765" t="str">
        <f>IF(LEN(TRIM(E765))=0, "", GetSpecimenPrepName())</f>
        <v/>
      </c>
      <c r="I765" t="str">
        <f>IF(LEN(TRIM(E765))=0, "", GetSampleVolumeBySpecimenPrep(H765))</f>
        <v/>
      </c>
      <c r="L765" t="str">
        <f>IF(LEN(TRIM(E765))=0,"",VLOOKUP("Manifest Id",config!A:B,2,FALSE))</f>
        <v/>
      </c>
      <c r="M765" t="str">
        <f>IF(LEN(TRIM(E765))=0, "",VLOOKUP("Project Name",config!A:B,2,FALSE))</f>
        <v/>
      </c>
      <c r="N765" t="str">
        <f>IF(LEN(TRIM(E765))=0, "",VLOOKUP("Center Name",config!A:B,2,FALSE))</f>
        <v/>
      </c>
      <c r="O765" s="7" t="str">
        <f>IF(LEN(TRIM(E765))=0,"",VLOOKUP("Shipment Date",config!A:B,2,FALSE))</f>
        <v/>
      </c>
      <c r="P765" s="7" t="str">
        <f t="shared" si="46"/>
        <v/>
      </c>
      <c r="Q765" s="7" t="str">
        <f>IF(LEN(TRIM(D765))=0,"",GetConfigParameterValue("Collection Site"))</f>
        <v/>
      </c>
      <c r="R765" t="str">
        <f>IF(LEN(TRIM(E765))=0, "", GetManifestComments(H765))</f>
        <v/>
      </c>
      <c r="S765" t="str">
        <f>IF(LEN(TRIM(E765))=0,"",IF(ISERROR(VLOOKUP(E765,'Manifest MDB data'!A:A,1,FALSE)),"OK","EXISTS!!!"))</f>
        <v/>
      </c>
    </row>
    <row r="766" spans="4:19" x14ac:dyDescent="0.25">
      <c r="D766" t="str">
        <f t="shared" si="47"/>
        <v/>
      </c>
      <c r="E766" t="str">
        <f t="shared" si="48"/>
        <v/>
      </c>
      <c r="F766" t="str">
        <f t="shared" si="49"/>
        <v/>
      </c>
      <c r="G766" t="str">
        <f>IF(LEN(TRIM(E766))=0, "", GetSampleTissueBySpecimenPrep(H766))</f>
        <v/>
      </c>
      <c r="H766" t="str">
        <f>IF(LEN(TRIM(E766))=0, "", GetSpecimenPrepName())</f>
        <v/>
      </c>
      <c r="I766" t="str">
        <f>IF(LEN(TRIM(E766))=0, "", GetSampleVolumeBySpecimenPrep(H766))</f>
        <v/>
      </c>
      <c r="L766" t="str">
        <f>IF(LEN(TRIM(E766))=0,"",VLOOKUP("Manifest Id",config!A:B,2,FALSE))</f>
        <v/>
      </c>
      <c r="M766" t="str">
        <f>IF(LEN(TRIM(E766))=0, "",VLOOKUP("Project Name",config!A:B,2,FALSE))</f>
        <v/>
      </c>
      <c r="N766" t="str">
        <f>IF(LEN(TRIM(E766))=0, "",VLOOKUP("Center Name",config!A:B,2,FALSE))</f>
        <v/>
      </c>
      <c r="O766" s="7" t="str">
        <f>IF(LEN(TRIM(E766))=0,"",VLOOKUP("Shipment Date",config!A:B,2,FALSE))</f>
        <v/>
      </c>
      <c r="P766" s="7" t="str">
        <f t="shared" si="46"/>
        <v/>
      </c>
      <c r="Q766" s="7" t="str">
        <f>IF(LEN(TRIM(D766))=0,"",GetConfigParameterValue("Collection Site"))</f>
        <v/>
      </c>
      <c r="R766" t="str">
        <f>IF(LEN(TRIM(E766))=0, "", GetManifestComments(H766))</f>
        <v/>
      </c>
      <c r="S766" t="str">
        <f>IF(LEN(TRIM(E766))=0,"",IF(ISERROR(VLOOKUP(E766,'Manifest MDB data'!A:A,1,FALSE)),"OK","EXISTS!!!"))</f>
        <v/>
      </c>
    </row>
    <row r="767" spans="4:19" x14ac:dyDescent="0.25">
      <c r="D767" t="str">
        <f t="shared" si="47"/>
        <v/>
      </c>
      <c r="E767" t="str">
        <f t="shared" si="48"/>
        <v/>
      </c>
      <c r="F767" t="str">
        <f t="shared" si="49"/>
        <v/>
      </c>
      <c r="G767" t="str">
        <f>IF(LEN(TRIM(E767))=0, "", GetSampleTissueBySpecimenPrep(H767))</f>
        <v/>
      </c>
      <c r="H767" t="str">
        <f>IF(LEN(TRIM(E767))=0, "", GetSpecimenPrepName())</f>
        <v/>
      </c>
      <c r="I767" t="str">
        <f>IF(LEN(TRIM(E767))=0, "", GetSampleVolumeBySpecimenPrep(H767))</f>
        <v/>
      </c>
      <c r="L767" t="str">
        <f>IF(LEN(TRIM(E767))=0,"",VLOOKUP("Manifest Id",config!A:B,2,FALSE))</f>
        <v/>
      </c>
      <c r="M767" t="str">
        <f>IF(LEN(TRIM(E767))=0, "",VLOOKUP("Project Name",config!A:B,2,FALSE))</f>
        <v/>
      </c>
      <c r="N767" t="str">
        <f>IF(LEN(TRIM(E767))=0, "",VLOOKUP("Center Name",config!A:B,2,FALSE))</f>
        <v/>
      </c>
      <c r="O767" s="7" t="str">
        <f>IF(LEN(TRIM(E767))=0,"",VLOOKUP("Shipment Date",config!A:B,2,FALSE))</f>
        <v/>
      </c>
      <c r="P767" s="7" t="str">
        <f t="shared" si="46"/>
        <v/>
      </c>
      <c r="Q767" s="7" t="str">
        <f>IF(LEN(TRIM(D767))=0,"",GetConfigParameterValue("Collection Site"))</f>
        <v/>
      </c>
      <c r="R767" t="str">
        <f>IF(LEN(TRIM(E767))=0, "", GetManifestComments(H767))</f>
        <v/>
      </c>
      <c r="S767" t="str">
        <f>IF(LEN(TRIM(E767))=0,"",IF(ISERROR(VLOOKUP(E767,'Manifest MDB data'!A:A,1,FALSE)),"OK","EXISTS!!!"))</f>
        <v/>
      </c>
    </row>
    <row r="768" spans="4:19" x14ac:dyDescent="0.25">
      <c r="D768" t="str">
        <f t="shared" si="47"/>
        <v/>
      </c>
      <c r="E768" t="str">
        <f t="shared" si="48"/>
        <v/>
      </c>
      <c r="F768" t="str">
        <f t="shared" si="49"/>
        <v/>
      </c>
      <c r="G768" t="str">
        <f>IF(LEN(TRIM(E768))=0, "", GetSampleTissueBySpecimenPrep(H768))</f>
        <v/>
      </c>
      <c r="H768" t="str">
        <f>IF(LEN(TRIM(E768))=0, "", GetSpecimenPrepName())</f>
        <v/>
      </c>
      <c r="I768" t="str">
        <f>IF(LEN(TRIM(E768))=0, "", GetSampleVolumeBySpecimenPrep(H768))</f>
        <v/>
      </c>
      <c r="L768" t="str">
        <f>IF(LEN(TRIM(E768))=0,"",VLOOKUP("Manifest Id",config!A:B,2,FALSE))</f>
        <v/>
      </c>
      <c r="M768" t="str">
        <f>IF(LEN(TRIM(E768))=0, "",VLOOKUP("Project Name",config!A:B,2,FALSE))</f>
        <v/>
      </c>
      <c r="N768" t="str">
        <f>IF(LEN(TRIM(E768))=0, "",VLOOKUP("Center Name",config!A:B,2,FALSE))</f>
        <v/>
      </c>
      <c r="O768" s="7" t="str">
        <f>IF(LEN(TRIM(E768))=0,"",VLOOKUP("Shipment Date",config!A:B,2,FALSE))</f>
        <v/>
      </c>
      <c r="P768" s="7" t="str">
        <f t="shared" si="46"/>
        <v/>
      </c>
      <c r="Q768" s="7" t="str">
        <f>IF(LEN(TRIM(D768))=0,"",GetConfigParameterValue("Collection Site"))</f>
        <v/>
      </c>
      <c r="R768" t="str">
        <f>IF(LEN(TRIM(E768))=0, "", GetManifestComments(H768))</f>
        <v/>
      </c>
      <c r="S768" t="str">
        <f>IF(LEN(TRIM(E768))=0,"",IF(ISERROR(VLOOKUP(E768,'Manifest MDB data'!A:A,1,FALSE)),"OK","EXISTS!!!"))</f>
        <v/>
      </c>
    </row>
    <row r="769" spans="4:19" x14ac:dyDescent="0.25">
      <c r="D769" t="str">
        <f t="shared" si="47"/>
        <v/>
      </c>
      <c r="E769" t="str">
        <f t="shared" si="48"/>
        <v/>
      </c>
      <c r="F769" t="str">
        <f t="shared" si="49"/>
        <v/>
      </c>
      <c r="G769" t="str">
        <f>IF(LEN(TRIM(E769))=0, "", GetSampleTissueBySpecimenPrep(H769))</f>
        <v/>
      </c>
      <c r="H769" t="str">
        <f>IF(LEN(TRIM(E769))=0, "", GetSpecimenPrepName())</f>
        <v/>
      </c>
      <c r="I769" t="str">
        <f>IF(LEN(TRIM(E769))=0, "", GetSampleVolumeBySpecimenPrep(H769))</f>
        <v/>
      </c>
      <c r="L769" t="str">
        <f>IF(LEN(TRIM(E769))=0,"",VLOOKUP("Manifest Id",config!A:B,2,FALSE))</f>
        <v/>
      </c>
      <c r="M769" t="str">
        <f>IF(LEN(TRIM(E769))=0, "",VLOOKUP("Project Name",config!A:B,2,FALSE))</f>
        <v/>
      </c>
      <c r="N769" t="str">
        <f>IF(LEN(TRIM(E769))=0, "",VLOOKUP("Center Name",config!A:B,2,FALSE))</f>
        <v/>
      </c>
      <c r="O769" s="7" t="str">
        <f>IF(LEN(TRIM(E769))=0,"",VLOOKUP("Shipment Date",config!A:B,2,FALSE))</f>
        <v/>
      </c>
      <c r="P769" s="7" t="str">
        <f t="shared" si="46"/>
        <v/>
      </c>
      <c r="Q769" s="7" t="str">
        <f>IF(LEN(TRIM(D769))=0,"",GetConfigParameterValue("Collection Site"))</f>
        <v/>
      </c>
      <c r="R769" t="str">
        <f>IF(LEN(TRIM(E769))=0, "", GetManifestComments(H769))</f>
        <v/>
      </c>
      <c r="S769" t="str">
        <f>IF(LEN(TRIM(E769))=0,"",IF(ISERROR(VLOOKUP(E769,'Manifest MDB data'!A:A,1,FALSE)),"OK","EXISTS!!!"))</f>
        <v/>
      </c>
    </row>
    <row r="770" spans="4:19" x14ac:dyDescent="0.25">
      <c r="D770" t="str">
        <f t="shared" si="47"/>
        <v/>
      </c>
      <c r="E770" t="str">
        <f t="shared" si="48"/>
        <v/>
      </c>
      <c r="F770" t="str">
        <f t="shared" si="49"/>
        <v/>
      </c>
      <c r="G770" t="str">
        <f>IF(LEN(TRIM(E770))=0, "", GetSampleTissueBySpecimenPrep(H770))</f>
        <v/>
      </c>
      <c r="H770" t="str">
        <f>IF(LEN(TRIM(E770))=0, "", GetSpecimenPrepName())</f>
        <v/>
      </c>
      <c r="I770" t="str">
        <f>IF(LEN(TRIM(E770))=0, "", GetSampleVolumeBySpecimenPrep(H770))</f>
        <v/>
      </c>
      <c r="L770" t="str">
        <f>IF(LEN(TRIM(E770))=0,"",VLOOKUP("Manifest Id",config!A:B,2,FALSE))</f>
        <v/>
      </c>
      <c r="M770" t="str">
        <f>IF(LEN(TRIM(E770))=0, "",VLOOKUP("Project Name",config!A:B,2,FALSE))</f>
        <v/>
      </c>
      <c r="N770" t="str">
        <f>IF(LEN(TRIM(E770))=0, "",VLOOKUP("Center Name",config!A:B,2,FALSE))</f>
        <v/>
      </c>
      <c r="O770" s="7" t="str">
        <f>IF(LEN(TRIM(E770))=0,"",VLOOKUP("Shipment Date",config!A:B,2,FALSE))</f>
        <v/>
      </c>
      <c r="P770" s="7" t="str">
        <f t="shared" ref="P770:P833" si="50">getColumnValueBySubjectID("Visit Date", RIGHT(LEFT(D770,7),4))</f>
        <v/>
      </c>
      <c r="Q770" s="7" t="str">
        <f>IF(LEN(TRIM(D770))=0,"",GetConfigParameterValue("Collection Site"))</f>
        <v/>
      </c>
      <c r="R770" t="str">
        <f>IF(LEN(TRIM(E770))=0, "", GetManifestComments(H770))</f>
        <v/>
      </c>
      <c r="S770" t="str">
        <f>IF(LEN(TRIM(E770))=0,"",IF(ISERROR(VLOOKUP(E770,'Manifest MDB data'!A:A,1,FALSE)),"OK","EXISTS!!!"))</f>
        <v/>
      </c>
    </row>
    <row r="771" spans="4:19" x14ac:dyDescent="0.25">
      <c r="D771" t="str">
        <f t="shared" ref="D771:D834" si="51">GetSampleId((ROW()))</f>
        <v/>
      </c>
      <c r="E771" t="str">
        <f t="shared" ref="E771:E834" si="52">GetAliquotId((ROW()))</f>
        <v/>
      </c>
      <c r="F771" t="str">
        <f t="shared" si="49"/>
        <v/>
      </c>
      <c r="G771" t="str">
        <f>IF(LEN(TRIM(E771))=0, "", GetSampleTissueBySpecimenPrep(H771))</f>
        <v/>
      </c>
      <c r="H771" t="str">
        <f>IF(LEN(TRIM(E771))=0, "", GetSpecimenPrepName())</f>
        <v/>
      </c>
      <c r="I771" t="str">
        <f>IF(LEN(TRIM(E771))=0, "", GetSampleVolumeBySpecimenPrep(H771))</f>
        <v/>
      </c>
      <c r="L771" t="str">
        <f>IF(LEN(TRIM(E771))=0,"",VLOOKUP("Manifest Id",config!A:B,2,FALSE))</f>
        <v/>
      </c>
      <c r="M771" t="str">
        <f>IF(LEN(TRIM(E771))=0, "",VLOOKUP("Project Name",config!A:B,2,FALSE))</f>
        <v/>
      </c>
      <c r="N771" t="str">
        <f>IF(LEN(TRIM(E771))=0, "",VLOOKUP("Center Name",config!A:B,2,FALSE))</f>
        <v/>
      </c>
      <c r="O771" s="7" t="str">
        <f>IF(LEN(TRIM(E771))=0,"",VLOOKUP("Shipment Date",config!A:B,2,FALSE))</f>
        <v/>
      </c>
      <c r="P771" s="7" t="str">
        <f t="shared" si="50"/>
        <v/>
      </c>
      <c r="Q771" s="7" t="str">
        <f>IF(LEN(TRIM(D771))=0,"",GetConfigParameterValue("Collection Site"))</f>
        <v/>
      </c>
      <c r="R771" t="str">
        <f>IF(LEN(TRIM(E771))=0, "", GetManifestComments(H771))</f>
        <v/>
      </c>
      <c r="S771" t="str">
        <f>IF(LEN(TRIM(E771))=0,"",IF(ISERROR(VLOOKUP(E771,'Manifest MDB data'!A:A,1,FALSE)),"OK","EXISTS!!!"))</f>
        <v/>
      </c>
    </row>
    <row r="772" spans="4:19" x14ac:dyDescent="0.25">
      <c r="D772" t="str">
        <f t="shared" si="51"/>
        <v/>
      </c>
      <c r="E772" t="str">
        <f t="shared" si="52"/>
        <v/>
      </c>
      <c r="F772" t="str">
        <f t="shared" si="49"/>
        <v/>
      </c>
      <c r="G772" t="str">
        <f>IF(LEN(TRIM(E772))=0, "", GetSampleTissueBySpecimenPrep(H772))</f>
        <v/>
      </c>
      <c r="H772" t="str">
        <f>IF(LEN(TRIM(E772))=0, "", GetSpecimenPrepName())</f>
        <v/>
      </c>
      <c r="I772" t="str">
        <f>IF(LEN(TRIM(E772))=0, "", GetSampleVolumeBySpecimenPrep(H772))</f>
        <v/>
      </c>
      <c r="L772" t="str">
        <f>IF(LEN(TRIM(E772))=0,"",VLOOKUP("Manifest Id",config!A:B,2,FALSE))</f>
        <v/>
      </c>
      <c r="M772" t="str">
        <f>IF(LEN(TRIM(E772))=0, "",VLOOKUP("Project Name",config!A:B,2,FALSE))</f>
        <v/>
      </c>
      <c r="N772" t="str">
        <f>IF(LEN(TRIM(E772))=0, "",VLOOKUP("Center Name",config!A:B,2,FALSE))</f>
        <v/>
      </c>
      <c r="O772" s="7" t="str">
        <f>IF(LEN(TRIM(E772))=0,"",VLOOKUP("Shipment Date",config!A:B,2,FALSE))</f>
        <v/>
      </c>
      <c r="P772" s="7" t="str">
        <f t="shared" si="50"/>
        <v/>
      </c>
      <c r="Q772" s="7" t="str">
        <f>IF(LEN(TRIM(D772))=0,"",GetConfigParameterValue("Collection Site"))</f>
        <v/>
      </c>
      <c r="R772" t="str">
        <f>IF(LEN(TRIM(E772))=0, "", GetManifestComments(H772))</f>
        <v/>
      </c>
      <c r="S772" t="str">
        <f>IF(LEN(TRIM(E772))=0,"",IF(ISERROR(VLOOKUP(E772,'Manifest MDB data'!A:A,1,FALSE)),"OK","EXISTS!!!"))</f>
        <v/>
      </c>
    </row>
    <row r="773" spans="4:19" x14ac:dyDescent="0.25">
      <c r="D773" t="str">
        <f t="shared" si="51"/>
        <v/>
      </c>
      <c r="E773" t="str">
        <f t="shared" si="52"/>
        <v/>
      </c>
      <c r="F773" t="str">
        <f t="shared" si="49"/>
        <v/>
      </c>
      <c r="G773" t="str">
        <f>IF(LEN(TRIM(E773))=0, "", GetSampleTissueBySpecimenPrep(H773))</f>
        <v/>
      </c>
      <c r="H773" t="str">
        <f>IF(LEN(TRIM(E773))=0, "", GetSpecimenPrepName())</f>
        <v/>
      </c>
      <c r="I773" t="str">
        <f>IF(LEN(TRIM(E773))=0, "", GetSampleVolumeBySpecimenPrep(H773))</f>
        <v/>
      </c>
      <c r="L773" t="str">
        <f>IF(LEN(TRIM(E773))=0,"",VLOOKUP("Manifest Id",config!A:B,2,FALSE))</f>
        <v/>
      </c>
      <c r="M773" t="str">
        <f>IF(LEN(TRIM(E773))=0, "",VLOOKUP("Project Name",config!A:B,2,FALSE))</f>
        <v/>
      </c>
      <c r="N773" t="str">
        <f>IF(LEN(TRIM(E773))=0, "",VLOOKUP("Center Name",config!A:B,2,FALSE))</f>
        <v/>
      </c>
      <c r="O773" s="7" t="str">
        <f>IF(LEN(TRIM(E773))=0,"",VLOOKUP("Shipment Date",config!A:B,2,FALSE))</f>
        <v/>
      </c>
      <c r="P773" s="7" t="str">
        <f t="shared" si="50"/>
        <v/>
      </c>
      <c r="Q773" s="7" t="str">
        <f>IF(LEN(TRIM(D773))=0,"",GetConfigParameterValue("Collection Site"))</f>
        <v/>
      </c>
      <c r="R773" t="str">
        <f>IF(LEN(TRIM(E773))=0, "", GetManifestComments(H773))</f>
        <v/>
      </c>
      <c r="S773" t="str">
        <f>IF(LEN(TRIM(E773))=0,"",IF(ISERROR(VLOOKUP(E773,'Manifest MDB data'!A:A,1,FALSE)),"OK","EXISTS!!!"))</f>
        <v/>
      </c>
    </row>
    <row r="774" spans="4:19" x14ac:dyDescent="0.25">
      <c r="D774" t="str">
        <f t="shared" si="51"/>
        <v/>
      </c>
      <c r="E774" t="str">
        <f t="shared" si="52"/>
        <v/>
      </c>
      <c r="F774" t="str">
        <f t="shared" si="49"/>
        <v/>
      </c>
      <c r="G774" t="str">
        <f>IF(LEN(TRIM(E774))=0, "", GetSampleTissueBySpecimenPrep(H774))</f>
        <v/>
      </c>
      <c r="H774" t="str">
        <f>IF(LEN(TRIM(E774))=0, "", GetSpecimenPrepName())</f>
        <v/>
      </c>
      <c r="I774" t="str">
        <f>IF(LEN(TRIM(E774))=0, "", GetSampleVolumeBySpecimenPrep(H774))</f>
        <v/>
      </c>
      <c r="L774" t="str">
        <f>IF(LEN(TRIM(E774))=0,"",VLOOKUP("Manifest Id",config!A:B,2,FALSE))</f>
        <v/>
      </c>
      <c r="M774" t="str">
        <f>IF(LEN(TRIM(E774))=0, "",VLOOKUP("Project Name",config!A:B,2,FALSE))</f>
        <v/>
      </c>
      <c r="N774" t="str">
        <f>IF(LEN(TRIM(E774))=0, "",VLOOKUP("Center Name",config!A:B,2,FALSE))</f>
        <v/>
      </c>
      <c r="O774" s="7" t="str">
        <f>IF(LEN(TRIM(E774))=0,"",VLOOKUP("Shipment Date",config!A:B,2,FALSE))</f>
        <v/>
      </c>
      <c r="P774" s="7" t="str">
        <f t="shared" si="50"/>
        <v/>
      </c>
      <c r="Q774" s="7" t="str">
        <f>IF(LEN(TRIM(D774))=0,"",GetConfigParameterValue("Collection Site"))</f>
        <v/>
      </c>
      <c r="R774" t="str">
        <f>IF(LEN(TRIM(E774))=0, "", GetManifestComments(H774))</f>
        <v/>
      </c>
      <c r="S774" t="str">
        <f>IF(LEN(TRIM(E774))=0,"",IF(ISERROR(VLOOKUP(E774,'Manifest MDB data'!A:A,1,FALSE)),"OK","EXISTS!!!"))</f>
        <v/>
      </c>
    </row>
    <row r="775" spans="4:19" x14ac:dyDescent="0.25">
      <c r="D775" t="str">
        <f t="shared" si="51"/>
        <v/>
      </c>
      <c r="E775" t="str">
        <f t="shared" si="52"/>
        <v/>
      </c>
      <c r="F775" t="str">
        <f t="shared" si="49"/>
        <v/>
      </c>
      <c r="G775" t="str">
        <f>IF(LEN(TRIM(E775))=0, "", GetSampleTissueBySpecimenPrep(H775))</f>
        <v/>
      </c>
      <c r="H775" t="str">
        <f>IF(LEN(TRIM(E775))=0, "", GetSpecimenPrepName())</f>
        <v/>
      </c>
      <c r="I775" t="str">
        <f>IF(LEN(TRIM(E775))=0, "", GetSampleVolumeBySpecimenPrep(H775))</f>
        <v/>
      </c>
      <c r="L775" t="str">
        <f>IF(LEN(TRIM(E775))=0,"",VLOOKUP("Manifest Id",config!A:B,2,FALSE))</f>
        <v/>
      </c>
      <c r="M775" t="str">
        <f>IF(LEN(TRIM(E775))=0, "",VLOOKUP("Project Name",config!A:B,2,FALSE))</f>
        <v/>
      </c>
      <c r="N775" t="str">
        <f>IF(LEN(TRIM(E775))=0, "",VLOOKUP("Center Name",config!A:B,2,FALSE))</f>
        <v/>
      </c>
      <c r="O775" s="7" t="str">
        <f>IF(LEN(TRIM(E775))=0,"",VLOOKUP("Shipment Date",config!A:B,2,FALSE))</f>
        <v/>
      </c>
      <c r="P775" s="7" t="str">
        <f t="shared" si="50"/>
        <v/>
      </c>
      <c r="Q775" s="7" t="str">
        <f>IF(LEN(TRIM(D775))=0,"",GetConfigParameterValue("Collection Site"))</f>
        <v/>
      </c>
      <c r="R775" t="str">
        <f>IF(LEN(TRIM(E775))=0, "", GetManifestComments(H775))</f>
        <v/>
      </c>
      <c r="S775" t="str">
        <f>IF(LEN(TRIM(E775))=0,"",IF(ISERROR(VLOOKUP(E775,'Manifest MDB data'!A:A,1,FALSE)),"OK","EXISTS!!!"))</f>
        <v/>
      </c>
    </row>
    <row r="776" spans="4:19" x14ac:dyDescent="0.25">
      <c r="D776" t="str">
        <f t="shared" si="51"/>
        <v/>
      </c>
      <c r="E776" t="str">
        <f t="shared" si="52"/>
        <v/>
      </c>
      <c r="F776" t="str">
        <f t="shared" si="49"/>
        <v/>
      </c>
      <c r="G776" t="str">
        <f>IF(LEN(TRIM(E776))=0, "", GetSampleTissueBySpecimenPrep(H776))</f>
        <v/>
      </c>
      <c r="H776" t="str">
        <f>IF(LEN(TRIM(E776))=0, "", GetSpecimenPrepName())</f>
        <v/>
      </c>
      <c r="I776" t="str">
        <f>IF(LEN(TRIM(E776))=0, "", GetSampleVolumeBySpecimenPrep(H776))</f>
        <v/>
      </c>
      <c r="L776" t="str">
        <f>IF(LEN(TRIM(E776))=0,"",VLOOKUP("Manifest Id",config!A:B,2,FALSE))</f>
        <v/>
      </c>
      <c r="M776" t="str">
        <f>IF(LEN(TRIM(E776))=0, "",VLOOKUP("Project Name",config!A:B,2,FALSE))</f>
        <v/>
      </c>
      <c r="N776" t="str">
        <f>IF(LEN(TRIM(E776))=0, "",VLOOKUP("Center Name",config!A:B,2,FALSE))</f>
        <v/>
      </c>
      <c r="O776" s="7" t="str">
        <f>IF(LEN(TRIM(E776))=0,"",VLOOKUP("Shipment Date",config!A:B,2,FALSE))</f>
        <v/>
      </c>
      <c r="P776" s="7" t="str">
        <f t="shared" si="50"/>
        <v/>
      </c>
      <c r="Q776" s="7" t="str">
        <f>IF(LEN(TRIM(D776))=0,"",GetConfigParameterValue("Collection Site"))</f>
        <v/>
      </c>
      <c r="R776" t="str">
        <f>IF(LEN(TRIM(E776))=0, "", GetManifestComments(H776))</f>
        <v/>
      </c>
      <c r="S776" t="str">
        <f>IF(LEN(TRIM(E776))=0,"",IF(ISERROR(VLOOKUP(E776,'Manifest MDB data'!A:A,1,FALSE)),"OK","EXISTS!!!"))</f>
        <v/>
      </c>
    </row>
    <row r="777" spans="4:19" x14ac:dyDescent="0.25">
      <c r="D777" t="str">
        <f t="shared" si="51"/>
        <v/>
      </c>
      <c r="E777" t="str">
        <f t="shared" si="52"/>
        <v/>
      </c>
      <c r="F777" t="str">
        <f t="shared" si="49"/>
        <v/>
      </c>
      <c r="G777" t="str">
        <f>IF(LEN(TRIM(E777))=0, "", GetSampleTissueBySpecimenPrep(H777))</f>
        <v/>
      </c>
      <c r="H777" t="str">
        <f>IF(LEN(TRIM(E777))=0, "", GetSpecimenPrepName())</f>
        <v/>
      </c>
      <c r="I777" t="str">
        <f>IF(LEN(TRIM(E777))=0, "", GetSampleVolumeBySpecimenPrep(H777))</f>
        <v/>
      </c>
      <c r="L777" t="str">
        <f>IF(LEN(TRIM(E777))=0,"",VLOOKUP("Manifest Id",config!A:B,2,FALSE))</f>
        <v/>
      </c>
      <c r="M777" t="str">
        <f>IF(LEN(TRIM(E777))=0, "",VLOOKUP("Project Name",config!A:B,2,FALSE))</f>
        <v/>
      </c>
      <c r="N777" t="str">
        <f>IF(LEN(TRIM(E777))=0, "",VLOOKUP("Center Name",config!A:B,2,FALSE))</f>
        <v/>
      </c>
      <c r="O777" s="7" t="str">
        <f>IF(LEN(TRIM(E777))=0,"",VLOOKUP("Shipment Date",config!A:B,2,FALSE))</f>
        <v/>
      </c>
      <c r="P777" s="7" t="str">
        <f t="shared" si="50"/>
        <v/>
      </c>
      <c r="Q777" s="7" t="str">
        <f>IF(LEN(TRIM(D777))=0,"",GetConfigParameterValue("Collection Site"))</f>
        <v/>
      </c>
      <c r="R777" t="str">
        <f>IF(LEN(TRIM(E777))=0, "", GetManifestComments(H777))</f>
        <v/>
      </c>
      <c r="S777" t="str">
        <f>IF(LEN(TRIM(E777))=0,"",IF(ISERROR(VLOOKUP(E777,'Manifest MDB data'!A:A,1,FALSE)),"OK","EXISTS!!!"))</f>
        <v/>
      </c>
    </row>
    <row r="778" spans="4:19" x14ac:dyDescent="0.25">
      <c r="D778" t="str">
        <f t="shared" si="51"/>
        <v/>
      </c>
      <c r="E778" t="str">
        <f t="shared" si="52"/>
        <v/>
      </c>
      <c r="F778" t="str">
        <f t="shared" si="49"/>
        <v/>
      </c>
      <c r="G778" t="str">
        <f>IF(LEN(TRIM(E778))=0, "", GetSampleTissueBySpecimenPrep(H778))</f>
        <v/>
      </c>
      <c r="H778" t="str">
        <f>IF(LEN(TRIM(E778))=0, "", GetSpecimenPrepName())</f>
        <v/>
      </c>
      <c r="I778" t="str">
        <f>IF(LEN(TRIM(E778))=0, "", GetSampleVolumeBySpecimenPrep(H778))</f>
        <v/>
      </c>
      <c r="L778" t="str">
        <f>IF(LEN(TRIM(E778))=0,"",VLOOKUP("Manifest Id",config!A:B,2,FALSE))</f>
        <v/>
      </c>
      <c r="M778" t="str">
        <f>IF(LEN(TRIM(E778))=0, "",VLOOKUP("Project Name",config!A:B,2,FALSE))</f>
        <v/>
      </c>
      <c r="N778" t="str">
        <f>IF(LEN(TRIM(E778))=0, "",VLOOKUP("Center Name",config!A:B,2,FALSE))</f>
        <v/>
      </c>
      <c r="O778" s="7" t="str">
        <f>IF(LEN(TRIM(E778))=0,"",VLOOKUP("Shipment Date",config!A:B,2,FALSE))</f>
        <v/>
      </c>
      <c r="P778" s="7" t="str">
        <f t="shared" si="50"/>
        <v/>
      </c>
      <c r="Q778" s="7" t="str">
        <f>IF(LEN(TRIM(D778))=0,"",GetConfigParameterValue("Collection Site"))</f>
        <v/>
      </c>
      <c r="R778" t="str">
        <f>IF(LEN(TRIM(E778))=0, "", GetManifestComments(H778))</f>
        <v/>
      </c>
      <c r="S778" t="str">
        <f>IF(LEN(TRIM(E778))=0,"",IF(ISERROR(VLOOKUP(E778,'Manifest MDB data'!A:A,1,FALSE)),"OK","EXISTS!!!"))</f>
        <v/>
      </c>
    </row>
    <row r="779" spans="4:19" x14ac:dyDescent="0.25">
      <c r="D779" t="str">
        <f t="shared" si="51"/>
        <v/>
      </c>
      <c r="E779" t="str">
        <f t="shared" si="52"/>
        <v/>
      </c>
      <c r="F779" t="str">
        <f t="shared" si="49"/>
        <v/>
      </c>
      <c r="G779" t="str">
        <f>IF(LEN(TRIM(E779))=0, "", GetSampleTissueBySpecimenPrep(H779))</f>
        <v/>
      </c>
      <c r="H779" t="str">
        <f>IF(LEN(TRIM(E779))=0, "", GetSpecimenPrepName())</f>
        <v/>
      </c>
      <c r="I779" t="str">
        <f>IF(LEN(TRIM(E779))=0, "", GetSampleVolumeBySpecimenPrep(H779))</f>
        <v/>
      </c>
      <c r="L779" t="str">
        <f>IF(LEN(TRIM(E779))=0,"",VLOOKUP("Manifest Id",config!A:B,2,FALSE))</f>
        <v/>
      </c>
      <c r="M779" t="str">
        <f>IF(LEN(TRIM(E779))=0, "",VLOOKUP("Project Name",config!A:B,2,FALSE))</f>
        <v/>
      </c>
      <c r="N779" t="str">
        <f>IF(LEN(TRIM(E779))=0, "",VLOOKUP("Center Name",config!A:B,2,FALSE))</f>
        <v/>
      </c>
      <c r="O779" s="7" t="str">
        <f>IF(LEN(TRIM(E779))=0,"",VLOOKUP("Shipment Date",config!A:B,2,FALSE))</f>
        <v/>
      </c>
      <c r="P779" s="7" t="str">
        <f t="shared" si="50"/>
        <v/>
      </c>
      <c r="Q779" s="7" t="str">
        <f>IF(LEN(TRIM(D779))=0,"",GetConfigParameterValue("Collection Site"))</f>
        <v/>
      </c>
      <c r="R779" t="str">
        <f>IF(LEN(TRIM(E779))=0, "", GetManifestComments(H779))</f>
        <v/>
      </c>
      <c r="S779" t="str">
        <f>IF(LEN(TRIM(E779))=0,"",IF(ISERROR(VLOOKUP(E779,'Manifest MDB data'!A:A,1,FALSE)),"OK","EXISTS!!!"))</f>
        <v/>
      </c>
    </row>
    <row r="780" spans="4:19" x14ac:dyDescent="0.25">
      <c r="D780" t="str">
        <f t="shared" si="51"/>
        <v/>
      </c>
      <c r="E780" t="str">
        <f t="shared" si="52"/>
        <v/>
      </c>
      <c r="F780" t="str">
        <f t="shared" si="49"/>
        <v/>
      </c>
      <c r="G780" t="str">
        <f>IF(LEN(TRIM(E780))=0, "", GetSampleTissueBySpecimenPrep(H780))</f>
        <v/>
      </c>
      <c r="H780" t="str">
        <f>IF(LEN(TRIM(E780))=0, "", GetSpecimenPrepName())</f>
        <v/>
      </c>
      <c r="I780" t="str">
        <f>IF(LEN(TRIM(E780))=0, "", GetSampleVolumeBySpecimenPrep(H780))</f>
        <v/>
      </c>
      <c r="L780" t="str">
        <f>IF(LEN(TRIM(E780))=0,"",VLOOKUP("Manifest Id",config!A:B,2,FALSE))</f>
        <v/>
      </c>
      <c r="M780" t="str">
        <f>IF(LEN(TRIM(E780))=0, "",VLOOKUP("Project Name",config!A:B,2,FALSE))</f>
        <v/>
      </c>
      <c r="N780" t="str">
        <f>IF(LEN(TRIM(E780))=0, "",VLOOKUP("Center Name",config!A:B,2,FALSE))</f>
        <v/>
      </c>
      <c r="O780" s="7" t="str">
        <f>IF(LEN(TRIM(E780))=0,"",VLOOKUP("Shipment Date",config!A:B,2,FALSE))</f>
        <v/>
      </c>
      <c r="P780" s="7" t="str">
        <f t="shared" si="50"/>
        <v/>
      </c>
      <c r="Q780" s="7" t="str">
        <f>IF(LEN(TRIM(D780))=0,"",GetConfigParameterValue("Collection Site"))</f>
        <v/>
      </c>
      <c r="R780" t="str">
        <f>IF(LEN(TRIM(E780))=0, "", GetManifestComments(H780))</f>
        <v/>
      </c>
      <c r="S780" t="str">
        <f>IF(LEN(TRIM(E780))=0,"",IF(ISERROR(VLOOKUP(E780,'Manifest MDB data'!A:A,1,FALSE)),"OK","EXISTS!!!"))</f>
        <v/>
      </c>
    </row>
    <row r="781" spans="4:19" x14ac:dyDescent="0.25">
      <c r="D781" t="str">
        <f t="shared" si="51"/>
        <v/>
      </c>
      <c r="E781" t="str">
        <f t="shared" si="52"/>
        <v/>
      </c>
      <c r="F781" t="str">
        <f t="shared" si="49"/>
        <v/>
      </c>
      <c r="G781" t="str">
        <f>IF(LEN(TRIM(E781))=0, "", GetSampleTissueBySpecimenPrep(H781))</f>
        <v/>
      </c>
      <c r="H781" t="str">
        <f>IF(LEN(TRIM(E781))=0, "", GetSpecimenPrepName())</f>
        <v/>
      </c>
      <c r="I781" t="str">
        <f>IF(LEN(TRIM(E781))=0, "", GetSampleVolumeBySpecimenPrep(H781))</f>
        <v/>
      </c>
      <c r="L781" t="str">
        <f>IF(LEN(TRIM(E781))=0,"",VLOOKUP("Manifest Id",config!A:B,2,FALSE))</f>
        <v/>
      </c>
      <c r="M781" t="str">
        <f>IF(LEN(TRIM(E781))=0, "",VLOOKUP("Project Name",config!A:B,2,FALSE))</f>
        <v/>
      </c>
      <c r="N781" t="str">
        <f>IF(LEN(TRIM(E781))=0, "",VLOOKUP("Center Name",config!A:B,2,FALSE))</f>
        <v/>
      </c>
      <c r="O781" s="7" t="str">
        <f>IF(LEN(TRIM(E781))=0,"",VLOOKUP("Shipment Date",config!A:B,2,FALSE))</f>
        <v/>
      </c>
      <c r="P781" s="7" t="str">
        <f t="shared" si="50"/>
        <v/>
      </c>
      <c r="Q781" s="7" t="str">
        <f>IF(LEN(TRIM(D781))=0,"",GetConfigParameterValue("Collection Site"))</f>
        <v/>
      </c>
      <c r="R781" t="str">
        <f>IF(LEN(TRIM(E781))=0, "", GetManifestComments(H781))</f>
        <v/>
      </c>
      <c r="S781" t="str">
        <f>IF(LEN(TRIM(E781))=0,"",IF(ISERROR(VLOOKUP(E781,'Manifest MDB data'!A:A,1,FALSE)),"OK","EXISTS!!!"))</f>
        <v/>
      </c>
    </row>
    <row r="782" spans="4:19" x14ac:dyDescent="0.25">
      <c r="D782" t="str">
        <f t="shared" si="51"/>
        <v/>
      </c>
      <c r="E782" t="str">
        <f t="shared" si="52"/>
        <v/>
      </c>
      <c r="F782" t="str">
        <f t="shared" si="49"/>
        <v/>
      </c>
      <c r="G782" t="str">
        <f>IF(LEN(TRIM(E782))=0, "", GetSampleTissueBySpecimenPrep(H782))</f>
        <v/>
      </c>
      <c r="H782" t="str">
        <f>IF(LEN(TRIM(E782))=0, "", GetSpecimenPrepName())</f>
        <v/>
      </c>
      <c r="I782" t="str">
        <f>IF(LEN(TRIM(E782))=0, "", GetSampleVolumeBySpecimenPrep(H782))</f>
        <v/>
      </c>
      <c r="L782" t="str">
        <f>IF(LEN(TRIM(E782))=0,"",VLOOKUP("Manifest Id",config!A:B,2,FALSE))</f>
        <v/>
      </c>
      <c r="M782" t="str">
        <f>IF(LEN(TRIM(E782))=0, "",VLOOKUP("Project Name",config!A:B,2,FALSE))</f>
        <v/>
      </c>
      <c r="N782" t="str">
        <f>IF(LEN(TRIM(E782))=0, "",VLOOKUP("Center Name",config!A:B,2,FALSE))</f>
        <v/>
      </c>
      <c r="O782" s="7" t="str">
        <f>IF(LEN(TRIM(E782))=0,"",VLOOKUP("Shipment Date",config!A:B,2,FALSE))</f>
        <v/>
      </c>
      <c r="P782" s="7" t="str">
        <f t="shared" si="50"/>
        <v/>
      </c>
      <c r="Q782" s="7" t="str">
        <f>IF(LEN(TRIM(D782))=0,"",GetConfigParameterValue("Collection Site"))</f>
        <v/>
      </c>
      <c r="R782" t="str">
        <f>IF(LEN(TRIM(E782))=0, "", GetManifestComments(H782))</f>
        <v/>
      </c>
      <c r="S782" t="str">
        <f>IF(LEN(TRIM(E782))=0,"",IF(ISERROR(VLOOKUP(E782,'Manifest MDB data'!A:A,1,FALSE)),"OK","EXISTS!!!"))</f>
        <v/>
      </c>
    </row>
    <row r="783" spans="4:19" x14ac:dyDescent="0.25">
      <c r="D783" t="str">
        <f t="shared" si="51"/>
        <v/>
      </c>
      <c r="E783" t="str">
        <f t="shared" si="52"/>
        <v/>
      </c>
      <c r="F783" t="str">
        <f t="shared" si="49"/>
        <v/>
      </c>
      <c r="G783" t="str">
        <f>IF(LEN(TRIM(E783))=0, "", GetSampleTissueBySpecimenPrep(H783))</f>
        <v/>
      </c>
      <c r="H783" t="str">
        <f>IF(LEN(TRIM(E783))=0, "", GetSpecimenPrepName())</f>
        <v/>
      </c>
      <c r="I783" t="str">
        <f>IF(LEN(TRIM(E783))=0, "", GetSampleVolumeBySpecimenPrep(H783))</f>
        <v/>
      </c>
      <c r="L783" t="str">
        <f>IF(LEN(TRIM(E783))=0,"",VLOOKUP("Manifest Id",config!A:B,2,FALSE))</f>
        <v/>
      </c>
      <c r="M783" t="str">
        <f>IF(LEN(TRIM(E783))=0, "",VLOOKUP("Project Name",config!A:B,2,FALSE))</f>
        <v/>
      </c>
      <c r="N783" t="str">
        <f>IF(LEN(TRIM(E783))=0, "",VLOOKUP("Center Name",config!A:B,2,FALSE))</f>
        <v/>
      </c>
      <c r="O783" s="7" t="str">
        <f>IF(LEN(TRIM(E783))=0,"",VLOOKUP("Shipment Date",config!A:B,2,FALSE))</f>
        <v/>
      </c>
      <c r="P783" s="7" t="str">
        <f t="shared" si="50"/>
        <v/>
      </c>
      <c r="Q783" s="7" t="str">
        <f>IF(LEN(TRIM(D783))=0,"",GetConfigParameterValue("Collection Site"))</f>
        <v/>
      </c>
      <c r="R783" t="str">
        <f>IF(LEN(TRIM(E783))=0, "", GetManifestComments(H783))</f>
        <v/>
      </c>
      <c r="S783" t="str">
        <f>IF(LEN(TRIM(E783))=0,"",IF(ISERROR(VLOOKUP(E783,'Manifest MDB data'!A:A,1,FALSE)),"OK","EXISTS!!!"))</f>
        <v/>
      </c>
    </row>
    <row r="784" spans="4:19" x14ac:dyDescent="0.25">
      <c r="D784" t="str">
        <f t="shared" si="51"/>
        <v/>
      </c>
      <c r="E784" t="str">
        <f t="shared" si="52"/>
        <v/>
      </c>
      <c r="F784" t="str">
        <f t="shared" si="49"/>
        <v/>
      </c>
      <c r="G784" t="str">
        <f>IF(LEN(TRIM(E784))=0, "", GetSampleTissueBySpecimenPrep(H784))</f>
        <v/>
      </c>
      <c r="H784" t="str">
        <f>IF(LEN(TRIM(E784))=0, "", GetSpecimenPrepName())</f>
        <v/>
      </c>
      <c r="I784" t="str">
        <f>IF(LEN(TRIM(E784))=0, "", GetSampleVolumeBySpecimenPrep(H784))</f>
        <v/>
      </c>
      <c r="L784" t="str">
        <f>IF(LEN(TRIM(E784))=0,"",VLOOKUP("Manifest Id",config!A:B,2,FALSE))</f>
        <v/>
      </c>
      <c r="M784" t="str">
        <f>IF(LEN(TRIM(E784))=0, "",VLOOKUP("Project Name",config!A:B,2,FALSE))</f>
        <v/>
      </c>
      <c r="N784" t="str">
        <f>IF(LEN(TRIM(E784))=0, "",VLOOKUP("Center Name",config!A:B,2,FALSE))</f>
        <v/>
      </c>
      <c r="O784" s="7" t="str">
        <f>IF(LEN(TRIM(E784))=0,"",VLOOKUP("Shipment Date",config!A:B,2,FALSE))</f>
        <v/>
      </c>
      <c r="P784" s="7" t="str">
        <f t="shared" si="50"/>
        <v/>
      </c>
      <c r="Q784" s="7" t="str">
        <f>IF(LEN(TRIM(D784))=0,"",GetConfigParameterValue("Collection Site"))</f>
        <v/>
      </c>
      <c r="R784" t="str">
        <f>IF(LEN(TRIM(E784))=0, "", GetManifestComments(H784))</f>
        <v/>
      </c>
      <c r="S784" t="str">
        <f>IF(LEN(TRIM(E784))=0,"",IF(ISERROR(VLOOKUP(E784,'Manifest MDB data'!A:A,1,FALSE)),"OK","EXISTS!!!"))</f>
        <v/>
      </c>
    </row>
    <row r="785" spans="4:19" x14ac:dyDescent="0.25">
      <c r="D785" t="str">
        <f t="shared" si="51"/>
        <v/>
      </c>
      <c r="E785" t="str">
        <f t="shared" si="52"/>
        <v/>
      </c>
      <c r="F785" t="str">
        <f t="shared" si="49"/>
        <v/>
      </c>
      <c r="G785" t="str">
        <f>IF(LEN(TRIM(E785))=0, "", GetSampleTissueBySpecimenPrep(H785))</f>
        <v/>
      </c>
      <c r="H785" t="str">
        <f>IF(LEN(TRIM(E785))=0, "", GetSpecimenPrepName())</f>
        <v/>
      </c>
      <c r="I785" t="str">
        <f>IF(LEN(TRIM(E785))=0, "", GetSampleVolumeBySpecimenPrep(H785))</f>
        <v/>
      </c>
      <c r="L785" t="str">
        <f>IF(LEN(TRIM(E785))=0,"",VLOOKUP("Manifest Id",config!A:B,2,FALSE))</f>
        <v/>
      </c>
      <c r="M785" t="str">
        <f>IF(LEN(TRIM(E785))=0, "",VLOOKUP("Project Name",config!A:B,2,FALSE))</f>
        <v/>
      </c>
      <c r="N785" t="str">
        <f>IF(LEN(TRIM(E785))=0, "",VLOOKUP("Center Name",config!A:B,2,FALSE))</f>
        <v/>
      </c>
      <c r="O785" s="7" t="str">
        <f>IF(LEN(TRIM(E785))=0,"",VLOOKUP("Shipment Date",config!A:B,2,FALSE))</f>
        <v/>
      </c>
      <c r="P785" s="7" t="str">
        <f t="shared" si="50"/>
        <v/>
      </c>
      <c r="Q785" s="7" t="str">
        <f>IF(LEN(TRIM(D785))=0,"",GetConfigParameterValue("Collection Site"))</f>
        <v/>
      </c>
      <c r="R785" t="str">
        <f>IF(LEN(TRIM(E785))=0, "", GetManifestComments(H785))</f>
        <v/>
      </c>
      <c r="S785" t="str">
        <f>IF(LEN(TRIM(E785))=0,"",IF(ISERROR(VLOOKUP(E785,'Manifest MDB data'!A:A,1,FALSE)),"OK","EXISTS!!!"))</f>
        <v/>
      </c>
    </row>
    <row r="786" spans="4:19" x14ac:dyDescent="0.25">
      <c r="D786" t="str">
        <f t="shared" si="51"/>
        <v/>
      </c>
      <c r="E786" t="str">
        <f t="shared" si="52"/>
        <v/>
      </c>
      <c r="F786" t="str">
        <f t="shared" si="49"/>
        <v/>
      </c>
      <c r="G786" t="str">
        <f>IF(LEN(TRIM(E786))=0, "", GetSampleTissueBySpecimenPrep(H786))</f>
        <v/>
      </c>
      <c r="H786" t="str">
        <f>IF(LEN(TRIM(E786))=0, "", GetSpecimenPrepName())</f>
        <v/>
      </c>
      <c r="I786" t="str">
        <f>IF(LEN(TRIM(E786))=0, "", GetSampleVolumeBySpecimenPrep(H786))</f>
        <v/>
      </c>
      <c r="L786" t="str">
        <f>IF(LEN(TRIM(E786))=0,"",VLOOKUP("Manifest Id",config!A:B,2,FALSE))</f>
        <v/>
      </c>
      <c r="M786" t="str">
        <f>IF(LEN(TRIM(E786))=0, "",VLOOKUP("Project Name",config!A:B,2,FALSE))</f>
        <v/>
      </c>
      <c r="N786" t="str">
        <f>IF(LEN(TRIM(E786))=0, "",VLOOKUP("Center Name",config!A:B,2,FALSE))</f>
        <v/>
      </c>
      <c r="O786" s="7" t="str">
        <f>IF(LEN(TRIM(E786))=0,"",VLOOKUP("Shipment Date",config!A:B,2,FALSE))</f>
        <v/>
      </c>
      <c r="P786" s="7" t="str">
        <f t="shared" si="50"/>
        <v/>
      </c>
      <c r="Q786" s="7" t="str">
        <f>IF(LEN(TRIM(D786))=0,"",GetConfigParameterValue("Collection Site"))</f>
        <v/>
      </c>
      <c r="R786" t="str">
        <f>IF(LEN(TRIM(E786))=0, "", GetManifestComments(H786))</f>
        <v/>
      </c>
      <c r="S786" t="str">
        <f>IF(LEN(TRIM(E786))=0,"",IF(ISERROR(VLOOKUP(E786,'Manifest MDB data'!A:A,1,FALSE)),"OK","EXISTS!!!"))</f>
        <v/>
      </c>
    </row>
    <row r="787" spans="4:19" x14ac:dyDescent="0.25">
      <c r="D787" t="str">
        <f t="shared" si="51"/>
        <v/>
      </c>
      <c r="E787" t="str">
        <f t="shared" si="52"/>
        <v/>
      </c>
      <c r="F787" t="str">
        <f t="shared" si="49"/>
        <v/>
      </c>
      <c r="G787" t="str">
        <f>IF(LEN(TRIM(E787))=0, "", GetSampleTissueBySpecimenPrep(H787))</f>
        <v/>
      </c>
      <c r="H787" t="str">
        <f>IF(LEN(TRIM(E787))=0, "", GetSpecimenPrepName())</f>
        <v/>
      </c>
      <c r="I787" t="str">
        <f>IF(LEN(TRIM(E787))=0, "", GetSampleVolumeBySpecimenPrep(H787))</f>
        <v/>
      </c>
      <c r="L787" t="str">
        <f>IF(LEN(TRIM(E787))=0,"",VLOOKUP("Manifest Id",config!A:B,2,FALSE))</f>
        <v/>
      </c>
      <c r="M787" t="str">
        <f>IF(LEN(TRIM(E787))=0, "",VLOOKUP("Project Name",config!A:B,2,FALSE))</f>
        <v/>
      </c>
      <c r="N787" t="str">
        <f>IF(LEN(TRIM(E787))=0, "",VLOOKUP("Center Name",config!A:B,2,FALSE))</f>
        <v/>
      </c>
      <c r="O787" s="7" t="str">
        <f>IF(LEN(TRIM(E787))=0,"",VLOOKUP("Shipment Date",config!A:B,2,FALSE))</f>
        <v/>
      </c>
      <c r="P787" s="7" t="str">
        <f t="shared" si="50"/>
        <v/>
      </c>
      <c r="Q787" s="7" t="str">
        <f>IF(LEN(TRIM(D787))=0,"",GetConfigParameterValue("Collection Site"))</f>
        <v/>
      </c>
      <c r="R787" t="str">
        <f>IF(LEN(TRIM(E787))=0, "", GetManifestComments(H787))</f>
        <v/>
      </c>
      <c r="S787" t="str">
        <f>IF(LEN(TRIM(E787))=0,"",IF(ISERROR(VLOOKUP(E787,'Manifest MDB data'!A:A,1,FALSE)),"OK","EXISTS!!!"))</f>
        <v/>
      </c>
    </row>
    <row r="788" spans="4:19" x14ac:dyDescent="0.25">
      <c r="D788" t="str">
        <f t="shared" si="51"/>
        <v/>
      </c>
      <c r="E788" t="str">
        <f t="shared" si="52"/>
        <v/>
      </c>
      <c r="F788" t="str">
        <f t="shared" si="49"/>
        <v/>
      </c>
      <c r="G788" t="str">
        <f>IF(LEN(TRIM(E788))=0, "", GetSampleTissueBySpecimenPrep(H788))</f>
        <v/>
      </c>
      <c r="H788" t="str">
        <f>IF(LEN(TRIM(E788))=0, "", GetSpecimenPrepName())</f>
        <v/>
      </c>
      <c r="I788" t="str">
        <f>IF(LEN(TRIM(E788))=0, "", GetSampleVolumeBySpecimenPrep(H788))</f>
        <v/>
      </c>
      <c r="L788" t="str">
        <f>IF(LEN(TRIM(E788))=0,"",VLOOKUP("Manifest Id",config!A:B,2,FALSE))</f>
        <v/>
      </c>
      <c r="M788" t="str">
        <f>IF(LEN(TRIM(E788))=0, "",VLOOKUP("Project Name",config!A:B,2,FALSE))</f>
        <v/>
      </c>
      <c r="N788" t="str">
        <f>IF(LEN(TRIM(E788))=0, "",VLOOKUP("Center Name",config!A:B,2,FALSE))</f>
        <v/>
      </c>
      <c r="O788" s="7" t="str">
        <f>IF(LEN(TRIM(E788))=0,"",VLOOKUP("Shipment Date",config!A:B,2,FALSE))</f>
        <v/>
      </c>
      <c r="P788" s="7" t="str">
        <f t="shared" si="50"/>
        <v/>
      </c>
      <c r="Q788" s="7" t="str">
        <f>IF(LEN(TRIM(D788))=0,"",GetConfigParameterValue("Collection Site"))</f>
        <v/>
      </c>
      <c r="R788" t="str">
        <f>IF(LEN(TRIM(E788))=0, "", GetManifestComments(H788))</f>
        <v/>
      </c>
      <c r="S788" t="str">
        <f>IF(LEN(TRIM(E788))=0,"",IF(ISERROR(VLOOKUP(E788,'Manifest MDB data'!A:A,1,FALSE)),"OK","EXISTS!!!"))</f>
        <v/>
      </c>
    </row>
    <row r="789" spans="4:19" x14ac:dyDescent="0.25">
      <c r="D789" t="str">
        <f t="shared" si="51"/>
        <v/>
      </c>
      <c r="E789" t="str">
        <f t="shared" si="52"/>
        <v/>
      </c>
      <c r="F789" t="str">
        <f t="shared" si="49"/>
        <v/>
      </c>
      <c r="G789" t="str">
        <f>IF(LEN(TRIM(E789))=0, "", GetSampleTissueBySpecimenPrep(H789))</f>
        <v/>
      </c>
      <c r="H789" t="str">
        <f>IF(LEN(TRIM(E789))=0, "", GetSpecimenPrepName())</f>
        <v/>
      </c>
      <c r="I789" t="str">
        <f>IF(LEN(TRIM(E789))=0, "", GetSampleVolumeBySpecimenPrep(H789))</f>
        <v/>
      </c>
      <c r="L789" t="str">
        <f>IF(LEN(TRIM(E789))=0,"",VLOOKUP("Manifest Id",config!A:B,2,FALSE))</f>
        <v/>
      </c>
      <c r="M789" t="str">
        <f>IF(LEN(TRIM(E789))=0, "",VLOOKUP("Project Name",config!A:B,2,FALSE))</f>
        <v/>
      </c>
      <c r="N789" t="str">
        <f>IF(LEN(TRIM(E789))=0, "",VLOOKUP("Center Name",config!A:B,2,FALSE))</f>
        <v/>
      </c>
      <c r="O789" s="7" t="str">
        <f>IF(LEN(TRIM(E789))=0,"",VLOOKUP("Shipment Date",config!A:B,2,FALSE))</f>
        <v/>
      </c>
      <c r="P789" s="7" t="str">
        <f t="shared" si="50"/>
        <v/>
      </c>
      <c r="Q789" s="7" t="str">
        <f>IF(LEN(TRIM(D789))=0,"",GetConfigParameterValue("Collection Site"))</f>
        <v/>
      </c>
      <c r="R789" t="str">
        <f>IF(LEN(TRIM(E789))=0, "", GetManifestComments(H789))</f>
        <v/>
      </c>
      <c r="S789" t="str">
        <f>IF(LEN(TRIM(E789))=0,"",IF(ISERROR(VLOOKUP(E789,'Manifest MDB data'!A:A,1,FALSE)),"OK","EXISTS!!!"))</f>
        <v/>
      </c>
    </row>
    <row r="790" spans="4:19" x14ac:dyDescent="0.25">
      <c r="D790" t="str">
        <f t="shared" si="51"/>
        <v/>
      </c>
      <c r="E790" t="str">
        <f t="shared" si="52"/>
        <v/>
      </c>
      <c r="F790" t="str">
        <f t="shared" si="49"/>
        <v/>
      </c>
      <c r="G790" t="str">
        <f>IF(LEN(TRIM(E790))=0, "", GetSampleTissueBySpecimenPrep(H790))</f>
        <v/>
      </c>
      <c r="H790" t="str">
        <f>IF(LEN(TRIM(E790))=0, "", GetSpecimenPrepName())</f>
        <v/>
      </c>
      <c r="I790" t="str">
        <f>IF(LEN(TRIM(E790))=0, "", GetSampleVolumeBySpecimenPrep(H790))</f>
        <v/>
      </c>
      <c r="L790" t="str">
        <f>IF(LEN(TRIM(E790))=0,"",VLOOKUP("Manifest Id",config!A:B,2,FALSE))</f>
        <v/>
      </c>
      <c r="M790" t="str">
        <f>IF(LEN(TRIM(E790))=0, "",VLOOKUP("Project Name",config!A:B,2,FALSE))</f>
        <v/>
      </c>
      <c r="N790" t="str">
        <f>IF(LEN(TRIM(E790))=0, "",VLOOKUP("Center Name",config!A:B,2,FALSE))</f>
        <v/>
      </c>
      <c r="O790" s="7" t="str">
        <f>IF(LEN(TRIM(E790))=0,"",VLOOKUP("Shipment Date",config!A:B,2,FALSE))</f>
        <v/>
      </c>
      <c r="P790" s="7" t="str">
        <f t="shared" si="50"/>
        <v/>
      </c>
      <c r="Q790" s="7" t="str">
        <f>IF(LEN(TRIM(D790))=0,"",GetConfigParameterValue("Collection Site"))</f>
        <v/>
      </c>
      <c r="R790" t="str">
        <f>IF(LEN(TRIM(E790))=0, "", GetManifestComments(H790))</f>
        <v/>
      </c>
      <c r="S790" t="str">
        <f>IF(LEN(TRIM(E790))=0,"",IF(ISERROR(VLOOKUP(E790,'Manifest MDB data'!A:A,1,FALSE)),"OK","EXISTS!!!"))</f>
        <v/>
      </c>
    </row>
    <row r="791" spans="4:19" x14ac:dyDescent="0.25">
      <c r="D791" t="str">
        <f t="shared" si="51"/>
        <v/>
      </c>
      <c r="E791" t="str">
        <f t="shared" si="52"/>
        <v/>
      </c>
      <c r="F791" t="str">
        <f t="shared" si="49"/>
        <v/>
      </c>
      <c r="G791" t="str">
        <f>IF(LEN(TRIM(E791))=0, "", GetSampleTissueBySpecimenPrep(H791))</f>
        <v/>
      </c>
      <c r="H791" t="str">
        <f>IF(LEN(TRIM(E791))=0, "", GetSpecimenPrepName())</f>
        <v/>
      </c>
      <c r="I791" t="str">
        <f>IF(LEN(TRIM(E791))=0, "", GetSampleVolumeBySpecimenPrep(H791))</f>
        <v/>
      </c>
      <c r="L791" t="str">
        <f>IF(LEN(TRIM(E791))=0,"",VLOOKUP("Manifest Id",config!A:B,2,FALSE))</f>
        <v/>
      </c>
      <c r="M791" t="str">
        <f>IF(LEN(TRIM(E791))=0, "",VLOOKUP("Project Name",config!A:B,2,FALSE))</f>
        <v/>
      </c>
      <c r="N791" t="str">
        <f>IF(LEN(TRIM(E791))=0, "",VLOOKUP("Center Name",config!A:B,2,FALSE))</f>
        <v/>
      </c>
      <c r="O791" s="7" t="str">
        <f>IF(LEN(TRIM(E791))=0,"",VLOOKUP("Shipment Date",config!A:B,2,FALSE))</f>
        <v/>
      </c>
      <c r="P791" s="7" t="str">
        <f t="shared" si="50"/>
        <v/>
      </c>
      <c r="Q791" s="7" t="str">
        <f>IF(LEN(TRIM(D791))=0,"",GetConfigParameterValue("Collection Site"))</f>
        <v/>
      </c>
      <c r="R791" t="str">
        <f>IF(LEN(TRIM(E791))=0, "", GetManifestComments(H791))</f>
        <v/>
      </c>
      <c r="S791" t="str">
        <f>IF(LEN(TRIM(E791))=0,"",IF(ISERROR(VLOOKUP(E791,'Manifest MDB data'!A:A,1,FALSE)),"OK","EXISTS!!!"))</f>
        <v/>
      </c>
    </row>
    <row r="792" spans="4:19" x14ac:dyDescent="0.25">
      <c r="D792" t="str">
        <f t="shared" si="51"/>
        <v/>
      </c>
      <c r="E792" t="str">
        <f t="shared" si="52"/>
        <v/>
      </c>
      <c r="F792" t="str">
        <f t="shared" si="49"/>
        <v/>
      </c>
      <c r="G792" t="str">
        <f>IF(LEN(TRIM(E792))=0, "", GetSampleTissueBySpecimenPrep(H792))</f>
        <v/>
      </c>
      <c r="H792" t="str">
        <f>IF(LEN(TRIM(E792))=0, "", GetSpecimenPrepName())</f>
        <v/>
      </c>
      <c r="I792" t="str">
        <f>IF(LEN(TRIM(E792))=0, "", GetSampleVolumeBySpecimenPrep(H792))</f>
        <v/>
      </c>
      <c r="L792" t="str">
        <f>IF(LEN(TRIM(E792))=0,"",VLOOKUP("Manifest Id",config!A:B,2,FALSE))</f>
        <v/>
      </c>
      <c r="M792" t="str">
        <f>IF(LEN(TRIM(E792))=0, "",VLOOKUP("Project Name",config!A:B,2,FALSE))</f>
        <v/>
      </c>
      <c r="N792" t="str">
        <f>IF(LEN(TRIM(E792))=0, "",VLOOKUP("Center Name",config!A:B,2,FALSE))</f>
        <v/>
      </c>
      <c r="O792" s="7" t="str">
        <f>IF(LEN(TRIM(E792))=0,"",VLOOKUP("Shipment Date",config!A:B,2,FALSE))</f>
        <v/>
      </c>
      <c r="P792" s="7" t="str">
        <f t="shared" si="50"/>
        <v/>
      </c>
      <c r="Q792" s="7" t="str">
        <f>IF(LEN(TRIM(D792))=0,"",GetConfigParameterValue("Collection Site"))</f>
        <v/>
      </c>
      <c r="R792" t="str">
        <f>IF(LEN(TRIM(E792))=0, "", GetManifestComments(H792))</f>
        <v/>
      </c>
      <c r="S792" t="str">
        <f>IF(LEN(TRIM(E792))=0,"",IF(ISERROR(VLOOKUP(E792,'Manifest MDB data'!A:A,1,FALSE)),"OK","EXISTS!!!"))</f>
        <v/>
      </c>
    </row>
    <row r="793" spans="4:19" x14ac:dyDescent="0.25">
      <c r="D793" t="str">
        <f t="shared" si="51"/>
        <v/>
      </c>
      <c r="E793" t="str">
        <f t="shared" si="52"/>
        <v/>
      </c>
      <c r="F793" t="str">
        <f t="shared" si="49"/>
        <v/>
      </c>
      <c r="G793" t="str">
        <f>IF(LEN(TRIM(E793))=0, "", GetSampleTissueBySpecimenPrep(H793))</f>
        <v/>
      </c>
      <c r="H793" t="str">
        <f>IF(LEN(TRIM(E793))=0, "", GetSpecimenPrepName())</f>
        <v/>
      </c>
      <c r="I793" t="str">
        <f>IF(LEN(TRIM(E793))=0, "", GetSampleVolumeBySpecimenPrep(H793))</f>
        <v/>
      </c>
      <c r="L793" t="str">
        <f>IF(LEN(TRIM(E793))=0,"",VLOOKUP("Manifest Id",config!A:B,2,FALSE))</f>
        <v/>
      </c>
      <c r="M793" t="str">
        <f>IF(LEN(TRIM(E793))=0, "",VLOOKUP("Project Name",config!A:B,2,FALSE))</f>
        <v/>
      </c>
      <c r="N793" t="str">
        <f>IF(LEN(TRIM(E793))=0, "",VLOOKUP("Center Name",config!A:B,2,FALSE))</f>
        <v/>
      </c>
      <c r="O793" s="7" t="str">
        <f>IF(LEN(TRIM(E793))=0,"",VLOOKUP("Shipment Date",config!A:B,2,FALSE))</f>
        <v/>
      </c>
      <c r="P793" s="7" t="str">
        <f t="shared" si="50"/>
        <v/>
      </c>
      <c r="Q793" s="7" t="str">
        <f>IF(LEN(TRIM(D793))=0,"",GetConfigParameterValue("Collection Site"))</f>
        <v/>
      </c>
      <c r="R793" t="str">
        <f>IF(LEN(TRIM(E793))=0, "", GetManifestComments(H793))</f>
        <v/>
      </c>
      <c r="S793" t="str">
        <f>IF(LEN(TRIM(E793))=0,"",IF(ISERROR(VLOOKUP(E793,'Manifest MDB data'!A:A,1,FALSE)),"OK","EXISTS!!!"))</f>
        <v/>
      </c>
    </row>
    <row r="794" spans="4:19" x14ac:dyDescent="0.25">
      <c r="D794" t="str">
        <f t="shared" si="51"/>
        <v/>
      </c>
      <c r="E794" t="str">
        <f t="shared" si="52"/>
        <v/>
      </c>
      <c r="F794" t="str">
        <f t="shared" si="49"/>
        <v/>
      </c>
      <c r="G794" t="str">
        <f>IF(LEN(TRIM(E794))=0, "", GetSampleTissueBySpecimenPrep(H794))</f>
        <v/>
      </c>
      <c r="H794" t="str">
        <f>IF(LEN(TRIM(E794))=0, "", GetSpecimenPrepName())</f>
        <v/>
      </c>
      <c r="I794" t="str">
        <f>IF(LEN(TRIM(E794))=0, "", GetSampleVolumeBySpecimenPrep(H794))</f>
        <v/>
      </c>
      <c r="L794" t="str">
        <f>IF(LEN(TRIM(E794))=0,"",VLOOKUP("Manifest Id",config!A:B,2,FALSE))</f>
        <v/>
      </c>
      <c r="M794" t="str">
        <f>IF(LEN(TRIM(E794))=0, "",VLOOKUP("Project Name",config!A:B,2,FALSE))</f>
        <v/>
      </c>
      <c r="N794" t="str">
        <f>IF(LEN(TRIM(E794))=0, "",VLOOKUP("Center Name",config!A:B,2,FALSE))</f>
        <v/>
      </c>
      <c r="O794" s="7" t="str">
        <f>IF(LEN(TRIM(E794))=0,"",VLOOKUP("Shipment Date",config!A:B,2,FALSE))</f>
        <v/>
      </c>
      <c r="P794" s="7" t="str">
        <f t="shared" si="50"/>
        <v/>
      </c>
      <c r="Q794" s="7" t="str">
        <f>IF(LEN(TRIM(D794))=0,"",GetConfigParameterValue("Collection Site"))</f>
        <v/>
      </c>
      <c r="R794" t="str">
        <f>IF(LEN(TRIM(E794))=0, "", GetManifestComments(H794))</f>
        <v/>
      </c>
      <c r="S794" t="str">
        <f>IF(LEN(TRIM(E794))=0,"",IF(ISERROR(VLOOKUP(E794,'Manifest MDB data'!A:A,1,FALSE)),"OK","EXISTS!!!"))</f>
        <v/>
      </c>
    </row>
    <row r="795" spans="4:19" x14ac:dyDescent="0.25">
      <c r="D795" t="str">
        <f t="shared" si="51"/>
        <v/>
      </c>
      <c r="E795" t="str">
        <f t="shared" si="52"/>
        <v/>
      </c>
      <c r="F795" t="str">
        <f t="shared" si="49"/>
        <v/>
      </c>
      <c r="G795" t="str">
        <f>IF(LEN(TRIM(E795))=0, "", GetSampleTissueBySpecimenPrep(H795))</f>
        <v/>
      </c>
      <c r="H795" t="str">
        <f>IF(LEN(TRIM(E795))=0, "", GetSpecimenPrepName())</f>
        <v/>
      </c>
      <c r="I795" t="str">
        <f>IF(LEN(TRIM(E795))=0, "", GetSampleVolumeBySpecimenPrep(H795))</f>
        <v/>
      </c>
      <c r="L795" t="str">
        <f>IF(LEN(TRIM(E795))=0,"",VLOOKUP("Manifest Id",config!A:B,2,FALSE))</f>
        <v/>
      </c>
      <c r="M795" t="str">
        <f>IF(LEN(TRIM(E795))=0, "",VLOOKUP("Project Name",config!A:B,2,FALSE))</f>
        <v/>
      </c>
      <c r="N795" t="str">
        <f>IF(LEN(TRIM(E795))=0, "",VLOOKUP("Center Name",config!A:B,2,FALSE))</f>
        <v/>
      </c>
      <c r="O795" s="7" t="str">
        <f>IF(LEN(TRIM(E795))=0,"",VLOOKUP("Shipment Date",config!A:B,2,FALSE))</f>
        <v/>
      </c>
      <c r="P795" s="7" t="str">
        <f t="shared" si="50"/>
        <v/>
      </c>
      <c r="Q795" s="7" t="str">
        <f>IF(LEN(TRIM(D795))=0,"",GetConfigParameterValue("Collection Site"))</f>
        <v/>
      </c>
      <c r="R795" t="str">
        <f>IF(LEN(TRIM(E795))=0, "", GetManifestComments(H795))</f>
        <v/>
      </c>
      <c r="S795" t="str">
        <f>IF(LEN(TRIM(E795))=0,"",IF(ISERROR(VLOOKUP(E795,'Manifest MDB data'!A:A,1,FALSE)),"OK","EXISTS!!!"))</f>
        <v/>
      </c>
    </row>
    <row r="796" spans="4:19" x14ac:dyDescent="0.25">
      <c r="D796" t="str">
        <f t="shared" si="51"/>
        <v/>
      </c>
      <c r="E796" t="str">
        <f t="shared" si="52"/>
        <v/>
      </c>
      <c r="F796" t="str">
        <f t="shared" si="49"/>
        <v/>
      </c>
      <c r="G796" t="str">
        <f>IF(LEN(TRIM(E796))=0, "", GetSampleTissueBySpecimenPrep(H796))</f>
        <v/>
      </c>
      <c r="H796" t="str">
        <f>IF(LEN(TRIM(E796))=0, "", GetSpecimenPrepName())</f>
        <v/>
      </c>
      <c r="I796" t="str">
        <f>IF(LEN(TRIM(E796))=0, "", GetSampleVolumeBySpecimenPrep(H796))</f>
        <v/>
      </c>
      <c r="L796" t="str">
        <f>IF(LEN(TRIM(E796))=0,"",VLOOKUP("Manifest Id",config!A:B,2,FALSE))</f>
        <v/>
      </c>
      <c r="M796" t="str">
        <f>IF(LEN(TRIM(E796))=0, "",VLOOKUP("Project Name",config!A:B,2,FALSE))</f>
        <v/>
      </c>
      <c r="N796" t="str">
        <f>IF(LEN(TRIM(E796))=0, "",VLOOKUP("Center Name",config!A:B,2,FALSE))</f>
        <v/>
      </c>
      <c r="O796" s="7" t="str">
        <f>IF(LEN(TRIM(E796))=0,"",VLOOKUP("Shipment Date",config!A:B,2,FALSE))</f>
        <v/>
      </c>
      <c r="P796" s="7" t="str">
        <f t="shared" si="50"/>
        <v/>
      </c>
      <c r="Q796" s="7" t="str">
        <f>IF(LEN(TRIM(D796))=0,"",GetConfigParameterValue("Collection Site"))</f>
        <v/>
      </c>
      <c r="R796" t="str">
        <f>IF(LEN(TRIM(E796))=0, "", GetManifestComments(H796))</f>
        <v/>
      </c>
      <c r="S796" t="str">
        <f>IF(LEN(TRIM(E796))=0,"",IF(ISERROR(VLOOKUP(E796,'Manifest MDB data'!A:A,1,FALSE)),"OK","EXISTS!!!"))</f>
        <v/>
      </c>
    </row>
    <row r="797" spans="4:19" x14ac:dyDescent="0.25">
      <c r="D797" t="str">
        <f t="shared" si="51"/>
        <v/>
      </c>
      <c r="E797" t="str">
        <f t="shared" si="52"/>
        <v/>
      </c>
      <c r="F797" t="str">
        <f t="shared" si="49"/>
        <v/>
      </c>
      <c r="G797" t="str">
        <f>IF(LEN(TRIM(E797))=0, "", GetSampleTissueBySpecimenPrep(H797))</f>
        <v/>
      </c>
      <c r="H797" t="str">
        <f>IF(LEN(TRIM(E797))=0, "", GetSpecimenPrepName())</f>
        <v/>
      </c>
      <c r="I797" t="str">
        <f>IF(LEN(TRIM(E797))=0, "", GetSampleVolumeBySpecimenPrep(H797))</f>
        <v/>
      </c>
      <c r="L797" t="str">
        <f>IF(LEN(TRIM(E797))=0,"",VLOOKUP("Manifest Id",config!A:B,2,FALSE))</f>
        <v/>
      </c>
      <c r="M797" t="str">
        <f>IF(LEN(TRIM(E797))=0, "",VLOOKUP("Project Name",config!A:B,2,FALSE))</f>
        <v/>
      </c>
      <c r="N797" t="str">
        <f>IF(LEN(TRIM(E797))=0, "",VLOOKUP("Center Name",config!A:B,2,FALSE))</f>
        <v/>
      </c>
      <c r="O797" s="7" t="str">
        <f>IF(LEN(TRIM(E797))=0,"",VLOOKUP("Shipment Date",config!A:B,2,FALSE))</f>
        <v/>
      </c>
      <c r="P797" s="7" t="str">
        <f t="shared" si="50"/>
        <v/>
      </c>
      <c r="Q797" s="7" t="str">
        <f>IF(LEN(TRIM(D797))=0,"",GetConfigParameterValue("Collection Site"))</f>
        <v/>
      </c>
      <c r="R797" t="str">
        <f>IF(LEN(TRIM(E797))=0, "", GetManifestComments(H797))</f>
        <v/>
      </c>
      <c r="S797" t="str">
        <f>IF(LEN(TRIM(E797))=0,"",IF(ISERROR(VLOOKUP(E797,'Manifest MDB data'!A:A,1,FALSE)),"OK","EXISTS!!!"))</f>
        <v/>
      </c>
    </row>
    <row r="798" spans="4:19" x14ac:dyDescent="0.25">
      <c r="D798" t="str">
        <f t="shared" si="51"/>
        <v/>
      </c>
      <c r="E798" t="str">
        <f t="shared" si="52"/>
        <v/>
      </c>
      <c r="F798" t="str">
        <f t="shared" si="49"/>
        <v/>
      </c>
      <c r="G798" t="str">
        <f>IF(LEN(TRIM(E798))=0, "", GetSampleTissueBySpecimenPrep(H798))</f>
        <v/>
      </c>
      <c r="H798" t="str">
        <f>IF(LEN(TRIM(E798))=0, "", GetSpecimenPrepName())</f>
        <v/>
      </c>
      <c r="I798" t="str">
        <f>IF(LEN(TRIM(E798))=0, "", GetSampleVolumeBySpecimenPrep(H798))</f>
        <v/>
      </c>
      <c r="L798" t="str">
        <f>IF(LEN(TRIM(E798))=0,"",VLOOKUP("Manifest Id",config!A:B,2,FALSE))</f>
        <v/>
      </c>
      <c r="M798" t="str">
        <f>IF(LEN(TRIM(E798))=0, "",VLOOKUP("Project Name",config!A:B,2,FALSE))</f>
        <v/>
      </c>
      <c r="N798" t="str">
        <f>IF(LEN(TRIM(E798))=0, "",VLOOKUP("Center Name",config!A:B,2,FALSE))</f>
        <v/>
      </c>
      <c r="O798" s="7" t="str">
        <f>IF(LEN(TRIM(E798))=0,"",VLOOKUP("Shipment Date",config!A:B,2,FALSE))</f>
        <v/>
      </c>
      <c r="P798" s="7" t="str">
        <f t="shared" si="50"/>
        <v/>
      </c>
      <c r="Q798" s="7" t="str">
        <f>IF(LEN(TRIM(D798))=0,"",GetConfigParameterValue("Collection Site"))</f>
        <v/>
      </c>
      <c r="R798" t="str">
        <f>IF(LEN(TRIM(E798))=0, "", GetManifestComments(H798))</f>
        <v/>
      </c>
      <c r="S798" t="str">
        <f>IF(LEN(TRIM(E798))=0,"",IF(ISERROR(VLOOKUP(E798,'Manifest MDB data'!A:A,1,FALSE)),"OK","EXISTS!!!"))</f>
        <v/>
      </c>
    </row>
    <row r="799" spans="4:19" x14ac:dyDescent="0.25">
      <c r="D799" t="str">
        <f t="shared" si="51"/>
        <v/>
      </c>
      <c r="E799" t="str">
        <f t="shared" si="52"/>
        <v/>
      </c>
      <c r="F799" t="str">
        <f t="shared" si="49"/>
        <v/>
      </c>
      <c r="G799" t="str">
        <f>IF(LEN(TRIM(E799))=0, "", GetSampleTissueBySpecimenPrep(H799))</f>
        <v/>
      </c>
      <c r="H799" t="str">
        <f>IF(LEN(TRIM(E799))=0, "", GetSpecimenPrepName())</f>
        <v/>
      </c>
      <c r="I799" t="str">
        <f>IF(LEN(TRIM(E799))=0, "", GetSampleVolumeBySpecimenPrep(H799))</f>
        <v/>
      </c>
      <c r="L799" t="str">
        <f>IF(LEN(TRIM(E799))=0,"",VLOOKUP("Manifest Id",config!A:B,2,FALSE))</f>
        <v/>
      </c>
      <c r="M799" t="str">
        <f>IF(LEN(TRIM(E799))=0, "",VLOOKUP("Project Name",config!A:B,2,FALSE))</f>
        <v/>
      </c>
      <c r="N799" t="str">
        <f>IF(LEN(TRIM(E799))=0, "",VLOOKUP("Center Name",config!A:B,2,FALSE))</f>
        <v/>
      </c>
      <c r="O799" s="7" t="str">
        <f>IF(LEN(TRIM(E799))=0,"",VLOOKUP("Shipment Date",config!A:B,2,FALSE))</f>
        <v/>
      </c>
      <c r="P799" s="7" t="str">
        <f t="shared" si="50"/>
        <v/>
      </c>
      <c r="Q799" s="7" t="str">
        <f>IF(LEN(TRIM(D799))=0,"",GetConfigParameterValue("Collection Site"))</f>
        <v/>
      </c>
      <c r="R799" t="str">
        <f>IF(LEN(TRIM(E799))=0, "", GetManifestComments(H799))</f>
        <v/>
      </c>
      <c r="S799" t="str">
        <f>IF(LEN(TRIM(E799))=0,"",IF(ISERROR(VLOOKUP(E799,'Manifest MDB data'!A:A,1,FALSE)),"OK","EXISTS!!!"))</f>
        <v/>
      </c>
    </row>
    <row r="800" spans="4:19" x14ac:dyDescent="0.25">
      <c r="D800" t="str">
        <f t="shared" si="51"/>
        <v/>
      </c>
      <c r="E800" t="str">
        <f t="shared" si="52"/>
        <v/>
      </c>
      <c r="F800" t="str">
        <f t="shared" si="49"/>
        <v/>
      </c>
      <c r="G800" t="str">
        <f>IF(LEN(TRIM(E800))=0, "", GetSampleTissueBySpecimenPrep(H800))</f>
        <v/>
      </c>
      <c r="H800" t="str">
        <f>IF(LEN(TRIM(E800))=0, "", GetSpecimenPrepName())</f>
        <v/>
      </c>
      <c r="I800" t="str">
        <f>IF(LEN(TRIM(E800))=0, "", GetSampleVolumeBySpecimenPrep(H800))</f>
        <v/>
      </c>
      <c r="L800" t="str">
        <f>IF(LEN(TRIM(E800))=0,"",VLOOKUP("Manifest Id",config!A:B,2,FALSE))</f>
        <v/>
      </c>
      <c r="M800" t="str">
        <f>IF(LEN(TRIM(E800))=0, "",VLOOKUP("Project Name",config!A:B,2,FALSE))</f>
        <v/>
      </c>
      <c r="N800" t="str">
        <f>IF(LEN(TRIM(E800))=0, "",VLOOKUP("Center Name",config!A:B,2,FALSE))</f>
        <v/>
      </c>
      <c r="O800" s="7" t="str">
        <f>IF(LEN(TRIM(E800))=0,"",VLOOKUP("Shipment Date",config!A:B,2,FALSE))</f>
        <v/>
      </c>
      <c r="P800" s="7" t="str">
        <f t="shared" si="50"/>
        <v/>
      </c>
      <c r="Q800" s="7" t="str">
        <f>IF(LEN(TRIM(D800))=0,"",GetConfigParameterValue("Collection Site"))</f>
        <v/>
      </c>
      <c r="R800" t="str">
        <f>IF(LEN(TRIM(E800))=0, "", GetManifestComments(H800))</f>
        <v/>
      </c>
      <c r="S800" t="str">
        <f>IF(LEN(TRIM(E800))=0,"",IF(ISERROR(VLOOKUP(E800,'Manifest MDB data'!A:A,1,FALSE)),"OK","EXISTS!!!"))</f>
        <v/>
      </c>
    </row>
    <row r="801" spans="4:19" x14ac:dyDescent="0.25">
      <c r="D801" t="str">
        <f t="shared" si="51"/>
        <v/>
      </c>
      <c r="E801" t="str">
        <f t="shared" si="52"/>
        <v/>
      </c>
      <c r="F801" t="str">
        <f t="shared" si="49"/>
        <v/>
      </c>
      <c r="G801" t="str">
        <f>IF(LEN(TRIM(E801))=0, "", GetSampleTissueBySpecimenPrep(H801))</f>
        <v/>
      </c>
      <c r="H801" t="str">
        <f>IF(LEN(TRIM(E801))=0, "", GetSpecimenPrepName())</f>
        <v/>
      </c>
      <c r="I801" t="str">
        <f>IF(LEN(TRIM(E801))=0, "", GetSampleVolumeBySpecimenPrep(H801))</f>
        <v/>
      </c>
      <c r="L801" t="str">
        <f>IF(LEN(TRIM(E801))=0,"",VLOOKUP("Manifest Id",config!A:B,2,FALSE))</f>
        <v/>
      </c>
      <c r="M801" t="str">
        <f>IF(LEN(TRIM(E801))=0, "",VLOOKUP("Project Name",config!A:B,2,FALSE))</f>
        <v/>
      </c>
      <c r="N801" t="str">
        <f>IF(LEN(TRIM(E801))=0, "",VLOOKUP("Center Name",config!A:B,2,FALSE))</f>
        <v/>
      </c>
      <c r="O801" s="7" t="str">
        <f>IF(LEN(TRIM(E801))=0,"",VLOOKUP("Shipment Date",config!A:B,2,FALSE))</f>
        <v/>
      </c>
      <c r="P801" s="7" t="str">
        <f t="shared" si="50"/>
        <v/>
      </c>
      <c r="Q801" s="7" t="str">
        <f>IF(LEN(TRIM(D801))=0,"",GetConfigParameterValue("Collection Site"))</f>
        <v/>
      </c>
      <c r="R801" t="str">
        <f>IF(LEN(TRIM(E801))=0, "", GetManifestComments(H801))</f>
        <v/>
      </c>
      <c r="S801" t="str">
        <f>IF(LEN(TRIM(E801))=0,"",IF(ISERROR(VLOOKUP(E801,'Manifest MDB data'!A:A,1,FALSE)),"OK","EXISTS!!!"))</f>
        <v/>
      </c>
    </row>
    <row r="802" spans="4:19" x14ac:dyDescent="0.25">
      <c r="D802" t="str">
        <f t="shared" si="51"/>
        <v/>
      </c>
      <c r="E802" t="str">
        <f t="shared" si="52"/>
        <v/>
      </c>
      <c r="F802" t="str">
        <f t="shared" ref="F802:F865" si="53">IF(LEN(TRIM(E802))=0, "", "Human")</f>
        <v/>
      </c>
      <c r="G802" t="str">
        <f>IF(LEN(TRIM(E802))=0, "", GetSampleTissueBySpecimenPrep(H802))</f>
        <v/>
      </c>
      <c r="H802" t="str">
        <f>IF(LEN(TRIM(E802))=0, "", GetSpecimenPrepName())</f>
        <v/>
      </c>
      <c r="I802" t="str">
        <f>IF(LEN(TRIM(E802))=0, "", GetSampleVolumeBySpecimenPrep(H802))</f>
        <v/>
      </c>
      <c r="L802" t="str">
        <f>IF(LEN(TRIM(E802))=0,"",VLOOKUP("Manifest Id",config!A:B,2,FALSE))</f>
        <v/>
      </c>
      <c r="M802" t="str">
        <f>IF(LEN(TRIM(E802))=0, "",VLOOKUP("Project Name",config!A:B,2,FALSE))</f>
        <v/>
      </c>
      <c r="N802" t="str">
        <f>IF(LEN(TRIM(E802))=0, "",VLOOKUP("Center Name",config!A:B,2,FALSE))</f>
        <v/>
      </c>
      <c r="O802" s="7" t="str">
        <f>IF(LEN(TRIM(E802))=0,"",VLOOKUP("Shipment Date",config!A:B,2,FALSE))</f>
        <v/>
      </c>
      <c r="P802" s="7" t="str">
        <f t="shared" si="50"/>
        <v/>
      </c>
      <c r="Q802" s="7" t="str">
        <f>IF(LEN(TRIM(D802))=0,"",GetConfigParameterValue("Collection Site"))</f>
        <v/>
      </c>
      <c r="R802" t="str">
        <f>IF(LEN(TRIM(E802))=0, "", GetManifestComments(H802))</f>
        <v/>
      </c>
      <c r="S802" t="str">
        <f>IF(LEN(TRIM(E802))=0,"",IF(ISERROR(VLOOKUP(E802,'Manifest MDB data'!A:A,1,FALSE)),"OK","EXISTS!!!"))</f>
        <v/>
      </c>
    </row>
    <row r="803" spans="4:19" x14ac:dyDescent="0.25">
      <c r="D803" t="str">
        <f t="shared" si="51"/>
        <v/>
      </c>
      <c r="E803" t="str">
        <f t="shared" si="52"/>
        <v/>
      </c>
      <c r="F803" t="str">
        <f t="shared" si="53"/>
        <v/>
      </c>
      <c r="G803" t="str">
        <f>IF(LEN(TRIM(E803))=0, "", GetSampleTissueBySpecimenPrep(H803))</f>
        <v/>
      </c>
      <c r="H803" t="str">
        <f>IF(LEN(TRIM(E803))=0, "", GetSpecimenPrepName())</f>
        <v/>
      </c>
      <c r="I803" t="str">
        <f>IF(LEN(TRIM(E803))=0, "", GetSampleVolumeBySpecimenPrep(H803))</f>
        <v/>
      </c>
      <c r="L803" t="str">
        <f>IF(LEN(TRIM(E803))=0,"",VLOOKUP("Manifest Id",config!A:B,2,FALSE))</f>
        <v/>
      </c>
      <c r="M803" t="str">
        <f>IF(LEN(TRIM(E803))=0, "",VLOOKUP("Project Name",config!A:B,2,FALSE))</f>
        <v/>
      </c>
      <c r="N803" t="str">
        <f>IF(LEN(TRIM(E803))=0, "",VLOOKUP("Center Name",config!A:B,2,FALSE))</f>
        <v/>
      </c>
      <c r="O803" s="7" t="str">
        <f>IF(LEN(TRIM(E803))=0,"",VLOOKUP("Shipment Date",config!A:B,2,FALSE))</f>
        <v/>
      </c>
      <c r="P803" s="7" t="str">
        <f t="shared" si="50"/>
        <v/>
      </c>
      <c r="Q803" s="7" t="str">
        <f>IF(LEN(TRIM(D803))=0,"",GetConfigParameterValue("Collection Site"))</f>
        <v/>
      </c>
      <c r="R803" t="str">
        <f>IF(LEN(TRIM(E803))=0, "", GetManifestComments(H803))</f>
        <v/>
      </c>
      <c r="S803" t="str">
        <f>IF(LEN(TRIM(E803))=0,"",IF(ISERROR(VLOOKUP(E803,'Manifest MDB data'!A:A,1,FALSE)),"OK","EXISTS!!!"))</f>
        <v/>
      </c>
    </row>
    <row r="804" spans="4:19" x14ac:dyDescent="0.25">
      <c r="D804" t="str">
        <f t="shared" si="51"/>
        <v/>
      </c>
      <c r="E804" t="str">
        <f t="shared" si="52"/>
        <v/>
      </c>
      <c r="F804" t="str">
        <f t="shared" si="53"/>
        <v/>
      </c>
      <c r="G804" t="str">
        <f>IF(LEN(TRIM(E804))=0, "", GetSampleTissueBySpecimenPrep(H804))</f>
        <v/>
      </c>
      <c r="H804" t="str">
        <f>IF(LEN(TRIM(E804))=0, "", GetSpecimenPrepName())</f>
        <v/>
      </c>
      <c r="I804" t="str">
        <f>IF(LEN(TRIM(E804))=0, "", GetSampleVolumeBySpecimenPrep(H804))</f>
        <v/>
      </c>
      <c r="L804" t="str">
        <f>IF(LEN(TRIM(E804))=0,"",VLOOKUP("Manifest Id",config!A:B,2,FALSE))</f>
        <v/>
      </c>
      <c r="M804" t="str">
        <f>IF(LEN(TRIM(E804))=0, "",VLOOKUP("Project Name",config!A:B,2,FALSE))</f>
        <v/>
      </c>
      <c r="N804" t="str">
        <f>IF(LEN(TRIM(E804))=0, "",VLOOKUP("Center Name",config!A:B,2,FALSE))</f>
        <v/>
      </c>
      <c r="O804" s="7" t="str">
        <f>IF(LEN(TRIM(E804))=0,"",VLOOKUP("Shipment Date",config!A:B,2,FALSE))</f>
        <v/>
      </c>
      <c r="P804" s="7" t="str">
        <f t="shared" si="50"/>
        <v/>
      </c>
      <c r="Q804" s="7" t="str">
        <f>IF(LEN(TRIM(D804))=0,"",GetConfigParameterValue("Collection Site"))</f>
        <v/>
      </c>
      <c r="R804" t="str">
        <f>IF(LEN(TRIM(E804))=0, "", GetManifestComments(H804))</f>
        <v/>
      </c>
      <c r="S804" t="str">
        <f>IF(LEN(TRIM(E804))=0,"",IF(ISERROR(VLOOKUP(E804,'Manifest MDB data'!A:A,1,FALSE)),"OK","EXISTS!!!"))</f>
        <v/>
      </c>
    </row>
    <row r="805" spans="4:19" x14ac:dyDescent="0.25">
      <c r="D805" t="str">
        <f t="shared" si="51"/>
        <v/>
      </c>
      <c r="E805" t="str">
        <f t="shared" si="52"/>
        <v/>
      </c>
      <c r="F805" t="str">
        <f t="shared" si="53"/>
        <v/>
      </c>
      <c r="G805" t="str">
        <f>IF(LEN(TRIM(E805))=0, "", GetSampleTissueBySpecimenPrep(H805))</f>
        <v/>
      </c>
      <c r="H805" t="str">
        <f>IF(LEN(TRIM(E805))=0, "", GetSpecimenPrepName())</f>
        <v/>
      </c>
      <c r="I805" t="str">
        <f>IF(LEN(TRIM(E805))=0, "", GetSampleVolumeBySpecimenPrep(H805))</f>
        <v/>
      </c>
      <c r="L805" t="str">
        <f>IF(LEN(TRIM(E805))=0,"",VLOOKUP("Manifest Id",config!A:B,2,FALSE))</f>
        <v/>
      </c>
      <c r="M805" t="str">
        <f>IF(LEN(TRIM(E805))=0, "",VLOOKUP("Project Name",config!A:B,2,FALSE))</f>
        <v/>
      </c>
      <c r="N805" t="str">
        <f>IF(LEN(TRIM(E805))=0, "",VLOOKUP("Center Name",config!A:B,2,FALSE))</f>
        <v/>
      </c>
      <c r="O805" s="7" t="str">
        <f>IF(LEN(TRIM(E805))=0,"",VLOOKUP("Shipment Date",config!A:B,2,FALSE))</f>
        <v/>
      </c>
      <c r="P805" s="7" t="str">
        <f t="shared" si="50"/>
        <v/>
      </c>
      <c r="Q805" s="7" t="str">
        <f>IF(LEN(TRIM(D805))=0,"",GetConfigParameterValue("Collection Site"))</f>
        <v/>
      </c>
      <c r="R805" t="str">
        <f>IF(LEN(TRIM(E805))=0, "", GetManifestComments(H805))</f>
        <v/>
      </c>
      <c r="S805" t="str">
        <f>IF(LEN(TRIM(E805))=0,"",IF(ISERROR(VLOOKUP(E805,'Manifest MDB data'!A:A,1,FALSE)),"OK","EXISTS!!!"))</f>
        <v/>
      </c>
    </row>
    <row r="806" spans="4:19" x14ac:dyDescent="0.25">
      <c r="D806" t="str">
        <f t="shared" si="51"/>
        <v/>
      </c>
      <c r="E806" t="str">
        <f t="shared" si="52"/>
        <v/>
      </c>
      <c r="F806" t="str">
        <f t="shared" si="53"/>
        <v/>
      </c>
      <c r="G806" t="str">
        <f>IF(LEN(TRIM(E806))=0, "", GetSampleTissueBySpecimenPrep(H806))</f>
        <v/>
      </c>
      <c r="H806" t="str">
        <f>IF(LEN(TRIM(E806))=0, "", GetSpecimenPrepName())</f>
        <v/>
      </c>
      <c r="I806" t="str">
        <f>IF(LEN(TRIM(E806))=0, "", GetSampleVolumeBySpecimenPrep(H806))</f>
        <v/>
      </c>
      <c r="L806" t="str">
        <f>IF(LEN(TRIM(E806))=0,"",VLOOKUP("Manifest Id",config!A:B,2,FALSE))</f>
        <v/>
      </c>
      <c r="M806" t="str">
        <f>IF(LEN(TRIM(E806))=0, "",VLOOKUP("Project Name",config!A:B,2,FALSE))</f>
        <v/>
      </c>
      <c r="N806" t="str">
        <f>IF(LEN(TRIM(E806))=0, "",VLOOKUP("Center Name",config!A:B,2,FALSE))</f>
        <v/>
      </c>
      <c r="O806" s="7" t="str">
        <f>IF(LEN(TRIM(E806))=0,"",VLOOKUP("Shipment Date",config!A:B,2,FALSE))</f>
        <v/>
      </c>
      <c r="P806" s="7" t="str">
        <f t="shared" si="50"/>
        <v/>
      </c>
      <c r="Q806" s="7" t="str">
        <f>IF(LEN(TRIM(D806))=0,"",GetConfigParameterValue("Collection Site"))</f>
        <v/>
      </c>
      <c r="R806" t="str">
        <f>IF(LEN(TRIM(E806))=0, "", GetManifestComments(H806))</f>
        <v/>
      </c>
      <c r="S806" t="str">
        <f>IF(LEN(TRIM(E806))=0,"",IF(ISERROR(VLOOKUP(E806,'Manifest MDB data'!A:A,1,FALSE)),"OK","EXISTS!!!"))</f>
        <v/>
      </c>
    </row>
    <row r="807" spans="4:19" x14ac:dyDescent="0.25">
      <c r="D807" t="str">
        <f t="shared" si="51"/>
        <v/>
      </c>
      <c r="E807" t="str">
        <f t="shared" si="52"/>
        <v/>
      </c>
      <c r="F807" t="str">
        <f t="shared" si="53"/>
        <v/>
      </c>
      <c r="G807" t="str">
        <f>IF(LEN(TRIM(E807))=0, "", GetSampleTissueBySpecimenPrep(H807))</f>
        <v/>
      </c>
      <c r="H807" t="str">
        <f>IF(LEN(TRIM(E807))=0, "", GetSpecimenPrepName())</f>
        <v/>
      </c>
      <c r="I807" t="str">
        <f>IF(LEN(TRIM(E807))=0, "", GetSampleVolumeBySpecimenPrep(H807))</f>
        <v/>
      </c>
      <c r="L807" t="str">
        <f>IF(LEN(TRIM(E807))=0,"",VLOOKUP("Manifest Id",config!A:B,2,FALSE))</f>
        <v/>
      </c>
      <c r="M807" t="str">
        <f>IF(LEN(TRIM(E807))=0, "",VLOOKUP("Project Name",config!A:B,2,FALSE))</f>
        <v/>
      </c>
      <c r="N807" t="str">
        <f>IF(LEN(TRIM(E807))=0, "",VLOOKUP("Center Name",config!A:B,2,FALSE))</f>
        <v/>
      </c>
      <c r="O807" s="7" t="str">
        <f>IF(LEN(TRIM(E807))=0,"",VLOOKUP("Shipment Date",config!A:B,2,FALSE))</f>
        <v/>
      </c>
      <c r="P807" s="7" t="str">
        <f t="shared" si="50"/>
        <v/>
      </c>
      <c r="Q807" s="7" t="str">
        <f>IF(LEN(TRIM(D807))=0,"",GetConfigParameterValue("Collection Site"))</f>
        <v/>
      </c>
      <c r="R807" t="str">
        <f>IF(LEN(TRIM(E807))=0, "", GetManifestComments(H807))</f>
        <v/>
      </c>
      <c r="S807" t="str">
        <f>IF(LEN(TRIM(E807))=0,"",IF(ISERROR(VLOOKUP(E807,'Manifest MDB data'!A:A,1,FALSE)),"OK","EXISTS!!!"))</f>
        <v/>
      </c>
    </row>
    <row r="808" spans="4:19" x14ac:dyDescent="0.25">
      <c r="D808" t="str">
        <f t="shared" si="51"/>
        <v/>
      </c>
      <c r="E808" t="str">
        <f t="shared" si="52"/>
        <v/>
      </c>
      <c r="F808" t="str">
        <f t="shared" si="53"/>
        <v/>
      </c>
      <c r="G808" t="str">
        <f>IF(LEN(TRIM(E808))=0, "", GetSampleTissueBySpecimenPrep(H808))</f>
        <v/>
      </c>
      <c r="H808" t="str">
        <f>IF(LEN(TRIM(E808))=0, "", GetSpecimenPrepName())</f>
        <v/>
      </c>
      <c r="I808" t="str">
        <f>IF(LEN(TRIM(E808))=0, "", GetSampleVolumeBySpecimenPrep(H808))</f>
        <v/>
      </c>
      <c r="L808" t="str">
        <f>IF(LEN(TRIM(E808))=0,"",VLOOKUP("Manifest Id",config!A:B,2,FALSE))</f>
        <v/>
      </c>
      <c r="M808" t="str">
        <f>IF(LEN(TRIM(E808))=0, "",VLOOKUP("Project Name",config!A:B,2,FALSE))</f>
        <v/>
      </c>
      <c r="N808" t="str">
        <f>IF(LEN(TRIM(E808))=0, "",VLOOKUP("Center Name",config!A:B,2,FALSE))</f>
        <v/>
      </c>
      <c r="O808" s="7" t="str">
        <f>IF(LEN(TRIM(E808))=0,"",VLOOKUP("Shipment Date",config!A:B,2,FALSE))</f>
        <v/>
      </c>
      <c r="P808" s="7" t="str">
        <f t="shared" si="50"/>
        <v/>
      </c>
      <c r="Q808" s="7" t="str">
        <f>IF(LEN(TRIM(D808))=0,"",GetConfigParameterValue("Collection Site"))</f>
        <v/>
      </c>
      <c r="R808" t="str">
        <f>IF(LEN(TRIM(E808))=0, "", GetManifestComments(H808))</f>
        <v/>
      </c>
      <c r="S808" t="str">
        <f>IF(LEN(TRIM(E808))=0,"",IF(ISERROR(VLOOKUP(E808,'Manifest MDB data'!A:A,1,FALSE)),"OK","EXISTS!!!"))</f>
        <v/>
      </c>
    </row>
    <row r="809" spans="4:19" x14ac:dyDescent="0.25">
      <c r="D809" t="str">
        <f t="shared" si="51"/>
        <v/>
      </c>
      <c r="E809" t="str">
        <f t="shared" si="52"/>
        <v/>
      </c>
      <c r="F809" t="str">
        <f t="shared" si="53"/>
        <v/>
      </c>
      <c r="G809" t="str">
        <f>IF(LEN(TRIM(E809))=0, "", GetSampleTissueBySpecimenPrep(H809))</f>
        <v/>
      </c>
      <c r="H809" t="str">
        <f>IF(LEN(TRIM(E809))=0, "", GetSpecimenPrepName())</f>
        <v/>
      </c>
      <c r="I809" t="str">
        <f>IF(LEN(TRIM(E809))=0, "", GetSampleVolumeBySpecimenPrep(H809))</f>
        <v/>
      </c>
      <c r="L809" t="str">
        <f>IF(LEN(TRIM(E809))=0,"",VLOOKUP("Manifest Id",config!A:B,2,FALSE))</f>
        <v/>
      </c>
      <c r="M809" t="str">
        <f>IF(LEN(TRIM(E809))=0, "",VLOOKUP("Project Name",config!A:B,2,FALSE))</f>
        <v/>
      </c>
      <c r="N809" t="str">
        <f>IF(LEN(TRIM(E809))=0, "",VLOOKUP("Center Name",config!A:B,2,FALSE))</f>
        <v/>
      </c>
      <c r="O809" s="7" t="str">
        <f>IF(LEN(TRIM(E809))=0,"",VLOOKUP("Shipment Date",config!A:B,2,FALSE))</f>
        <v/>
      </c>
      <c r="P809" s="7" t="str">
        <f t="shared" si="50"/>
        <v/>
      </c>
      <c r="Q809" s="7" t="str">
        <f>IF(LEN(TRIM(D809))=0,"",GetConfigParameterValue("Collection Site"))</f>
        <v/>
      </c>
      <c r="R809" t="str">
        <f>IF(LEN(TRIM(E809))=0, "", GetManifestComments(H809))</f>
        <v/>
      </c>
      <c r="S809" t="str">
        <f>IF(LEN(TRIM(E809))=0,"",IF(ISERROR(VLOOKUP(E809,'Manifest MDB data'!A:A,1,FALSE)),"OK","EXISTS!!!"))</f>
        <v/>
      </c>
    </row>
    <row r="810" spans="4:19" x14ac:dyDescent="0.25">
      <c r="D810" t="str">
        <f t="shared" si="51"/>
        <v/>
      </c>
      <c r="E810" t="str">
        <f t="shared" si="52"/>
        <v/>
      </c>
      <c r="F810" t="str">
        <f t="shared" si="53"/>
        <v/>
      </c>
      <c r="G810" t="str">
        <f>IF(LEN(TRIM(E810))=0, "", GetSampleTissueBySpecimenPrep(H810))</f>
        <v/>
      </c>
      <c r="H810" t="str">
        <f>IF(LEN(TRIM(E810))=0, "", GetSpecimenPrepName())</f>
        <v/>
      </c>
      <c r="I810" t="str">
        <f>IF(LEN(TRIM(E810))=0, "", GetSampleVolumeBySpecimenPrep(H810))</f>
        <v/>
      </c>
      <c r="L810" t="str">
        <f>IF(LEN(TRIM(E810))=0,"",VLOOKUP("Manifest Id",config!A:B,2,FALSE))</f>
        <v/>
      </c>
      <c r="M810" t="str">
        <f>IF(LEN(TRIM(E810))=0, "",VLOOKUP("Project Name",config!A:B,2,FALSE))</f>
        <v/>
      </c>
      <c r="N810" t="str">
        <f>IF(LEN(TRIM(E810))=0, "",VLOOKUP("Center Name",config!A:B,2,FALSE))</f>
        <v/>
      </c>
      <c r="O810" s="7" t="str">
        <f>IF(LEN(TRIM(E810))=0,"",VLOOKUP("Shipment Date",config!A:B,2,FALSE))</f>
        <v/>
      </c>
      <c r="P810" s="7" t="str">
        <f t="shared" si="50"/>
        <v/>
      </c>
      <c r="Q810" s="7" t="str">
        <f>IF(LEN(TRIM(D810))=0,"",GetConfigParameterValue("Collection Site"))</f>
        <v/>
      </c>
      <c r="R810" t="str">
        <f>IF(LEN(TRIM(E810))=0, "", GetManifestComments(H810))</f>
        <v/>
      </c>
      <c r="S810" t="str">
        <f>IF(LEN(TRIM(E810))=0,"",IF(ISERROR(VLOOKUP(E810,'Manifest MDB data'!A:A,1,FALSE)),"OK","EXISTS!!!"))</f>
        <v/>
      </c>
    </row>
    <row r="811" spans="4:19" x14ac:dyDescent="0.25">
      <c r="D811" t="str">
        <f t="shared" si="51"/>
        <v/>
      </c>
      <c r="E811" t="str">
        <f t="shared" si="52"/>
        <v/>
      </c>
      <c r="F811" t="str">
        <f t="shared" si="53"/>
        <v/>
      </c>
      <c r="G811" t="str">
        <f>IF(LEN(TRIM(E811))=0, "", GetSampleTissueBySpecimenPrep(H811))</f>
        <v/>
      </c>
      <c r="H811" t="str">
        <f>IF(LEN(TRIM(E811))=0, "", GetSpecimenPrepName())</f>
        <v/>
      </c>
      <c r="I811" t="str">
        <f>IF(LEN(TRIM(E811))=0, "", GetSampleVolumeBySpecimenPrep(H811))</f>
        <v/>
      </c>
      <c r="L811" t="str">
        <f>IF(LEN(TRIM(E811))=0,"",VLOOKUP("Manifest Id",config!A:B,2,FALSE))</f>
        <v/>
      </c>
      <c r="M811" t="str">
        <f>IF(LEN(TRIM(E811))=0, "",VLOOKUP("Project Name",config!A:B,2,FALSE))</f>
        <v/>
      </c>
      <c r="N811" t="str">
        <f>IF(LEN(TRIM(E811))=0, "",VLOOKUP("Center Name",config!A:B,2,FALSE))</f>
        <v/>
      </c>
      <c r="O811" s="7" t="str">
        <f>IF(LEN(TRIM(E811))=0,"",VLOOKUP("Shipment Date",config!A:B,2,FALSE))</f>
        <v/>
      </c>
      <c r="P811" s="7" t="str">
        <f t="shared" si="50"/>
        <v/>
      </c>
      <c r="Q811" s="7" t="str">
        <f>IF(LEN(TRIM(D811))=0,"",GetConfigParameterValue("Collection Site"))</f>
        <v/>
      </c>
      <c r="R811" t="str">
        <f>IF(LEN(TRIM(E811))=0, "", GetManifestComments(H811))</f>
        <v/>
      </c>
      <c r="S811" t="str">
        <f>IF(LEN(TRIM(E811))=0,"",IF(ISERROR(VLOOKUP(E811,'Manifest MDB data'!A:A,1,FALSE)),"OK","EXISTS!!!"))</f>
        <v/>
      </c>
    </row>
    <row r="812" spans="4:19" x14ac:dyDescent="0.25">
      <c r="D812" t="str">
        <f t="shared" si="51"/>
        <v/>
      </c>
      <c r="E812" t="str">
        <f t="shared" si="52"/>
        <v/>
      </c>
      <c r="F812" t="str">
        <f t="shared" si="53"/>
        <v/>
      </c>
      <c r="G812" t="str">
        <f>IF(LEN(TRIM(E812))=0, "", GetSampleTissueBySpecimenPrep(H812))</f>
        <v/>
      </c>
      <c r="H812" t="str">
        <f>IF(LEN(TRIM(E812))=0, "", GetSpecimenPrepName())</f>
        <v/>
      </c>
      <c r="I812" t="str">
        <f>IF(LEN(TRIM(E812))=0, "", GetSampleVolumeBySpecimenPrep(H812))</f>
        <v/>
      </c>
      <c r="L812" t="str">
        <f>IF(LEN(TRIM(E812))=0,"",VLOOKUP("Manifest Id",config!A:B,2,FALSE))</f>
        <v/>
      </c>
      <c r="M812" t="str">
        <f>IF(LEN(TRIM(E812))=0, "",VLOOKUP("Project Name",config!A:B,2,FALSE))</f>
        <v/>
      </c>
      <c r="N812" t="str">
        <f>IF(LEN(TRIM(E812))=0, "",VLOOKUP("Center Name",config!A:B,2,FALSE))</f>
        <v/>
      </c>
      <c r="O812" s="7" t="str">
        <f>IF(LEN(TRIM(E812))=0,"",VLOOKUP("Shipment Date",config!A:B,2,FALSE))</f>
        <v/>
      </c>
      <c r="P812" s="7" t="str">
        <f t="shared" si="50"/>
        <v/>
      </c>
      <c r="Q812" s="7" t="str">
        <f>IF(LEN(TRIM(D812))=0,"",GetConfigParameterValue("Collection Site"))</f>
        <v/>
      </c>
      <c r="R812" t="str">
        <f>IF(LEN(TRIM(E812))=0, "", GetManifestComments(H812))</f>
        <v/>
      </c>
      <c r="S812" t="str">
        <f>IF(LEN(TRIM(E812))=0,"",IF(ISERROR(VLOOKUP(E812,'Manifest MDB data'!A:A,1,FALSE)),"OK","EXISTS!!!"))</f>
        <v/>
      </c>
    </row>
    <row r="813" spans="4:19" x14ac:dyDescent="0.25">
      <c r="D813" t="str">
        <f t="shared" si="51"/>
        <v/>
      </c>
      <c r="E813" t="str">
        <f t="shared" si="52"/>
        <v/>
      </c>
      <c r="F813" t="str">
        <f t="shared" si="53"/>
        <v/>
      </c>
      <c r="G813" t="str">
        <f>IF(LEN(TRIM(E813))=0, "", GetSampleTissueBySpecimenPrep(H813))</f>
        <v/>
      </c>
      <c r="H813" t="str">
        <f>IF(LEN(TRIM(E813))=0, "", GetSpecimenPrepName())</f>
        <v/>
      </c>
      <c r="I813" t="str">
        <f>IF(LEN(TRIM(E813))=0, "", GetSampleVolumeBySpecimenPrep(H813))</f>
        <v/>
      </c>
      <c r="L813" t="str">
        <f>IF(LEN(TRIM(E813))=0,"",VLOOKUP("Manifest Id",config!A:B,2,FALSE))</f>
        <v/>
      </c>
      <c r="M813" t="str">
        <f>IF(LEN(TRIM(E813))=0, "",VLOOKUP("Project Name",config!A:B,2,FALSE))</f>
        <v/>
      </c>
      <c r="N813" t="str">
        <f>IF(LEN(TRIM(E813))=0, "",VLOOKUP("Center Name",config!A:B,2,FALSE))</f>
        <v/>
      </c>
      <c r="O813" s="7" t="str">
        <f>IF(LEN(TRIM(E813))=0,"",VLOOKUP("Shipment Date",config!A:B,2,FALSE))</f>
        <v/>
      </c>
      <c r="P813" s="7" t="str">
        <f t="shared" si="50"/>
        <v/>
      </c>
      <c r="Q813" s="7" t="str">
        <f>IF(LEN(TRIM(D813))=0,"",GetConfigParameterValue("Collection Site"))</f>
        <v/>
      </c>
      <c r="R813" t="str">
        <f>IF(LEN(TRIM(E813))=0, "", GetManifestComments(H813))</f>
        <v/>
      </c>
      <c r="S813" t="str">
        <f>IF(LEN(TRIM(E813))=0,"",IF(ISERROR(VLOOKUP(E813,'Manifest MDB data'!A:A,1,FALSE)),"OK","EXISTS!!!"))</f>
        <v/>
      </c>
    </row>
    <row r="814" spans="4:19" x14ac:dyDescent="0.25">
      <c r="D814" t="str">
        <f t="shared" si="51"/>
        <v/>
      </c>
      <c r="E814" t="str">
        <f t="shared" si="52"/>
        <v/>
      </c>
      <c r="F814" t="str">
        <f t="shared" si="53"/>
        <v/>
      </c>
      <c r="G814" t="str">
        <f>IF(LEN(TRIM(E814))=0, "", GetSampleTissueBySpecimenPrep(H814))</f>
        <v/>
      </c>
      <c r="H814" t="str">
        <f>IF(LEN(TRIM(E814))=0, "", GetSpecimenPrepName())</f>
        <v/>
      </c>
      <c r="I814" t="str">
        <f>IF(LEN(TRIM(E814))=0, "", GetSampleVolumeBySpecimenPrep(H814))</f>
        <v/>
      </c>
      <c r="L814" t="str">
        <f>IF(LEN(TRIM(E814))=0,"",VLOOKUP("Manifest Id",config!A:B,2,FALSE))</f>
        <v/>
      </c>
      <c r="M814" t="str">
        <f>IF(LEN(TRIM(E814))=0, "",VLOOKUP("Project Name",config!A:B,2,FALSE))</f>
        <v/>
      </c>
      <c r="N814" t="str">
        <f>IF(LEN(TRIM(E814))=0, "",VLOOKUP("Center Name",config!A:B,2,FALSE))</f>
        <v/>
      </c>
      <c r="O814" s="7" t="str">
        <f>IF(LEN(TRIM(E814))=0,"",VLOOKUP("Shipment Date",config!A:B,2,FALSE))</f>
        <v/>
      </c>
      <c r="P814" s="7" t="str">
        <f t="shared" si="50"/>
        <v/>
      </c>
      <c r="Q814" s="7" t="str">
        <f>IF(LEN(TRIM(D814))=0,"",GetConfigParameterValue("Collection Site"))</f>
        <v/>
      </c>
      <c r="R814" t="str">
        <f>IF(LEN(TRIM(E814))=0, "", GetManifestComments(H814))</f>
        <v/>
      </c>
      <c r="S814" t="str">
        <f>IF(LEN(TRIM(E814))=0,"",IF(ISERROR(VLOOKUP(E814,'Manifest MDB data'!A:A,1,FALSE)),"OK","EXISTS!!!"))</f>
        <v/>
      </c>
    </row>
    <row r="815" spans="4:19" x14ac:dyDescent="0.25">
      <c r="D815" t="str">
        <f t="shared" si="51"/>
        <v/>
      </c>
      <c r="E815" t="str">
        <f t="shared" si="52"/>
        <v/>
      </c>
      <c r="F815" t="str">
        <f t="shared" si="53"/>
        <v/>
      </c>
      <c r="G815" t="str">
        <f>IF(LEN(TRIM(E815))=0, "", GetSampleTissueBySpecimenPrep(H815))</f>
        <v/>
      </c>
      <c r="H815" t="str">
        <f>IF(LEN(TRIM(E815))=0, "", GetSpecimenPrepName())</f>
        <v/>
      </c>
      <c r="I815" t="str">
        <f>IF(LEN(TRIM(E815))=0, "", GetSampleVolumeBySpecimenPrep(H815))</f>
        <v/>
      </c>
      <c r="L815" t="str">
        <f>IF(LEN(TRIM(E815))=0,"",VLOOKUP("Manifest Id",config!A:B,2,FALSE))</f>
        <v/>
      </c>
      <c r="M815" t="str">
        <f>IF(LEN(TRIM(E815))=0, "",VLOOKUP("Project Name",config!A:B,2,FALSE))</f>
        <v/>
      </c>
      <c r="N815" t="str">
        <f>IF(LEN(TRIM(E815))=0, "",VLOOKUP("Center Name",config!A:B,2,FALSE))</f>
        <v/>
      </c>
      <c r="O815" s="7" t="str">
        <f>IF(LEN(TRIM(E815))=0,"",VLOOKUP("Shipment Date",config!A:B,2,FALSE))</f>
        <v/>
      </c>
      <c r="P815" s="7" t="str">
        <f t="shared" si="50"/>
        <v/>
      </c>
      <c r="Q815" s="7" t="str">
        <f>IF(LEN(TRIM(D815))=0,"",GetConfigParameterValue("Collection Site"))</f>
        <v/>
      </c>
      <c r="R815" t="str">
        <f>IF(LEN(TRIM(E815))=0, "", GetManifestComments(H815))</f>
        <v/>
      </c>
      <c r="S815" t="str">
        <f>IF(LEN(TRIM(E815))=0,"",IF(ISERROR(VLOOKUP(E815,'Manifest MDB data'!A:A,1,FALSE)),"OK","EXISTS!!!"))</f>
        <v/>
      </c>
    </row>
    <row r="816" spans="4:19" x14ac:dyDescent="0.25">
      <c r="D816" t="str">
        <f t="shared" si="51"/>
        <v/>
      </c>
      <c r="E816" t="str">
        <f t="shared" si="52"/>
        <v/>
      </c>
      <c r="F816" t="str">
        <f t="shared" si="53"/>
        <v/>
      </c>
      <c r="G816" t="str">
        <f>IF(LEN(TRIM(E816))=0, "", GetSampleTissueBySpecimenPrep(H816))</f>
        <v/>
      </c>
      <c r="H816" t="str">
        <f>IF(LEN(TRIM(E816))=0, "", GetSpecimenPrepName())</f>
        <v/>
      </c>
      <c r="I816" t="str">
        <f>IF(LEN(TRIM(E816))=0, "", GetSampleVolumeBySpecimenPrep(H816))</f>
        <v/>
      </c>
      <c r="L816" t="str">
        <f>IF(LEN(TRIM(E816))=0,"",VLOOKUP("Manifest Id",config!A:B,2,FALSE))</f>
        <v/>
      </c>
      <c r="M816" t="str">
        <f>IF(LEN(TRIM(E816))=0, "",VLOOKUP("Project Name",config!A:B,2,FALSE))</f>
        <v/>
      </c>
      <c r="N816" t="str">
        <f>IF(LEN(TRIM(E816))=0, "",VLOOKUP("Center Name",config!A:B,2,FALSE))</f>
        <v/>
      </c>
      <c r="O816" s="7" t="str">
        <f>IF(LEN(TRIM(E816))=0,"",VLOOKUP("Shipment Date",config!A:B,2,FALSE))</f>
        <v/>
      </c>
      <c r="P816" s="7" t="str">
        <f t="shared" si="50"/>
        <v/>
      </c>
      <c r="Q816" s="7" t="str">
        <f>IF(LEN(TRIM(D816))=0,"",GetConfigParameterValue("Collection Site"))</f>
        <v/>
      </c>
      <c r="R816" t="str">
        <f>IF(LEN(TRIM(E816))=0, "", GetManifestComments(H816))</f>
        <v/>
      </c>
      <c r="S816" t="str">
        <f>IF(LEN(TRIM(E816))=0,"",IF(ISERROR(VLOOKUP(E816,'Manifest MDB data'!A:A,1,FALSE)),"OK","EXISTS!!!"))</f>
        <v/>
      </c>
    </row>
    <row r="817" spans="4:19" x14ac:dyDescent="0.25">
      <c r="D817" t="str">
        <f t="shared" si="51"/>
        <v/>
      </c>
      <c r="E817" t="str">
        <f t="shared" si="52"/>
        <v/>
      </c>
      <c r="F817" t="str">
        <f t="shared" si="53"/>
        <v/>
      </c>
      <c r="G817" t="str">
        <f>IF(LEN(TRIM(E817))=0, "", GetSampleTissueBySpecimenPrep(H817))</f>
        <v/>
      </c>
      <c r="H817" t="str">
        <f>IF(LEN(TRIM(E817))=0, "", GetSpecimenPrepName())</f>
        <v/>
      </c>
      <c r="I817" t="str">
        <f>IF(LEN(TRIM(E817))=0, "", GetSampleVolumeBySpecimenPrep(H817))</f>
        <v/>
      </c>
      <c r="L817" t="str">
        <f>IF(LEN(TRIM(E817))=0,"",VLOOKUP("Manifest Id",config!A:B,2,FALSE))</f>
        <v/>
      </c>
      <c r="M817" t="str">
        <f>IF(LEN(TRIM(E817))=0, "",VLOOKUP("Project Name",config!A:B,2,FALSE))</f>
        <v/>
      </c>
      <c r="N817" t="str">
        <f>IF(LEN(TRIM(E817))=0, "",VLOOKUP("Center Name",config!A:B,2,FALSE))</f>
        <v/>
      </c>
      <c r="O817" s="7" t="str">
        <f>IF(LEN(TRIM(E817))=0,"",VLOOKUP("Shipment Date",config!A:B,2,FALSE))</f>
        <v/>
      </c>
      <c r="P817" s="7" t="str">
        <f t="shared" si="50"/>
        <v/>
      </c>
      <c r="Q817" s="7" t="str">
        <f>IF(LEN(TRIM(D817))=0,"",GetConfigParameterValue("Collection Site"))</f>
        <v/>
      </c>
      <c r="R817" t="str">
        <f>IF(LEN(TRIM(E817))=0, "", GetManifestComments(H817))</f>
        <v/>
      </c>
      <c r="S817" t="str">
        <f>IF(LEN(TRIM(E817))=0,"",IF(ISERROR(VLOOKUP(E817,'Manifest MDB data'!A:A,1,FALSE)),"OK","EXISTS!!!"))</f>
        <v/>
      </c>
    </row>
    <row r="818" spans="4:19" x14ac:dyDescent="0.25">
      <c r="D818" t="str">
        <f t="shared" si="51"/>
        <v/>
      </c>
      <c r="E818" t="str">
        <f t="shared" si="52"/>
        <v/>
      </c>
      <c r="F818" t="str">
        <f t="shared" si="53"/>
        <v/>
      </c>
      <c r="G818" t="str">
        <f>IF(LEN(TRIM(E818))=0, "", GetSampleTissueBySpecimenPrep(H818))</f>
        <v/>
      </c>
      <c r="H818" t="str">
        <f>IF(LEN(TRIM(E818))=0, "", GetSpecimenPrepName())</f>
        <v/>
      </c>
      <c r="I818" t="str">
        <f>IF(LEN(TRIM(E818))=0, "", GetSampleVolumeBySpecimenPrep(H818))</f>
        <v/>
      </c>
      <c r="L818" t="str">
        <f>IF(LEN(TRIM(E818))=0,"",VLOOKUP("Manifest Id",config!A:B,2,FALSE))</f>
        <v/>
      </c>
      <c r="M818" t="str">
        <f>IF(LEN(TRIM(E818))=0, "",VLOOKUP("Project Name",config!A:B,2,FALSE))</f>
        <v/>
      </c>
      <c r="N818" t="str">
        <f>IF(LEN(TRIM(E818))=0, "",VLOOKUP("Center Name",config!A:B,2,FALSE))</f>
        <v/>
      </c>
      <c r="O818" s="7" t="str">
        <f>IF(LEN(TRIM(E818))=0,"",VLOOKUP("Shipment Date",config!A:B,2,FALSE))</f>
        <v/>
      </c>
      <c r="P818" s="7" t="str">
        <f t="shared" si="50"/>
        <v/>
      </c>
      <c r="Q818" s="7" t="str">
        <f>IF(LEN(TRIM(D818))=0,"",GetConfigParameterValue("Collection Site"))</f>
        <v/>
      </c>
      <c r="R818" t="str">
        <f>IF(LEN(TRIM(E818))=0, "", GetManifestComments(H818))</f>
        <v/>
      </c>
      <c r="S818" t="str">
        <f>IF(LEN(TRIM(E818))=0,"",IF(ISERROR(VLOOKUP(E818,'Manifest MDB data'!A:A,1,FALSE)),"OK","EXISTS!!!"))</f>
        <v/>
      </c>
    </row>
    <row r="819" spans="4:19" x14ac:dyDescent="0.25">
      <c r="D819" t="str">
        <f t="shared" si="51"/>
        <v/>
      </c>
      <c r="E819" t="str">
        <f t="shared" si="52"/>
        <v/>
      </c>
      <c r="F819" t="str">
        <f t="shared" si="53"/>
        <v/>
      </c>
      <c r="G819" t="str">
        <f>IF(LEN(TRIM(E819))=0, "", GetSampleTissueBySpecimenPrep(H819))</f>
        <v/>
      </c>
      <c r="H819" t="str">
        <f>IF(LEN(TRIM(E819))=0, "", GetSpecimenPrepName())</f>
        <v/>
      </c>
      <c r="I819" t="str">
        <f>IF(LEN(TRIM(E819))=0, "", GetSampleVolumeBySpecimenPrep(H819))</f>
        <v/>
      </c>
      <c r="L819" t="str">
        <f>IF(LEN(TRIM(E819))=0,"",VLOOKUP("Manifest Id",config!A:B,2,FALSE))</f>
        <v/>
      </c>
      <c r="M819" t="str">
        <f>IF(LEN(TRIM(E819))=0, "",VLOOKUP("Project Name",config!A:B,2,FALSE))</f>
        <v/>
      </c>
      <c r="N819" t="str">
        <f>IF(LEN(TRIM(E819))=0, "",VLOOKUP("Center Name",config!A:B,2,FALSE))</f>
        <v/>
      </c>
      <c r="O819" s="7" t="str">
        <f>IF(LEN(TRIM(E819))=0,"",VLOOKUP("Shipment Date",config!A:B,2,FALSE))</f>
        <v/>
      </c>
      <c r="P819" s="7" t="str">
        <f t="shared" si="50"/>
        <v/>
      </c>
      <c r="Q819" s="7" t="str">
        <f>IF(LEN(TRIM(D819))=0,"",GetConfigParameterValue("Collection Site"))</f>
        <v/>
      </c>
      <c r="R819" t="str">
        <f>IF(LEN(TRIM(E819))=0, "", GetManifestComments(H819))</f>
        <v/>
      </c>
      <c r="S819" t="str">
        <f>IF(LEN(TRIM(E819))=0,"",IF(ISERROR(VLOOKUP(E819,'Manifest MDB data'!A:A,1,FALSE)),"OK","EXISTS!!!"))</f>
        <v/>
      </c>
    </row>
    <row r="820" spans="4:19" x14ac:dyDescent="0.25">
      <c r="D820" t="str">
        <f t="shared" si="51"/>
        <v/>
      </c>
      <c r="E820" t="str">
        <f t="shared" si="52"/>
        <v/>
      </c>
      <c r="F820" t="str">
        <f t="shared" si="53"/>
        <v/>
      </c>
      <c r="G820" t="str">
        <f>IF(LEN(TRIM(E820))=0, "", GetSampleTissueBySpecimenPrep(H820))</f>
        <v/>
      </c>
      <c r="H820" t="str">
        <f>IF(LEN(TRIM(E820))=0, "", GetSpecimenPrepName())</f>
        <v/>
      </c>
      <c r="I820" t="str">
        <f>IF(LEN(TRIM(E820))=0, "", GetSampleVolumeBySpecimenPrep(H820))</f>
        <v/>
      </c>
      <c r="L820" t="str">
        <f>IF(LEN(TRIM(E820))=0,"",VLOOKUP("Manifest Id",config!A:B,2,FALSE))</f>
        <v/>
      </c>
      <c r="M820" t="str">
        <f>IF(LEN(TRIM(E820))=0, "",VLOOKUP("Project Name",config!A:B,2,FALSE))</f>
        <v/>
      </c>
      <c r="N820" t="str">
        <f>IF(LEN(TRIM(E820))=0, "",VLOOKUP("Center Name",config!A:B,2,FALSE))</f>
        <v/>
      </c>
      <c r="O820" s="7" t="str">
        <f>IF(LEN(TRIM(E820))=0,"",VLOOKUP("Shipment Date",config!A:B,2,FALSE))</f>
        <v/>
      </c>
      <c r="P820" s="7" t="str">
        <f t="shared" si="50"/>
        <v/>
      </c>
      <c r="Q820" s="7" t="str">
        <f>IF(LEN(TRIM(D820))=0,"",GetConfigParameterValue("Collection Site"))</f>
        <v/>
      </c>
      <c r="R820" t="str">
        <f>IF(LEN(TRIM(E820))=0, "", GetManifestComments(H820))</f>
        <v/>
      </c>
      <c r="S820" t="str">
        <f>IF(LEN(TRIM(E820))=0,"",IF(ISERROR(VLOOKUP(E820,'Manifest MDB data'!A:A,1,FALSE)),"OK","EXISTS!!!"))</f>
        <v/>
      </c>
    </row>
    <row r="821" spans="4:19" x14ac:dyDescent="0.25">
      <c r="D821" t="str">
        <f t="shared" si="51"/>
        <v/>
      </c>
      <c r="E821" t="str">
        <f t="shared" si="52"/>
        <v/>
      </c>
      <c r="F821" t="str">
        <f t="shared" si="53"/>
        <v/>
      </c>
      <c r="G821" t="str">
        <f>IF(LEN(TRIM(E821))=0, "", GetSampleTissueBySpecimenPrep(H821))</f>
        <v/>
      </c>
      <c r="H821" t="str">
        <f>IF(LEN(TRIM(E821))=0, "", GetSpecimenPrepName())</f>
        <v/>
      </c>
      <c r="I821" t="str">
        <f>IF(LEN(TRIM(E821))=0, "", GetSampleVolumeBySpecimenPrep(H821))</f>
        <v/>
      </c>
      <c r="L821" t="str">
        <f>IF(LEN(TRIM(E821))=0,"",VLOOKUP("Manifest Id",config!A:B,2,FALSE))</f>
        <v/>
      </c>
      <c r="M821" t="str">
        <f>IF(LEN(TRIM(E821))=0, "",VLOOKUP("Project Name",config!A:B,2,FALSE))</f>
        <v/>
      </c>
      <c r="N821" t="str">
        <f>IF(LEN(TRIM(E821))=0, "",VLOOKUP("Center Name",config!A:B,2,FALSE))</f>
        <v/>
      </c>
      <c r="O821" s="7" t="str">
        <f>IF(LEN(TRIM(E821))=0,"",VLOOKUP("Shipment Date",config!A:B,2,FALSE))</f>
        <v/>
      </c>
      <c r="P821" s="7" t="str">
        <f t="shared" si="50"/>
        <v/>
      </c>
      <c r="Q821" s="7" t="str">
        <f>IF(LEN(TRIM(D821))=0,"",GetConfigParameterValue("Collection Site"))</f>
        <v/>
      </c>
      <c r="R821" t="str">
        <f>IF(LEN(TRIM(E821))=0, "", GetManifestComments(H821))</f>
        <v/>
      </c>
      <c r="S821" t="str">
        <f>IF(LEN(TRIM(E821))=0,"",IF(ISERROR(VLOOKUP(E821,'Manifest MDB data'!A:A,1,FALSE)),"OK","EXISTS!!!"))</f>
        <v/>
      </c>
    </row>
    <row r="822" spans="4:19" x14ac:dyDescent="0.25">
      <c r="D822" t="str">
        <f t="shared" si="51"/>
        <v/>
      </c>
      <c r="E822" t="str">
        <f t="shared" si="52"/>
        <v/>
      </c>
      <c r="F822" t="str">
        <f t="shared" si="53"/>
        <v/>
      </c>
      <c r="G822" t="str">
        <f>IF(LEN(TRIM(E822))=0, "", GetSampleTissueBySpecimenPrep(H822))</f>
        <v/>
      </c>
      <c r="H822" t="str">
        <f>IF(LEN(TRIM(E822))=0, "", GetSpecimenPrepName())</f>
        <v/>
      </c>
      <c r="I822" t="str">
        <f>IF(LEN(TRIM(E822))=0, "", GetSampleVolumeBySpecimenPrep(H822))</f>
        <v/>
      </c>
      <c r="L822" t="str">
        <f>IF(LEN(TRIM(E822))=0,"",VLOOKUP("Manifest Id",config!A:B,2,FALSE))</f>
        <v/>
      </c>
      <c r="M822" t="str">
        <f>IF(LEN(TRIM(E822))=0, "",VLOOKUP("Project Name",config!A:B,2,FALSE))</f>
        <v/>
      </c>
      <c r="N822" t="str">
        <f>IF(LEN(TRIM(E822))=0, "",VLOOKUP("Center Name",config!A:B,2,FALSE))</f>
        <v/>
      </c>
      <c r="O822" s="7" t="str">
        <f>IF(LEN(TRIM(E822))=0,"",VLOOKUP("Shipment Date",config!A:B,2,FALSE))</f>
        <v/>
      </c>
      <c r="P822" s="7" t="str">
        <f t="shared" si="50"/>
        <v/>
      </c>
      <c r="Q822" s="7" t="str">
        <f>IF(LEN(TRIM(D822))=0,"",GetConfigParameterValue("Collection Site"))</f>
        <v/>
      </c>
      <c r="R822" t="str">
        <f>IF(LEN(TRIM(E822))=0, "", GetManifestComments(H822))</f>
        <v/>
      </c>
      <c r="S822" t="str">
        <f>IF(LEN(TRIM(E822))=0,"",IF(ISERROR(VLOOKUP(E822,'Manifest MDB data'!A:A,1,FALSE)),"OK","EXISTS!!!"))</f>
        <v/>
      </c>
    </row>
    <row r="823" spans="4:19" x14ac:dyDescent="0.25">
      <c r="D823" t="str">
        <f t="shared" si="51"/>
        <v/>
      </c>
      <c r="E823" t="str">
        <f t="shared" si="52"/>
        <v/>
      </c>
      <c r="F823" t="str">
        <f t="shared" si="53"/>
        <v/>
      </c>
      <c r="G823" t="str">
        <f>IF(LEN(TRIM(E823))=0, "", GetSampleTissueBySpecimenPrep(H823))</f>
        <v/>
      </c>
      <c r="H823" t="str">
        <f>IF(LEN(TRIM(E823))=0, "", GetSpecimenPrepName())</f>
        <v/>
      </c>
      <c r="I823" t="str">
        <f>IF(LEN(TRIM(E823))=0, "", GetSampleVolumeBySpecimenPrep(H823))</f>
        <v/>
      </c>
      <c r="L823" t="str">
        <f>IF(LEN(TRIM(E823))=0,"",VLOOKUP("Manifest Id",config!A:B,2,FALSE))</f>
        <v/>
      </c>
      <c r="M823" t="str">
        <f>IF(LEN(TRIM(E823))=0, "",VLOOKUP("Project Name",config!A:B,2,FALSE))</f>
        <v/>
      </c>
      <c r="N823" t="str">
        <f>IF(LEN(TRIM(E823))=0, "",VLOOKUP("Center Name",config!A:B,2,FALSE))</f>
        <v/>
      </c>
      <c r="O823" s="7" t="str">
        <f>IF(LEN(TRIM(E823))=0,"",VLOOKUP("Shipment Date",config!A:B,2,FALSE))</f>
        <v/>
      </c>
      <c r="P823" s="7" t="str">
        <f t="shared" si="50"/>
        <v/>
      </c>
      <c r="Q823" s="7" t="str">
        <f>IF(LEN(TRIM(D823))=0,"",GetConfigParameterValue("Collection Site"))</f>
        <v/>
      </c>
      <c r="R823" t="str">
        <f>IF(LEN(TRIM(E823))=0, "", GetManifestComments(H823))</f>
        <v/>
      </c>
      <c r="S823" t="str">
        <f>IF(LEN(TRIM(E823))=0,"",IF(ISERROR(VLOOKUP(E823,'Manifest MDB data'!A:A,1,FALSE)),"OK","EXISTS!!!"))</f>
        <v/>
      </c>
    </row>
    <row r="824" spans="4:19" x14ac:dyDescent="0.25">
      <c r="D824" t="str">
        <f t="shared" si="51"/>
        <v/>
      </c>
      <c r="E824" t="str">
        <f t="shared" si="52"/>
        <v/>
      </c>
      <c r="F824" t="str">
        <f t="shared" si="53"/>
        <v/>
      </c>
      <c r="G824" t="str">
        <f>IF(LEN(TRIM(E824))=0, "", GetSampleTissueBySpecimenPrep(H824))</f>
        <v/>
      </c>
      <c r="H824" t="str">
        <f>IF(LEN(TRIM(E824))=0, "", GetSpecimenPrepName())</f>
        <v/>
      </c>
      <c r="I824" t="str">
        <f>IF(LEN(TRIM(E824))=0, "", GetSampleVolumeBySpecimenPrep(H824))</f>
        <v/>
      </c>
      <c r="L824" t="str">
        <f>IF(LEN(TRIM(E824))=0,"",VLOOKUP("Manifest Id",config!A:B,2,FALSE))</f>
        <v/>
      </c>
      <c r="M824" t="str">
        <f>IF(LEN(TRIM(E824))=0, "",VLOOKUP("Project Name",config!A:B,2,FALSE))</f>
        <v/>
      </c>
      <c r="N824" t="str">
        <f>IF(LEN(TRIM(E824))=0, "",VLOOKUP("Center Name",config!A:B,2,FALSE))</f>
        <v/>
      </c>
      <c r="O824" s="7" t="str">
        <f>IF(LEN(TRIM(E824))=0,"",VLOOKUP("Shipment Date",config!A:B,2,FALSE))</f>
        <v/>
      </c>
      <c r="P824" s="7" t="str">
        <f t="shared" si="50"/>
        <v/>
      </c>
      <c r="Q824" s="7" t="str">
        <f>IF(LEN(TRIM(D824))=0,"",GetConfigParameterValue("Collection Site"))</f>
        <v/>
      </c>
      <c r="R824" t="str">
        <f>IF(LEN(TRIM(E824))=0, "", GetManifestComments(H824))</f>
        <v/>
      </c>
      <c r="S824" t="str">
        <f>IF(LEN(TRIM(E824))=0,"",IF(ISERROR(VLOOKUP(E824,'Manifest MDB data'!A:A,1,FALSE)),"OK","EXISTS!!!"))</f>
        <v/>
      </c>
    </row>
    <row r="825" spans="4:19" x14ac:dyDescent="0.25">
      <c r="D825" t="str">
        <f t="shared" si="51"/>
        <v/>
      </c>
      <c r="E825" t="str">
        <f t="shared" si="52"/>
        <v/>
      </c>
      <c r="F825" t="str">
        <f t="shared" si="53"/>
        <v/>
      </c>
      <c r="G825" t="str">
        <f>IF(LEN(TRIM(E825))=0, "", GetSampleTissueBySpecimenPrep(H825))</f>
        <v/>
      </c>
      <c r="H825" t="str">
        <f>IF(LEN(TRIM(E825))=0, "", GetSpecimenPrepName())</f>
        <v/>
      </c>
      <c r="I825" t="str">
        <f>IF(LEN(TRIM(E825))=0, "", GetSampleVolumeBySpecimenPrep(H825))</f>
        <v/>
      </c>
      <c r="L825" t="str">
        <f>IF(LEN(TRIM(E825))=0,"",VLOOKUP("Manifest Id",config!A:B,2,FALSE))</f>
        <v/>
      </c>
      <c r="M825" t="str">
        <f>IF(LEN(TRIM(E825))=0, "",VLOOKUP("Project Name",config!A:B,2,FALSE))</f>
        <v/>
      </c>
      <c r="N825" t="str">
        <f>IF(LEN(TRIM(E825))=0, "",VLOOKUP("Center Name",config!A:B,2,FALSE))</f>
        <v/>
      </c>
      <c r="O825" s="7" t="str">
        <f>IF(LEN(TRIM(E825))=0,"",VLOOKUP("Shipment Date",config!A:B,2,FALSE))</f>
        <v/>
      </c>
      <c r="P825" s="7" t="str">
        <f t="shared" si="50"/>
        <v/>
      </c>
      <c r="Q825" s="7" t="str">
        <f>IF(LEN(TRIM(D825))=0,"",GetConfigParameterValue("Collection Site"))</f>
        <v/>
      </c>
      <c r="R825" t="str">
        <f>IF(LEN(TRIM(E825))=0, "", GetManifestComments(H825))</f>
        <v/>
      </c>
      <c r="S825" t="str">
        <f>IF(LEN(TRIM(E825))=0,"",IF(ISERROR(VLOOKUP(E825,'Manifest MDB data'!A:A,1,FALSE)),"OK","EXISTS!!!"))</f>
        <v/>
      </c>
    </row>
    <row r="826" spans="4:19" x14ac:dyDescent="0.25">
      <c r="D826" t="str">
        <f t="shared" si="51"/>
        <v/>
      </c>
      <c r="E826" t="str">
        <f t="shared" si="52"/>
        <v/>
      </c>
      <c r="F826" t="str">
        <f t="shared" si="53"/>
        <v/>
      </c>
      <c r="G826" t="str">
        <f>IF(LEN(TRIM(E826))=0, "", GetSampleTissueBySpecimenPrep(H826))</f>
        <v/>
      </c>
      <c r="H826" t="str">
        <f>IF(LEN(TRIM(E826))=0, "", GetSpecimenPrepName())</f>
        <v/>
      </c>
      <c r="I826" t="str">
        <f>IF(LEN(TRIM(E826))=0, "", GetSampleVolumeBySpecimenPrep(H826))</f>
        <v/>
      </c>
      <c r="L826" t="str">
        <f>IF(LEN(TRIM(E826))=0,"",VLOOKUP("Manifest Id",config!A:B,2,FALSE))</f>
        <v/>
      </c>
      <c r="M826" t="str">
        <f>IF(LEN(TRIM(E826))=0, "",VLOOKUP("Project Name",config!A:B,2,FALSE))</f>
        <v/>
      </c>
      <c r="N826" t="str">
        <f>IF(LEN(TRIM(E826))=0, "",VLOOKUP("Center Name",config!A:B,2,FALSE))</f>
        <v/>
      </c>
      <c r="O826" s="7" t="str">
        <f>IF(LEN(TRIM(E826))=0,"",VLOOKUP("Shipment Date",config!A:B,2,FALSE))</f>
        <v/>
      </c>
      <c r="P826" s="7" t="str">
        <f t="shared" si="50"/>
        <v/>
      </c>
      <c r="Q826" s="7" t="str">
        <f>IF(LEN(TRIM(D826))=0,"",GetConfigParameterValue("Collection Site"))</f>
        <v/>
      </c>
      <c r="R826" t="str">
        <f>IF(LEN(TRIM(E826))=0, "", GetManifestComments(H826))</f>
        <v/>
      </c>
      <c r="S826" t="str">
        <f>IF(LEN(TRIM(E826))=0,"",IF(ISERROR(VLOOKUP(E826,'Manifest MDB data'!A:A,1,FALSE)),"OK","EXISTS!!!"))</f>
        <v/>
      </c>
    </row>
    <row r="827" spans="4:19" x14ac:dyDescent="0.25">
      <c r="D827" t="str">
        <f t="shared" si="51"/>
        <v/>
      </c>
      <c r="E827" t="str">
        <f t="shared" si="52"/>
        <v/>
      </c>
      <c r="F827" t="str">
        <f t="shared" si="53"/>
        <v/>
      </c>
      <c r="G827" t="str">
        <f>IF(LEN(TRIM(E827))=0, "", GetSampleTissueBySpecimenPrep(H827))</f>
        <v/>
      </c>
      <c r="H827" t="str">
        <f>IF(LEN(TRIM(E827))=0, "", GetSpecimenPrepName())</f>
        <v/>
      </c>
      <c r="I827" t="str">
        <f>IF(LEN(TRIM(E827))=0, "", GetSampleVolumeBySpecimenPrep(H827))</f>
        <v/>
      </c>
      <c r="L827" t="str">
        <f>IF(LEN(TRIM(E827))=0,"",VLOOKUP("Manifest Id",config!A:B,2,FALSE))</f>
        <v/>
      </c>
      <c r="M827" t="str">
        <f>IF(LEN(TRIM(E827))=0, "",VLOOKUP("Project Name",config!A:B,2,FALSE))</f>
        <v/>
      </c>
      <c r="N827" t="str">
        <f>IF(LEN(TRIM(E827))=0, "",VLOOKUP("Center Name",config!A:B,2,FALSE))</f>
        <v/>
      </c>
      <c r="O827" s="7" t="str">
        <f>IF(LEN(TRIM(E827))=0,"",VLOOKUP("Shipment Date",config!A:B,2,FALSE))</f>
        <v/>
      </c>
      <c r="P827" s="7" t="str">
        <f t="shared" si="50"/>
        <v/>
      </c>
      <c r="Q827" s="7" t="str">
        <f>IF(LEN(TRIM(D827))=0,"",GetConfigParameterValue("Collection Site"))</f>
        <v/>
      </c>
      <c r="R827" t="str">
        <f>IF(LEN(TRIM(E827))=0, "", GetManifestComments(H827))</f>
        <v/>
      </c>
      <c r="S827" t="str">
        <f>IF(LEN(TRIM(E827))=0,"",IF(ISERROR(VLOOKUP(E827,'Manifest MDB data'!A:A,1,FALSE)),"OK","EXISTS!!!"))</f>
        <v/>
      </c>
    </row>
    <row r="828" spans="4:19" x14ac:dyDescent="0.25">
      <c r="D828" t="str">
        <f t="shared" si="51"/>
        <v/>
      </c>
      <c r="E828" t="str">
        <f t="shared" si="52"/>
        <v/>
      </c>
      <c r="F828" t="str">
        <f t="shared" si="53"/>
        <v/>
      </c>
      <c r="G828" t="str">
        <f>IF(LEN(TRIM(E828))=0, "", GetSampleTissueBySpecimenPrep(H828))</f>
        <v/>
      </c>
      <c r="H828" t="str">
        <f>IF(LEN(TRIM(E828))=0, "", GetSpecimenPrepName())</f>
        <v/>
      </c>
      <c r="I828" t="str">
        <f>IF(LEN(TRIM(E828))=0, "", GetSampleVolumeBySpecimenPrep(H828))</f>
        <v/>
      </c>
      <c r="L828" t="str">
        <f>IF(LEN(TRIM(E828))=0,"",VLOOKUP("Manifest Id",config!A:B,2,FALSE))</f>
        <v/>
      </c>
      <c r="M828" t="str">
        <f>IF(LEN(TRIM(E828))=0, "",VLOOKUP("Project Name",config!A:B,2,FALSE))</f>
        <v/>
      </c>
      <c r="N828" t="str">
        <f>IF(LEN(TRIM(E828))=0, "",VLOOKUP("Center Name",config!A:B,2,FALSE))</f>
        <v/>
      </c>
      <c r="O828" s="7" t="str">
        <f>IF(LEN(TRIM(E828))=0,"",VLOOKUP("Shipment Date",config!A:B,2,FALSE))</f>
        <v/>
      </c>
      <c r="P828" s="7" t="str">
        <f t="shared" si="50"/>
        <v/>
      </c>
      <c r="Q828" s="7" t="str">
        <f>IF(LEN(TRIM(D828))=0,"",GetConfigParameterValue("Collection Site"))</f>
        <v/>
      </c>
      <c r="R828" t="str">
        <f>IF(LEN(TRIM(E828))=0, "", GetManifestComments(H828))</f>
        <v/>
      </c>
      <c r="S828" t="str">
        <f>IF(LEN(TRIM(E828))=0,"",IF(ISERROR(VLOOKUP(E828,'Manifest MDB data'!A:A,1,FALSE)),"OK","EXISTS!!!"))</f>
        <v/>
      </c>
    </row>
    <row r="829" spans="4:19" x14ac:dyDescent="0.25">
      <c r="D829" t="str">
        <f t="shared" si="51"/>
        <v/>
      </c>
      <c r="E829" t="str">
        <f t="shared" si="52"/>
        <v/>
      </c>
      <c r="F829" t="str">
        <f t="shared" si="53"/>
        <v/>
      </c>
      <c r="G829" t="str">
        <f>IF(LEN(TRIM(E829))=0, "", GetSampleTissueBySpecimenPrep(H829))</f>
        <v/>
      </c>
      <c r="H829" t="str">
        <f>IF(LEN(TRIM(E829))=0, "", GetSpecimenPrepName())</f>
        <v/>
      </c>
      <c r="I829" t="str">
        <f>IF(LEN(TRIM(E829))=0, "", GetSampleVolumeBySpecimenPrep(H829))</f>
        <v/>
      </c>
      <c r="L829" t="str">
        <f>IF(LEN(TRIM(E829))=0,"",VLOOKUP("Manifest Id",config!A:B,2,FALSE))</f>
        <v/>
      </c>
      <c r="M829" t="str">
        <f>IF(LEN(TRIM(E829))=0, "",VLOOKUP("Project Name",config!A:B,2,FALSE))</f>
        <v/>
      </c>
      <c r="N829" t="str">
        <f>IF(LEN(TRIM(E829))=0, "",VLOOKUP("Center Name",config!A:B,2,FALSE))</f>
        <v/>
      </c>
      <c r="O829" s="7" t="str">
        <f>IF(LEN(TRIM(E829))=0,"",VLOOKUP("Shipment Date",config!A:B,2,FALSE))</f>
        <v/>
      </c>
      <c r="P829" s="7" t="str">
        <f t="shared" si="50"/>
        <v/>
      </c>
      <c r="Q829" s="7" t="str">
        <f>IF(LEN(TRIM(D829))=0,"",GetConfigParameterValue("Collection Site"))</f>
        <v/>
      </c>
      <c r="R829" t="str">
        <f>IF(LEN(TRIM(E829))=0, "", GetManifestComments(H829))</f>
        <v/>
      </c>
      <c r="S829" t="str">
        <f>IF(LEN(TRIM(E829))=0,"",IF(ISERROR(VLOOKUP(E829,'Manifest MDB data'!A:A,1,FALSE)),"OK","EXISTS!!!"))</f>
        <v/>
      </c>
    </row>
    <row r="830" spans="4:19" x14ac:dyDescent="0.25">
      <c r="D830" t="str">
        <f t="shared" si="51"/>
        <v/>
      </c>
      <c r="E830" t="str">
        <f t="shared" si="52"/>
        <v/>
      </c>
      <c r="F830" t="str">
        <f t="shared" si="53"/>
        <v/>
      </c>
      <c r="G830" t="str">
        <f>IF(LEN(TRIM(E830))=0, "", GetSampleTissueBySpecimenPrep(H830))</f>
        <v/>
      </c>
      <c r="H830" t="str">
        <f>IF(LEN(TRIM(E830))=0, "", GetSpecimenPrepName())</f>
        <v/>
      </c>
      <c r="I830" t="str">
        <f>IF(LEN(TRIM(E830))=0, "", GetSampleVolumeBySpecimenPrep(H830))</f>
        <v/>
      </c>
      <c r="L830" t="str">
        <f>IF(LEN(TRIM(E830))=0,"",VLOOKUP("Manifest Id",config!A:B,2,FALSE))</f>
        <v/>
      </c>
      <c r="M830" t="str">
        <f>IF(LEN(TRIM(E830))=0, "",VLOOKUP("Project Name",config!A:B,2,FALSE))</f>
        <v/>
      </c>
      <c r="N830" t="str">
        <f>IF(LEN(TRIM(E830))=0, "",VLOOKUP("Center Name",config!A:B,2,FALSE))</f>
        <v/>
      </c>
      <c r="O830" s="7" t="str">
        <f>IF(LEN(TRIM(E830))=0,"",VLOOKUP("Shipment Date",config!A:B,2,FALSE))</f>
        <v/>
      </c>
      <c r="P830" s="7" t="str">
        <f t="shared" si="50"/>
        <v/>
      </c>
      <c r="Q830" s="7" t="str">
        <f>IF(LEN(TRIM(D830))=0,"",GetConfigParameterValue("Collection Site"))</f>
        <v/>
      </c>
      <c r="R830" t="str">
        <f>IF(LEN(TRIM(E830))=0, "", GetManifestComments(H830))</f>
        <v/>
      </c>
      <c r="S830" t="str">
        <f>IF(LEN(TRIM(E830))=0,"",IF(ISERROR(VLOOKUP(E830,'Manifest MDB data'!A:A,1,FALSE)),"OK","EXISTS!!!"))</f>
        <v/>
      </c>
    </row>
    <row r="831" spans="4:19" x14ac:dyDescent="0.25">
      <c r="D831" t="str">
        <f t="shared" si="51"/>
        <v/>
      </c>
      <c r="E831" t="str">
        <f t="shared" si="52"/>
        <v/>
      </c>
      <c r="F831" t="str">
        <f t="shared" si="53"/>
        <v/>
      </c>
      <c r="G831" t="str">
        <f>IF(LEN(TRIM(E831))=0, "", GetSampleTissueBySpecimenPrep(H831))</f>
        <v/>
      </c>
      <c r="H831" t="str">
        <f>IF(LEN(TRIM(E831))=0, "", GetSpecimenPrepName())</f>
        <v/>
      </c>
      <c r="I831" t="str">
        <f>IF(LEN(TRIM(E831))=0, "", GetSampleVolumeBySpecimenPrep(H831))</f>
        <v/>
      </c>
      <c r="L831" t="str">
        <f>IF(LEN(TRIM(E831))=0,"",VLOOKUP("Manifest Id",config!A:B,2,FALSE))</f>
        <v/>
      </c>
      <c r="M831" t="str">
        <f>IF(LEN(TRIM(E831))=0, "",VLOOKUP("Project Name",config!A:B,2,FALSE))</f>
        <v/>
      </c>
      <c r="N831" t="str">
        <f>IF(LEN(TRIM(E831))=0, "",VLOOKUP("Center Name",config!A:B,2,FALSE))</f>
        <v/>
      </c>
      <c r="O831" s="7" t="str">
        <f>IF(LEN(TRIM(E831))=0,"",VLOOKUP("Shipment Date",config!A:B,2,FALSE))</f>
        <v/>
      </c>
      <c r="P831" s="7" t="str">
        <f t="shared" si="50"/>
        <v/>
      </c>
      <c r="Q831" s="7" t="str">
        <f>IF(LEN(TRIM(D831))=0,"",GetConfigParameterValue("Collection Site"))</f>
        <v/>
      </c>
      <c r="R831" t="str">
        <f>IF(LEN(TRIM(E831))=0, "", GetManifestComments(H831))</f>
        <v/>
      </c>
      <c r="S831" t="str">
        <f>IF(LEN(TRIM(E831))=0,"",IF(ISERROR(VLOOKUP(E831,'Manifest MDB data'!A:A,1,FALSE)),"OK","EXISTS!!!"))</f>
        <v/>
      </c>
    </row>
    <row r="832" spans="4:19" x14ac:dyDescent="0.25">
      <c r="D832" t="str">
        <f t="shared" si="51"/>
        <v/>
      </c>
      <c r="E832" t="str">
        <f t="shared" si="52"/>
        <v/>
      </c>
      <c r="F832" t="str">
        <f t="shared" si="53"/>
        <v/>
      </c>
      <c r="G832" t="str">
        <f>IF(LEN(TRIM(E832))=0, "", GetSampleTissueBySpecimenPrep(H832))</f>
        <v/>
      </c>
      <c r="H832" t="str">
        <f>IF(LEN(TRIM(E832))=0, "", GetSpecimenPrepName())</f>
        <v/>
      </c>
      <c r="I832" t="str">
        <f>IF(LEN(TRIM(E832))=0, "", GetSampleVolumeBySpecimenPrep(H832))</f>
        <v/>
      </c>
      <c r="L832" t="str">
        <f>IF(LEN(TRIM(E832))=0,"",VLOOKUP("Manifest Id",config!A:B,2,FALSE))</f>
        <v/>
      </c>
      <c r="M832" t="str">
        <f>IF(LEN(TRIM(E832))=0, "",VLOOKUP("Project Name",config!A:B,2,FALSE))</f>
        <v/>
      </c>
      <c r="N832" t="str">
        <f>IF(LEN(TRIM(E832))=0, "",VLOOKUP("Center Name",config!A:B,2,FALSE))</f>
        <v/>
      </c>
      <c r="O832" s="7" t="str">
        <f>IF(LEN(TRIM(E832))=0,"",VLOOKUP("Shipment Date",config!A:B,2,FALSE))</f>
        <v/>
      </c>
      <c r="P832" s="7" t="str">
        <f t="shared" si="50"/>
        <v/>
      </c>
      <c r="Q832" s="7" t="str">
        <f>IF(LEN(TRIM(D832))=0,"",GetConfigParameterValue("Collection Site"))</f>
        <v/>
      </c>
      <c r="R832" t="str">
        <f>IF(LEN(TRIM(E832))=0, "", GetManifestComments(H832))</f>
        <v/>
      </c>
      <c r="S832" t="str">
        <f>IF(LEN(TRIM(E832))=0,"",IF(ISERROR(VLOOKUP(E832,'Manifest MDB data'!A:A,1,FALSE)),"OK","EXISTS!!!"))</f>
        <v/>
      </c>
    </row>
    <row r="833" spans="4:19" x14ac:dyDescent="0.25">
      <c r="D833" t="str">
        <f t="shared" si="51"/>
        <v/>
      </c>
      <c r="E833" t="str">
        <f t="shared" si="52"/>
        <v/>
      </c>
      <c r="F833" t="str">
        <f t="shared" si="53"/>
        <v/>
      </c>
      <c r="G833" t="str">
        <f>IF(LEN(TRIM(E833))=0, "", GetSampleTissueBySpecimenPrep(H833))</f>
        <v/>
      </c>
      <c r="H833" t="str">
        <f>IF(LEN(TRIM(E833))=0, "", GetSpecimenPrepName())</f>
        <v/>
      </c>
      <c r="I833" t="str">
        <f>IF(LEN(TRIM(E833))=0, "", GetSampleVolumeBySpecimenPrep(H833))</f>
        <v/>
      </c>
      <c r="L833" t="str">
        <f>IF(LEN(TRIM(E833))=0,"",VLOOKUP("Manifest Id",config!A:B,2,FALSE))</f>
        <v/>
      </c>
      <c r="M833" t="str">
        <f>IF(LEN(TRIM(E833))=0, "",VLOOKUP("Project Name",config!A:B,2,FALSE))</f>
        <v/>
      </c>
      <c r="N833" t="str">
        <f>IF(LEN(TRIM(E833))=0, "",VLOOKUP("Center Name",config!A:B,2,FALSE))</f>
        <v/>
      </c>
      <c r="O833" s="7" t="str">
        <f>IF(LEN(TRIM(E833))=0,"",VLOOKUP("Shipment Date",config!A:B,2,FALSE))</f>
        <v/>
      </c>
      <c r="P833" s="7" t="str">
        <f t="shared" si="50"/>
        <v/>
      </c>
      <c r="Q833" s="7" t="str">
        <f>IF(LEN(TRIM(D833))=0,"",GetConfigParameterValue("Collection Site"))</f>
        <v/>
      </c>
      <c r="R833" t="str">
        <f>IF(LEN(TRIM(E833))=0, "", GetManifestComments(H833))</f>
        <v/>
      </c>
      <c r="S833" t="str">
        <f>IF(LEN(TRIM(E833))=0,"",IF(ISERROR(VLOOKUP(E833,'Manifest MDB data'!A:A,1,FALSE)),"OK","EXISTS!!!"))</f>
        <v/>
      </c>
    </row>
    <row r="834" spans="4:19" x14ac:dyDescent="0.25">
      <c r="D834" t="str">
        <f t="shared" si="51"/>
        <v/>
      </c>
      <c r="E834" t="str">
        <f t="shared" si="52"/>
        <v/>
      </c>
      <c r="F834" t="str">
        <f t="shared" si="53"/>
        <v/>
      </c>
      <c r="G834" t="str">
        <f>IF(LEN(TRIM(E834))=0, "", GetSampleTissueBySpecimenPrep(H834))</f>
        <v/>
      </c>
      <c r="H834" t="str">
        <f>IF(LEN(TRIM(E834))=0, "", GetSpecimenPrepName())</f>
        <v/>
      </c>
      <c r="I834" t="str">
        <f>IF(LEN(TRIM(E834))=0, "", GetSampleVolumeBySpecimenPrep(H834))</f>
        <v/>
      </c>
      <c r="L834" t="str">
        <f>IF(LEN(TRIM(E834))=0,"",VLOOKUP("Manifest Id",config!A:B,2,FALSE))</f>
        <v/>
      </c>
      <c r="M834" t="str">
        <f>IF(LEN(TRIM(E834))=0, "",VLOOKUP("Project Name",config!A:B,2,FALSE))</f>
        <v/>
      </c>
      <c r="N834" t="str">
        <f>IF(LEN(TRIM(E834))=0, "",VLOOKUP("Center Name",config!A:B,2,FALSE))</f>
        <v/>
      </c>
      <c r="O834" s="7" t="str">
        <f>IF(LEN(TRIM(E834))=0,"",VLOOKUP("Shipment Date",config!A:B,2,FALSE))</f>
        <v/>
      </c>
      <c r="P834" s="7" t="str">
        <f t="shared" ref="P834:P897" si="54">getColumnValueBySubjectID("Visit Date", RIGHT(LEFT(D834,7),4))</f>
        <v/>
      </c>
      <c r="Q834" s="7" t="str">
        <f>IF(LEN(TRIM(D834))=0,"",GetConfigParameterValue("Collection Site"))</f>
        <v/>
      </c>
      <c r="R834" t="str">
        <f>IF(LEN(TRIM(E834))=0, "", GetManifestComments(H834))</f>
        <v/>
      </c>
      <c r="S834" t="str">
        <f>IF(LEN(TRIM(E834))=0,"",IF(ISERROR(VLOOKUP(E834,'Manifest MDB data'!A:A,1,FALSE)),"OK","EXISTS!!!"))</f>
        <v/>
      </c>
    </row>
    <row r="835" spans="4:19" x14ac:dyDescent="0.25">
      <c r="D835" t="str">
        <f t="shared" ref="D835:D898" si="55">GetSampleId((ROW()))</f>
        <v/>
      </c>
      <c r="E835" t="str">
        <f t="shared" ref="E835:E898" si="56">GetAliquotId((ROW()))</f>
        <v/>
      </c>
      <c r="F835" t="str">
        <f t="shared" si="53"/>
        <v/>
      </c>
      <c r="G835" t="str">
        <f>IF(LEN(TRIM(E835))=0, "", GetSampleTissueBySpecimenPrep(H835))</f>
        <v/>
      </c>
      <c r="H835" t="str">
        <f>IF(LEN(TRIM(E835))=0, "", GetSpecimenPrepName())</f>
        <v/>
      </c>
      <c r="I835" t="str">
        <f>IF(LEN(TRIM(E835))=0, "", GetSampleVolumeBySpecimenPrep(H835))</f>
        <v/>
      </c>
      <c r="L835" t="str">
        <f>IF(LEN(TRIM(E835))=0,"",VLOOKUP("Manifest Id",config!A:B,2,FALSE))</f>
        <v/>
      </c>
      <c r="M835" t="str">
        <f>IF(LEN(TRIM(E835))=0, "",VLOOKUP("Project Name",config!A:B,2,FALSE))</f>
        <v/>
      </c>
      <c r="N835" t="str">
        <f>IF(LEN(TRIM(E835))=0, "",VLOOKUP("Center Name",config!A:B,2,FALSE))</f>
        <v/>
      </c>
      <c r="O835" s="7" t="str">
        <f>IF(LEN(TRIM(E835))=0,"",VLOOKUP("Shipment Date",config!A:B,2,FALSE))</f>
        <v/>
      </c>
      <c r="P835" s="7" t="str">
        <f t="shared" si="54"/>
        <v/>
      </c>
      <c r="Q835" s="7" t="str">
        <f>IF(LEN(TRIM(D835))=0,"",GetConfigParameterValue("Collection Site"))</f>
        <v/>
      </c>
      <c r="R835" t="str">
        <f>IF(LEN(TRIM(E835))=0, "", GetManifestComments(H835))</f>
        <v/>
      </c>
      <c r="S835" t="str">
        <f>IF(LEN(TRIM(E835))=0,"",IF(ISERROR(VLOOKUP(E835,'Manifest MDB data'!A:A,1,FALSE)),"OK","EXISTS!!!"))</f>
        <v/>
      </c>
    </row>
    <row r="836" spans="4:19" x14ac:dyDescent="0.25">
      <c r="D836" t="str">
        <f t="shared" si="55"/>
        <v/>
      </c>
      <c r="E836" t="str">
        <f t="shared" si="56"/>
        <v/>
      </c>
      <c r="F836" t="str">
        <f t="shared" si="53"/>
        <v/>
      </c>
      <c r="G836" t="str">
        <f>IF(LEN(TRIM(E836))=0, "", GetSampleTissueBySpecimenPrep(H836))</f>
        <v/>
      </c>
      <c r="H836" t="str">
        <f>IF(LEN(TRIM(E836))=0, "", GetSpecimenPrepName())</f>
        <v/>
      </c>
      <c r="I836" t="str">
        <f>IF(LEN(TRIM(E836))=0, "", GetSampleVolumeBySpecimenPrep(H836))</f>
        <v/>
      </c>
      <c r="L836" t="str">
        <f>IF(LEN(TRIM(E836))=0,"",VLOOKUP("Manifest Id",config!A:B,2,FALSE))</f>
        <v/>
      </c>
      <c r="M836" t="str">
        <f>IF(LEN(TRIM(E836))=0, "",VLOOKUP("Project Name",config!A:B,2,FALSE))</f>
        <v/>
      </c>
      <c r="N836" t="str">
        <f>IF(LEN(TRIM(E836))=0, "",VLOOKUP("Center Name",config!A:B,2,FALSE))</f>
        <v/>
      </c>
      <c r="O836" s="7" t="str">
        <f>IF(LEN(TRIM(E836))=0,"",VLOOKUP("Shipment Date",config!A:B,2,FALSE))</f>
        <v/>
      </c>
      <c r="P836" s="7" t="str">
        <f t="shared" si="54"/>
        <v/>
      </c>
      <c r="Q836" s="7" t="str">
        <f>IF(LEN(TRIM(D836))=0,"",GetConfigParameterValue("Collection Site"))</f>
        <v/>
      </c>
      <c r="R836" t="str">
        <f>IF(LEN(TRIM(E836))=0, "", GetManifestComments(H836))</f>
        <v/>
      </c>
      <c r="S836" t="str">
        <f>IF(LEN(TRIM(E836))=0,"",IF(ISERROR(VLOOKUP(E836,'Manifest MDB data'!A:A,1,FALSE)),"OK","EXISTS!!!"))</f>
        <v/>
      </c>
    </row>
    <row r="837" spans="4:19" x14ac:dyDescent="0.25">
      <c r="D837" t="str">
        <f t="shared" si="55"/>
        <v/>
      </c>
      <c r="E837" t="str">
        <f t="shared" si="56"/>
        <v/>
      </c>
      <c r="F837" t="str">
        <f t="shared" si="53"/>
        <v/>
      </c>
      <c r="G837" t="str">
        <f>IF(LEN(TRIM(E837))=0, "", GetSampleTissueBySpecimenPrep(H837))</f>
        <v/>
      </c>
      <c r="H837" t="str">
        <f>IF(LEN(TRIM(E837))=0, "", GetSpecimenPrepName())</f>
        <v/>
      </c>
      <c r="I837" t="str">
        <f>IF(LEN(TRIM(E837))=0, "", GetSampleVolumeBySpecimenPrep(H837))</f>
        <v/>
      </c>
      <c r="L837" t="str">
        <f>IF(LEN(TRIM(E837))=0,"",VLOOKUP("Manifest Id",config!A:B,2,FALSE))</f>
        <v/>
      </c>
      <c r="M837" t="str">
        <f>IF(LEN(TRIM(E837))=0, "",VLOOKUP("Project Name",config!A:B,2,FALSE))</f>
        <v/>
      </c>
      <c r="N837" t="str">
        <f>IF(LEN(TRIM(E837))=0, "",VLOOKUP("Center Name",config!A:B,2,FALSE))</f>
        <v/>
      </c>
      <c r="O837" s="7" t="str">
        <f>IF(LEN(TRIM(E837))=0,"",VLOOKUP("Shipment Date",config!A:B,2,FALSE))</f>
        <v/>
      </c>
      <c r="P837" s="7" t="str">
        <f t="shared" si="54"/>
        <v/>
      </c>
      <c r="Q837" s="7" t="str">
        <f>IF(LEN(TRIM(D837))=0,"",GetConfigParameterValue("Collection Site"))</f>
        <v/>
      </c>
      <c r="R837" t="str">
        <f>IF(LEN(TRIM(E837))=0, "", GetManifestComments(H837))</f>
        <v/>
      </c>
      <c r="S837" t="str">
        <f>IF(LEN(TRIM(E837))=0,"",IF(ISERROR(VLOOKUP(E837,'Manifest MDB data'!A:A,1,FALSE)),"OK","EXISTS!!!"))</f>
        <v/>
      </c>
    </row>
    <row r="838" spans="4:19" x14ac:dyDescent="0.25">
      <c r="D838" t="str">
        <f t="shared" si="55"/>
        <v/>
      </c>
      <c r="E838" t="str">
        <f t="shared" si="56"/>
        <v/>
      </c>
      <c r="F838" t="str">
        <f t="shared" si="53"/>
        <v/>
      </c>
      <c r="G838" t="str">
        <f>IF(LEN(TRIM(E838))=0, "", GetSampleTissueBySpecimenPrep(H838))</f>
        <v/>
      </c>
      <c r="H838" t="str">
        <f>IF(LEN(TRIM(E838))=0, "", GetSpecimenPrepName())</f>
        <v/>
      </c>
      <c r="I838" t="str">
        <f>IF(LEN(TRIM(E838))=0, "", GetSampleVolumeBySpecimenPrep(H838))</f>
        <v/>
      </c>
      <c r="L838" t="str">
        <f>IF(LEN(TRIM(E838))=0,"",VLOOKUP("Manifest Id",config!A:B,2,FALSE))</f>
        <v/>
      </c>
      <c r="M838" t="str">
        <f>IF(LEN(TRIM(E838))=0, "",VLOOKUP("Project Name",config!A:B,2,FALSE))</f>
        <v/>
      </c>
      <c r="N838" t="str">
        <f>IF(LEN(TRIM(E838))=0, "",VLOOKUP("Center Name",config!A:B,2,FALSE))</f>
        <v/>
      </c>
      <c r="O838" s="7" t="str">
        <f>IF(LEN(TRIM(E838))=0,"",VLOOKUP("Shipment Date",config!A:B,2,FALSE))</f>
        <v/>
      </c>
      <c r="P838" s="7" t="str">
        <f t="shared" si="54"/>
        <v/>
      </c>
      <c r="Q838" s="7" t="str">
        <f>IF(LEN(TRIM(D838))=0,"",GetConfigParameterValue("Collection Site"))</f>
        <v/>
      </c>
      <c r="R838" t="str">
        <f>IF(LEN(TRIM(E838))=0, "", GetManifestComments(H838))</f>
        <v/>
      </c>
      <c r="S838" t="str">
        <f>IF(LEN(TRIM(E838))=0,"",IF(ISERROR(VLOOKUP(E838,'Manifest MDB data'!A:A,1,FALSE)),"OK","EXISTS!!!"))</f>
        <v/>
      </c>
    </row>
    <row r="839" spans="4:19" x14ac:dyDescent="0.25">
      <c r="D839" t="str">
        <f t="shared" si="55"/>
        <v/>
      </c>
      <c r="E839" t="str">
        <f t="shared" si="56"/>
        <v/>
      </c>
      <c r="F839" t="str">
        <f t="shared" si="53"/>
        <v/>
      </c>
      <c r="G839" t="str">
        <f>IF(LEN(TRIM(E839))=0, "", GetSampleTissueBySpecimenPrep(H839))</f>
        <v/>
      </c>
      <c r="H839" t="str">
        <f>IF(LEN(TRIM(E839))=0, "", GetSpecimenPrepName())</f>
        <v/>
      </c>
      <c r="I839" t="str">
        <f>IF(LEN(TRIM(E839))=0, "", GetSampleVolumeBySpecimenPrep(H839))</f>
        <v/>
      </c>
      <c r="L839" t="str">
        <f>IF(LEN(TRIM(E839))=0,"",VLOOKUP("Manifest Id",config!A:B,2,FALSE))</f>
        <v/>
      </c>
      <c r="M839" t="str">
        <f>IF(LEN(TRIM(E839))=0, "",VLOOKUP("Project Name",config!A:B,2,FALSE))</f>
        <v/>
      </c>
      <c r="N839" t="str">
        <f>IF(LEN(TRIM(E839))=0, "",VLOOKUP("Center Name",config!A:B,2,FALSE))</f>
        <v/>
      </c>
      <c r="O839" s="7" t="str">
        <f>IF(LEN(TRIM(E839))=0,"",VLOOKUP("Shipment Date",config!A:B,2,FALSE))</f>
        <v/>
      </c>
      <c r="P839" s="7" t="str">
        <f t="shared" si="54"/>
        <v/>
      </c>
      <c r="Q839" s="7" t="str">
        <f>IF(LEN(TRIM(D839))=0,"",GetConfigParameterValue("Collection Site"))</f>
        <v/>
      </c>
      <c r="R839" t="str">
        <f>IF(LEN(TRIM(E839))=0, "", GetManifestComments(H839))</f>
        <v/>
      </c>
      <c r="S839" t="str">
        <f>IF(LEN(TRIM(E839))=0,"",IF(ISERROR(VLOOKUP(E839,'Manifest MDB data'!A:A,1,FALSE)),"OK","EXISTS!!!"))</f>
        <v/>
      </c>
    </row>
    <row r="840" spans="4:19" x14ac:dyDescent="0.25">
      <c r="D840" t="str">
        <f t="shared" si="55"/>
        <v/>
      </c>
      <c r="E840" t="str">
        <f t="shared" si="56"/>
        <v/>
      </c>
      <c r="F840" t="str">
        <f t="shared" si="53"/>
        <v/>
      </c>
      <c r="G840" t="str">
        <f>IF(LEN(TRIM(E840))=0, "", GetSampleTissueBySpecimenPrep(H840))</f>
        <v/>
      </c>
      <c r="H840" t="str">
        <f>IF(LEN(TRIM(E840))=0, "", GetSpecimenPrepName())</f>
        <v/>
      </c>
      <c r="I840" t="str">
        <f>IF(LEN(TRIM(E840))=0, "", GetSampleVolumeBySpecimenPrep(H840))</f>
        <v/>
      </c>
      <c r="L840" t="str">
        <f>IF(LEN(TRIM(E840))=0,"",VLOOKUP("Manifest Id",config!A:B,2,FALSE))</f>
        <v/>
      </c>
      <c r="M840" t="str">
        <f>IF(LEN(TRIM(E840))=0, "",VLOOKUP("Project Name",config!A:B,2,FALSE))</f>
        <v/>
      </c>
      <c r="N840" t="str">
        <f>IF(LEN(TRIM(E840))=0, "",VLOOKUP("Center Name",config!A:B,2,FALSE))</f>
        <v/>
      </c>
      <c r="O840" s="7" t="str">
        <f>IF(LEN(TRIM(E840))=0,"",VLOOKUP("Shipment Date",config!A:B,2,FALSE))</f>
        <v/>
      </c>
      <c r="P840" s="7" t="str">
        <f t="shared" si="54"/>
        <v/>
      </c>
      <c r="Q840" s="7" t="str">
        <f>IF(LEN(TRIM(D840))=0,"",GetConfigParameterValue("Collection Site"))</f>
        <v/>
      </c>
      <c r="R840" t="str">
        <f>IF(LEN(TRIM(E840))=0, "", GetManifestComments(H840))</f>
        <v/>
      </c>
      <c r="S840" t="str">
        <f>IF(LEN(TRIM(E840))=0,"",IF(ISERROR(VLOOKUP(E840,'Manifest MDB data'!A:A,1,FALSE)),"OK","EXISTS!!!"))</f>
        <v/>
      </c>
    </row>
    <row r="841" spans="4:19" x14ac:dyDescent="0.25">
      <c r="D841" t="str">
        <f t="shared" si="55"/>
        <v/>
      </c>
      <c r="E841" t="str">
        <f t="shared" si="56"/>
        <v/>
      </c>
      <c r="F841" t="str">
        <f t="shared" si="53"/>
        <v/>
      </c>
      <c r="G841" t="str">
        <f>IF(LEN(TRIM(E841))=0, "", GetSampleTissueBySpecimenPrep(H841))</f>
        <v/>
      </c>
      <c r="H841" t="str">
        <f>IF(LEN(TRIM(E841))=0, "", GetSpecimenPrepName())</f>
        <v/>
      </c>
      <c r="I841" t="str">
        <f>IF(LEN(TRIM(E841))=0, "", GetSampleVolumeBySpecimenPrep(H841))</f>
        <v/>
      </c>
      <c r="L841" t="str">
        <f>IF(LEN(TRIM(E841))=0,"",VLOOKUP("Manifest Id",config!A:B,2,FALSE))</f>
        <v/>
      </c>
      <c r="M841" t="str">
        <f>IF(LEN(TRIM(E841))=0, "",VLOOKUP("Project Name",config!A:B,2,FALSE))</f>
        <v/>
      </c>
      <c r="N841" t="str">
        <f>IF(LEN(TRIM(E841))=0, "",VLOOKUP("Center Name",config!A:B,2,FALSE))</f>
        <v/>
      </c>
      <c r="O841" s="7" t="str">
        <f>IF(LEN(TRIM(E841))=0,"",VLOOKUP("Shipment Date",config!A:B,2,FALSE))</f>
        <v/>
      </c>
      <c r="P841" s="7" t="str">
        <f t="shared" si="54"/>
        <v/>
      </c>
      <c r="Q841" s="7" t="str">
        <f>IF(LEN(TRIM(D841))=0,"",GetConfigParameterValue("Collection Site"))</f>
        <v/>
      </c>
      <c r="R841" t="str">
        <f>IF(LEN(TRIM(E841))=0, "", GetManifestComments(H841))</f>
        <v/>
      </c>
      <c r="S841" t="str">
        <f>IF(LEN(TRIM(E841))=0,"",IF(ISERROR(VLOOKUP(E841,'Manifest MDB data'!A:A,1,FALSE)),"OK","EXISTS!!!"))</f>
        <v/>
      </c>
    </row>
    <row r="842" spans="4:19" x14ac:dyDescent="0.25">
      <c r="D842" t="str">
        <f t="shared" si="55"/>
        <v/>
      </c>
      <c r="E842" t="str">
        <f t="shared" si="56"/>
        <v/>
      </c>
      <c r="F842" t="str">
        <f t="shared" si="53"/>
        <v/>
      </c>
      <c r="G842" t="str">
        <f>IF(LEN(TRIM(E842))=0, "", GetSampleTissueBySpecimenPrep(H842))</f>
        <v/>
      </c>
      <c r="H842" t="str">
        <f>IF(LEN(TRIM(E842))=0, "", GetSpecimenPrepName())</f>
        <v/>
      </c>
      <c r="I842" t="str">
        <f>IF(LEN(TRIM(E842))=0, "", GetSampleVolumeBySpecimenPrep(H842))</f>
        <v/>
      </c>
      <c r="L842" t="str">
        <f>IF(LEN(TRIM(E842))=0,"",VLOOKUP("Manifest Id",config!A:B,2,FALSE))</f>
        <v/>
      </c>
      <c r="M842" t="str">
        <f>IF(LEN(TRIM(E842))=0, "",VLOOKUP("Project Name",config!A:B,2,FALSE))</f>
        <v/>
      </c>
      <c r="N842" t="str">
        <f>IF(LEN(TRIM(E842))=0, "",VLOOKUP("Center Name",config!A:B,2,FALSE))</f>
        <v/>
      </c>
      <c r="O842" s="7" t="str">
        <f>IF(LEN(TRIM(E842))=0,"",VLOOKUP("Shipment Date",config!A:B,2,FALSE))</f>
        <v/>
      </c>
      <c r="P842" s="7" t="str">
        <f t="shared" si="54"/>
        <v/>
      </c>
      <c r="Q842" s="7" t="str">
        <f>IF(LEN(TRIM(D842))=0,"",GetConfigParameterValue("Collection Site"))</f>
        <v/>
      </c>
      <c r="R842" t="str">
        <f>IF(LEN(TRIM(E842))=0, "", GetManifestComments(H842))</f>
        <v/>
      </c>
      <c r="S842" t="str">
        <f>IF(LEN(TRIM(E842))=0,"",IF(ISERROR(VLOOKUP(E842,'Manifest MDB data'!A:A,1,FALSE)),"OK","EXISTS!!!"))</f>
        <v/>
      </c>
    </row>
    <row r="843" spans="4:19" x14ac:dyDescent="0.25">
      <c r="D843" t="str">
        <f t="shared" si="55"/>
        <v/>
      </c>
      <c r="E843" t="str">
        <f t="shared" si="56"/>
        <v/>
      </c>
      <c r="F843" t="str">
        <f t="shared" si="53"/>
        <v/>
      </c>
      <c r="G843" t="str">
        <f>IF(LEN(TRIM(E843))=0, "", GetSampleTissueBySpecimenPrep(H843))</f>
        <v/>
      </c>
      <c r="H843" t="str">
        <f>IF(LEN(TRIM(E843))=0, "", GetSpecimenPrepName())</f>
        <v/>
      </c>
      <c r="I843" t="str">
        <f>IF(LEN(TRIM(E843))=0, "", GetSampleVolumeBySpecimenPrep(H843))</f>
        <v/>
      </c>
      <c r="L843" t="str">
        <f>IF(LEN(TRIM(E843))=0,"",VLOOKUP("Manifest Id",config!A:B,2,FALSE))</f>
        <v/>
      </c>
      <c r="M843" t="str">
        <f>IF(LEN(TRIM(E843))=0, "",VLOOKUP("Project Name",config!A:B,2,FALSE))</f>
        <v/>
      </c>
      <c r="N843" t="str">
        <f>IF(LEN(TRIM(E843))=0, "",VLOOKUP("Center Name",config!A:B,2,FALSE))</f>
        <v/>
      </c>
      <c r="O843" s="7" t="str">
        <f>IF(LEN(TRIM(E843))=0,"",VLOOKUP("Shipment Date",config!A:B,2,FALSE))</f>
        <v/>
      </c>
      <c r="P843" s="7" t="str">
        <f t="shared" si="54"/>
        <v/>
      </c>
      <c r="Q843" s="7" t="str">
        <f>IF(LEN(TRIM(D843))=0,"",GetConfigParameterValue("Collection Site"))</f>
        <v/>
      </c>
      <c r="R843" t="str">
        <f>IF(LEN(TRIM(E843))=0, "", GetManifestComments(H843))</f>
        <v/>
      </c>
      <c r="S843" t="str">
        <f>IF(LEN(TRIM(E843))=0,"",IF(ISERROR(VLOOKUP(E843,'Manifest MDB data'!A:A,1,FALSE)),"OK","EXISTS!!!"))</f>
        <v/>
      </c>
    </row>
    <row r="844" spans="4:19" x14ac:dyDescent="0.25">
      <c r="D844" t="str">
        <f t="shared" si="55"/>
        <v/>
      </c>
      <c r="E844" t="str">
        <f t="shared" si="56"/>
        <v/>
      </c>
      <c r="F844" t="str">
        <f t="shared" si="53"/>
        <v/>
      </c>
      <c r="G844" t="str">
        <f>IF(LEN(TRIM(E844))=0, "", GetSampleTissueBySpecimenPrep(H844))</f>
        <v/>
      </c>
      <c r="H844" t="str">
        <f>IF(LEN(TRIM(E844))=0, "", GetSpecimenPrepName())</f>
        <v/>
      </c>
      <c r="I844" t="str">
        <f>IF(LEN(TRIM(E844))=0, "", GetSampleVolumeBySpecimenPrep(H844))</f>
        <v/>
      </c>
      <c r="L844" t="str">
        <f>IF(LEN(TRIM(E844))=0,"",VLOOKUP("Manifest Id",config!A:B,2,FALSE))</f>
        <v/>
      </c>
      <c r="M844" t="str">
        <f>IF(LEN(TRIM(E844))=0, "",VLOOKUP("Project Name",config!A:B,2,FALSE))</f>
        <v/>
      </c>
      <c r="N844" t="str">
        <f>IF(LEN(TRIM(E844))=0, "",VLOOKUP("Center Name",config!A:B,2,FALSE))</f>
        <v/>
      </c>
      <c r="O844" s="7" t="str">
        <f>IF(LEN(TRIM(E844))=0,"",VLOOKUP("Shipment Date",config!A:B,2,FALSE))</f>
        <v/>
      </c>
      <c r="P844" s="7" t="str">
        <f t="shared" si="54"/>
        <v/>
      </c>
      <c r="Q844" s="7" t="str">
        <f>IF(LEN(TRIM(D844))=0,"",GetConfigParameterValue("Collection Site"))</f>
        <v/>
      </c>
      <c r="R844" t="str">
        <f>IF(LEN(TRIM(E844))=0, "", GetManifestComments(H844))</f>
        <v/>
      </c>
      <c r="S844" t="str">
        <f>IF(LEN(TRIM(E844))=0,"",IF(ISERROR(VLOOKUP(E844,'Manifest MDB data'!A:A,1,FALSE)),"OK","EXISTS!!!"))</f>
        <v/>
      </c>
    </row>
    <row r="845" spans="4:19" x14ac:dyDescent="0.25">
      <c r="D845" t="str">
        <f t="shared" si="55"/>
        <v/>
      </c>
      <c r="E845" t="str">
        <f t="shared" si="56"/>
        <v/>
      </c>
      <c r="F845" t="str">
        <f t="shared" si="53"/>
        <v/>
      </c>
      <c r="G845" t="str">
        <f>IF(LEN(TRIM(E845))=0, "", GetSampleTissueBySpecimenPrep(H845))</f>
        <v/>
      </c>
      <c r="H845" t="str">
        <f>IF(LEN(TRIM(E845))=0, "", GetSpecimenPrepName())</f>
        <v/>
      </c>
      <c r="I845" t="str">
        <f>IF(LEN(TRIM(E845))=0, "", GetSampleVolumeBySpecimenPrep(H845))</f>
        <v/>
      </c>
      <c r="L845" t="str">
        <f>IF(LEN(TRIM(E845))=0,"",VLOOKUP("Manifest Id",config!A:B,2,FALSE))</f>
        <v/>
      </c>
      <c r="M845" t="str">
        <f>IF(LEN(TRIM(E845))=0, "",VLOOKUP("Project Name",config!A:B,2,FALSE))</f>
        <v/>
      </c>
      <c r="N845" t="str">
        <f>IF(LEN(TRIM(E845))=0, "",VLOOKUP("Center Name",config!A:B,2,FALSE))</f>
        <v/>
      </c>
      <c r="O845" s="7" t="str">
        <f>IF(LEN(TRIM(E845))=0,"",VLOOKUP("Shipment Date",config!A:B,2,FALSE))</f>
        <v/>
      </c>
      <c r="P845" s="7" t="str">
        <f t="shared" si="54"/>
        <v/>
      </c>
      <c r="Q845" s="7" t="str">
        <f>IF(LEN(TRIM(D845))=0,"",GetConfigParameterValue("Collection Site"))</f>
        <v/>
      </c>
      <c r="R845" t="str">
        <f>IF(LEN(TRIM(E845))=0, "", GetManifestComments(H845))</f>
        <v/>
      </c>
      <c r="S845" t="str">
        <f>IF(LEN(TRIM(E845))=0,"",IF(ISERROR(VLOOKUP(E845,'Manifest MDB data'!A:A,1,FALSE)),"OK","EXISTS!!!"))</f>
        <v/>
      </c>
    </row>
    <row r="846" spans="4:19" x14ac:dyDescent="0.25">
      <c r="D846" t="str">
        <f t="shared" si="55"/>
        <v/>
      </c>
      <c r="E846" t="str">
        <f t="shared" si="56"/>
        <v/>
      </c>
      <c r="F846" t="str">
        <f t="shared" si="53"/>
        <v/>
      </c>
      <c r="G846" t="str">
        <f>IF(LEN(TRIM(E846))=0, "", GetSampleTissueBySpecimenPrep(H846))</f>
        <v/>
      </c>
      <c r="H846" t="str">
        <f>IF(LEN(TRIM(E846))=0, "", GetSpecimenPrepName())</f>
        <v/>
      </c>
      <c r="I846" t="str">
        <f>IF(LEN(TRIM(E846))=0, "", GetSampleVolumeBySpecimenPrep(H846))</f>
        <v/>
      </c>
      <c r="L846" t="str">
        <f>IF(LEN(TRIM(E846))=0,"",VLOOKUP("Manifest Id",config!A:B,2,FALSE))</f>
        <v/>
      </c>
      <c r="M846" t="str">
        <f>IF(LEN(TRIM(E846))=0, "",VLOOKUP("Project Name",config!A:B,2,FALSE))</f>
        <v/>
      </c>
      <c r="N846" t="str">
        <f>IF(LEN(TRIM(E846))=0, "",VLOOKUP("Center Name",config!A:B,2,FALSE))</f>
        <v/>
      </c>
      <c r="O846" s="7" t="str">
        <f>IF(LEN(TRIM(E846))=0,"",VLOOKUP("Shipment Date",config!A:B,2,FALSE))</f>
        <v/>
      </c>
      <c r="P846" s="7" t="str">
        <f t="shared" si="54"/>
        <v/>
      </c>
      <c r="Q846" s="7" t="str">
        <f>IF(LEN(TRIM(D846))=0,"",GetConfigParameterValue("Collection Site"))</f>
        <v/>
      </c>
      <c r="R846" t="str">
        <f>IF(LEN(TRIM(E846))=0, "", GetManifestComments(H846))</f>
        <v/>
      </c>
      <c r="S846" t="str">
        <f>IF(LEN(TRIM(E846))=0,"",IF(ISERROR(VLOOKUP(E846,'Manifest MDB data'!A:A,1,FALSE)),"OK","EXISTS!!!"))</f>
        <v/>
      </c>
    </row>
    <row r="847" spans="4:19" x14ac:dyDescent="0.25">
      <c r="D847" t="str">
        <f t="shared" si="55"/>
        <v/>
      </c>
      <c r="E847" t="str">
        <f t="shared" si="56"/>
        <v/>
      </c>
      <c r="F847" t="str">
        <f t="shared" si="53"/>
        <v/>
      </c>
      <c r="G847" t="str">
        <f>IF(LEN(TRIM(E847))=0, "", GetSampleTissueBySpecimenPrep(H847))</f>
        <v/>
      </c>
      <c r="H847" t="str">
        <f>IF(LEN(TRIM(E847))=0, "", GetSpecimenPrepName())</f>
        <v/>
      </c>
      <c r="I847" t="str">
        <f>IF(LEN(TRIM(E847))=0, "", GetSampleVolumeBySpecimenPrep(H847))</f>
        <v/>
      </c>
      <c r="L847" t="str">
        <f>IF(LEN(TRIM(E847))=0,"",VLOOKUP("Manifest Id",config!A:B,2,FALSE))</f>
        <v/>
      </c>
      <c r="M847" t="str">
        <f>IF(LEN(TRIM(E847))=0, "",VLOOKUP("Project Name",config!A:B,2,FALSE))</f>
        <v/>
      </c>
      <c r="N847" t="str">
        <f>IF(LEN(TRIM(E847))=0, "",VLOOKUP("Center Name",config!A:B,2,FALSE))</f>
        <v/>
      </c>
      <c r="O847" s="7" t="str">
        <f>IF(LEN(TRIM(E847))=0,"",VLOOKUP("Shipment Date",config!A:B,2,FALSE))</f>
        <v/>
      </c>
      <c r="P847" s="7" t="str">
        <f t="shared" si="54"/>
        <v/>
      </c>
      <c r="Q847" s="7" t="str">
        <f>IF(LEN(TRIM(D847))=0,"",GetConfigParameterValue("Collection Site"))</f>
        <v/>
      </c>
      <c r="R847" t="str">
        <f>IF(LEN(TRIM(E847))=0, "", GetManifestComments(H847))</f>
        <v/>
      </c>
      <c r="S847" t="str">
        <f>IF(LEN(TRIM(E847))=0,"",IF(ISERROR(VLOOKUP(E847,'Manifest MDB data'!A:A,1,FALSE)),"OK","EXISTS!!!"))</f>
        <v/>
      </c>
    </row>
    <row r="848" spans="4:19" x14ac:dyDescent="0.25">
      <c r="D848" t="str">
        <f t="shared" si="55"/>
        <v/>
      </c>
      <c r="E848" t="str">
        <f t="shared" si="56"/>
        <v/>
      </c>
      <c r="F848" t="str">
        <f t="shared" si="53"/>
        <v/>
      </c>
      <c r="G848" t="str">
        <f>IF(LEN(TRIM(E848))=0, "", GetSampleTissueBySpecimenPrep(H848))</f>
        <v/>
      </c>
      <c r="H848" t="str">
        <f>IF(LEN(TRIM(E848))=0, "", GetSpecimenPrepName())</f>
        <v/>
      </c>
      <c r="I848" t="str">
        <f>IF(LEN(TRIM(E848))=0, "", GetSampleVolumeBySpecimenPrep(H848))</f>
        <v/>
      </c>
      <c r="L848" t="str">
        <f>IF(LEN(TRIM(E848))=0,"",VLOOKUP("Manifest Id",config!A:B,2,FALSE))</f>
        <v/>
      </c>
      <c r="M848" t="str">
        <f>IF(LEN(TRIM(E848))=0, "",VLOOKUP("Project Name",config!A:B,2,FALSE))</f>
        <v/>
      </c>
      <c r="N848" t="str">
        <f>IF(LEN(TRIM(E848))=0, "",VLOOKUP("Center Name",config!A:B,2,FALSE))</f>
        <v/>
      </c>
      <c r="O848" s="7" t="str">
        <f>IF(LEN(TRIM(E848))=0,"",VLOOKUP("Shipment Date",config!A:B,2,FALSE))</f>
        <v/>
      </c>
      <c r="P848" s="7" t="str">
        <f t="shared" si="54"/>
        <v/>
      </c>
      <c r="Q848" s="7" t="str">
        <f>IF(LEN(TRIM(D848))=0,"",GetConfigParameterValue("Collection Site"))</f>
        <v/>
      </c>
      <c r="R848" t="str">
        <f>IF(LEN(TRIM(E848))=0, "", GetManifestComments(H848))</f>
        <v/>
      </c>
      <c r="S848" t="str">
        <f>IF(LEN(TRIM(E848))=0,"",IF(ISERROR(VLOOKUP(E848,'Manifest MDB data'!A:A,1,FALSE)),"OK","EXISTS!!!"))</f>
        <v/>
      </c>
    </row>
    <row r="849" spans="4:19" x14ac:dyDescent="0.25">
      <c r="D849" t="str">
        <f t="shared" si="55"/>
        <v/>
      </c>
      <c r="E849" t="str">
        <f t="shared" si="56"/>
        <v/>
      </c>
      <c r="F849" t="str">
        <f t="shared" si="53"/>
        <v/>
      </c>
      <c r="G849" t="str">
        <f>IF(LEN(TRIM(E849))=0, "", GetSampleTissueBySpecimenPrep(H849))</f>
        <v/>
      </c>
      <c r="H849" t="str">
        <f>IF(LEN(TRIM(E849))=0, "", GetSpecimenPrepName())</f>
        <v/>
      </c>
      <c r="I849" t="str">
        <f>IF(LEN(TRIM(E849))=0, "", GetSampleVolumeBySpecimenPrep(H849))</f>
        <v/>
      </c>
      <c r="L849" t="str">
        <f>IF(LEN(TRIM(E849))=0,"",VLOOKUP("Manifest Id",config!A:B,2,FALSE))</f>
        <v/>
      </c>
      <c r="M849" t="str">
        <f>IF(LEN(TRIM(E849))=0, "",VLOOKUP("Project Name",config!A:B,2,FALSE))</f>
        <v/>
      </c>
      <c r="N849" t="str">
        <f>IF(LEN(TRIM(E849))=0, "",VLOOKUP("Center Name",config!A:B,2,FALSE))</f>
        <v/>
      </c>
      <c r="O849" s="7" t="str">
        <f>IF(LEN(TRIM(E849))=0,"",VLOOKUP("Shipment Date",config!A:B,2,FALSE))</f>
        <v/>
      </c>
      <c r="P849" s="7" t="str">
        <f t="shared" si="54"/>
        <v/>
      </c>
      <c r="Q849" s="7" t="str">
        <f>IF(LEN(TRIM(D849))=0,"",GetConfigParameterValue("Collection Site"))</f>
        <v/>
      </c>
      <c r="R849" t="str">
        <f>IF(LEN(TRIM(E849))=0, "", GetManifestComments(H849))</f>
        <v/>
      </c>
      <c r="S849" t="str">
        <f>IF(LEN(TRIM(E849))=0,"",IF(ISERROR(VLOOKUP(E849,'Manifest MDB data'!A:A,1,FALSE)),"OK","EXISTS!!!"))</f>
        <v/>
      </c>
    </row>
    <row r="850" spans="4:19" x14ac:dyDescent="0.25">
      <c r="D850" t="str">
        <f t="shared" si="55"/>
        <v/>
      </c>
      <c r="E850" t="str">
        <f t="shared" si="56"/>
        <v/>
      </c>
      <c r="F850" t="str">
        <f t="shared" si="53"/>
        <v/>
      </c>
      <c r="G850" t="str">
        <f>IF(LEN(TRIM(E850))=0, "", GetSampleTissueBySpecimenPrep(H850))</f>
        <v/>
      </c>
      <c r="H850" t="str">
        <f>IF(LEN(TRIM(E850))=0, "", GetSpecimenPrepName())</f>
        <v/>
      </c>
      <c r="I850" t="str">
        <f>IF(LEN(TRIM(E850))=0, "", GetSampleVolumeBySpecimenPrep(H850))</f>
        <v/>
      </c>
      <c r="L850" t="str">
        <f>IF(LEN(TRIM(E850))=0,"",VLOOKUP("Manifest Id",config!A:B,2,FALSE))</f>
        <v/>
      </c>
      <c r="M850" t="str">
        <f>IF(LEN(TRIM(E850))=0, "",VLOOKUP("Project Name",config!A:B,2,FALSE))</f>
        <v/>
      </c>
      <c r="N850" t="str">
        <f>IF(LEN(TRIM(E850))=0, "",VLOOKUP("Center Name",config!A:B,2,FALSE))</f>
        <v/>
      </c>
      <c r="O850" s="7" t="str">
        <f>IF(LEN(TRIM(E850))=0,"",VLOOKUP("Shipment Date",config!A:B,2,FALSE))</f>
        <v/>
      </c>
      <c r="P850" s="7" t="str">
        <f t="shared" si="54"/>
        <v/>
      </c>
      <c r="Q850" s="7" t="str">
        <f>IF(LEN(TRIM(D850))=0,"",GetConfigParameterValue("Collection Site"))</f>
        <v/>
      </c>
      <c r="R850" t="str">
        <f>IF(LEN(TRIM(E850))=0, "", GetManifestComments(H850))</f>
        <v/>
      </c>
      <c r="S850" t="str">
        <f>IF(LEN(TRIM(E850))=0,"",IF(ISERROR(VLOOKUP(E850,'Manifest MDB data'!A:A,1,FALSE)),"OK","EXISTS!!!"))</f>
        <v/>
      </c>
    </row>
    <row r="851" spans="4:19" x14ac:dyDescent="0.25">
      <c r="D851" t="str">
        <f t="shared" si="55"/>
        <v/>
      </c>
      <c r="E851" t="str">
        <f t="shared" si="56"/>
        <v/>
      </c>
      <c r="F851" t="str">
        <f t="shared" si="53"/>
        <v/>
      </c>
      <c r="G851" t="str">
        <f>IF(LEN(TRIM(E851))=0, "", GetSampleTissueBySpecimenPrep(H851))</f>
        <v/>
      </c>
      <c r="H851" t="str">
        <f>IF(LEN(TRIM(E851))=0, "", GetSpecimenPrepName())</f>
        <v/>
      </c>
      <c r="I851" t="str">
        <f>IF(LEN(TRIM(E851))=0, "", GetSampleVolumeBySpecimenPrep(H851))</f>
        <v/>
      </c>
      <c r="L851" t="str">
        <f>IF(LEN(TRIM(E851))=0,"",VLOOKUP("Manifest Id",config!A:B,2,FALSE))</f>
        <v/>
      </c>
      <c r="M851" t="str">
        <f>IF(LEN(TRIM(E851))=0, "",VLOOKUP("Project Name",config!A:B,2,FALSE))</f>
        <v/>
      </c>
      <c r="N851" t="str">
        <f>IF(LEN(TRIM(E851))=0, "",VLOOKUP("Center Name",config!A:B,2,FALSE))</f>
        <v/>
      </c>
      <c r="O851" s="7" t="str">
        <f>IF(LEN(TRIM(E851))=0,"",VLOOKUP("Shipment Date",config!A:B,2,FALSE))</f>
        <v/>
      </c>
      <c r="P851" s="7" t="str">
        <f t="shared" si="54"/>
        <v/>
      </c>
      <c r="Q851" s="7" t="str">
        <f>IF(LEN(TRIM(D851))=0,"",GetConfigParameterValue("Collection Site"))</f>
        <v/>
      </c>
      <c r="R851" t="str">
        <f>IF(LEN(TRIM(E851))=0, "", GetManifestComments(H851))</f>
        <v/>
      </c>
      <c r="S851" t="str">
        <f>IF(LEN(TRIM(E851))=0,"",IF(ISERROR(VLOOKUP(E851,'Manifest MDB data'!A:A,1,FALSE)),"OK","EXISTS!!!"))</f>
        <v/>
      </c>
    </row>
    <row r="852" spans="4:19" x14ac:dyDescent="0.25">
      <c r="D852" t="str">
        <f t="shared" si="55"/>
        <v/>
      </c>
      <c r="E852" t="str">
        <f t="shared" si="56"/>
        <v/>
      </c>
      <c r="F852" t="str">
        <f t="shared" si="53"/>
        <v/>
      </c>
      <c r="G852" t="str">
        <f>IF(LEN(TRIM(E852))=0, "", GetSampleTissueBySpecimenPrep(H852))</f>
        <v/>
      </c>
      <c r="H852" t="str">
        <f>IF(LEN(TRIM(E852))=0, "", GetSpecimenPrepName())</f>
        <v/>
      </c>
      <c r="I852" t="str">
        <f>IF(LEN(TRIM(E852))=0, "", GetSampleVolumeBySpecimenPrep(H852))</f>
        <v/>
      </c>
      <c r="L852" t="str">
        <f>IF(LEN(TRIM(E852))=0,"",VLOOKUP("Manifest Id",config!A:B,2,FALSE))</f>
        <v/>
      </c>
      <c r="M852" t="str">
        <f>IF(LEN(TRIM(E852))=0, "",VLOOKUP("Project Name",config!A:B,2,FALSE))</f>
        <v/>
      </c>
      <c r="N852" t="str">
        <f>IF(LEN(TRIM(E852))=0, "",VLOOKUP("Center Name",config!A:B,2,FALSE))</f>
        <v/>
      </c>
      <c r="O852" s="7" t="str">
        <f>IF(LEN(TRIM(E852))=0,"",VLOOKUP("Shipment Date",config!A:B,2,FALSE))</f>
        <v/>
      </c>
      <c r="P852" s="7" t="str">
        <f t="shared" si="54"/>
        <v/>
      </c>
      <c r="Q852" s="7" t="str">
        <f>IF(LEN(TRIM(D852))=0,"",GetConfigParameterValue("Collection Site"))</f>
        <v/>
      </c>
      <c r="R852" t="str">
        <f>IF(LEN(TRIM(E852))=0, "", GetManifestComments(H852))</f>
        <v/>
      </c>
      <c r="S852" t="str">
        <f>IF(LEN(TRIM(E852))=0,"",IF(ISERROR(VLOOKUP(E852,'Manifest MDB data'!A:A,1,FALSE)),"OK","EXISTS!!!"))</f>
        <v/>
      </c>
    </row>
    <row r="853" spans="4:19" x14ac:dyDescent="0.25">
      <c r="D853" t="str">
        <f t="shared" si="55"/>
        <v/>
      </c>
      <c r="E853" t="str">
        <f t="shared" si="56"/>
        <v/>
      </c>
      <c r="F853" t="str">
        <f t="shared" si="53"/>
        <v/>
      </c>
      <c r="G853" t="str">
        <f>IF(LEN(TRIM(E853))=0, "", GetSampleTissueBySpecimenPrep(H853))</f>
        <v/>
      </c>
      <c r="H853" t="str">
        <f>IF(LEN(TRIM(E853))=0, "", GetSpecimenPrepName())</f>
        <v/>
      </c>
      <c r="I853" t="str">
        <f>IF(LEN(TRIM(E853))=0, "", GetSampleVolumeBySpecimenPrep(H853))</f>
        <v/>
      </c>
      <c r="L853" t="str">
        <f>IF(LEN(TRIM(E853))=0,"",VLOOKUP("Manifest Id",config!A:B,2,FALSE))</f>
        <v/>
      </c>
      <c r="M853" t="str">
        <f>IF(LEN(TRIM(E853))=0, "",VLOOKUP("Project Name",config!A:B,2,FALSE))</f>
        <v/>
      </c>
      <c r="N853" t="str">
        <f>IF(LEN(TRIM(E853))=0, "",VLOOKUP("Center Name",config!A:B,2,FALSE))</f>
        <v/>
      </c>
      <c r="O853" s="7" t="str">
        <f>IF(LEN(TRIM(E853))=0,"",VLOOKUP("Shipment Date",config!A:B,2,FALSE))</f>
        <v/>
      </c>
      <c r="P853" s="7" t="str">
        <f t="shared" si="54"/>
        <v/>
      </c>
      <c r="Q853" s="7" t="str">
        <f>IF(LEN(TRIM(D853))=0,"",GetConfigParameterValue("Collection Site"))</f>
        <v/>
      </c>
      <c r="R853" t="str">
        <f>IF(LEN(TRIM(E853))=0, "", GetManifestComments(H853))</f>
        <v/>
      </c>
      <c r="S853" t="str">
        <f>IF(LEN(TRIM(E853))=0,"",IF(ISERROR(VLOOKUP(E853,'Manifest MDB data'!A:A,1,FALSE)),"OK","EXISTS!!!"))</f>
        <v/>
      </c>
    </row>
    <row r="854" spans="4:19" x14ac:dyDescent="0.25">
      <c r="D854" t="str">
        <f t="shared" si="55"/>
        <v/>
      </c>
      <c r="E854" t="str">
        <f t="shared" si="56"/>
        <v/>
      </c>
      <c r="F854" t="str">
        <f t="shared" si="53"/>
        <v/>
      </c>
      <c r="G854" t="str">
        <f>IF(LEN(TRIM(E854))=0, "", GetSampleTissueBySpecimenPrep(H854))</f>
        <v/>
      </c>
      <c r="H854" t="str">
        <f>IF(LEN(TRIM(E854))=0, "", GetSpecimenPrepName())</f>
        <v/>
      </c>
      <c r="I854" t="str">
        <f>IF(LEN(TRIM(E854))=0, "", GetSampleVolumeBySpecimenPrep(H854))</f>
        <v/>
      </c>
      <c r="L854" t="str">
        <f>IF(LEN(TRIM(E854))=0,"",VLOOKUP("Manifest Id",config!A:B,2,FALSE))</f>
        <v/>
      </c>
      <c r="M854" t="str">
        <f>IF(LEN(TRIM(E854))=0, "",VLOOKUP("Project Name",config!A:B,2,FALSE))</f>
        <v/>
      </c>
      <c r="N854" t="str">
        <f>IF(LEN(TRIM(E854))=0, "",VLOOKUP("Center Name",config!A:B,2,FALSE))</f>
        <v/>
      </c>
      <c r="O854" s="7" t="str">
        <f>IF(LEN(TRIM(E854))=0,"",VLOOKUP("Shipment Date",config!A:B,2,FALSE))</f>
        <v/>
      </c>
      <c r="P854" s="7" t="str">
        <f t="shared" si="54"/>
        <v/>
      </c>
      <c r="Q854" s="7" t="str">
        <f>IF(LEN(TRIM(D854))=0,"",GetConfigParameterValue("Collection Site"))</f>
        <v/>
      </c>
      <c r="R854" t="str">
        <f>IF(LEN(TRIM(E854))=0, "", GetManifestComments(H854))</f>
        <v/>
      </c>
      <c r="S854" t="str">
        <f>IF(LEN(TRIM(E854))=0,"",IF(ISERROR(VLOOKUP(E854,'Manifest MDB data'!A:A,1,FALSE)),"OK","EXISTS!!!"))</f>
        <v/>
      </c>
    </row>
    <row r="855" spans="4:19" x14ac:dyDescent="0.25">
      <c r="D855" t="str">
        <f t="shared" si="55"/>
        <v/>
      </c>
      <c r="E855" t="str">
        <f t="shared" si="56"/>
        <v/>
      </c>
      <c r="F855" t="str">
        <f t="shared" si="53"/>
        <v/>
      </c>
      <c r="G855" t="str">
        <f>IF(LEN(TRIM(E855))=0, "", GetSampleTissueBySpecimenPrep(H855))</f>
        <v/>
      </c>
      <c r="H855" t="str">
        <f>IF(LEN(TRIM(E855))=0, "", GetSpecimenPrepName())</f>
        <v/>
      </c>
      <c r="I855" t="str">
        <f>IF(LEN(TRIM(E855))=0, "", GetSampleVolumeBySpecimenPrep(H855))</f>
        <v/>
      </c>
      <c r="L855" t="str">
        <f>IF(LEN(TRIM(E855))=0,"",VLOOKUP("Manifest Id",config!A:B,2,FALSE))</f>
        <v/>
      </c>
      <c r="M855" t="str">
        <f>IF(LEN(TRIM(E855))=0, "",VLOOKUP("Project Name",config!A:B,2,FALSE))</f>
        <v/>
      </c>
      <c r="N855" t="str">
        <f>IF(LEN(TRIM(E855))=0, "",VLOOKUP("Center Name",config!A:B,2,FALSE))</f>
        <v/>
      </c>
      <c r="O855" s="7" t="str">
        <f>IF(LEN(TRIM(E855))=0,"",VLOOKUP("Shipment Date",config!A:B,2,FALSE))</f>
        <v/>
      </c>
      <c r="P855" s="7" t="str">
        <f t="shared" si="54"/>
        <v/>
      </c>
      <c r="Q855" s="7" t="str">
        <f>IF(LEN(TRIM(D855))=0,"",GetConfigParameterValue("Collection Site"))</f>
        <v/>
      </c>
      <c r="R855" t="str">
        <f>IF(LEN(TRIM(E855))=0, "", GetManifestComments(H855))</f>
        <v/>
      </c>
      <c r="S855" t="str">
        <f>IF(LEN(TRIM(E855))=0,"",IF(ISERROR(VLOOKUP(E855,'Manifest MDB data'!A:A,1,FALSE)),"OK","EXISTS!!!"))</f>
        <v/>
      </c>
    </row>
    <row r="856" spans="4:19" x14ac:dyDescent="0.25">
      <c r="D856" t="str">
        <f t="shared" si="55"/>
        <v/>
      </c>
      <c r="E856" t="str">
        <f t="shared" si="56"/>
        <v/>
      </c>
      <c r="F856" t="str">
        <f t="shared" si="53"/>
        <v/>
      </c>
      <c r="G856" t="str">
        <f>IF(LEN(TRIM(E856))=0, "", GetSampleTissueBySpecimenPrep(H856))</f>
        <v/>
      </c>
      <c r="H856" t="str">
        <f>IF(LEN(TRIM(E856))=0, "", GetSpecimenPrepName())</f>
        <v/>
      </c>
      <c r="I856" t="str">
        <f>IF(LEN(TRIM(E856))=0, "", GetSampleVolumeBySpecimenPrep(H856))</f>
        <v/>
      </c>
      <c r="L856" t="str">
        <f>IF(LEN(TRIM(E856))=0,"",VLOOKUP("Manifest Id",config!A:B,2,FALSE))</f>
        <v/>
      </c>
      <c r="M856" t="str">
        <f>IF(LEN(TRIM(E856))=0, "",VLOOKUP("Project Name",config!A:B,2,FALSE))</f>
        <v/>
      </c>
      <c r="N856" t="str">
        <f>IF(LEN(TRIM(E856))=0, "",VLOOKUP("Center Name",config!A:B,2,FALSE))</f>
        <v/>
      </c>
      <c r="O856" s="7" t="str">
        <f>IF(LEN(TRIM(E856))=0,"",VLOOKUP("Shipment Date",config!A:B,2,FALSE))</f>
        <v/>
      </c>
      <c r="P856" s="7" t="str">
        <f t="shared" si="54"/>
        <v/>
      </c>
      <c r="Q856" s="7" t="str">
        <f>IF(LEN(TRIM(D856))=0,"",GetConfigParameterValue("Collection Site"))</f>
        <v/>
      </c>
      <c r="R856" t="str">
        <f>IF(LEN(TRIM(E856))=0, "", GetManifestComments(H856))</f>
        <v/>
      </c>
      <c r="S856" t="str">
        <f>IF(LEN(TRIM(E856))=0,"",IF(ISERROR(VLOOKUP(E856,'Manifest MDB data'!A:A,1,FALSE)),"OK","EXISTS!!!"))</f>
        <v/>
      </c>
    </row>
    <row r="857" spans="4:19" x14ac:dyDescent="0.25">
      <c r="D857" t="str">
        <f t="shared" si="55"/>
        <v/>
      </c>
      <c r="E857" t="str">
        <f t="shared" si="56"/>
        <v/>
      </c>
      <c r="F857" t="str">
        <f t="shared" si="53"/>
        <v/>
      </c>
      <c r="G857" t="str">
        <f>IF(LEN(TRIM(E857))=0, "", GetSampleTissueBySpecimenPrep(H857))</f>
        <v/>
      </c>
      <c r="H857" t="str">
        <f>IF(LEN(TRIM(E857))=0, "", GetSpecimenPrepName())</f>
        <v/>
      </c>
      <c r="I857" t="str">
        <f>IF(LEN(TRIM(E857))=0, "", GetSampleVolumeBySpecimenPrep(H857))</f>
        <v/>
      </c>
      <c r="L857" t="str">
        <f>IF(LEN(TRIM(E857))=0,"",VLOOKUP("Manifest Id",config!A:B,2,FALSE))</f>
        <v/>
      </c>
      <c r="M857" t="str">
        <f>IF(LEN(TRIM(E857))=0, "",VLOOKUP("Project Name",config!A:B,2,FALSE))</f>
        <v/>
      </c>
      <c r="N857" t="str">
        <f>IF(LEN(TRIM(E857))=0, "",VLOOKUP("Center Name",config!A:B,2,FALSE))</f>
        <v/>
      </c>
      <c r="O857" s="7" t="str">
        <f>IF(LEN(TRIM(E857))=0,"",VLOOKUP("Shipment Date",config!A:B,2,FALSE))</f>
        <v/>
      </c>
      <c r="P857" s="7" t="str">
        <f t="shared" si="54"/>
        <v/>
      </c>
      <c r="Q857" s="7" t="str">
        <f>IF(LEN(TRIM(D857))=0,"",GetConfigParameterValue("Collection Site"))</f>
        <v/>
      </c>
      <c r="R857" t="str">
        <f>IF(LEN(TRIM(E857))=0, "", GetManifestComments(H857))</f>
        <v/>
      </c>
      <c r="S857" t="str">
        <f>IF(LEN(TRIM(E857))=0,"",IF(ISERROR(VLOOKUP(E857,'Manifest MDB data'!A:A,1,FALSE)),"OK","EXISTS!!!"))</f>
        <v/>
      </c>
    </row>
    <row r="858" spans="4:19" x14ac:dyDescent="0.25">
      <c r="D858" t="str">
        <f t="shared" si="55"/>
        <v/>
      </c>
      <c r="E858" t="str">
        <f t="shared" si="56"/>
        <v/>
      </c>
      <c r="F858" t="str">
        <f t="shared" si="53"/>
        <v/>
      </c>
      <c r="G858" t="str">
        <f>IF(LEN(TRIM(E858))=0, "", GetSampleTissueBySpecimenPrep(H858))</f>
        <v/>
      </c>
      <c r="H858" t="str">
        <f>IF(LEN(TRIM(E858))=0, "", GetSpecimenPrepName())</f>
        <v/>
      </c>
      <c r="I858" t="str">
        <f>IF(LEN(TRIM(E858))=0, "", GetSampleVolumeBySpecimenPrep(H858))</f>
        <v/>
      </c>
      <c r="L858" t="str">
        <f>IF(LEN(TRIM(E858))=0,"",VLOOKUP("Manifest Id",config!A:B,2,FALSE))</f>
        <v/>
      </c>
      <c r="M858" t="str">
        <f>IF(LEN(TRIM(E858))=0, "",VLOOKUP("Project Name",config!A:B,2,FALSE))</f>
        <v/>
      </c>
      <c r="N858" t="str">
        <f>IF(LEN(TRIM(E858))=0, "",VLOOKUP("Center Name",config!A:B,2,FALSE))</f>
        <v/>
      </c>
      <c r="O858" s="7" t="str">
        <f>IF(LEN(TRIM(E858))=0,"",VLOOKUP("Shipment Date",config!A:B,2,FALSE))</f>
        <v/>
      </c>
      <c r="P858" s="7" t="str">
        <f t="shared" si="54"/>
        <v/>
      </c>
      <c r="Q858" s="7" t="str">
        <f>IF(LEN(TRIM(D858))=0,"",GetConfigParameterValue("Collection Site"))</f>
        <v/>
      </c>
      <c r="R858" t="str">
        <f>IF(LEN(TRIM(E858))=0, "", GetManifestComments(H858))</f>
        <v/>
      </c>
      <c r="S858" t="str">
        <f>IF(LEN(TRIM(E858))=0,"",IF(ISERROR(VLOOKUP(E858,'Manifest MDB data'!A:A,1,FALSE)),"OK","EXISTS!!!"))</f>
        <v/>
      </c>
    </row>
    <row r="859" spans="4:19" x14ac:dyDescent="0.25">
      <c r="D859" t="str">
        <f t="shared" si="55"/>
        <v/>
      </c>
      <c r="E859" t="str">
        <f t="shared" si="56"/>
        <v/>
      </c>
      <c r="F859" t="str">
        <f t="shared" si="53"/>
        <v/>
      </c>
      <c r="G859" t="str">
        <f>IF(LEN(TRIM(E859))=0, "", GetSampleTissueBySpecimenPrep(H859))</f>
        <v/>
      </c>
      <c r="H859" t="str">
        <f>IF(LEN(TRIM(E859))=0, "", GetSpecimenPrepName())</f>
        <v/>
      </c>
      <c r="I859" t="str">
        <f>IF(LEN(TRIM(E859))=0, "", GetSampleVolumeBySpecimenPrep(H859))</f>
        <v/>
      </c>
      <c r="L859" t="str">
        <f>IF(LEN(TRIM(E859))=0,"",VLOOKUP("Manifest Id",config!A:B,2,FALSE))</f>
        <v/>
      </c>
      <c r="M859" t="str">
        <f>IF(LEN(TRIM(E859))=0, "",VLOOKUP("Project Name",config!A:B,2,FALSE))</f>
        <v/>
      </c>
      <c r="N859" t="str">
        <f>IF(LEN(TRIM(E859))=0, "",VLOOKUP("Center Name",config!A:B,2,FALSE))</f>
        <v/>
      </c>
      <c r="O859" s="7" t="str">
        <f>IF(LEN(TRIM(E859))=0,"",VLOOKUP("Shipment Date",config!A:B,2,FALSE))</f>
        <v/>
      </c>
      <c r="P859" s="7" t="str">
        <f t="shared" si="54"/>
        <v/>
      </c>
      <c r="Q859" s="7" t="str">
        <f>IF(LEN(TRIM(D859))=0,"",GetConfigParameterValue("Collection Site"))</f>
        <v/>
      </c>
      <c r="R859" t="str">
        <f>IF(LEN(TRIM(E859))=0, "", GetManifestComments(H859))</f>
        <v/>
      </c>
      <c r="S859" t="str">
        <f>IF(LEN(TRIM(E859))=0,"",IF(ISERROR(VLOOKUP(E859,'Manifest MDB data'!A:A,1,FALSE)),"OK","EXISTS!!!"))</f>
        <v/>
      </c>
    </row>
    <row r="860" spans="4:19" x14ac:dyDescent="0.25">
      <c r="D860" t="str">
        <f t="shared" si="55"/>
        <v/>
      </c>
      <c r="E860" t="str">
        <f t="shared" si="56"/>
        <v/>
      </c>
      <c r="F860" t="str">
        <f t="shared" si="53"/>
        <v/>
      </c>
      <c r="G860" t="str">
        <f>IF(LEN(TRIM(E860))=0, "", GetSampleTissueBySpecimenPrep(H860))</f>
        <v/>
      </c>
      <c r="H860" t="str">
        <f>IF(LEN(TRIM(E860))=0, "", GetSpecimenPrepName())</f>
        <v/>
      </c>
      <c r="I860" t="str">
        <f>IF(LEN(TRIM(E860))=0, "", GetSampleVolumeBySpecimenPrep(H860))</f>
        <v/>
      </c>
      <c r="L860" t="str">
        <f>IF(LEN(TRIM(E860))=0,"",VLOOKUP("Manifest Id",config!A:B,2,FALSE))</f>
        <v/>
      </c>
      <c r="M860" t="str">
        <f>IF(LEN(TRIM(E860))=0, "",VLOOKUP("Project Name",config!A:B,2,FALSE))</f>
        <v/>
      </c>
      <c r="N860" t="str">
        <f>IF(LEN(TRIM(E860))=0, "",VLOOKUP("Center Name",config!A:B,2,FALSE))</f>
        <v/>
      </c>
      <c r="O860" s="7" t="str">
        <f>IF(LEN(TRIM(E860))=0,"",VLOOKUP("Shipment Date",config!A:B,2,FALSE))</f>
        <v/>
      </c>
      <c r="P860" s="7" t="str">
        <f t="shared" si="54"/>
        <v/>
      </c>
      <c r="Q860" s="7" t="str">
        <f>IF(LEN(TRIM(D860))=0,"",GetConfigParameterValue("Collection Site"))</f>
        <v/>
      </c>
      <c r="R860" t="str">
        <f>IF(LEN(TRIM(E860))=0, "", GetManifestComments(H860))</f>
        <v/>
      </c>
      <c r="S860" t="str">
        <f>IF(LEN(TRIM(E860))=0,"",IF(ISERROR(VLOOKUP(E860,'Manifest MDB data'!A:A,1,FALSE)),"OK","EXISTS!!!"))</f>
        <v/>
      </c>
    </row>
    <row r="861" spans="4:19" x14ac:dyDescent="0.25">
      <c r="D861" t="str">
        <f t="shared" si="55"/>
        <v/>
      </c>
      <c r="E861" t="str">
        <f t="shared" si="56"/>
        <v/>
      </c>
      <c r="F861" t="str">
        <f t="shared" si="53"/>
        <v/>
      </c>
      <c r="G861" t="str">
        <f>IF(LEN(TRIM(E861))=0, "", GetSampleTissueBySpecimenPrep(H861))</f>
        <v/>
      </c>
      <c r="H861" t="str">
        <f>IF(LEN(TRIM(E861))=0, "", GetSpecimenPrepName())</f>
        <v/>
      </c>
      <c r="I861" t="str">
        <f>IF(LEN(TRIM(E861))=0, "", GetSampleVolumeBySpecimenPrep(H861))</f>
        <v/>
      </c>
      <c r="L861" t="str">
        <f>IF(LEN(TRIM(E861))=0,"",VLOOKUP("Manifest Id",config!A:B,2,FALSE))</f>
        <v/>
      </c>
      <c r="M861" t="str">
        <f>IF(LEN(TRIM(E861))=0, "",VLOOKUP("Project Name",config!A:B,2,FALSE))</f>
        <v/>
      </c>
      <c r="N861" t="str">
        <f>IF(LEN(TRIM(E861))=0, "",VLOOKUP("Center Name",config!A:B,2,FALSE))</f>
        <v/>
      </c>
      <c r="O861" s="7" t="str">
        <f>IF(LEN(TRIM(E861))=0,"",VLOOKUP("Shipment Date",config!A:B,2,FALSE))</f>
        <v/>
      </c>
      <c r="P861" s="7" t="str">
        <f t="shared" si="54"/>
        <v/>
      </c>
      <c r="Q861" s="7" t="str">
        <f>IF(LEN(TRIM(D861))=0,"",GetConfigParameterValue("Collection Site"))</f>
        <v/>
      </c>
      <c r="R861" t="str">
        <f>IF(LEN(TRIM(E861))=0, "", GetManifestComments(H861))</f>
        <v/>
      </c>
      <c r="S861" t="str">
        <f>IF(LEN(TRIM(E861))=0,"",IF(ISERROR(VLOOKUP(E861,'Manifest MDB data'!A:A,1,FALSE)),"OK","EXISTS!!!"))</f>
        <v/>
      </c>
    </row>
    <row r="862" spans="4:19" x14ac:dyDescent="0.25">
      <c r="D862" t="str">
        <f t="shared" si="55"/>
        <v/>
      </c>
      <c r="E862" t="str">
        <f t="shared" si="56"/>
        <v/>
      </c>
      <c r="F862" t="str">
        <f t="shared" si="53"/>
        <v/>
      </c>
      <c r="G862" t="str">
        <f>IF(LEN(TRIM(E862))=0, "", GetSampleTissueBySpecimenPrep(H862))</f>
        <v/>
      </c>
      <c r="H862" t="str">
        <f>IF(LEN(TRIM(E862))=0, "", GetSpecimenPrepName())</f>
        <v/>
      </c>
      <c r="I862" t="str">
        <f>IF(LEN(TRIM(E862))=0, "", GetSampleVolumeBySpecimenPrep(H862))</f>
        <v/>
      </c>
      <c r="L862" t="str">
        <f>IF(LEN(TRIM(E862))=0,"",VLOOKUP("Manifest Id",config!A:B,2,FALSE))</f>
        <v/>
      </c>
      <c r="M862" t="str">
        <f>IF(LEN(TRIM(E862))=0, "",VLOOKUP("Project Name",config!A:B,2,FALSE))</f>
        <v/>
      </c>
      <c r="N862" t="str">
        <f>IF(LEN(TRIM(E862))=0, "",VLOOKUP("Center Name",config!A:B,2,FALSE))</f>
        <v/>
      </c>
      <c r="O862" s="7" t="str">
        <f>IF(LEN(TRIM(E862))=0,"",VLOOKUP("Shipment Date",config!A:B,2,FALSE))</f>
        <v/>
      </c>
      <c r="P862" s="7" t="str">
        <f t="shared" si="54"/>
        <v/>
      </c>
      <c r="Q862" s="7" t="str">
        <f>IF(LEN(TRIM(D862))=0,"",GetConfigParameterValue("Collection Site"))</f>
        <v/>
      </c>
      <c r="R862" t="str">
        <f>IF(LEN(TRIM(E862))=0, "", GetManifestComments(H862))</f>
        <v/>
      </c>
      <c r="S862" t="str">
        <f>IF(LEN(TRIM(E862))=0,"",IF(ISERROR(VLOOKUP(E862,'Manifest MDB data'!A:A,1,FALSE)),"OK","EXISTS!!!"))</f>
        <v/>
      </c>
    </row>
    <row r="863" spans="4:19" x14ac:dyDescent="0.25">
      <c r="D863" t="str">
        <f t="shared" si="55"/>
        <v/>
      </c>
      <c r="E863" t="str">
        <f t="shared" si="56"/>
        <v/>
      </c>
      <c r="F863" t="str">
        <f t="shared" si="53"/>
        <v/>
      </c>
      <c r="G863" t="str">
        <f>IF(LEN(TRIM(E863))=0, "", GetSampleTissueBySpecimenPrep(H863))</f>
        <v/>
      </c>
      <c r="H863" t="str">
        <f>IF(LEN(TRIM(E863))=0, "", GetSpecimenPrepName())</f>
        <v/>
      </c>
      <c r="I863" t="str">
        <f>IF(LEN(TRIM(E863))=0, "", GetSampleVolumeBySpecimenPrep(H863))</f>
        <v/>
      </c>
      <c r="L863" t="str">
        <f>IF(LEN(TRIM(E863))=0,"",VLOOKUP("Manifest Id",config!A:B,2,FALSE))</f>
        <v/>
      </c>
      <c r="M863" t="str">
        <f>IF(LEN(TRIM(E863))=0, "",VLOOKUP("Project Name",config!A:B,2,FALSE))</f>
        <v/>
      </c>
      <c r="N863" t="str">
        <f>IF(LEN(TRIM(E863))=0, "",VLOOKUP("Center Name",config!A:B,2,FALSE))</f>
        <v/>
      </c>
      <c r="O863" s="7" t="str">
        <f>IF(LEN(TRIM(E863))=0,"",VLOOKUP("Shipment Date",config!A:B,2,FALSE))</f>
        <v/>
      </c>
      <c r="P863" s="7" t="str">
        <f t="shared" si="54"/>
        <v/>
      </c>
      <c r="Q863" s="7" t="str">
        <f>IF(LEN(TRIM(D863))=0,"",GetConfigParameterValue("Collection Site"))</f>
        <v/>
      </c>
      <c r="R863" t="str">
        <f>IF(LEN(TRIM(E863))=0, "", GetManifestComments(H863))</f>
        <v/>
      </c>
      <c r="S863" t="str">
        <f>IF(LEN(TRIM(E863))=0,"",IF(ISERROR(VLOOKUP(E863,'Manifest MDB data'!A:A,1,FALSE)),"OK","EXISTS!!!"))</f>
        <v/>
      </c>
    </row>
    <row r="864" spans="4:19" x14ac:dyDescent="0.25">
      <c r="D864" t="str">
        <f t="shared" si="55"/>
        <v/>
      </c>
      <c r="E864" t="str">
        <f t="shared" si="56"/>
        <v/>
      </c>
      <c r="F864" t="str">
        <f t="shared" si="53"/>
        <v/>
      </c>
      <c r="G864" t="str">
        <f>IF(LEN(TRIM(E864))=0, "", GetSampleTissueBySpecimenPrep(H864))</f>
        <v/>
      </c>
      <c r="H864" t="str">
        <f>IF(LEN(TRIM(E864))=0, "", GetSpecimenPrepName())</f>
        <v/>
      </c>
      <c r="I864" t="str">
        <f>IF(LEN(TRIM(E864))=0, "", GetSampleVolumeBySpecimenPrep(H864))</f>
        <v/>
      </c>
      <c r="L864" t="str">
        <f>IF(LEN(TRIM(E864))=0,"",VLOOKUP("Manifest Id",config!A:B,2,FALSE))</f>
        <v/>
      </c>
      <c r="M864" t="str">
        <f>IF(LEN(TRIM(E864))=0, "",VLOOKUP("Project Name",config!A:B,2,FALSE))</f>
        <v/>
      </c>
      <c r="N864" t="str">
        <f>IF(LEN(TRIM(E864))=0, "",VLOOKUP("Center Name",config!A:B,2,FALSE))</f>
        <v/>
      </c>
      <c r="O864" s="7" t="str">
        <f>IF(LEN(TRIM(E864))=0,"",VLOOKUP("Shipment Date",config!A:B,2,FALSE))</f>
        <v/>
      </c>
      <c r="P864" s="7" t="str">
        <f t="shared" si="54"/>
        <v/>
      </c>
      <c r="Q864" s="7" t="str">
        <f>IF(LEN(TRIM(D864))=0,"",GetConfigParameterValue("Collection Site"))</f>
        <v/>
      </c>
      <c r="R864" t="str">
        <f>IF(LEN(TRIM(E864))=0, "", GetManifestComments(H864))</f>
        <v/>
      </c>
      <c r="S864" t="str">
        <f>IF(LEN(TRIM(E864))=0,"",IF(ISERROR(VLOOKUP(E864,'Manifest MDB data'!A:A,1,FALSE)),"OK","EXISTS!!!"))</f>
        <v/>
      </c>
    </row>
    <row r="865" spans="4:19" x14ac:dyDescent="0.25">
      <c r="D865" t="str">
        <f t="shared" si="55"/>
        <v/>
      </c>
      <c r="E865" t="str">
        <f t="shared" si="56"/>
        <v/>
      </c>
      <c r="F865" t="str">
        <f t="shared" si="53"/>
        <v/>
      </c>
      <c r="G865" t="str">
        <f>IF(LEN(TRIM(E865))=0, "", GetSampleTissueBySpecimenPrep(H865))</f>
        <v/>
      </c>
      <c r="H865" t="str">
        <f>IF(LEN(TRIM(E865))=0, "", GetSpecimenPrepName())</f>
        <v/>
      </c>
      <c r="I865" t="str">
        <f>IF(LEN(TRIM(E865))=0, "", GetSampleVolumeBySpecimenPrep(H865))</f>
        <v/>
      </c>
      <c r="L865" t="str">
        <f>IF(LEN(TRIM(E865))=0,"",VLOOKUP("Manifest Id",config!A:B,2,FALSE))</f>
        <v/>
      </c>
      <c r="M865" t="str">
        <f>IF(LEN(TRIM(E865))=0, "",VLOOKUP("Project Name",config!A:B,2,FALSE))</f>
        <v/>
      </c>
      <c r="N865" t="str">
        <f>IF(LEN(TRIM(E865))=0, "",VLOOKUP("Center Name",config!A:B,2,FALSE))</f>
        <v/>
      </c>
      <c r="O865" s="7" t="str">
        <f>IF(LEN(TRIM(E865))=0,"",VLOOKUP("Shipment Date",config!A:B,2,FALSE))</f>
        <v/>
      </c>
      <c r="P865" s="7" t="str">
        <f t="shared" si="54"/>
        <v/>
      </c>
      <c r="Q865" s="7" t="str">
        <f>IF(LEN(TRIM(D865))=0,"",GetConfigParameterValue("Collection Site"))</f>
        <v/>
      </c>
      <c r="R865" t="str">
        <f>IF(LEN(TRIM(E865))=0, "", GetManifestComments(H865))</f>
        <v/>
      </c>
      <c r="S865" t="str">
        <f>IF(LEN(TRIM(E865))=0,"",IF(ISERROR(VLOOKUP(E865,'Manifest MDB data'!A:A,1,FALSE)),"OK","EXISTS!!!"))</f>
        <v/>
      </c>
    </row>
    <row r="866" spans="4:19" x14ac:dyDescent="0.25">
      <c r="D866" t="str">
        <f t="shared" si="55"/>
        <v/>
      </c>
      <c r="E866" t="str">
        <f t="shared" si="56"/>
        <v/>
      </c>
      <c r="F866" t="str">
        <f t="shared" ref="F866:F929" si="57">IF(LEN(TRIM(E866))=0, "", "Human")</f>
        <v/>
      </c>
      <c r="G866" t="str">
        <f>IF(LEN(TRIM(E866))=0, "", GetSampleTissueBySpecimenPrep(H866))</f>
        <v/>
      </c>
      <c r="H866" t="str">
        <f>IF(LEN(TRIM(E866))=0, "", GetSpecimenPrepName())</f>
        <v/>
      </c>
      <c r="I866" t="str">
        <f>IF(LEN(TRIM(E866))=0, "", GetSampleVolumeBySpecimenPrep(H866))</f>
        <v/>
      </c>
      <c r="L866" t="str">
        <f>IF(LEN(TRIM(E866))=0,"",VLOOKUP("Manifest Id",config!A:B,2,FALSE))</f>
        <v/>
      </c>
      <c r="M866" t="str">
        <f>IF(LEN(TRIM(E866))=0, "",VLOOKUP("Project Name",config!A:B,2,FALSE))</f>
        <v/>
      </c>
      <c r="N866" t="str">
        <f>IF(LEN(TRIM(E866))=0, "",VLOOKUP("Center Name",config!A:B,2,FALSE))</f>
        <v/>
      </c>
      <c r="O866" s="7" t="str">
        <f>IF(LEN(TRIM(E866))=0,"",VLOOKUP("Shipment Date",config!A:B,2,FALSE))</f>
        <v/>
      </c>
      <c r="P866" s="7" t="str">
        <f t="shared" si="54"/>
        <v/>
      </c>
      <c r="Q866" s="7" t="str">
        <f>IF(LEN(TRIM(D866))=0,"",GetConfigParameterValue("Collection Site"))</f>
        <v/>
      </c>
      <c r="R866" t="str">
        <f>IF(LEN(TRIM(E866))=0, "", GetManifestComments(H866))</f>
        <v/>
      </c>
      <c r="S866" t="str">
        <f>IF(LEN(TRIM(E866))=0,"",IF(ISERROR(VLOOKUP(E866,'Manifest MDB data'!A:A,1,FALSE)),"OK","EXISTS!!!"))</f>
        <v/>
      </c>
    </row>
    <row r="867" spans="4:19" x14ac:dyDescent="0.25">
      <c r="D867" t="str">
        <f t="shared" si="55"/>
        <v/>
      </c>
      <c r="E867" t="str">
        <f t="shared" si="56"/>
        <v/>
      </c>
      <c r="F867" t="str">
        <f t="shared" si="57"/>
        <v/>
      </c>
      <c r="G867" t="str">
        <f>IF(LEN(TRIM(E867))=0, "", GetSampleTissueBySpecimenPrep(H867))</f>
        <v/>
      </c>
      <c r="H867" t="str">
        <f>IF(LEN(TRIM(E867))=0, "", GetSpecimenPrepName())</f>
        <v/>
      </c>
      <c r="I867" t="str">
        <f>IF(LEN(TRIM(E867))=0, "", GetSampleVolumeBySpecimenPrep(H867))</f>
        <v/>
      </c>
      <c r="L867" t="str">
        <f>IF(LEN(TRIM(E867))=0,"",VLOOKUP("Manifest Id",config!A:B,2,FALSE))</f>
        <v/>
      </c>
      <c r="M867" t="str">
        <f>IF(LEN(TRIM(E867))=0, "",VLOOKUP("Project Name",config!A:B,2,FALSE))</f>
        <v/>
      </c>
      <c r="N867" t="str">
        <f>IF(LEN(TRIM(E867))=0, "",VLOOKUP("Center Name",config!A:B,2,FALSE))</f>
        <v/>
      </c>
      <c r="O867" s="7" t="str">
        <f>IF(LEN(TRIM(E867))=0,"",VLOOKUP("Shipment Date",config!A:B,2,FALSE))</f>
        <v/>
      </c>
      <c r="P867" s="7" t="str">
        <f t="shared" si="54"/>
        <v/>
      </c>
      <c r="Q867" s="7" t="str">
        <f>IF(LEN(TRIM(D867))=0,"",GetConfigParameterValue("Collection Site"))</f>
        <v/>
      </c>
      <c r="R867" t="str">
        <f>IF(LEN(TRIM(E867))=0, "", GetManifestComments(H867))</f>
        <v/>
      </c>
      <c r="S867" t="str">
        <f>IF(LEN(TRIM(E867))=0,"",IF(ISERROR(VLOOKUP(E867,'Manifest MDB data'!A:A,1,FALSE)),"OK","EXISTS!!!"))</f>
        <v/>
      </c>
    </row>
    <row r="868" spans="4:19" x14ac:dyDescent="0.25">
      <c r="D868" t="str">
        <f t="shared" si="55"/>
        <v/>
      </c>
      <c r="E868" t="str">
        <f t="shared" si="56"/>
        <v/>
      </c>
      <c r="F868" t="str">
        <f t="shared" si="57"/>
        <v/>
      </c>
      <c r="G868" t="str">
        <f>IF(LEN(TRIM(E868))=0, "", GetSampleTissueBySpecimenPrep(H868))</f>
        <v/>
      </c>
      <c r="H868" t="str">
        <f>IF(LEN(TRIM(E868))=0, "", GetSpecimenPrepName())</f>
        <v/>
      </c>
      <c r="I868" t="str">
        <f>IF(LEN(TRIM(E868))=0, "", GetSampleVolumeBySpecimenPrep(H868))</f>
        <v/>
      </c>
      <c r="L868" t="str">
        <f>IF(LEN(TRIM(E868))=0,"",VLOOKUP("Manifest Id",config!A:B,2,FALSE))</f>
        <v/>
      </c>
      <c r="M868" t="str">
        <f>IF(LEN(TRIM(E868))=0, "",VLOOKUP("Project Name",config!A:B,2,FALSE))</f>
        <v/>
      </c>
      <c r="N868" t="str">
        <f>IF(LEN(TRIM(E868))=0, "",VLOOKUP("Center Name",config!A:B,2,FALSE))</f>
        <v/>
      </c>
      <c r="O868" s="7" t="str">
        <f>IF(LEN(TRIM(E868))=0,"",VLOOKUP("Shipment Date",config!A:B,2,FALSE))</f>
        <v/>
      </c>
      <c r="P868" s="7" t="str">
        <f t="shared" si="54"/>
        <v/>
      </c>
      <c r="Q868" s="7" t="str">
        <f>IF(LEN(TRIM(D868))=0,"",GetConfigParameterValue("Collection Site"))</f>
        <v/>
      </c>
      <c r="R868" t="str">
        <f>IF(LEN(TRIM(E868))=0, "", GetManifestComments(H868))</f>
        <v/>
      </c>
      <c r="S868" t="str">
        <f>IF(LEN(TRIM(E868))=0,"",IF(ISERROR(VLOOKUP(E868,'Manifest MDB data'!A:A,1,FALSE)),"OK","EXISTS!!!"))</f>
        <v/>
      </c>
    </row>
    <row r="869" spans="4:19" x14ac:dyDescent="0.25">
      <c r="D869" t="str">
        <f t="shared" si="55"/>
        <v/>
      </c>
      <c r="E869" t="str">
        <f t="shared" si="56"/>
        <v/>
      </c>
      <c r="F869" t="str">
        <f t="shared" si="57"/>
        <v/>
      </c>
      <c r="G869" t="str">
        <f>IF(LEN(TRIM(E869))=0, "", GetSampleTissueBySpecimenPrep(H869))</f>
        <v/>
      </c>
      <c r="H869" t="str">
        <f>IF(LEN(TRIM(E869))=0, "", GetSpecimenPrepName())</f>
        <v/>
      </c>
      <c r="I869" t="str">
        <f>IF(LEN(TRIM(E869))=0, "", GetSampleVolumeBySpecimenPrep(H869))</f>
        <v/>
      </c>
      <c r="L869" t="str">
        <f>IF(LEN(TRIM(E869))=0,"",VLOOKUP("Manifest Id",config!A:B,2,FALSE))</f>
        <v/>
      </c>
      <c r="M869" t="str">
        <f>IF(LEN(TRIM(E869))=0, "",VLOOKUP("Project Name",config!A:B,2,FALSE))</f>
        <v/>
      </c>
      <c r="N869" t="str">
        <f>IF(LEN(TRIM(E869))=0, "",VLOOKUP("Center Name",config!A:B,2,FALSE))</f>
        <v/>
      </c>
      <c r="O869" s="7" t="str">
        <f>IF(LEN(TRIM(E869))=0,"",VLOOKUP("Shipment Date",config!A:B,2,FALSE))</f>
        <v/>
      </c>
      <c r="P869" s="7" t="str">
        <f t="shared" si="54"/>
        <v/>
      </c>
      <c r="Q869" s="7" t="str">
        <f>IF(LEN(TRIM(D869))=0,"",GetConfigParameterValue("Collection Site"))</f>
        <v/>
      </c>
      <c r="R869" t="str">
        <f>IF(LEN(TRIM(E869))=0, "", GetManifestComments(H869))</f>
        <v/>
      </c>
      <c r="S869" t="str">
        <f>IF(LEN(TRIM(E869))=0,"",IF(ISERROR(VLOOKUP(E869,'Manifest MDB data'!A:A,1,FALSE)),"OK","EXISTS!!!"))</f>
        <v/>
      </c>
    </row>
    <row r="870" spans="4:19" x14ac:dyDescent="0.25">
      <c r="D870" t="str">
        <f t="shared" si="55"/>
        <v/>
      </c>
      <c r="E870" t="str">
        <f t="shared" si="56"/>
        <v/>
      </c>
      <c r="F870" t="str">
        <f t="shared" si="57"/>
        <v/>
      </c>
      <c r="G870" t="str">
        <f>IF(LEN(TRIM(E870))=0, "", GetSampleTissueBySpecimenPrep(H870))</f>
        <v/>
      </c>
      <c r="H870" t="str">
        <f>IF(LEN(TRIM(E870))=0, "", GetSpecimenPrepName())</f>
        <v/>
      </c>
      <c r="I870" t="str">
        <f>IF(LEN(TRIM(E870))=0, "", GetSampleVolumeBySpecimenPrep(H870))</f>
        <v/>
      </c>
      <c r="L870" t="str">
        <f>IF(LEN(TRIM(E870))=0,"",VLOOKUP("Manifest Id",config!A:B,2,FALSE))</f>
        <v/>
      </c>
      <c r="M870" t="str">
        <f>IF(LEN(TRIM(E870))=0, "",VLOOKUP("Project Name",config!A:B,2,FALSE))</f>
        <v/>
      </c>
      <c r="N870" t="str">
        <f>IF(LEN(TRIM(E870))=0, "",VLOOKUP("Center Name",config!A:B,2,FALSE))</f>
        <v/>
      </c>
      <c r="O870" s="7" t="str">
        <f>IF(LEN(TRIM(E870))=0,"",VLOOKUP("Shipment Date",config!A:B,2,FALSE))</f>
        <v/>
      </c>
      <c r="P870" s="7" t="str">
        <f t="shared" si="54"/>
        <v/>
      </c>
      <c r="Q870" s="7" t="str">
        <f>IF(LEN(TRIM(D870))=0,"",GetConfigParameterValue("Collection Site"))</f>
        <v/>
      </c>
      <c r="R870" t="str">
        <f>IF(LEN(TRIM(E870))=0, "", GetManifestComments(H870))</f>
        <v/>
      </c>
      <c r="S870" t="str">
        <f>IF(LEN(TRIM(E870))=0,"",IF(ISERROR(VLOOKUP(E870,'Manifest MDB data'!A:A,1,FALSE)),"OK","EXISTS!!!"))</f>
        <v/>
      </c>
    </row>
    <row r="871" spans="4:19" x14ac:dyDescent="0.25">
      <c r="D871" t="str">
        <f t="shared" si="55"/>
        <v/>
      </c>
      <c r="E871" t="str">
        <f t="shared" si="56"/>
        <v/>
      </c>
      <c r="F871" t="str">
        <f t="shared" si="57"/>
        <v/>
      </c>
      <c r="G871" t="str">
        <f>IF(LEN(TRIM(E871))=0, "", GetSampleTissueBySpecimenPrep(H871))</f>
        <v/>
      </c>
      <c r="H871" t="str">
        <f>IF(LEN(TRIM(E871))=0, "", GetSpecimenPrepName())</f>
        <v/>
      </c>
      <c r="I871" t="str">
        <f>IF(LEN(TRIM(E871))=0, "", GetSampleVolumeBySpecimenPrep(H871))</f>
        <v/>
      </c>
      <c r="L871" t="str">
        <f>IF(LEN(TRIM(E871))=0,"",VLOOKUP("Manifest Id",config!A:B,2,FALSE))</f>
        <v/>
      </c>
      <c r="M871" t="str">
        <f>IF(LEN(TRIM(E871))=0, "",VLOOKUP("Project Name",config!A:B,2,FALSE))</f>
        <v/>
      </c>
      <c r="N871" t="str">
        <f>IF(LEN(TRIM(E871))=0, "",VLOOKUP("Center Name",config!A:B,2,FALSE))</f>
        <v/>
      </c>
      <c r="O871" s="7" t="str">
        <f>IF(LEN(TRIM(E871))=0,"",VLOOKUP("Shipment Date",config!A:B,2,FALSE))</f>
        <v/>
      </c>
      <c r="P871" s="7" t="str">
        <f t="shared" si="54"/>
        <v/>
      </c>
      <c r="Q871" s="7" t="str">
        <f>IF(LEN(TRIM(D871))=0,"",GetConfigParameterValue("Collection Site"))</f>
        <v/>
      </c>
      <c r="R871" t="str">
        <f>IF(LEN(TRIM(E871))=0, "", GetManifestComments(H871))</f>
        <v/>
      </c>
      <c r="S871" t="str">
        <f>IF(LEN(TRIM(E871))=0,"",IF(ISERROR(VLOOKUP(E871,'Manifest MDB data'!A:A,1,FALSE)),"OK","EXISTS!!!"))</f>
        <v/>
      </c>
    </row>
    <row r="872" spans="4:19" x14ac:dyDescent="0.25">
      <c r="D872" t="str">
        <f t="shared" si="55"/>
        <v/>
      </c>
      <c r="E872" t="str">
        <f t="shared" si="56"/>
        <v/>
      </c>
      <c r="F872" t="str">
        <f t="shared" si="57"/>
        <v/>
      </c>
      <c r="G872" t="str">
        <f>IF(LEN(TRIM(E872))=0, "", GetSampleTissueBySpecimenPrep(H872))</f>
        <v/>
      </c>
      <c r="H872" t="str">
        <f>IF(LEN(TRIM(E872))=0, "", GetSpecimenPrepName())</f>
        <v/>
      </c>
      <c r="I872" t="str">
        <f>IF(LEN(TRIM(E872))=0, "", GetSampleVolumeBySpecimenPrep(H872))</f>
        <v/>
      </c>
      <c r="L872" t="str">
        <f>IF(LEN(TRIM(E872))=0,"",VLOOKUP("Manifest Id",config!A:B,2,FALSE))</f>
        <v/>
      </c>
      <c r="M872" t="str">
        <f>IF(LEN(TRIM(E872))=0, "",VLOOKUP("Project Name",config!A:B,2,FALSE))</f>
        <v/>
      </c>
      <c r="N872" t="str">
        <f>IF(LEN(TRIM(E872))=0, "",VLOOKUP("Center Name",config!A:B,2,FALSE))</f>
        <v/>
      </c>
      <c r="O872" s="7" t="str">
        <f>IF(LEN(TRIM(E872))=0,"",VLOOKUP("Shipment Date",config!A:B,2,FALSE))</f>
        <v/>
      </c>
      <c r="P872" s="7" t="str">
        <f t="shared" si="54"/>
        <v/>
      </c>
      <c r="Q872" s="7" t="str">
        <f>IF(LEN(TRIM(D872))=0,"",GetConfigParameterValue("Collection Site"))</f>
        <v/>
      </c>
      <c r="R872" t="str">
        <f>IF(LEN(TRIM(E872))=0, "", GetManifestComments(H872))</f>
        <v/>
      </c>
      <c r="S872" t="str">
        <f>IF(LEN(TRIM(E872))=0,"",IF(ISERROR(VLOOKUP(E872,'Manifest MDB data'!A:A,1,FALSE)),"OK","EXISTS!!!"))</f>
        <v/>
      </c>
    </row>
    <row r="873" spans="4:19" x14ac:dyDescent="0.25">
      <c r="D873" t="str">
        <f t="shared" si="55"/>
        <v/>
      </c>
      <c r="E873" t="str">
        <f t="shared" si="56"/>
        <v/>
      </c>
      <c r="F873" t="str">
        <f t="shared" si="57"/>
        <v/>
      </c>
      <c r="G873" t="str">
        <f>IF(LEN(TRIM(E873))=0, "", GetSampleTissueBySpecimenPrep(H873))</f>
        <v/>
      </c>
      <c r="H873" t="str">
        <f>IF(LEN(TRIM(E873))=0, "", GetSpecimenPrepName())</f>
        <v/>
      </c>
      <c r="I873" t="str">
        <f>IF(LEN(TRIM(E873))=0, "", GetSampleVolumeBySpecimenPrep(H873))</f>
        <v/>
      </c>
      <c r="L873" t="str">
        <f>IF(LEN(TRIM(E873))=0,"",VLOOKUP("Manifest Id",config!A:B,2,FALSE))</f>
        <v/>
      </c>
      <c r="M873" t="str">
        <f>IF(LEN(TRIM(E873))=0, "",VLOOKUP("Project Name",config!A:B,2,FALSE))</f>
        <v/>
      </c>
      <c r="N873" t="str">
        <f>IF(LEN(TRIM(E873))=0, "",VLOOKUP("Center Name",config!A:B,2,FALSE))</f>
        <v/>
      </c>
      <c r="O873" s="7" t="str">
        <f>IF(LEN(TRIM(E873))=0,"",VLOOKUP("Shipment Date",config!A:B,2,FALSE))</f>
        <v/>
      </c>
      <c r="P873" s="7" t="str">
        <f t="shared" si="54"/>
        <v/>
      </c>
      <c r="Q873" s="7" t="str">
        <f>IF(LEN(TRIM(D873))=0,"",GetConfigParameterValue("Collection Site"))</f>
        <v/>
      </c>
      <c r="R873" t="str">
        <f>IF(LEN(TRIM(E873))=0, "", GetManifestComments(H873))</f>
        <v/>
      </c>
      <c r="S873" t="str">
        <f>IF(LEN(TRIM(E873))=0,"",IF(ISERROR(VLOOKUP(E873,'Manifest MDB data'!A:A,1,FALSE)),"OK","EXISTS!!!"))</f>
        <v/>
      </c>
    </row>
    <row r="874" spans="4:19" x14ac:dyDescent="0.25">
      <c r="D874" t="str">
        <f t="shared" si="55"/>
        <v/>
      </c>
      <c r="E874" t="str">
        <f t="shared" si="56"/>
        <v/>
      </c>
      <c r="F874" t="str">
        <f t="shared" si="57"/>
        <v/>
      </c>
      <c r="G874" t="str">
        <f>IF(LEN(TRIM(E874))=0, "", GetSampleTissueBySpecimenPrep(H874))</f>
        <v/>
      </c>
      <c r="H874" t="str">
        <f>IF(LEN(TRIM(E874))=0, "", GetSpecimenPrepName())</f>
        <v/>
      </c>
      <c r="I874" t="str">
        <f>IF(LEN(TRIM(E874))=0, "", GetSampleVolumeBySpecimenPrep(H874))</f>
        <v/>
      </c>
      <c r="L874" t="str">
        <f>IF(LEN(TRIM(E874))=0,"",VLOOKUP("Manifest Id",config!A:B,2,FALSE))</f>
        <v/>
      </c>
      <c r="M874" t="str">
        <f>IF(LEN(TRIM(E874))=0, "",VLOOKUP("Project Name",config!A:B,2,FALSE))</f>
        <v/>
      </c>
      <c r="N874" t="str">
        <f>IF(LEN(TRIM(E874))=0, "",VLOOKUP("Center Name",config!A:B,2,FALSE))</f>
        <v/>
      </c>
      <c r="O874" s="7" t="str">
        <f>IF(LEN(TRIM(E874))=0,"",VLOOKUP("Shipment Date",config!A:B,2,FALSE))</f>
        <v/>
      </c>
      <c r="P874" s="7" t="str">
        <f t="shared" si="54"/>
        <v/>
      </c>
      <c r="Q874" s="7" t="str">
        <f>IF(LEN(TRIM(D874))=0,"",GetConfigParameterValue("Collection Site"))</f>
        <v/>
      </c>
      <c r="R874" t="str">
        <f>IF(LEN(TRIM(E874))=0, "", GetManifestComments(H874))</f>
        <v/>
      </c>
      <c r="S874" t="str">
        <f>IF(LEN(TRIM(E874))=0,"",IF(ISERROR(VLOOKUP(E874,'Manifest MDB data'!A:A,1,FALSE)),"OK","EXISTS!!!"))</f>
        <v/>
      </c>
    </row>
    <row r="875" spans="4:19" x14ac:dyDescent="0.25">
      <c r="D875" t="str">
        <f t="shared" si="55"/>
        <v/>
      </c>
      <c r="E875" t="str">
        <f t="shared" si="56"/>
        <v/>
      </c>
      <c r="F875" t="str">
        <f t="shared" si="57"/>
        <v/>
      </c>
      <c r="G875" t="str">
        <f>IF(LEN(TRIM(E875))=0, "", GetSampleTissueBySpecimenPrep(H875))</f>
        <v/>
      </c>
      <c r="H875" t="str">
        <f>IF(LEN(TRIM(E875))=0, "", GetSpecimenPrepName())</f>
        <v/>
      </c>
      <c r="I875" t="str">
        <f>IF(LEN(TRIM(E875))=0, "", GetSampleVolumeBySpecimenPrep(H875))</f>
        <v/>
      </c>
      <c r="L875" t="str">
        <f>IF(LEN(TRIM(E875))=0,"",VLOOKUP("Manifest Id",config!A:B,2,FALSE))</f>
        <v/>
      </c>
      <c r="M875" t="str">
        <f>IF(LEN(TRIM(E875))=0, "",VLOOKUP("Project Name",config!A:B,2,FALSE))</f>
        <v/>
      </c>
      <c r="N875" t="str">
        <f>IF(LEN(TRIM(E875))=0, "",VLOOKUP("Center Name",config!A:B,2,FALSE))</f>
        <v/>
      </c>
      <c r="O875" s="7" t="str">
        <f>IF(LEN(TRIM(E875))=0,"",VLOOKUP("Shipment Date",config!A:B,2,FALSE))</f>
        <v/>
      </c>
      <c r="P875" s="7" t="str">
        <f t="shared" si="54"/>
        <v/>
      </c>
      <c r="Q875" s="7" t="str">
        <f>IF(LEN(TRIM(D875))=0,"",GetConfigParameterValue("Collection Site"))</f>
        <v/>
      </c>
      <c r="R875" t="str">
        <f>IF(LEN(TRIM(E875))=0, "", GetManifestComments(H875))</f>
        <v/>
      </c>
      <c r="S875" t="str">
        <f>IF(LEN(TRIM(E875))=0,"",IF(ISERROR(VLOOKUP(E875,'Manifest MDB data'!A:A,1,FALSE)),"OK","EXISTS!!!"))</f>
        <v/>
      </c>
    </row>
    <row r="876" spans="4:19" x14ac:dyDescent="0.25">
      <c r="D876" t="str">
        <f t="shared" si="55"/>
        <v/>
      </c>
      <c r="E876" t="str">
        <f t="shared" si="56"/>
        <v/>
      </c>
      <c r="F876" t="str">
        <f t="shared" si="57"/>
        <v/>
      </c>
      <c r="G876" t="str">
        <f>IF(LEN(TRIM(E876))=0, "", GetSampleTissueBySpecimenPrep(H876))</f>
        <v/>
      </c>
      <c r="H876" t="str">
        <f>IF(LEN(TRIM(E876))=0, "", GetSpecimenPrepName())</f>
        <v/>
      </c>
      <c r="I876" t="str">
        <f>IF(LEN(TRIM(E876))=0, "", GetSampleVolumeBySpecimenPrep(H876))</f>
        <v/>
      </c>
      <c r="L876" t="str">
        <f>IF(LEN(TRIM(E876))=0,"",VLOOKUP("Manifest Id",config!A:B,2,FALSE))</f>
        <v/>
      </c>
      <c r="M876" t="str">
        <f>IF(LEN(TRIM(E876))=0, "",VLOOKUP("Project Name",config!A:B,2,FALSE))</f>
        <v/>
      </c>
      <c r="N876" t="str">
        <f>IF(LEN(TRIM(E876))=0, "",VLOOKUP("Center Name",config!A:B,2,FALSE))</f>
        <v/>
      </c>
      <c r="O876" s="7" t="str">
        <f>IF(LEN(TRIM(E876))=0,"",VLOOKUP("Shipment Date",config!A:B,2,FALSE))</f>
        <v/>
      </c>
      <c r="P876" s="7" t="str">
        <f t="shared" si="54"/>
        <v/>
      </c>
      <c r="Q876" s="7" t="str">
        <f>IF(LEN(TRIM(D876))=0,"",GetConfigParameterValue("Collection Site"))</f>
        <v/>
      </c>
      <c r="R876" t="str">
        <f>IF(LEN(TRIM(E876))=0, "", GetManifestComments(H876))</f>
        <v/>
      </c>
      <c r="S876" t="str">
        <f>IF(LEN(TRIM(E876))=0,"",IF(ISERROR(VLOOKUP(E876,'Manifest MDB data'!A:A,1,FALSE)),"OK","EXISTS!!!"))</f>
        <v/>
      </c>
    </row>
    <row r="877" spans="4:19" x14ac:dyDescent="0.25">
      <c r="D877" t="str">
        <f t="shared" si="55"/>
        <v/>
      </c>
      <c r="E877" t="str">
        <f t="shared" si="56"/>
        <v/>
      </c>
      <c r="F877" t="str">
        <f t="shared" si="57"/>
        <v/>
      </c>
      <c r="G877" t="str">
        <f>IF(LEN(TRIM(E877))=0, "", GetSampleTissueBySpecimenPrep(H877))</f>
        <v/>
      </c>
      <c r="H877" t="str">
        <f>IF(LEN(TRIM(E877))=0, "", GetSpecimenPrepName())</f>
        <v/>
      </c>
      <c r="I877" t="str">
        <f>IF(LEN(TRIM(E877))=0, "", GetSampleVolumeBySpecimenPrep(H877))</f>
        <v/>
      </c>
      <c r="L877" t="str">
        <f>IF(LEN(TRIM(E877))=0,"",VLOOKUP("Manifest Id",config!A:B,2,FALSE))</f>
        <v/>
      </c>
      <c r="M877" t="str">
        <f>IF(LEN(TRIM(E877))=0, "",VLOOKUP("Project Name",config!A:B,2,FALSE))</f>
        <v/>
      </c>
      <c r="N877" t="str">
        <f>IF(LEN(TRIM(E877))=0, "",VLOOKUP("Center Name",config!A:B,2,FALSE))</f>
        <v/>
      </c>
      <c r="O877" s="7" t="str">
        <f>IF(LEN(TRIM(E877))=0,"",VLOOKUP("Shipment Date",config!A:B,2,FALSE))</f>
        <v/>
      </c>
      <c r="P877" s="7" t="str">
        <f t="shared" si="54"/>
        <v/>
      </c>
      <c r="Q877" s="7" t="str">
        <f>IF(LEN(TRIM(D877))=0,"",GetConfigParameterValue("Collection Site"))</f>
        <v/>
      </c>
      <c r="R877" t="str">
        <f>IF(LEN(TRIM(E877))=0, "", GetManifestComments(H877))</f>
        <v/>
      </c>
      <c r="S877" t="str">
        <f>IF(LEN(TRIM(E877))=0,"",IF(ISERROR(VLOOKUP(E877,'Manifest MDB data'!A:A,1,FALSE)),"OK","EXISTS!!!"))</f>
        <v/>
      </c>
    </row>
    <row r="878" spans="4:19" x14ac:dyDescent="0.25">
      <c r="D878" t="str">
        <f t="shared" si="55"/>
        <v/>
      </c>
      <c r="E878" t="str">
        <f t="shared" si="56"/>
        <v/>
      </c>
      <c r="F878" t="str">
        <f t="shared" si="57"/>
        <v/>
      </c>
      <c r="G878" t="str">
        <f>IF(LEN(TRIM(E878))=0, "", GetSampleTissueBySpecimenPrep(H878))</f>
        <v/>
      </c>
      <c r="H878" t="str">
        <f>IF(LEN(TRIM(E878))=0, "", GetSpecimenPrepName())</f>
        <v/>
      </c>
      <c r="I878" t="str">
        <f>IF(LEN(TRIM(E878))=0, "", GetSampleVolumeBySpecimenPrep(H878))</f>
        <v/>
      </c>
      <c r="L878" t="str">
        <f>IF(LEN(TRIM(E878))=0,"",VLOOKUP("Manifest Id",config!A:B,2,FALSE))</f>
        <v/>
      </c>
      <c r="M878" t="str">
        <f>IF(LEN(TRIM(E878))=0, "",VLOOKUP("Project Name",config!A:B,2,FALSE))</f>
        <v/>
      </c>
      <c r="N878" t="str">
        <f>IF(LEN(TRIM(E878))=0, "",VLOOKUP("Center Name",config!A:B,2,FALSE))</f>
        <v/>
      </c>
      <c r="O878" s="7" t="str">
        <f>IF(LEN(TRIM(E878))=0,"",VLOOKUP("Shipment Date",config!A:B,2,FALSE))</f>
        <v/>
      </c>
      <c r="P878" s="7" t="str">
        <f t="shared" si="54"/>
        <v/>
      </c>
      <c r="Q878" s="7" t="str">
        <f>IF(LEN(TRIM(D878))=0,"",GetConfigParameterValue("Collection Site"))</f>
        <v/>
      </c>
      <c r="R878" t="str">
        <f>IF(LEN(TRIM(E878))=0, "", GetManifestComments(H878))</f>
        <v/>
      </c>
      <c r="S878" t="str">
        <f>IF(LEN(TRIM(E878))=0,"",IF(ISERROR(VLOOKUP(E878,'Manifest MDB data'!A:A,1,FALSE)),"OK","EXISTS!!!"))</f>
        <v/>
      </c>
    </row>
    <row r="879" spans="4:19" x14ac:dyDescent="0.25">
      <c r="D879" t="str">
        <f t="shared" si="55"/>
        <v/>
      </c>
      <c r="E879" t="str">
        <f t="shared" si="56"/>
        <v/>
      </c>
      <c r="F879" t="str">
        <f t="shared" si="57"/>
        <v/>
      </c>
      <c r="G879" t="str">
        <f>IF(LEN(TRIM(E879))=0, "", GetSampleTissueBySpecimenPrep(H879))</f>
        <v/>
      </c>
      <c r="H879" t="str">
        <f>IF(LEN(TRIM(E879))=0, "", GetSpecimenPrepName())</f>
        <v/>
      </c>
      <c r="I879" t="str">
        <f>IF(LEN(TRIM(E879))=0, "", GetSampleVolumeBySpecimenPrep(H879))</f>
        <v/>
      </c>
      <c r="L879" t="str">
        <f>IF(LEN(TRIM(E879))=0,"",VLOOKUP("Manifest Id",config!A:B,2,FALSE))</f>
        <v/>
      </c>
      <c r="M879" t="str">
        <f>IF(LEN(TRIM(E879))=0, "",VLOOKUP("Project Name",config!A:B,2,FALSE))</f>
        <v/>
      </c>
      <c r="N879" t="str">
        <f>IF(LEN(TRIM(E879))=0, "",VLOOKUP("Center Name",config!A:B,2,FALSE))</f>
        <v/>
      </c>
      <c r="O879" s="7" t="str">
        <f>IF(LEN(TRIM(E879))=0,"",VLOOKUP("Shipment Date",config!A:B,2,FALSE))</f>
        <v/>
      </c>
      <c r="P879" s="7" t="str">
        <f t="shared" si="54"/>
        <v/>
      </c>
      <c r="Q879" s="7" t="str">
        <f>IF(LEN(TRIM(D879))=0,"",GetConfigParameterValue("Collection Site"))</f>
        <v/>
      </c>
      <c r="R879" t="str">
        <f>IF(LEN(TRIM(E879))=0, "", GetManifestComments(H879))</f>
        <v/>
      </c>
      <c r="S879" t="str">
        <f>IF(LEN(TRIM(E879))=0,"",IF(ISERROR(VLOOKUP(E879,'Manifest MDB data'!A:A,1,FALSE)),"OK","EXISTS!!!"))</f>
        <v/>
      </c>
    </row>
    <row r="880" spans="4:19" x14ac:dyDescent="0.25">
      <c r="D880" t="str">
        <f t="shared" si="55"/>
        <v/>
      </c>
      <c r="E880" t="str">
        <f t="shared" si="56"/>
        <v/>
      </c>
      <c r="F880" t="str">
        <f t="shared" si="57"/>
        <v/>
      </c>
      <c r="G880" t="str">
        <f>IF(LEN(TRIM(E880))=0, "", GetSampleTissueBySpecimenPrep(H880))</f>
        <v/>
      </c>
      <c r="H880" t="str">
        <f>IF(LEN(TRIM(E880))=0, "", GetSpecimenPrepName())</f>
        <v/>
      </c>
      <c r="I880" t="str">
        <f>IF(LEN(TRIM(E880))=0, "", GetSampleVolumeBySpecimenPrep(H880))</f>
        <v/>
      </c>
      <c r="L880" t="str">
        <f>IF(LEN(TRIM(E880))=0,"",VLOOKUP("Manifest Id",config!A:B,2,FALSE))</f>
        <v/>
      </c>
      <c r="M880" t="str">
        <f>IF(LEN(TRIM(E880))=0, "",VLOOKUP("Project Name",config!A:B,2,FALSE))</f>
        <v/>
      </c>
      <c r="N880" t="str">
        <f>IF(LEN(TRIM(E880))=0, "",VLOOKUP("Center Name",config!A:B,2,FALSE))</f>
        <v/>
      </c>
      <c r="O880" s="7" t="str">
        <f>IF(LEN(TRIM(E880))=0,"",VLOOKUP("Shipment Date",config!A:B,2,FALSE))</f>
        <v/>
      </c>
      <c r="P880" s="7" t="str">
        <f t="shared" si="54"/>
        <v/>
      </c>
      <c r="Q880" s="7" t="str">
        <f>IF(LEN(TRIM(D880))=0,"",GetConfigParameterValue("Collection Site"))</f>
        <v/>
      </c>
      <c r="R880" t="str">
        <f>IF(LEN(TRIM(E880))=0, "", GetManifestComments(H880))</f>
        <v/>
      </c>
      <c r="S880" t="str">
        <f>IF(LEN(TRIM(E880))=0,"",IF(ISERROR(VLOOKUP(E880,'Manifest MDB data'!A:A,1,FALSE)),"OK","EXISTS!!!"))</f>
        <v/>
      </c>
    </row>
    <row r="881" spans="4:19" x14ac:dyDescent="0.25">
      <c r="D881" t="str">
        <f t="shared" si="55"/>
        <v/>
      </c>
      <c r="E881" t="str">
        <f t="shared" si="56"/>
        <v/>
      </c>
      <c r="F881" t="str">
        <f t="shared" si="57"/>
        <v/>
      </c>
      <c r="G881" t="str">
        <f>IF(LEN(TRIM(E881))=0, "", GetSampleTissueBySpecimenPrep(H881))</f>
        <v/>
      </c>
      <c r="H881" t="str">
        <f>IF(LEN(TRIM(E881))=0, "", GetSpecimenPrepName())</f>
        <v/>
      </c>
      <c r="I881" t="str">
        <f>IF(LEN(TRIM(E881))=0, "", GetSampleVolumeBySpecimenPrep(H881))</f>
        <v/>
      </c>
      <c r="L881" t="str">
        <f>IF(LEN(TRIM(E881))=0,"",VLOOKUP("Manifest Id",config!A:B,2,FALSE))</f>
        <v/>
      </c>
      <c r="M881" t="str">
        <f>IF(LEN(TRIM(E881))=0, "",VLOOKUP("Project Name",config!A:B,2,FALSE))</f>
        <v/>
      </c>
      <c r="N881" t="str">
        <f>IF(LEN(TRIM(E881))=0, "",VLOOKUP("Center Name",config!A:B,2,FALSE))</f>
        <v/>
      </c>
      <c r="O881" s="7" t="str">
        <f>IF(LEN(TRIM(E881))=0,"",VLOOKUP("Shipment Date",config!A:B,2,FALSE))</f>
        <v/>
      </c>
      <c r="P881" s="7" t="str">
        <f t="shared" si="54"/>
        <v/>
      </c>
      <c r="Q881" s="7" t="str">
        <f>IF(LEN(TRIM(D881))=0,"",GetConfigParameterValue("Collection Site"))</f>
        <v/>
      </c>
      <c r="R881" t="str">
        <f>IF(LEN(TRIM(E881))=0, "", GetManifestComments(H881))</f>
        <v/>
      </c>
      <c r="S881" t="str">
        <f>IF(LEN(TRIM(E881))=0,"",IF(ISERROR(VLOOKUP(E881,'Manifest MDB data'!A:A,1,FALSE)),"OK","EXISTS!!!"))</f>
        <v/>
      </c>
    </row>
    <row r="882" spans="4:19" x14ac:dyDescent="0.25">
      <c r="D882" t="str">
        <f t="shared" si="55"/>
        <v/>
      </c>
      <c r="E882" t="str">
        <f t="shared" si="56"/>
        <v/>
      </c>
      <c r="F882" t="str">
        <f t="shared" si="57"/>
        <v/>
      </c>
      <c r="G882" t="str">
        <f>IF(LEN(TRIM(E882))=0, "", GetSampleTissueBySpecimenPrep(H882))</f>
        <v/>
      </c>
      <c r="H882" t="str">
        <f>IF(LEN(TRIM(E882))=0, "", GetSpecimenPrepName())</f>
        <v/>
      </c>
      <c r="I882" t="str">
        <f>IF(LEN(TRIM(E882))=0, "", GetSampleVolumeBySpecimenPrep(H882))</f>
        <v/>
      </c>
      <c r="L882" t="str">
        <f>IF(LEN(TRIM(E882))=0,"",VLOOKUP("Manifest Id",config!A:B,2,FALSE))</f>
        <v/>
      </c>
      <c r="M882" t="str">
        <f>IF(LEN(TRIM(E882))=0, "",VLOOKUP("Project Name",config!A:B,2,FALSE))</f>
        <v/>
      </c>
      <c r="N882" t="str">
        <f>IF(LEN(TRIM(E882))=0, "",VLOOKUP("Center Name",config!A:B,2,FALSE))</f>
        <v/>
      </c>
      <c r="O882" s="7" t="str">
        <f>IF(LEN(TRIM(E882))=0,"",VLOOKUP("Shipment Date",config!A:B,2,FALSE))</f>
        <v/>
      </c>
      <c r="P882" s="7" t="str">
        <f t="shared" si="54"/>
        <v/>
      </c>
      <c r="Q882" s="7" t="str">
        <f>IF(LEN(TRIM(D882))=0,"",GetConfigParameterValue("Collection Site"))</f>
        <v/>
      </c>
      <c r="R882" t="str">
        <f>IF(LEN(TRIM(E882))=0, "", GetManifestComments(H882))</f>
        <v/>
      </c>
      <c r="S882" t="str">
        <f>IF(LEN(TRIM(E882))=0,"",IF(ISERROR(VLOOKUP(E882,'Manifest MDB data'!A:A,1,FALSE)),"OK","EXISTS!!!"))</f>
        <v/>
      </c>
    </row>
    <row r="883" spans="4:19" x14ac:dyDescent="0.25">
      <c r="D883" t="str">
        <f t="shared" si="55"/>
        <v/>
      </c>
      <c r="E883" t="str">
        <f t="shared" si="56"/>
        <v/>
      </c>
      <c r="F883" t="str">
        <f t="shared" si="57"/>
        <v/>
      </c>
      <c r="G883" t="str">
        <f>IF(LEN(TRIM(E883))=0, "", GetSampleTissueBySpecimenPrep(H883))</f>
        <v/>
      </c>
      <c r="H883" t="str">
        <f>IF(LEN(TRIM(E883))=0, "", GetSpecimenPrepName())</f>
        <v/>
      </c>
      <c r="I883" t="str">
        <f>IF(LEN(TRIM(E883))=0, "", GetSampleVolumeBySpecimenPrep(H883))</f>
        <v/>
      </c>
      <c r="L883" t="str">
        <f>IF(LEN(TRIM(E883))=0,"",VLOOKUP("Manifest Id",config!A:B,2,FALSE))</f>
        <v/>
      </c>
      <c r="M883" t="str">
        <f>IF(LEN(TRIM(E883))=0, "",VLOOKUP("Project Name",config!A:B,2,FALSE))</f>
        <v/>
      </c>
      <c r="N883" t="str">
        <f>IF(LEN(TRIM(E883))=0, "",VLOOKUP("Center Name",config!A:B,2,FALSE))</f>
        <v/>
      </c>
      <c r="O883" s="7" t="str">
        <f>IF(LEN(TRIM(E883))=0,"",VLOOKUP("Shipment Date",config!A:B,2,FALSE))</f>
        <v/>
      </c>
      <c r="P883" s="7" t="str">
        <f t="shared" si="54"/>
        <v/>
      </c>
      <c r="Q883" s="7" t="str">
        <f>IF(LEN(TRIM(D883))=0,"",GetConfigParameterValue("Collection Site"))</f>
        <v/>
      </c>
      <c r="R883" t="str">
        <f>IF(LEN(TRIM(E883))=0, "", GetManifestComments(H883))</f>
        <v/>
      </c>
      <c r="S883" t="str">
        <f>IF(LEN(TRIM(E883))=0,"",IF(ISERROR(VLOOKUP(E883,'Manifest MDB data'!A:A,1,FALSE)),"OK","EXISTS!!!"))</f>
        <v/>
      </c>
    </row>
    <row r="884" spans="4:19" x14ac:dyDescent="0.25">
      <c r="D884" t="str">
        <f t="shared" si="55"/>
        <v/>
      </c>
      <c r="E884" t="str">
        <f t="shared" si="56"/>
        <v/>
      </c>
      <c r="F884" t="str">
        <f t="shared" si="57"/>
        <v/>
      </c>
      <c r="G884" t="str">
        <f>IF(LEN(TRIM(E884))=0, "", GetSampleTissueBySpecimenPrep(H884))</f>
        <v/>
      </c>
      <c r="H884" t="str">
        <f>IF(LEN(TRIM(E884))=0, "", GetSpecimenPrepName())</f>
        <v/>
      </c>
      <c r="I884" t="str">
        <f>IF(LEN(TRIM(E884))=0, "", GetSampleVolumeBySpecimenPrep(H884))</f>
        <v/>
      </c>
      <c r="L884" t="str">
        <f>IF(LEN(TRIM(E884))=0,"",VLOOKUP("Manifest Id",config!A:B,2,FALSE))</f>
        <v/>
      </c>
      <c r="M884" t="str">
        <f>IF(LEN(TRIM(E884))=0, "",VLOOKUP("Project Name",config!A:B,2,FALSE))</f>
        <v/>
      </c>
      <c r="N884" t="str">
        <f>IF(LEN(TRIM(E884))=0, "",VLOOKUP("Center Name",config!A:B,2,FALSE))</f>
        <v/>
      </c>
      <c r="O884" s="7" t="str">
        <f>IF(LEN(TRIM(E884))=0,"",VLOOKUP("Shipment Date",config!A:B,2,FALSE))</f>
        <v/>
      </c>
      <c r="P884" s="7" t="str">
        <f t="shared" si="54"/>
        <v/>
      </c>
      <c r="Q884" s="7" t="str">
        <f>IF(LEN(TRIM(D884))=0,"",GetConfigParameterValue("Collection Site"))</f>
        <v/>
      </c>
      <c r="R884" t="str">
        <f>IF(LEN(TRIM(E884))=0, "", GetManifestComments(H884))</f>
        <v/>
      </c>
      <c r="S884" t="str">
        <f>IF(LEN(TRIM(E884))=0,"",IF(ISERROR(VLOOKUP(E884,'Manifest MDB data'!A:A,1,FALSE)),"OK","EXISTS!!!"))</f>
        <v/>
      </c>
    </row>
    <row r="885" spans="4:19" x14ac:dyDescent="0.25">
      <c r="D885" t="str">
        <f t="shared" si="55"/>
        <v/>
      </c>
      <c r="E885" t="str">
        <f t="shared" si="56"/>
        <v/>
      </c>
      <c r="F885" t="str">
        <f t="shared" si="57"/>
        <v/>
      </c>
      <c r="G885" t="str">
        <f>IF(LEN(TRIM(E885))=0, "", GetSampleTissueBySpecimenPrep(H885))</f>
        <v/>
      </c>
      <c r="H885" t="str">
        <f>IF(LEN(TRIM(E885))=0, "", GetSpecimenPrepName())</f>
        <v/>
      </c>
      <c r="I885" t="str">
        <f>IF(LEN(TRIM(E885))=0, "", GetSampleVolumeBySpecimenPrep(H885))</f>
        <v/>
      </c>
      <c r="L885" t="str">
        <f>IF(LEN(TRIM(E885))=0,"",VLOOKUP("Manifest Id",config!A:B,2,FALSE))</f>
        <v/>
      </c>
      <c r="M885" t="str">
        <f>IF(LEN(TRIM(E885))=0, "",VLOOKUP("Project Name",config!A:B,2,FALSE))</f>
        <v/>
      </c>
      <c r="N885" t="str">
        <f>IF(LEN(TRIM(E885))=0, "",VLOOKUP("Center Name",config!A:B,2,FALSE))</f>
        <v/>
      </c>
      <c r="O885" s="7" t="str">
        <f>IF(LEN(TRIM(E885))=0,"",VLOOKUP("Shipment Date",config!A:B,2,FALSE))</f>
        <v/>
      </c>
      <c r="P885" s="7" t="str">
        <f t="shared" si="54"/>
        <v/>
      </c>
      <c r="Q885" s="7" t="str">
        <f>IF(LEN(TRIM(D885))=0,"",GetConfigParameterValue("Collection Site"))</f>
        <v/>
      </c>
      <c r="R885" t="str">
        <f>IF(LEN(TRIM(E885))=0, "", GetManifestComments(H885))</f>
        <v/>
      </c>
      <c r="S885" t="str">
        <f>IF(LEN(TRIM(E885))=0,"",IF(ISERROR(VLOOKUP(E885,'Manifest MDB data'!A:A,1,FALSE)),"OK","EXISTS!!!"))</f>
        <v/>
      </c>
    </row>
    <row r="886" spans="4:19" x14ac:dyDescent="0.25">
      <c r="D886" t="str">
        <f t="shared" si="55"/>
        <v/>
      </c>
      <c r="E886" t="str">
        <f t="shared" si="56"/>
        <v/>
      </c>
      <c r="F886" t="str">
        <f t="shared" si="57"/>
        <v/>
      </c>
      <c r="G886" t="str">
        <f>IF(LEN(TRIM(E886))=0, "", GetSampleTissueBySpecimenPrep(H886))</f>
        <v/>
      </c>
      <c r="H886" t="str">
        <f>IF(LEN(TRIM(E886))=0, "", GetSpecimenPrepName())</f>
        <v/>
      </c>
      <c r="I886" t="str">
        <f>IF(LEN(TRIM(E886))=0, "", GetSampleVolumeBySpecimenPrep(H886))</f>
        <v/>
      </c>
      <c r="L886" t="str">
        <f>IF(LEN(TRIM(E886))=0,"",VLOOKUP("Manifest Id",config!A:B,2,FALSE))</f>
        <v/>
      </c>
      <c r="M886" t="str">
        <f>IF(LEN(TRIM(E886))=0, "",VLOOKUP("Project Name",config!A:B,2,FALSE))</f>
        <v/>
      </c>
      <c r="N886" t="str">
        <f>IF(LEN(TRIM(E886))=0, "",VLOOKUP("Center Name",config!A:B,2,FALSE))</f>
        <v/>
      </c>
      <c r="O886" s="7" t="str">
        <f>IF(LEN(TRIM(E886))=0,"",VLOOKUP("Shipment Date",config!A:B,2,FALSE))</f>
        <v/>
      </c>
      <c r="P886" s="7" t="str">
        <f t="shared" si="54"/>
        <v/>
      </c>
      <c r="Q886" s="7" t="str">
        <f>IF(LEN(TRIM(D886))=0,"",GetConfigParameterValue("Collection Site"))</f>
        <v/>
      </c>
      <c r="R886" t="str">
        <f>IF(LEN(TRIM(E886))=0, "", GetManifestComments(H886))</f>
        <v/>
      </c>
      <c r="S886" t="str">
        <f>IF(LEN(TRIM(E886))=0,"",IF(ISERROR(VLOOKUP(E886,'Manifest MDB data'!A:A,1,FALSE)),"OK","EXISTS!!!"))</f>
        <v/>
      </c>
    </row>
    <row r="887" spans="4:19" x14ac:dyDescent="0.25">
      <c r="D887" t="str">
        <f t="shared" si="55"/>
        <v/>
      </c>
      <c r="E887" t="str">
        <f t="shared" si="56"/>
        <v/>
      </c>
      <c r="F887" t="str">
        <f t="shared" si="57"/>
        <v/>
      </c>
      <c r="G887" t="str">
        <f>IF(LEN(TRIM(E887))=0, "", GetSampleTissueBySpecimenPrep(H887))</f>
        <v/>
      </c>
      <c r="H887" t="str">
        <f>IF(LEN(TRIM(E887))=0, "", GetSpecimenPrepName())</f>
        <v/>
      </c>
      <c r="I887" t="str">
        <f>IF(LEN(TRIM(E887))=0, "", GetSampleVolumeBySpecimenPrep(H887))</f>
        <v/>
      </c>
      <c r="L887" t="str">
        <f>IF(LEN(TRIM(E887))=0,"",VLOOKUP("Manifest Id",config!A:B,2,FALSE))</f>
        <v/>
      </c>
      <c r="M887" t="str">
        <f>IF(LEN(TRIM(E887))=0, "",VLOOKUP("Project Name",config!A:B,2,FALSE))</f>
        <v/>
      </c>
      <c r="N887" t="str">
        <f>IF(LEN(TRIM(E887))=0, "",VLOOKUP("Center Name",config!A:B,2,FALSE))</f>
        <v/>
      </c>
      <c r="O887" s="7" t="str">
        <f>IF(LEN(TRIM(E887))=0,"",VLOOKUP("Shipment Date",config!A:B,2,FALSE))</f>
        <v/>
      </c>
      <c r="P887" s="7" t="str">
        <f t="shared" si="54"/>
        <v/>
      </c>
      <c r="Q887" s="7" t="str">
        <f>IF(LEN(TRIM(D887))=0,"",GetConfigParameterValue("Collection Site"))</f>
        <v/>
      </c>
      <c r="R887" t="str">
        <f>IF(LEN(TRIM(E887))=0, "", GetManifestComments(H887))</f>
        <v/>
      </c>
      <c r="S887" t="str">
        <f>IF(LEN(TRIM(E887))=0,"",IF(ISERROR(VLOOKUP(E887,'Manifest MDB data'!A:A,1,FALSE)),"OK","EXISTS!!!"))</f>
        <v/>
      </c>
    </row>
    <row r="888" spans="4:19" x14ac:dyDescent="0.25">
      <c r="D888" t="str">
        <f t="shared" si="55"/>
        <v/>
      </c>
      <c r="E888" t="str">
        <f t="shared" si="56"/>
        <v/>
      </c>
      <c r="F888" t="str">
        <f t="shared" si="57"/>
        <v/>
      </c>
      <c r="G888" t="str">
        <f>IF(LEN(TRIM(E888))=0, "", GetSampleTissueBySpecimenPrep(H888))</f>
        <v/>
      </c>
      <c r="H888" t="str">
        <f>IF(LEN(TRIM(E888))=0, "", GetSpecimenPrepName())</f>
        <v/>
      </c>
      <c r="I888" t="str">
        <f>IF(LEN(TRIM(E888))=0, "", GetSampleVolumeBySpecimenPrep(H888))</f>
        <v/>
      </c>
      <c r="L888" t="str">
        <f>IF(LEN(TRIM(E888))=0,"",VLOOKUP("Manifest Id",config!A:B,2,FALSE))</f>
        <v/>
      </c>
      <c r="M888" t="str">
        <f>IF(LEN(TRIM(E888))=0, "",VLOOKUP("Project Name",config!A:B,2,FALSE))</f>
        <v/>
      </c>
      <c r="N888" t="str">
        <f>IF(LEN(TRIM(E888))=0, "",VLOOKUP("Center Name",config!A:B,2,FALSE))</f>
        <v/>
      </c>
      <c r="O888" s="7" t="str">
        <f>IF(LEN(TRIM(E888))=0,"",VLOOKUP("Shipment Date",config!A:B,2,FALSE))</f>
        <v/>
      </c>
      <c r="P888" s="7" t="str">
        <f t="shared" si="54"/>
        <v/>
      </c>
      <c r="Q888" s="7" t="str">
        <f>IF(LEN(TRIM(D888))=0,"",GetConfigParameterValue("Collection Site"))</f>
        <v/>
      </c>
      <c r="R888" t="str">
        <f>IF(LEN(TRIM(E888))=0, "", GetManifestComments(H888))</f>
        <v/>
      </c>
      <c r="S888" t="str">
        <f>IF(LEN(TRIM(E888))=0,"",IF(ISERROR(VLOOKUP(E888,'Manifest MDB data'!A:A,1,FALSE)),"OK","EXISTS!!!"))</f>
        <v/>
      </c>
    </row>
    <row r="889" spans="4:19" x14ac:dyDescent="0.25">
      <c r="D889" t="str">
        <f t="shared" si="55"/>
        <v/>
      </c>
      <c r="E889" t="str">
        <f t="shared" si="56"/>
        <v/>
      </c>
      <c r="F889" t="str">
        <f t="shared" si="57"/>
        <v/>
      </c>
      <c r="G889" t="str">
        <f>IF(LEN(TRIM(E889))=0, "", GetSampleTissueBySpecimenPrep(H889))</f>
        <v/>
      </c>
      <c r="H889" t="str">
        <f>IF(LEN(TRIM(E889))=0, "", GetSpecimenPrepName())</f>
        <v/>
      </c>
      <c r="I889" t="str">
        <f>IF(LEN(TRIM(E889))=0, "", GetSampleVolumeBySpecimenPrep(H889))</f>
        <v/>
      </c>
      <c r="L889" t="str">
        <f>IF(LEN(TRIM(E889))=0,"",VLOOKUP("Manifest Id",config!A:B,2,FALSE))</f>
        <v/>
      </c>
      <c r="M889" t="str">
        <f>IF(LEN(TRIM(E889))=0, "",VLOOKUP("Project Name",config!A:B,2,FALSE))</f>
        <v/>
      </c>
      <c r="N889" t="str">
        <f>IF(LEN(TRIM(E889))=0, "",VLOOKUP("Center Name",config!A:B,2,FALSE))</f>
        <v/>
      </c>
      <c r="O889" s="7" t="str">
        <f>IF(LEN(TRIM(E889))=0,"",VLOOKUP("Shipment Date",config!A:B,2,FALSE))</f>
        <v/>
      </c>
      <c r="P889" s="7" t="str">
        <f t="shared" si="54"/>
        <v/>
      </c>
      <c r="Q889" s="7" t="str">
        <f>IF(LEN(TRIM(D889))=0,"",GetConfigParameterValue("Collection Site"))</f>
        <v/>
      </c>
      <c r="R889" t="str">
        <f>IF(LEN(TRIM(E889))=0, "", GetManifestComments(H889))</f>
        <v/>
      </c>
      <c r="S889" t="str">
        <f>IF(LEN(TRIM(E889))=0,"",IF(ISERROR(VLOOKUP(E889,'Manifest MDB data'!A:A,1,FALSE)),"OK","EXISTS!!!"))</f>
        <v/>
      </c>
    </row>
    <row r="890" spans="4:19" x14ac:dyDescent="0.25">
      <c r="D890" t="str">
        <f t="shared" si="55"/>
        <v/>
      </c>
      <c r="E890" t="str">
        <f t="shared" si="56"/>
        <v/>
      </c>
      <c r="F890" t="str">
        <f t="shared" si="57"/>
        <v/>
      </c>
      <c r="G890" t="str">
        <f>IF(LEN(TRIM(E890))=0, "", GetSampleTissueBySpecimenPrep(H890))</f>
        <v/>
      </c>
      <c r="H890" t="str">
        <f>IF(LEN(TRIM(E890))=0, "", GetSpecimenPrepName())</f>
        <v/>
      </c>
      <c r="I890" t="str">
        <f>IF(LEN(TRIM(E890))=0, "", GetSampleVolumeBySpecimenPrep(H890))</f>
        <v/>
      </c>
      <c r="L890" t="str">
        <f>IF(LEN(TRIM(E890))=0,"",VLOOKUP("Manifest Id",config!A:B,2,FALSE))</f>
        <v/>
      </c>
      <c r="M890" t="str">
        <f>IF(LEN(TRIM(E890))=0, "",VLOOKUP("Project Name",config!A:B,2,FALSE))</f>
        <v/>
      </c>
      <c r="N890" t="str">
        <f>IF(LEN(TRIM(E890))=0, "",VLOOKUP("Center Name",config!A:B,2,FALSE))</f>
        <v/>
      </c>
      <c r="O890" s="7" t="str">
        <f>IF(LEN(TRIM(E890))=0,"",VLOOKUP("Shipment Date",config!A:B,2,FALSE))</f>
        <v/>
      </c>
      <c r="P890" s="7" t="str">
        <f t="shared" si="54"/>
        <v/>
      </c>
      <c r="Q890" s="7" t="str">
        <f>IF(LEN(TRIM(D890))=0,"",GetConfigParameterValue("Collection Site"))</f>
        <v/>
      </c>
      <c r="R890" t="str">
        <f>IF(LEN(TRIM(E890))=0, "", GetManifestComments(H890))</f>
        <v/>
      </c>
      <c r="S890" t="str">
        <f>IF(LEN(TRIM(E890))=0,"",IF(ISERROR(VLOOKUP(E890,'Manifest MDB data'!A:A,1,FALSE)),"OK","EXISTS!!!"))</f>
        <v/>
      </c>
    </row>
    <row r="891" spans="4:19" x14ac:dyDescent="0.25">
      <c r="D891" t="str">
        <f t="shared" si="55"/>
        <v/>
      </c>
      <c r="E891" t="str">
        <f t="shared" si="56"/>
        <v/>
      </c>
      <c r="F891" t="str">
        <f t="shared" si="57"/>
        <v/>
      </c>
      <c r="G891" t="str">
        <f>IF(LEN(TRIM(E891))=0, "", GetSampleTissueBySpecimenPrep(H891))</f>
        <v/>
      </c>
      <c r="H891" t="str">
        <f>IF(LEN(TRIM(E891))=0, "", GetSpecimenPrepName())</f>
        <v/>
      </c>
      <c r="I891" t="str">
        <f>IF(LEN(TRIM(E891))=0, "", GetSampleVolumeBySpecimenPrep(H891))</f>
        <v/>
      </c>
      <c r="L891" t="str">
        <f>IF(LEN(TRIM(E891))=0,"",VLOOKUP("Manifest Id",config!A:B,2,FALSE))</f>
        <v/>
      </c>
      <c r="M891" t="str">
        <f>IF(LEN(TRIM(E891))=0, "",VLOOKUP("Project Name",config!A:B,2,FALSE))</f>
        <v/>
      </c>
      <c r="N891" t="str">
        <f>IF(LEN(TRIM(E891))=0, "",VLOOKUP("Center Name",config!A:B,2,FALSE))</f>
        <v/>
      </c>
      <c r="O891" s="7" t="str">
        <f>IF(LEN(TRIM(E891))=0,"",VLOOKUP("Shipment Date",config!A:B,2,FALSE))</f>
        <v/>
      </c>
      <c r="P891" s="7" t="str">
        <f t="shared" si="54"/>
        <v/>
      </c>
      <c r="Q891" s="7" t="str">
        <f>IF(LEN(TRIM(D891))=0,"",GetConfigParameterValue("Collection Site"))</f>
        <v/>
      </c>
      <c r="R891" t="str">
        <f>IF(LEN(TRIM(E891))=0, "", GetManifestComments(H891))</f>
        <v/>
      </c>
      <c r="S891" t="str">
        <f>IF(LEN(TRIM(E891))=0,"",IF(ISERROR(VLOOKUP(E891,'Manifest MDB data'!A:A,1,FALSE)),"OK","EXISTS!!!"))</f>
        <v/>
      </c>
    </row>
    <row r="892" spans="4:19" x14ac:dyDescent="0.25">
      <c r="D892" t="str">
        <f t="shared" si="55"/>
        <v/>
      </c>
      <c r="E892" t="str">
        <f t="shared" si="56"/>
        <v/>
      </c>
      <c r="F892" t="str">
        <f t="shared" si="57"/>
        <v/>
      </c>
      <c r="G892" t="str">
        <f>IF(LEN(TRIM(E892))=0, "", GetSampleTissueBySpecimenPrep(H892))</f>
        <v/>
      </c>
      <c r="H892" t="str">
        <f>IF(LEN(TRIM(E892))=0, "", GetSpecimenPrepName())</f>
        <v/>
      </c>
      <c r="I892" t="str">
        <f>IF(LEN(TRIM(E892))=0, "", GetSampleVolumeBySpecimenPrep(H892))</f>
        <v/>
      </c>
      <c r="L892" t="str">
        <f>IF(LEN(TRIM(E892))=0,"",VLOOKUP("Manifest Id",config!A:B,2,FALSE))</f>
        <v/>
      </c>
      <c r="M892" t="str">
        <f>IF(LEN(TRIM(E892))=0, "",VLOOKUP("Project Name",config!A:B,2,FALSE))</f>
        <v/>
      </c>
      <c r="N892" t="str">
        <f>IF(LEN(TRIM(E892))=0, "",VLOOKUP("Center Name",config!A:B,2,FALSE))</f>
        <v/>
      </c>
      <c r="O892" s="7" t="str">
        <f>IF(LEN(TRIM(E892))=0,"",VLOOKUP("Shipment Date",config!A:B,2,FALSE))</f>
        <v/>
      </c>
      <c r="P892" s="7" t="str">
        <f t="shared" si="54"/>
        <v/>
      </c>
      <c r="Q892" s="7" t="str">
        <f>IF(LEN(TRIM(D892))=0,"",GetConfigParameterValue("Collection Site"))</f>
        <v/>
      </c>
      <c r="R892" t="str">
        <f>IF(LEN(TRIM(E892))=0, "", GetManifestComments(H892))</f>
        <v/>
      </c>
      <c r="S892" t="str">
        <f>IF(LEN(TRIM(E892))=0,"",IF(ISERROR(VLOOKUP(E892,'Manifest MDB data'!A:A,1,FALSE)),"OK","EXISTS!!!"))</f>
        <v/>
      </c>
    </row>
    <row r="893" spans="4:19" x14ac:dyDescent="0.25">
      <c r="D893" t="str">
        <f t="shared" si="55"/>
        <v/>
      </c>
      <c r="E893" t="str">
        <f t="shared" si="56"/>
        <v/>
      </c>
      <c r="F893" t="str">
        <f t="shared" si="57"/>
        <v/>
      </c>
      <c r="G893" t="str">
        <f>IF(LEN(TRIM(E893))=0, "", GetSampleTissueBySpecimenPrep(H893))</f>
        <v/>
      </c>
      <c r="H893" t="str">
        <f>IF(LEN(TRIM(E893))=0, "", GetSpecimenPrepName())</f>
        <v/>
      </c>
      <c r="I893" t="str">
        <f>IF(LEN(TRIM(E893))=0, "", GetSampleVolumeBySpecimenPrep(H893))</f>
        <v/>
      </c>
      <c r="L893" t="str">
        <f>IF(LEN(TRIM(E893))=0,"",VLOOKUP("Manifest Id",config!A:B,2,FALSE))</f>
        <v/>
      </c>
      <c r="M893" t="str">
        <f>IF(LEN(TRIM(E893))=0, "",VLOOKUP("Project Name",config!A:B,2,FALSE))</f>
        <v/>
      </c>
      <c r="N893" t="str">
        <f>IF(LEN(TRIM(E893))=0, "",VLOOKUP("Center Name",config!A:B,2,FALSE))</f>
        <v/>
      </c>
      <c r="O893" s="7" t="str">
        <f>IF(LEN(TRIM(E893))=0,"",VLOOKUP("Shipment Date",config!A:B,2,FALSE))</f>
        <v/>
      </c>
      <c r="P893" s="7" t="str">
        <f t="shared" si="54"/>
        <v/>
      </c>
      <c r="Q893" s="7" t="str">
        <f>IF(LEN(TRIM(D893))=0,"",GetConfigParameterValue("Collection Site"))</f>
        <v/>
      </c>
      <c r="R893" t="str">
        <f>IF(LEN(TRIM(E893))=0, "", GetManifestComments(H893))</f>
        <v/>
      </c>
      <c r="S893" t="str">
        <f>IF(LEN(TRIM(E893))=0,"",IF(ISERROR(VLOOKUP(E893,'Manifest MDB data'!A:A,1,FALSE)),"OK","EXISTS!!!"))</f>
        <v/>
      </c>
    </row>
    <row r="894" spans="4:19" x14ac:dyDescent="0.25">
      <c r="D894" t="str">
        <f t="shared" si="55"/>
        <v/>
      </c>
      <c r="E894" t="str">
        <f t="shared" si="56"/>
        <v/>
      </c>
      <c r="F894" t="str">
        <f t="shared" si="57"/>
        <v/>
      </c>
      <c r="G894" t="str">
        <f>IF(LEN(TRIM(E894))=0, "", GetSampleTissueBySpecimenPrep(H894))</f>
        <v/>
      </c>
      <c r="H894" t="str">
        <f>IF(LEN(TRIM(E894))=0, "", GetSpecimenPrepName())</f>
        <v/>
      </c>
      <c r="I894" t="str">
        <f>IF(LEN(TRIM(E894))=0, "", GetSampleVolumeBySpecimenPrep(H894))</f>
        <v/>
      </c>
      <c r="L894" t="str">
        <f>IF(LEN(TRIM(E894))=0,"",VLOOKUP("Manifest Id",config!A:B,2,FALSE))</f>
        <v/>
      </c>
      <c r="M894" t="str">
        <f>IF(LEN(TRIM(E894))=0, "",VLOOKUP("Project Name",config!A:B,2,FALSE))</f>
        <v/>
      </c>
      <c r="N894" t="str">
        <f>IF(LEN(TRIM(E894))=0, "",VLOOKUP("Center Name",config!A:B,2,FALSE))</f>
        <v/>
      </c>
      <c r="O894" s="7" t="str">
        <f>IF(LEN(TRIM(E894))=0,"",VLOOKUP("Shipment Date",config!A:B,2,FALSE))</f>
        <v/>
      </c>
      <c r="P894" s="7" t="str">
        <f t="shared" si="54"/>
        <v/>
      </c>
      <c r="Q894" s="7" t="str">
        <f>IF(LEN(TRIM(D894))=0,"",GetConfigParameterValue("Collection Site"))</f>
        <v/>
      </c>
      <c r="R894" t="str">
        <f>IF(LEN(TRIM(E894))=0, "", GetManifestComments(H894))</f>
        <v/>
      </c>
      <c r="S894" t="str">
        <f>IF(LEN(TRIM(E894))=0,"",IF(ISERROR(VLOOKUP(E894,'Manifest MDB data'!A:A,1,FALSE)),"OK","EXISTS!!!"))</f>
        <v/>
      </c>
    </row>
    <row r="895" spans="4:19" x14ac:dyDescent="0.25">
      <c r="D895" t="str">
        <f t="shared" si="55"/>
        <v/>
      </c>
      <c r="E895" t="str">
        <f t="shared" si="56"/>
        <v/>
      </c>
      <c r="F895" t="str">
        <f t="shared" si="57"/>
        <v/>
      </c>
      <c r="G895" t="str">
        <f>IF(LEN(TRIM(E895))=0, "", GetSampleTissueBySpecimenPrep(H895))</f>
        <v/>
      </c>
      <c r="H895" t="str">
        <f>IF(LEN(TRIM(E895))=0, "", GetSpecimenPrepName())</f>
        <v/>
      </c>
      <c r="I895" t="str">
        <f>IF(LEN(TRIM(E895))=0, "", GetSampleVolumeBySpecimenPrep(H895))</f>
        <v/>
      </c>
      <c r="L895" t="str">
        <f>IF(LEN(TRIM(E895))=0,"",VLOOKUP("Manifest Id",config!A:B,2,FALSE))</f>
        <v/>
      </c>
      <c r="M895" t="str">
        <f>IF(LEN(TRIM(E895))=0, "",VLOOKUP("Project Name",config!A:B,2,FALSE))</f>
        <v/>
      </c>
      <c r="N895" t="str">
        <f>IF(LEN(TRIM(E895))=0, "",VLOOKUP("Center Name",config!A:B,2,FALSE))</f>
        <v/>
      </c>
      <c r="O895" s="7" t="str">
        <f>IF(LEN(TRIM(E895))=0,"",VLOOKUP("Shipment Date",config!A:B,2,FALSE))</f>
        <v/>
      </c>
      <c r="P895" s="7" t="str">
        <f t="shared" si="54"/>
        <v/>
      </c>
      <c r="Q895" s="7" t="str">
        <f>IF(LEN(TRIM(D895))=0,"",GetConfigParameterValue("Collection Site"))</f>
        <v/>
      </c>
      <c r="R895" t="str">
        <f>IF(LEN(TRIM(E895))=0, "", GetManifestComments(H895))</f>
        <v/>
      </c>
      <c r="S895" t="str">
        <f>IF(LEN(TRIM(E895))=0,"",IF(ISERROR(VLOOKUP(E895,'Manifest MDB data'!A:A,1,FALSE)),"OK","EXISTS!!!"))</f>
        <v/>
      </c>
    </row>
    <row r="896" spans="4:19" x14ac:dyDescent="0.25">
      <c r="D896" t="str">
        <f t="shared" si="55"/>
        <v/>
      </c>
      <c r="E896" t="str">
        <f t="shared" si="56"/>
        <v/>
      </c>
      <c r="F896" t="str">
        <f t="shared" si="57"/>
        <v/>
      </c>
      <c r="G896" t="str">
        <f>IF(LEN(TRIM(E896))=0, "", GetSampleTissueBySpecimenPrep(H896))</f>
        <v/>
      </c>
      <c r="H896" t="str">
        <f>IF(LEN(TRIM(E896))=0, "", GetSpecimenPrepName())</f>
        <v/>
      </c>
      <c r="I896" t="str">
        <f>IF(LEN(TRIM(E896))=0, "", GetSampleVolumeBySpecimenPrep(H896))</f>
        <v/>
      </c>
      <c r="L896" t="str">
        <f>IF(LEN(TRIM(E896))=0,"",VLOOKUP("Manifest Id",config!A:B,2,FALSE))</f>
        <v/>
      </c>
      <c r="M896" t="str">
        <f>IF(LEN(TRIM(E896))=0, "",VLOOKUP("Project Name",config!A:B,2,FALSE))</f>
        <v/>
      </c>
      <c r="N896" t="str">
        <f>IF(LEN(TRIM(E896))=0, "",VLOOKUP("Center Name",config!A:B,2,FALSE))</f>
        <v/>
      </c>
      <c r="O896" s="7" t="str">
        <f>IF(LEN(TRIM(E896))=0,"",VLOOKUP("Shipment Date",config!A:B,2,FALSE))</f>
        <v/>
      </c>
      <c r="P896" s="7" t="str">
        <f t="shared" si="54"/>
        <v/>
      </c>
      <c r="Q896" s="7" t="str">
        <f>IF(LEN(TRIM(D896))=0,"",GetConfigParameterValue("Collection Site"))</f>
        <v/>
      </c>
      <c r="R896" t="str">
        <f>IF(LEN(TRIM(E896))=0, "", GetManifestComments(H896))</f>
        <v/>
      </c>
      <c r="S896" t="str">
        <f>IF(LEN(TRIM(E896))=0,"",IF(ISERROR(VLOOKUP(E896,'Manifest MDB data'!A:A,1,FALSE)),"OK","EXISTS!!!"))</f>
        <v/>
      </c>
    </row>
    <row r="897" spans="4:19" x14ac:dyDescent="0.25">
      <c r="D897" t="str">
        <f t="shared" si="55"/>
        <v/>
      </c>
      <c r="E897" t="str">
        <f t="shared" si="56"/>
        <v/>
      </c>
      <c r="F897" t="str">
        <f t="shared" si="57"/>
        <v/>
      </c>
      <c r="G897" t="str">
        <f>IF(LEN(TRIM(E897))=0, "", GetSampleTissueBySpecimenPrep(H897))</f>
        <v/>
      </c>
      <c r="H897" t="str">
        <f>IF(LEN(TRIM(E897))=0, "", GetSpecimenPrepName())</f>
        <v/>
      </c>
      <c r="I897" t="str">
        <f>IF(LEN(TRIM(E897))=0, "", GetSampleVolumeBySpecimenPrep(H897))</f>
        <v/>
      </c>
      <c r="L897" t="str">
        <f>IF(LEN(TRIM(E897))=0,"",VLOOKUP("Manifest Id",config!A:B,2,FALSE))</f>
        <v/>
      </c>
      <c r="M897" t="str">
        <f>IF(LEN(TRIM(E897))=0, "",VLOOKUP("Project Name",config!A:B,2,FALSE))</f>
        <v/>
      </c>
      <c r="N897" t="str">
        <f>IF(LEN(TRIM(E897))=0, "",VLOOKUP("Center Name",config!A:B,2,FALSE))</f>
        <v/>
      </c>
      <c r="O897" s="7" t="str">
        <f>IF(LEN(TRIM(E897))=0,"",VLOOKUP("Shipment Date",config!A:B,2,FALSE))</f>
        <v/>
      </c>
      <c r="P897" s="7" t="str">
        <f t="shared" si="54"/>
        <v/>
      </c>
      <c r="Q897" s="7" t="str">
        <f>IF(LEN(TRIM(D897))=0,"",GetConfigParameterValue("Collection Site"))</f>
        <v/>
      </c>
      <c r="R897" t="str">
        <f>IF(LEN(TRIM(E897))=0, "", GetManifestComments(H897))</f>
        <v/>
      </c>
      <c r="S897" t="str">
        <f>IF(LEN(TRIM(E897))=0,"",IF(ISERROR(VLOOKUP(E897,'Manifest MDB data'!A:A,1,FALSE)),"OK","EXISTS!!!"))</f>
        <v/>
      </c>
    </row>
    <row r="898" spans="4:19" x14ac:dyDescent="0.25">
      <c r="D898" t="str">
        <f t="shared" si="55"/>
        <v/>
      </c>
      <c r="E898" t="str">
        <f t="shared" si="56"/>
        <v/>
      </c>
      <c r="F898" t="str">
        <f t="shared" si="57"/>
        <v/>
      </c>
      <c r="G898" t="str">
        <f>IF(LEN(TRIM(E898))=0, "", GetSampleTissueBySpecimenPrep(H898))</f>
        <v/>
      </c>
      <c r="H898" t="str">
        <f>IF(LEN(TRIM(E898))=0, "", GetSpecimenPrepName())</f>
        <v/>
      </c>
      <c r="I898" t="str">
        <f>IF(LEN(TRIM(E898))=0, "", GetSampleVolumeBySpecimenPrep(H898))</f>
        <v/>
      </c>
      <c r="L898" t="str">
        <f>IF(LEN(TRIM(E898))=0,"",VLOOKUP("Manifest Id",config!A:B,2,FALSE))</f>
        <v/>
      </c>
      <c r="M898" t="str">
        <f>IF(LEN(TRIM(E898))=0, "",VLOOKUP("Project Name",config!A:B,2,FALSE))</f>
        <v/>
      </c>
      <c r="N898" t="str">
        <f>IF(LEN(TRIM(E898))=0, "",VLOOKUP("Center Name",config!A:B,2,FALSE))</f>
        <v/>
      </c>
      <c r="O898" s="7" t="str">
        <f>IF(LEN(TRIM(E898))=0,"",VLOOKUP("Shipment Date",config!A:B,2,FALSE))</f>
        <v/>
      </c>
      <c r="P898" s="7" t="str">
        <f t="shared" ref="P898:P961" si="58">getColumnValueBySubjectID("Visit Date", RIGHT(LEFT(D898,7),4))</f>
        <v/>
      </c>
      <c r="Q898" s="7" t="str">
        <f>IF(LEN(TRIM(D898))=0,"",GetConfigParameterValue("Collection Site"))</f>
        <v/>
      </c>
      <c r="R898" t="str">
        <f>IF(LEN(TRIM(E898))=0, "", GetManifestComments(H898))</f>
        <v/>
      </c>
      <c r="S898" t="str">
        <f>IF(LEN(TRIM(E898))=0,"",IF(ISERROR(VLOOKUP(E898,'Manifest MDB data'!A:A,1,FALSE)),"OK","EXISTS!!!"))</f>
        <v/>
      </c>
    </row>
    <row r="899" spans="4:19" x14ac:dyDescent="0.25">
      <c r="D899" t="str">
        <f t="shared" ref="D899:D962" si="59">GetSampleId((ROW()))</f>
        <v/>
      </c>
      <c r="E899" t="str">
        <f t="shared" ref="E899:E962" si="60">GetAliquotId((ROW()))</f>
        <v/>
      </c>
      <c r="F899" t="str">
        <f t="shared" si="57"/>
        <v/>
      </c>
      <c r="G899" t="str">
        <f>IF(LEN(TRIM(E899))=0, "", GetSampleTissueBySpecimenPrep(H899))</f>
        <v/>
      </c>
      <c r="H899" t="str">
        <f>IF(LEN(TRIM(E899))=0, "", GetSpecimenPrepName())</f>
        <v/>
      </c>
      <c r="I899" t="str">
        <f>IF(LEN(TRIM(E899))=0, "", GetSampleVolumeBySpecimenPrep(H899))</f>
        <v/>
      </c>
      <c r="L899" t="str">
        <f>IF(LEN(TRIM(E899))=0,"",VLOOKUP("Manifest Id",config!A:B,2,FALSE))</f>
        <v/>
      </c>
      <c r="M899" t="str">
        <f>IF(LEN(TRIM(E899))=0, "",VLOOKUP("Project Name",config!A:B,2,FALSE))</f>
        <v/>
      </c>
      <c r="N899" t="str">
        <f>IF(LEN(TRIM(E899))=0, "",VLOOKUP("Center Name",config!A:B,2,FALSE))</f>
        <v/>
      </c>
      <c r="O899" s="7" t="str">
        <f>IF(LEN(TRIM(E899))=0,"",VLOOKUP("Shipment Date",config!A:B,2,FALSE))</f>
        <v/>
      </c>
      <c r="P899" s="7" t="str">
        <f t="shared" si="58"/>
        <v/>
      </c>
      <c r="Q899" s="7" t="str">
        <f>IF(LEN(TRIM(D899))=0,"",GetConfigParameterValue("Collection Site"))</f>
        <v/>
      </c>
      <c r="R899" t="str">
        <f>IF(LEN(TRIM(E899))=0, "", GetManifestComments(H899))</f>
        <v/>
      </c>
      <c r="S899" t="str">
        <f>IF(LEN(TRIM(E899))=0,"",IF(ISERROR(VLOOKUP(E899,'Manifest MDB data'!A:A,1,FALSE)),"OK","EXISTS!!!"))</f>
        <v/>
      </c>
    </row>
    <row r="900" spans="4:19" x14ac:dyDescent="0.25">
      <c r="D900" t="str">
        <f t="shared" si="59"/>
        <v/>
      </c>
      <c r="E900" t="str">
        <f t="shared" si="60"/>
        <v/>
      </c>
      <c r="F900" t="str">
        <f t="shared" si="57"/>
        <v/>
      </c>
      <c r="G900" t="str">
        <f>IF(LEN(TRIM(E900))=0, "", GetSampleTissueBySpecimenPrep(H900))</f>
        <v/>
      </c>
      <c r="H900" t="str">
        <f>IF(LEN(TRIM(E900))=0, "", GetSpecimenPrepName())</f>
        <v/>
      </c>
      <c r="I900" t="str">
        <f>IF(LEN(TRIM(E900))=0, "", GetSampleVolumeBySpecimenPrep(H900))</f>
        <v/>
      </c>
      <c r="L900" t="str">
        <f>IF(LEN(TRIM(E900))=0,"",VLOOKUP("Manifest Id",config!A:B,2,FALSE))</f>
        <v/>
      </c>
      <c r="M900" t="str">
        <f>IF(LEN(TRIM(E900))=0, "",VLOOKUP("Project Name",config!A:B,2,FALSE))</f>
        <v/>
      </c>
      <c r="N900" t="str">
        <f>IF(LEN(TRIM(E900))=0, "",VLOOKUP("Center Name",config!A:B,2,FALSE))</f>
        <v/>
      </c>
      <c r="O900" s="7" t="str">
        <f>IF(LEN(TRIM(E900))=0,"",VLOOKUP("Shipment Date",config!A:B,2,FALSE))</f>
        <v/>
      </c>
      <c r="P900" s="7" t="str">
        <f t="shared" si="58"/>
        <v/>
      </c>
      <c r="Q900" s="7" t="str">
        <f>IF(LEN(TRIM(D900))=0,"",GetConfigParameterValue("Collection Site"))</f>
        <v/>
      </c>
      <c r="R900" t="str">
        <f>IF(LEN(TRIM(E900))=0, "", GetManifestComments(H900))</f>
        <v/>
      </c>
      <c r="S900" t="str">
        <f>IF(LEN(TRIM(E900))=0,"",IF(ISERROR(VLOOKUP(E900,'Manifest MDB data'!A:A,1,FALSE)),"OK","EXISTS!!!"))</f>
        <v/>
      </c>
    </row>
    <row r="901" spans="4:19" x14ac:dyDescent="0.25">
      <c r="D901" t="str">
        <f t="shared" si="59"/>
        <v/>
      </c>
      <c r="E901" t="str">
        <f t="shared" si="60"/>
        <v/>
      </c>
      <c r="F901" t="str">
        <f t="shared" si="57"/>
        <v/>
      </c>
      <c r="G901" t="str">
        <f>IF(LEN(TRIM(E901))=0, "", GetSampleTissueBySpecimenPrep(H901))</f>
        <v/>
      </c>
      <c r="H901" t="str">
        <f>IF(LEN(TRIM(E901))=0, "", GetSpecimenPrepName())</f>
        <v/>
      </c>
      <c r="I901" t="str">
        <f>IF(LEN(TRIM(E901))=0, "", GetSampleVolumeBySpecimenPrep(H901))</f>
        <v/>
      </c>
      <c r="L901" t="str">
        <f>IF(LEN(TRIM(E901))=0,"",VLOOKUP("Manifest Id",config!A:B,2,FALSE))</f>
        <v/>
      </c>
      <c r="M901" t="str">
        <f>IF(LEN(TRIM(E901))=0, "",VLOOKUP("Project Name",config!A:B,2,FALSE))</f>
        <v/>
      </c>
      <c r="N901" t="str">
        <f>IF(LEN(TRIM(E901))=0, "",VLOOKUP("Center Name",config!A:B,2,FALSE))</f>
        <v/>
      </c>
      <c r="O901" s="7" t="str">
        <f>IF(LEN(TRIM(E901))=0,"",VLOOKUP("Shipment Date",config!A:B,2,FALSE))</f>
        <v/>
      </c>
      <c r="P901" s="7" t="str">
        <f t="shared" si="58"/>
        <v/>
      </c>
      <c r="Q901" s="7" t="str">
        <f>IF(LEN(TRIM(D901))=0,"",GetConfigParameterValue("Collection Site"))</f>
        <v/>
      </c>
      <c r="R901" t="str">
        <f>IF(LEN(TRIM(E901))=0, "", GetManifestComments(H901))</f>
        <v/>
      </c>
      <c r="S901" t="str">
        <f>IF(LEN(TRIM(E901))=0,"",IF(ISERROR(VLOOKUP(E901,'Manifest MDB data'!A:A,1,FALSE)),"OK","EXISTS!!!"))</f>
        <v/>
      </c>
    </row>
    <row r="902" spans="4:19" x14ac:dyDescent="0.25">
      <c r="D902" t="str">
        <f t="shared" si="59"/>
        <v/>
      </c>
      <c r="E902" t="str">
        <f t="shared" si="60"/>
        <v/>
      </c>
      <c r="F902" t="str">
        <f t="shared" si="57"/>
        <v/>
      </c>
      <c r="G902" t="str">
        <f>IF(LEN(TRIM(E902))=0, "", GetSampleTissueBySpecimenPrep(H902))</f>
        <v/>
      </c>
      <c r="H902" t="str">
        <f>IF(LEN(TRIM(E902))=0, "", GetSpecimenPrepName())</f>
        <v/>
      </c>
      <c r="I902" t="str">
        <f>IF(LEN(TRIM(E902))=0, "", GetSampleVolumeBySpecimenPrep(H902))</f>
        <v/>
      </c>
      <c r="L902" t="str">
        <f>IF(LEN(TRIM(E902))=0,"",VLOOKUP("Manifest Id",config!A:B,2,FALSE))</f>
        <v/>
      </c>
      <c r="M902" t="str">
        <f>IF(LEN(TRIM(E902))=0, "",VLOOKUP("Project Name",config!A:B,2,FALSE))</f>
        <v/>
      </c>
      <c r="N902" t="str">
        <f>IF(LEN(TRIM(E902))=0, "",VLOOKUP("Center Name",config!A:B,2,FALSE))</f>
        <v/>
      </c>
      <c r="O902" s="7" t="str">
        <f>IF(LEN(TRIM(E902))=0,"",VLOOKUP("Shipment Date",config!A:B,2,FALSE))</f>
        <v/>
      </c>
      <c r="P902" s="7" t="str">
        <f t="shared" si="58"/>
        <v/>
      </c>
      <c r="Q902" s="7" t="str">
        <f>IF(LEN(TRIM(D902))=0,"",GetConfigParameterValue("Collection Site"))</f>
        <v/>
      </c>
      <c r="R902" t="str">
        <f>IF(LEN(TRIM(E902))=0, "", GetManifestComments(H902))</f>
        <v/>
      </c>
      <c r="S902" t="str">
        <f>IF(LEN(TRIM(E902))=0,"",IF(ISERROR(VLOOKUP(E902,'Manifest MDB data'!A:A,1,FALSE)),"OK","EXISTS!!!"))</f>
        <v/>
      </c>
    </row>
    <row r="903" spans="4:19" x14ac:dyDescent="0.25">
      <c r="D903" t="str">
        <f t="shared" si="59"/>
        <v/>
      </c>
      <c r="E903" t="str">
        <f t="shared" si="60"/>
        <v/>
      </c>
      <c r="F903" t="str">
        <f t="shared" si="57"/>
        <v/>
      </c>
      <c r="G903" t="str">
        <f>IF(LEN(TRIM(E903))=0, "", GetSampleTissueBySpecimenPrep(H903))</f>
        <v/>
      </c>
      <c r="H903" t="str">
        <f>IF(LEN(TRIM(E903))=0, "", GetSpecimenPrepName())</f>
        <v/>
      </c>
      <c r="I903" t="str">
        <f>IF(LEN(TRIM(E903))=0, "", GetSampleVolumeBySpecimenPrep(H903))</f>
        <v/>
      </c>
      <c r="L903" t="str">
        <f>IF(LEN(TRIM(E903))=0,"",VLOOKUP("Manifest Id",config!A:B,2,FALSE))</f>
        <v/>
      </c>
      <c r="M903" t="str">
        <f>IF(LEN(TRIM(E903))=0, "",VLOOKUP("Project Name",config!A:B,2,FALSE))</f>
        <v/>
      </c>
      <c r="N903" t="str">
        <f>IF(LEN(TRIM(E903))=0, "",VLOOKUP("Center Name",config!A:B,2,FALSE))</f>
        <v/>
      </c>
      <c r="O903" s="7" t="str">
        <f>IF(LEN(TRIM(E903))=0,"",VLOOKUP("Shipment Date",config!A:B,2,FALSE))</f>
        <v/>
      </c>
      <c r="P903" s="7" t="str">
        <f t="shared" si="58"/>
        <v/>
      </c>
      <c r="Q903" s="7" t="str">
        <f>IF(LEN(TRIM(D903))=0,"",GetConfigParameterValue("Collection Site"))</f>
        <v/>
      </c>
      <c r="R903" t="str">
        <f>IF(LEN(TRIM(E903))=0, "", GetManifestComments(H903))</f>
        <v/>
      </c>
      <c r="S903" t="str">
        <f>IF(LEN(TRIM(E903))=0,"",IF(ISERROR(VLOOKUP(E903,'Manifest MDB data'!A:A,1,FALSE)),"OK","EXISTS!!!"))</f>
        <v/>
      </c>
    </row>
    <row r="904" spans="4:19" x14ac:dyDescent="0.25">
      <c r="D904" t="str">
        <f t="shared" si="59"/>
        <v/>
      </c>
      <c r="E904" t="str">
        <f t="shared" si="60"/>
        <v/>
      </c>
      <c r="F904" t="str">
        <f t="shared" si="57"/>
        <v/>
      </c>
      <c r="G904" t="str">
        <f>IF(LEN(TRIM(E904))=0, "", GetSampleTissueBySpecimenPrep(H904))</f>
        <v/>
      </c>
      <c r="H904" t="str">
        <f>IF(LEN(TRIM(E904))=0, "", GetSpecimenPrepName())</f>
        <v/>
      </c>
      <c r="I904" t="str">
        <f>IF(LEN(TRIM(E904))=0, "", GetSampleVolumeBySpecimenPrep(H904))</f>
        <v/>
      </c>
      <c r="L904" t="str">
        <f>IF(LEN(TRIM(E904))=0,"",VLOOKUP("Manifest Id",config!A:B,2,FALSE))</f>
        <v/>
      </c>
      <c r="M904" t="str">
        <f>IF(LEN(TRIM(E904))=0, "",VLOOKUP("Project Name",config!A:B,2,FALSE))</f>
        <v/>
      </c>
      <c r="N904" t="str">
        <f>IF(LEN(TRIM(E904))=0, "",VLOOKUP("Center Name",config!A:B,2,FALSE))</f>
        <v/>
      </c>
      <c r="O904" s="7" t="str">
        <f>IF(LEN(TRIM(E904))=0,"",VLOOKUP("Shipment Date",config!A:B,2,FALSE))</f>
        <v/>
      </c>
      <c r="P904" s="7" t="str">
        <f t="shared" si="58"/>
        <v/>
      </c>
      <c r="Q904" s="7" t="str">
        <f>IF(LEN(TRIM(D904))=0,"",GetConfigParameterValue("Collection Site"))</f>
        <v/>
      </c>
      <c r="R904" t="str">
        <f>IF(LEN(TRIM(E904))=0, "", GetManifestComments(H904))</f>
        <v/>
      </c>
      <c r="S904" t="str">
        <f>IF(LEN(TRIM(E904))=0,"",IF(ISERROR(VLOOKUP(E904,'Manifest MDB data'!A:A,1,FALSE)),"OK","EXISTS!!!"))</f>
        <v/>
      </c>
    </row>
    <row r="905" spans="4:19" x14ac:dyDescent="0.25">
      <c r="D905" t="str">
        <f t="shared" si="59"/>
        <v/>
      </c>
      <c r="E905" t="str">
        <f t="shared" si="60"/>
        <v/>
      </c>
      <c r="F905" t="str">
        <f t="shared" si="57"/>
        <v/>
      </c>
      <c r="G905" t="str">
        <f>IF(LEN(TRIM(E905))=0, "", GetSampleTissueBySpecimenPrep(H905))</f>
        <v/>
      </c>
      <c r="H905" t="str">
        <f>IF(LEN(TRIM(E905))=0, "", GetSpecimenPrepName())</f>
        <v/>
      </c>
      <c r="I905" t="str">
        <f>IF(LEN(TRIM(E905))=0, "", GetSampleVolumeBySpecimenPrep(H905))</f>
        <v/>
      </c>
      <c r="L905" t="str">
        <f>IF(LEN(TRIM(E905))=0,"",VLOOKUP("Manifest Id",config!A:B,2,FALSE))</f>
        <v/>
      </c>
      <c r="M905" t="str">
        <f>IF(LEN(TRIM(E905))=0, "",VLOOKUP("Project Name",config!A:B,2,FALSE))</f>
        <v/>
      </c>
      <c r="N905" t="str">
        <f>IF(LEN(TRIM(E905))=0, "",VLOOKUP("Center Name",config!A:B,2,FALSE))</f>
        <v/>
      </c>
      <c r="O905" s="7" t="str">
        <f>IF(LEN(TRIM(E905))=0,"",VLOOKUP("Shipment Date",config!A:B,2,FALSE))</f>
        <v/>
      </c>
      <c r="P905" s="7" t="str">
        <f t="shared" si="58"/>
        <v/>
      </c>
      <c r="Q905" s="7" t="str">
        <f>IF(LEN(TRIM(D905))=0,"",GetConfigParameterValue("Collection Site"))</f>
        <v/>
      </c>
      <c r="R905" t="str">
        <f>IF(LEN(TRIM(E905))=0, "", GetManifestComments(H905))</f>
        <v/>
      </c>
      <c r="S905" t="str">
        <f>IF(LEN(TRIM(E905))=0,"",IF(ISERROR(VLOOKUP(E905,'Manifest MDB data'!A:A,1,FALSE)),"OK","EXISTS!!!"))</f>
        <v/>
      </c>
    </row>
    <row r="906" spans="4:19" x14ac:dyDescent="0.25">
      <c r="D906" t="str">
        <f t="shared" si="59"/>
        <v/>
      </c>
      <c r="E906" t="str">
        <f t="shared" si="60"/>
        <v/>
      </c>
      <c r="F906" t="str">
        <f t="shared" si="57"/>
        <v/>
      </c>
      <c r="G906" t="str">
        <f>IF(LEN(TRIM(E906))=0, "", GetSampleTissueBySpecimenPrep(H906))</f>
        <v/>
      </c>
      <c r="H906" t="str">
        <f>IF(LEN(TRIM(E906))=0, "", GetSpecimenPrepName())</f>
        <v/>
      </c>
      <c r="I906" t="str">
        <f>IF(LEN(TRIM(E906))=0, "", GetSampleVolumeBySpecimenPrep(H906))</f>
        <v/>
      </c>
      <c r="L906" t="str">
        <f>IF(LEN(TRIM(E906))=0,"",VLOOKUP("Manifest Id",config!A:B,2,FALSE))</f>
        <v/>
      </c>
      <c r="M906" t="str">
        <f>IF(LEN(TRIM(E906))=0, "",VLOOKUP("Project Name",config!A:B,2,FALSE))</f>
        <v/>
      </c>
      <c r="N906" t="str">
        <f>IF(LEN(TRIM(E906))=0, "",VLOOKUP("Center Name",config!A:B,2,FALSE))</f>
        <v/>
      </c>
      <c r="O906" s="7" t="str">
        <f>IF(LEN(TRIM(E906))=0,"",VLOOKUP("Shipment Date",config!A:B,2,FALSE))</f>
        <v/>
      </c>
      <c r="P906" s="7" t="str">
        <f t="shared" si="58"/>
        <v/>
      </c>
      <c r="Q906" s="7" t="str">
        <f>IF(LEN(TRIM(D906))=0,"",GetConfigParameterValue("Collection Site"))</f>
        <v/>
      </c>
      <c r="R906" t="str">
        <f>IF(LEN(TRIM(E906))=0, "", GetManifestComments(H906))</f>
        <v/>
      </c>
      <c r="S906" t="str">
        <f>IF(LEN(TRIM(E906))=0,"",IF(ISERROR(VLOOKUP(E906,'Manifest MDB data'!A:A,1,FALSE)),"OK","EXISTS!!!"))</f>
        <v/>
      </c>
    </row>
    <row r="907" spans="4:19" x14ac:dyDescent="0.25">
      <c r="D907" t="str">
        <f t="shared" si="59"/>
        <v/>
      </c>
      <c r="E907" t="str">
        <f t="shared" si="60"/>
        <v/>
      </c>
      <c r="F907" t="str">
        <f t="shared" si="57"/>
        <v/>
      </c>
      <c r="G907" t="str">
        <f>IF(LEN(TRIM(E907))=0, "", GetSampleTissueBySpecimenPrep(H907))</f>
        <v/>
      </c>
      <c r="H907" t="str">
        <f>IF(LEN(TRIM(E907))=0, "", GetSpecimenPrepName())</f>
        <v/>
      </c>
      <c r="I907" t="str">
        <f>IF(LEN(TRIM(E907))=0, "", GetSampleVolumeBySpecimenPrep(H907))</f>
        <v/>
      </c>
      <c r="L907" t="str">
        <f>IF(LEN(TRIM(E907))=0,"",VLOOKUP("Manifest Id",config!A:B,2,FALSE))</f>
        <v/>
      </c>
      <c r="M907" t="str">
        <f>IF(LEN(TRIM(E907))=0, "",VLOOKUP("Project Name",config!A:B,2,FALSE))</f>
        <v/>
      </c>
      <c r="N907" t="str">
        <f>IF(LEN(TRIM(E907))=0, "",VLOOKUP("Center Name",config!A:B,2,FALSE))</f>
        <v/>
      </c>
      <c r="O907" s="7" t="str">
        <f>IF(LEN(TRIM(E907))=0,"",VLOOKUP("Shipment Date",config!A:B,2,FALSE))</f>
        <v/>
      </c>
      <c r="P907" s="7" t="str">
        <f t="shared" si="58"/>
        <v/>
      </c>
      <c r="Q907" s="7" t="str">
        <f>IF(LEN(TRIM(D907))=0,"",GetConfigParameterValue("Collection Site"))</f>
        <v/>
      </c>
      <c r="R907" t="str">
        <f>IF(LEN(TRIM(E907))=0, "", GetManifestComments(H907))</f>
        <v/>
      </c>
      <c r="S907" t="str">
        <f>IF(LEN(TRIM(E907))=0,"",IF(ISERROR(VLOOKUP(E907,'Manifest MDB data'!A:A,1,FALSE)),"OK","EXISTS!!!"))</f>
        <v/>
      </c>
    </row>
    <row r="908" spans="4:19" x14ac:dyDescent="0.25">
      <c r="D908" t="str">
        <f t="shared" si="59"/>
        <v/>
      </c>
      <c r="E908" t="str">
        <f t="shared" si="60"/>
        <v/>
      </c>
      <c r="F908" t="str">
        <f t="shared" si="57"/>
        <v/>
      </c>
      <c r="G908" t="str">
        <f>IF(LEN(TRIM(E908))=0, "", GetSampleTissueBySpecimenPrep(H908))</f>
        <v/>
      </c>
      <c r="H908" t="str">
        <f>IF(LEN(TRIM(E908))=0, "", GetSpecimenPrepName())</f>
        <v/>
      </c>
      <c r="I908" t="str">
        <f>IF(LEN(TRIM(E908))=0, "", GetSampleVolumeBySpecimenPrep(H908))</f>
        <v/>
      </c>
      <c r="L908" t="str">
        <f>IF(LEN(TRIM(E908))=0,"",VLOOKUP("Manifest Id",config!A:B,2,FALSE))</f>
        <v/>
      </c>
      <c r="M908" t="str">
        <f>IF(LEN(TRIM(E908))=0, "",VLOOKUP("Project Name",config!A:B,2,FALSE))</f>
        <v/>
      </c>
      <c r="N908" t="str">
        <f>IF(LEN(TRIM(E908))=0, "",VLOOKUP("Center Name",config!A:B,2,FALSE))</f>
        <v/>
      </c>
      <c r="O908" s="7" t="str">
        <f>IF(LEN(TRIM(E908))=0,"",VLOOKUP("Shipment Date",config!A:B,2,FALSE))</f>
        <v/>
      </c>
      <c r="P908" s="7" t="str">
        <f t="shared" si="58"/>
        <v/>
      </c>
      <c r="Q908" s="7" t="str">
        <f>IF(LEN(TRIM(D908))=0,"",GetConfigParameterValue("Collection Site"))</f>
        <v/>
      </c>
      <c r="R908" t="str">
        <f>IF(LEN(TRIM(E908))=0, "", GetManifestComments(H908))</f>
        <v/>
      </c>
      <c r="S908" t="str">
        <f>IF(LEN(TRIM(E908))=0,"",IF(ISERROR(VLOOKUP(E908,'Manifest MDB data'!A:A,1,FALSE)),"OK","EXISTS!!!"))</f>
        <v/>
      </c>
    </row>
    <row r="909" spans="4:19" x14ac:dyDescent="0.25">
      <c r="D909" t="str">
        <f t="shared" si="59"/>
        <v/>
      </c>
      <c r="E909" t="str">
        <f t="shared" si="60"/>
        <v/>
      </c>
      <c r="F909" t="str">
        <f t="shared" si="57"/>
        <v/>
      </c>
      <c r="G909" t="str">
        <f>IF(LEN(TRIM(E909))=0, "", GetSampleTissueBySpecimenPrep(H909))</f>
        <v/>
      </c>
      <c r="H909" t="str">
        <f>IF(LEN(TRIM(E909))=0, "", GetSpecimenPrepName())</f>
        <v/>
      </c>
      <c r="I909" t="str">
        <f>IF(LEN(TRIM(E909))=0, "", GetSampleVolumeBySpecimenPrep(H909))</f>
        <v/>
      </c>
      <c r="L909" t="str">
        <f>IF(LEN(TRIM(E909))=0,"",VLOOKUP("Manifest Id",config!A:B,2,FALSE))</f>
        <v/>
      </c>
      <c r="M909" t="str">
        <f>IF(LEN(TRIM(E909))=0, "",VLOOKUP("Project Name",config!A:B,2,FALSE))</f>
        <v/>
      </c>
      <c r="N909" t="str">
        <f>IF(LEN(TRIM(E909))=0, "",VLOOKUP("Center Name",config!A:B,2,FALSE))</f>
        <v/>
      </c>
      <c r="O909" s="7" t="str">
        <f>IF(LEN(TRIM(E909))=0,"",VLOOKUP("Shipment Date",config!A:B,2,FALSE))</f>
        <v/>
      </c>
      <c r="P909" s="7" t="str">
        <f t="shared" si="58"/>
        <v/>
      </c>
      <c r="Q909" s="7" t="str">
        <f>IF(LEN(TRIM(D909))=0,"",GetConfigParameterValue("Collection Site"))</f>
        <v/>
      </c>
      <c r="R909" t="str">
        <f>IF(LEN(TRIM(E909))=0, "", GetManifestComments(H909))</f>
        <v/>
      </c>
      <c r="S909" t="str">
        <f>IF(LEN(TRIM(E909))=0,"",IF(ISERROR(VLOOKUP(E909,'Manifest MDB data'!A:A,1,FALSE)),"OK","EXISTS!!!"))</f>
        <v/>
      </c>
    </row>
    <row r="910" spans="4:19" x14ac:dyDescent="0.25">
      <c r="D910" t="str">
        <f t="shared" si="59"/>
        <v/>
      </c>
      <c r="E910" t="str">
        <f t="shared" si="60"/>
        <v/>
      </c>
      <c r="F910" t="str">
        <f t="shared" si="57"/>
        <v/>
      </c>
      <c r="G910" t="str">
        <f>IF(LEN(TRIM(E910))=0, "", GetSampleTissueBySpecimenPrep(H910))</f>
        <v/>
      </c>
      <c r="H910" t="str">
        <f>IF(LEN(TRIM(E910))=0, "", GetSpecimenPrepName())</f>
        <v/>
      </c>
      <c r="I910" t="str">
        <f>IF(LEN(TRIM(E910))=0, "", GetSampleVolumeBySpecimenPrep(H910))</f>
        <v/>
      </c>
      <c r="L910" t="str">
        <f>IF(LEN(TRIM(E910))=0,"",VLOOKUP("Manifest Id",config!A:B,2,FALSE))</f>
        <v/>
      </c>
      <c r="M910" t="str">
        <f>IF(LEN(TRIM(E910))=0, "",VLOOKUP("Project Name",config!A:B,2,FALSE))</f>
        <v/>
      </c>
      <c r="N910" t="str">
        <f>IF(LEN(TRIM(E910))=0, "",VLOOKUP("Center Name",config!A:B,2,FALSE))</f>
        <v/>
      </c>
      <c r="O910" s="7" t="str">
        <f>IF(LEN(TRIM(E910))=0,"",VLOOKUP("Shipment Date",config!A:B,2,FALSE))</f>
        <v/>
      </c>
      <c r="P910" s="7" t="str">
        <f t="shared" si="58"/>
        <v/>
      </c>
      <c r="Q910" s="7" t="str">
        <f>IF(LEN(TRIM(D910))=0,"",GetConfigParameterValue("Collection Site"))</f>
        <v/>
      </c>
      <c r="R910" t="str">
        <f>IF(LEN(TRIM(E910))=0, "", GetManifestComments(H910))</f>
        <v/>
      </c>
      <c r="S910" t="str">
        <f>IF(LEN(TRIM(E910))=0,"",IF(ISERROR(VLOOKUP(E910,'Manifest MDB data'!A:A,1,FALSE)),"OK","EXISTS!!!"))</f>
        <v/>
      </c>
    </row>
    <row r="911" spans="4:19" x14ac:dyDescent="0.25">
      <c r="D911" t="str">
        <f t="shared" si="59"/>
        <v/>
      </c>
      <c r="E911" t="str">
        <f t="shared" si="60"/>
        <v/>
      </c>
      <c r="F911" t="str">
        <f t="shared" si="57"/>
        <v/>
      </c>
      <c r="G911" t="str">
        <f>IF(LEN(TRIM(E911))=0, "", GetSampleTissueBySpecimenPrep(H911))</f>
        <v/>
      </c>
      <c r="H911" t="str">
        <f>IF(LEN(TRIM(E911))=0, "", GetSpecimenPrepName())</f>
        <v/>
      </c>
      <c r="I911" t="str">
        <f>IF(LEN(TRIM(E911))=0, "", GetSampleVolumeBySpecimenPrep(H911))</f>
        <v/>
      </c>
      <c r="L911" t="str">
        <f>IF(LEN(TRIM(E911))=0,"",VLOOKUP("Manifest Id",config!A:B,2,FALSE))</f>
        <v/>
      </c>
      <c r="M911" t="str">
        <f>IF(LEN(TRIM(E911))=0, "",VLOOKUP("Project Name",config!A:B,2,FALSE))</f>
        <v/>
      </c>
      <c r="N911" t="str">
        <f>IF(LEN(TRIM(E911))=0, "",VLOOKUP("Center Name",config!A:B,2,FALSE))</f>
        <v/>
      </c>
      <c r="O911" s="7" t="str">
        <f>IF(LEN(TRIM(E911))=0,"",VLOOKUP("Shipment Date",config!A:B,2,FALSE))</f>
        <v/>
      </c>
      <c r="P911" s="7" t="str">
        <f t="shared" si="58"/>
        <v/>
      </c>
      <c r="Q911" s="7" t="str">
        <f>IF(LEN(TRIM(D911))=0,"",GetConfigParameterValue("Collection Site"))</f>
        <v/>
      </c>
      <c r="R911" t="str">
        <f>IF(LEN(TRIM(E911))=0, "", GetManifestComments(H911))</f>
        <v/>
      </c>
      <c r="S911" t="str">
        <f>IF(LEN(TRIM(E911))=0,"",IF(ISERROR(VLOOKUP(E911,'Manifest MDB data'!A:A,1,FALSE)),"OK","EXISTS!!!"))</f>
        <v/>
      </c>
    </row>
    <row r="912" spans="4:19" x14ac:dyDescent="0.25">
      <c r="D912" t="str">
        <f t="shared" si="59"/>
        <v/>
      </c>
      <c r="E912" t="str">
        <f t="shared" si="60"/>
        <v/>
      </c>
      <c r="F912" t="str">
        <f t="shared" si="57"/>
        <v/>
      </c>
      <c r="G912" t="str">
        <f>IF(LEN(TRIM(E912))=0, "", GetSampleTissueBySpecimenPrep(H912))</f>
        <v/>
      </c>
      <c r="H912" t="str">
        <f>IF(LEN(TRIM(E912))=0, "", GetSpecimenPrepName())</f>
        <v/>
      </c>
      <c r="I912" t="str">
        <f>IF(LEN(TRIM(E912))=0, "", GetSampleVolumeBySpecimenPrep(H912))</f>
        <v/>
      </c>
      <c r="L912" t="str">
        <f>IF(LEN(TRIM(E912))=0,"",VLOOKUP("Manifest Id",config!A:B,2,FALSE))</f>
        <v/>
      </c>
      <c r="M912" t="str">
        <f>IF(LEN(TRIM(E912))=0, "",VLOOKUP("Project Name",config!A:B,2,FALSE))</f>
        <v/>
      </c>
      <c r="N912" t="str">
        <f>IF(LEN(TRIM(E912))=0, "",VLOOKUP("Center Name",config!A:B,2,FALSE))</f>
        <v/>
      </c>
      <c r="O912" s="7" t="str">
        <f>IF(LEN(TRIM(E912))=0,"",VLOOKUP("Shipment Date",config!A:B,2,FALSE))</f>
        <v/>
      </c>
      <c r="P912" s="7" t="str">
        <f t="shared" si="58"/>
        <v/>
      </c>
      <c r="Q912" s="7" t="str">
        <f>IF(LEN(TRIM(D912))=0,"",GetConfigParameterValue("Collection Site"))</f>
        <v/>
      </c>
      <c r="R912" t="str">
        <f>IF(LEN(TRIM(E912))=0, "", GetManifestComments(H912))</f>
        <v/>
      </c>
      <c r="S912" t="str">
        <f>IF(LEN(TRIM(E912))=0,"",IF(ISERROR(VLOOKUP(E912,'Manifest MDB data'!A:A,1,FALSE)),"OK","EXISTS!!!"))</f>
        <v/>
      </c>
    </row>
    <row r="913" spans="4:19" x14ac:dyDescent="0.25">
      <c r="D913" t="str">
        <f t="shared" si="59"/>
        <v/>
      </c>
      <c r="E913" t="str">
        <f t="shared" si="60"/>
        <v/>
      </c>
      <c r="F913" t="str">
        <f t="shared" si="57"/>
        <v/>
      </c>
      <c r="G913" t="str">
        <f>IF(LEN(TRIM(E913))=0, "", GetSampleTissueBySpecimenPrep(H913))</f>
        <v/>
      </c>
      <c r="H913" t="str">
        <f>IF(LEN(TRIM(E913))=0, "", GetSpecimenPrepName())</f>
        <v/>
      </c>
      <c r="I913" t="str">
        <f>IF(LEN(TRIM(E913))=0, "", GetSampleVolumeBySpecimenPrep(H913))</f>
        <v/>
      </c>
      <c r="L913" t="str">
        <f>IF(LEN(TRIM(E913))=0,"",VLOOKUP("Manifest Id",config!A:B,2,FALSE))</f>
        <v/>
      </c>
      <c r="M913" t="str">
        <f>IF(LEN(TRIM(E913))=0, "",VLOOKUP("Project Name",config!A:B,2,FALSE))</f>
        <v/>
      </c>
      <c r="N913" t="str">
        <f>IF(LEN(TRIM(E913))=0, "",VLOOKUP("Center Name",config!A:B,2,FALSE))</f>
        <v/>
      </c>
      <c r="O913" s="7" t="str">
        <f>IF(LEN(TRIM(E913))=0,"",VLOOKUP("Shipment Date",config!A:B,2,FALSE))</f>
        <v/>
      </c>
      <c r="P913" s="7" t="str">
        <f t="shared" si="58"/>
        <v/>
      </c>
      <c r="Q913" s="7" t="str">
        <f>IF(LEN(TRIM(D913))=0,"",GetConfigParameterValue("Collection Site"))</f>
        <v/>
      </c>
      <c r="R913" t="str">
        <f>IF(LEN(TRIM(E913))=0, "", GetManifestComments(H913))</f>
        <v/>
      </c>
      <c r="S913" t="str">
        <f>IF(LEN(TRIM(E913))=0,"",IF(ISERROR(VLOOKUP(E913,'Manifest MDB data'!A:A,1,FALSE)),"OK","EXISTS!!!"))</f>
        <v/>
      </c>
    </row>
    <row r="914" spans="4:19" x14ac:dyDescent="0.25">
      <c r="D914" t="str">
        <f t="shared" si="59"/>
        <v/>
      </c>
      <c r="E914" t="str">
        <f t="shared" si="60"/>
        <v/>
      </c>
      <c r="F914" t="str">
        <f t="shared" si="57"/>
        <v/>
      </c>
      <c r="G914" t="str">
        <f>IF(LEN(TRIM(E914))=0, "", GetSampleTissueBySpecimenPrep(H914))</f>
        <v/>
      </c>
      <c r="H914" t="str">
        <f>IF(LEN(TRIM(E914))=0, "", GetSpecimenPrepName())</f>
        <v/>
      </c>
      <c r="I914" t="str">
        <f>IF(LEN(TRIM(E914))=0, "", GetSampleVolumeBySpecimenPrep(H914))</f>
        <v/>
      </c>
      <c r="L914" t="str">
        <f>IF(LEN(TRIM(E914))=0,"",VLOOKUP("Manifest Id",config!A:B,2,FALSE))</f>
        <v/>
      </c>
      <c r="M914" t="str">
        <f>IF(LEN(TRIM(E914))=0, "",VLOOKUP("Project Name",config!A:B,2,FALSE))</f>
        <v/>
      </c>
      <c r="N914" t="str">
        <f>IF(LEN(TRIM(E914))=0, "",VLOOKUP("Center Name",config!A:B,2,FALSE))</f>
        <v/>
      </c>
      <c r="O914" s="7" t="str">
        <f>IF(LEN(TRIM(E914))=0,"",VLOOKUP("Shipment Date",config!A:B,2,FALSE))</f>
        <v/>
      </c>
      <c r="P914" s="7" t="str">
        <f t="shared" si="58"/>
        <v/>
      </c>
      <c r="Q914" s="7" t="str">
        <f>IF(LEN(TRIM(D914))=0,"",GetConfigParameterValue("Collection Site"))</f>
        <v/>
      </c>
      <c r="R914" t="str">
        <f>IF(LEN(TRIM(E914))=0, "", GetManifestComments(H914))</f>
        <v/>
      </c>
      <c r="S914" t="str">
        <f>IF(LEN(TRIM(E914))=0,"",IF(ISERROR(VLOOKUP(E914,'Manifest MDB data'!A:A,1,FALSE)),"OK","EXISTS!!!"))</f>
        <v/>
      </c>
    </row>
    <row r="915" spans="4:19" x14ac:dyDescent="0.25">
      <c r="D915" t="str">
        <f t="shared" si="59"/>
        <v/>
      </c>
      <c r="E915" t="str">
        <f t="shared" si="60"/>
        <v/>
      </c>
      <c r="F915" t="str">
        <f t="shared" si="57"/>
        <v/>
      </c>
      <c r="G915" t="str">
        <f>IF(LEN(TRIM(E915))=0, "", GetSampleTissueBySpecimenPrep(H915))</f>
        <v/>
      </c>
      <c r="H915" t="str">
        <f>IF(LEN(TRIM(E915))=0, "", GetSpecimenPrepName())</f>
        <v/>
      </c>
      <c r="I915" t="str">
        <f>IF(LEN(TRIM(E915))=0, "", GetSampleVolumeBySpecimenPrep(H915))</f>
        <v/>
      </c>
      <c r="L915" t="str">
        <f>IF(LEN(TRIM(E915))=0,"",VLOOKUP("Manifest Id",config!A:B,2,FALSE))</f>
        <v/>
      </c>
      <c r="M915" t="str">
        <f>IF(LEN(TRIM(E915))=0, "",VLOOKUP("Project Name",config!A:B,2,FALSE))</f>
        <v/>
      </c>
      <c r="N915" t="str">
        <f>IF(LEN(TRIM(E915))=0, "",VLOOKUP("Center Name",config!A:B,2,FALSE))</f>
        <v/>
      </c>
      <c r="O915" s="7" t="str">
        <f>IF(LEN(TRIM(E915))=0,"",VLOOKUP("Shipment Date",config!A:B,2,FALSE))</f>
        <v/>
      </c>
      <c r="P915" s="7" t="str">
        <f t="shared" si="58"/>
        <v/>
      </c>
      <c r="Q915" s="7" t="str">
        <f>IF(LEN(TRIM(D915))=0,"",GetConfigParameterValue("Collection Site"))</f>
        <v/>
      </c>
      <c r="R915" t="str">
        <f>IF(LEN(TRIM(E915))=0, "", GetManifestComments(H915))</f>
        <v/>
      </c>
      <c r="S915" t="str">
        <f>IF(LEN(TRIM(E915))=0,"",IF(ISERROR(VLOOKUP(E915,'Manifest MDB data'!A:A,1,FALSE)),"OK","EXISTS!!!"))</f>
        <v/>
      </c>
    </row>
    <row r="916" spans="4:19" x14ac:dyDescent="0.25">
      <c r="D916" t="str">
        <f t="shared" si="59"/>
        <v/>
      </c>
      <c r="E916" t="str">
        <f t="shared" si="60"/>
        <v/>
      </c>
      <c r="F916" t="str">
        <f t="shared" si="57"/>
        <v/>
      </c>
      <c r="G916" t="str">
        <f>IF(LEN(TRIM(E916))=0, "", GetSampleTissueBySpecimenPrep(H916))</f>
        <v/>
      </c>
      <c r="H916" t="str">
        <f>IF(LEN(TRIM(E916))=0, "", GetSpecimenPrepName())</f>
        <v/>
      </c>
      <c r="I916" t="str">
        <f>IF(LEN(TRIM(E916))=0, "", GetSampleVolumeBySpecimenPrep(H916))</f>
        <v/>
      </c>
      <c r="L916" t="str">
        <f>IF(LEN(TRIM(E916))=0,"",VLOOKUP("Manifest Id",config!A:B,2,FALSE))</f>
        <v/>
      </c>
      <c r="M916" t="str">
        <f>IF(LEN(TRIM(E916))=0, "",VLOOKUP("Project Name",config!A:B,2,FALSE))</f>
        <v/>
      </c>
      <c r="N916" t="str">
        <f>IF(LEN(TRIM(E916))=0, "",VLOOKUP("Center Name",config!A:B,2,FALSE))</f>
        <v/>
      </c>
      <c r="O916" s="7" t="str">
        <f>IF(LEN(TRIM(E916))=0,"",VLOOKUP("Shipment Date",config!A:B,2,FALSE))</f>
        <v/>
      </c>
      <c r="P916" s="7" t="str">
        <f t="shared" si="58"/>
        <v/>
      </c>
      <c r="Q916" s="7" t="str">
        <f>IF(LEN(TRIM(D916))=0,"",GetConfigParameterValue("Collection Site"))</f>
        <v/>
      </c>
      <c r="R916" t="str">
        <f>IF(LEN(TRIM(E916))=0, "", GetManifestComments(H916))</f>
        <v/>
      </c>
      <c r="S916" t="str">
        <f>IF(LEN(TRIM(E916))=0,"",IF(ISERROR(VLOOKUP(E916,'Manifest MDB data'!A:A,1,FALSE)),"OK","EXISTS!!!"))</f>
        <v/>
      </c>
    </row>
    <row r="917" spans="4:19" x14ac:dyDescent="0.25">
      <c r="D917" t="str">
        <f t="shared" si="59"/>
        <v/>
      </c>
      <c r="E917" t="str">
        <f t="shared" si="60"/>
        <v/>
      </c>
      <c r="F917" t="str">
        <f t="shared" si="57"/>
        <v/>
      </c>
      <c r="G917" t="str">
        <f>IF(LEN(TRIM(E917))=0, "", GetSampleTissueBySpecimenPrep(H917))</f>
        <v/>
      </c>
      <c r="H917" t="str">
        <f>IF(LEN(TRIM(E917))=0, "", GetSpecimenPrepName())</f>
        <v/>
      </c>
      <c r="I917" t="str">
        <f>IF(LEN(TRIM(E917))=0, "", GetSampleVolumeBySpecimenPrep(H917))</f>
        <v/>
      </c>
      <c r="L917" t="str">
        <f>IF(LEN(TRIM(E917))=0,"",VLOOKUP("Manifest Id",config!A:B,2,FALSE))</f>
        <v/>
      </c>
      <c r="M917" t="str">
        <f>IF(LEN(TRIM(E917))=0, "",VLOOKUP("Project Name",config!A:B,2,FALSE))</f>
        <v/>
      </c>
      <c r="N917" t="str">
        <f>IF(LEN(TRIM(E917))=0, "",VLOOKUP("Center Name",config!A:B,2,FALSE))</f>
        <v/>
      </c>
      <c r="O917" s="7" t="str">
        <f>IF(LEN(TRIM(E917))=0,"",VLOOKUP("Shipment Date",config!A:B,2,FALSE))</f>
        <v/>
      </c>
      <c r="P917" s="7" t="str">
        <f t="shared" si="58"/>
        <v/>
      </c>
      <c r="Q917" s="7" t="str">
        <f>IF(LEN(TRIM(D917))=0,"",GetConfigParameterValue("Collection Site"))</f>
        <v/>
      </c>
      <c r="R917" t="str">
        <f>IF(LEN(TRIM(E917))=0, "", GetManifestComments(H917))</f>
        <v/>
      </c>
      <c r="S917" t="str">
        <f>IF(LEN(TRIM(E917))=0,"",IF(ISERROR(VLOOKUP(E917,'Manifest MDB data'!A:A,1,FALSE)),"OK","EXISTS!!!"))</f>
        <v/>
      </c>
    </row>
    <row r="918" spans="4:19" x14ac:dyDescent="0.25">
      <c r="D918" t="str">
        <f t="shared" si="59"/>
        <v/>
      </c>
      <c r="E918" t="str">
        <f t="shared" si="60"/>
        <v/>
      </c>
      <c r="F918" t="str">
        <f t="shared" si="57"/>
        <v/>
      </c>
      <c r="G918" t="str">
        <f>IF(LEN(TRIM(E918))=0, "", GetSampleTissueBySpecimenPrep(H918))</f>
        <v/>
      </c>
      <c r="H918" t="str">
        <f>IF(LEN(TRIM(E918))=0, "", GetSpecimenPrepName())</f>
        <v/>
      </c>
      <c r="I918" t="str">
        <f>IF(LEN(TRIM(E918))=0, "", GetSampleVolumeBySpecimenPrep(H918))</f>
        <v/>
      </c>
      <c r="L918" t="str">
        <f>IF(LEN(TRIM(E918))=0,"",VLOOKUP("Manifest Id",config!A:B,2,FALSE))</f>
        <v/>
      </c>
      <c r="M918" t="str">
        <f>IF(LEN(TRIM(E918))=0, "",VLOOKUP("Project Name",config!A:B,2,FALSE))</f>
        <v/>
      </c>
      <c r="N918" t="str">
        <f>IF(LEN(TRIM(E918))=0, "",VLOOKUP("Center Name",config!A:B,2,FALSE))</f>
        <v/>
      </c>
      <c r="O918" s="7" t="str">
        <f>IF(LEN(TRIM(E918))=0,"",VLOOKUP("Shipment Date",config!A:B,2,FALSE))</f>
        <v/>
      </c>
      <c r="P918" s="7" t="str">
        <f t="shared" si="58"/>
        <v/>
      </c>
      <c r="Q918" s="7" t="str">
        <f>IF(LEN(TRIM(D918))=0,"",GetConfigParameterValue("Collection Site"))</f>
        <v/>
      </c>
      <c r="R918" t="str">
        <f>IF(LEN(TRIM(E918))=0, "", GetManifestComments(H918))</f>
        <v/>
      </c>
      <c r="S918" t="str">
        <f>IF(LEN(TRIM(E918))=0,"",IF(ISERROR(VLOOKUP(E918,'Manifest MDB data'!A:A,1,FALSE)),"OK","EXISTS!!!"))</f>
        <v/>
      </c>
    </row>
    <row r="919" spans="4:19" x14ac:dyDescent="0.25">
      <c r="D919" t="str">
        <f t="shared" si="59"/>
        <v/>
      </c>
      <c r="E919" t="str">
        <f t="shared" si="60"/>
        <v/>
      </c>
      <c r="F919" t="str">
        <f t="shared" si="57"/>
        <v/>
      </c>
      <c r="G919" t="str">
        <f>IF(LEN(TRIM(E919))=0, "", GetSampleTissueBySpecimenPrep(H919))</f>
        <v/>
      </c>
      <c r="H919" t="str">
        <f>IF(LEN(TRIM(E919))=0, "", GetSpecimenPrepName())</f>
        <v/>
      </c>
      <c r="I919" t="str">
        <f>IF(LEN(TRIM(E919))=0, "", GetSampleVolumeBySpecimenPrep(H919))</f>
        <v/>
      </c>
      <c r="L919" t="str">
        <f>IF(LEN(TRIM(E919))=0,"",VLOOKUP("Manifest Id",config!A:B,2,FALSE))</f>
        <v/>
      </c>
      <c r="M919" t="str">
        <f>IF(LEN(TRIM(E919))=0, "",VLOOKUP("Project Name",config!A:B,2,FALSE))</f>
        <v/>
      </c>
      <c r="N919" t="str">
        <f>IF(LEN(TRIM(E919))=0, "",VLOOKUP("Center Name",config!A:B,2,FALSE))</f>
        <v/>
      </c>
      <c r="O919" s="7" t="str">
        <f>IF(LEN(TRIM(E919))=0,"",VLOOKUP("Shipment Date",config!A:B,2,FALSE))</f>
        <v/>
      </c>
      <c r="P919" s="7" t="str">
        <f t="shared" si="58"/>
        <v/>
      </c>
      <c r="Q919" s="7" t="str">
        <f>IF(LEN(TRIM(D919))=0,"",GetConfigParameterValue("Collection Site"))</f>
        <v/>
      </c>
      <c r="R919" t="str">
        <f>IF(LEN(TRIM(E919))=0, "", GetManifestComments(H919))</f>
        <v/>
      </c>
      <c r="S919" t="str">
        <f>IF(LEN(TRIM(E919))=0,"",IF(ISERROR(VLOOKUP(E919,'Manifest MDB data'!A:A,1,FALSE)),"OK","EXISTS!!!"))</f>
        <v/>
      </c>
    </row>
    <row r="920" spans="4:19" x14ac:dyDescent="0.25">
      <c r="D920" t="str">
        <f t="shared" si="59"/>
        <v/>
      </c>
      <c r="E920" t="str">
        <f t="shared" si="60"/>
        <v/>
      </c>
      <c r="F920" t="str">
        <f t="shared" si="57"/>
        <v/>
      </c>
      <c r="G920" t="str">
        <f>IF(LEN(TRIM(E920))=0, "", GetSampleTissueBySpecimenPrep(H920))</f>
        <v/>
      </c>
      <c r="H920" t="str">
        <f>IF(LEN(TRIM(E920))=0, "", GetSpecimenPrepName())</f>
        <v/>
      </c>
      <c r="I920" t="str">
        <f>IF(LEN(TRIM(E920))=0, "", GetSampleVolumeBySpecimenPrep(H920))</f>
        <v/>
      </c>
      <c r="L920" t="str">
        <f>IF(LEN(TRIM(E920))=0,"",VLOOKUP("Manifest Id",config!A:B,2,FALSE))</f>
        <v/>
      </c>
      <c r="M920" t="str">
        <f>IF(LEN(TRIM(E920))=0, "",VLOOKUP("Project Name",config!A:B,2,FALSE))</f>
        <v/>
      </c>
      <c r="N920" t="str">
        <f>IF(LEN(TRIM(E920))=0, "",VLOOKUP("Center Name",config!A:B,2,FALSE))</f>
        <v/>
      </c>
      <c r="O920" s="7" t="str">
        <f>IF(LEN(TRIM(E920))=0,"",VLOOKUP("Shipment Date",config!A:B,2,FALSE))</f>
        <v/>
      </c>
      <c r="P920" s="7" t="str">
        <f t="shared" si="58"/>
        <v/>
      </c>
      <c r="Q920" s="7" t="str">
        <f>IF(LEN(TRIM(D920))=0,"",GetConfigParameterValue("Collection Site"))</f>
        <v/>
      </c>
      <c r="R920" t="str">
        <f>IF(LEN(TRIM(E920))=0, "", GetManifestComments(H920))</f>
        <v/>
      </c>
      <c r="S920" t="str">
        <f>IF(LEN(TRIM(E920))=0,"",IF(ISERROR(VLOOKUP(E920,'Manifest MDB data'!A:A,1,FALSE)),"OK","EXISTS!!!"))</f>
        <v/>
      </c>
    </row>
    <row r="921" spans="4:19" x14ac:dyDescent="0.25">
      <c r="D921" t="str">
        <f t="shared" si="59"/>
        <v/>
      </c>
      <c r="E921" t="str">
        <f t="shared" si="60"/>
        <v/>
      </c>
      <c r="F921" t="str">
        <f t="shared" si="57"/>
        <v/>
      </c>
      <c r="G921" t="str">
        <f>IF(LEN(TRIM(E921))=0, "", GetSampleTissueBySpecimenPrep(H921))</f>
        <v/>
      </c>
      <c r="H921" t="str">
        <f>IF(LEN(TRIM(E921))=0, "", GetSpecimenPrepName())</f>
        <v/>
      </c>
      <c r="I921" t="str">
        <f>IF(LEN(TRIM(E921))=0, "", GetSampleVolumeBySpecimenPrep(H921))</f>
        <v/>
      </c>
      <c r="L921" t="str">
        <f>IF(LEN(TRIM(E921))=0,"",VLOOKUP("Manifest Id",config!A:B,2,FALSE))</f>
        <v/>
      </c>
      <c r="M921" t="str">
        <f>IF(LEN(TRIM(E921))=0, "",VLOOKUP("Project Name",config!A:B,2,FALSE))</f>
        <v/>
      </c>
      <c r="N921" t="str">
        <f>IF(LEN(TRIM(E921))=0, "",VLOOKUP("Center Name",config!A:B,2,FALSE))</f>
        <v/>
      </c>
      <c r="O921" s="7" t="str">
        <f>IF(LEN(TRIM(E921))=0,"",VLOOKUP("Shipment Date",config!A:B,2,FALSE))</f>
        <v/>
      </c>
      <c r="P921" s="7" t="str">
        <f t="shared" si="58"/>
        <v/>
      </c>
      <c r="Q921" s="7" t="str">
        <f>IF(LEN(TRIM(D921))=0,"",GetConfigParameterValue("Collection Site"))</f>
        <v/>
      </c>
      <c r="R921" t="str">
        <f>IF(LEN(TRIM(E921))=0, "", GetManifestComments(H921))</f>
        <v/>
      </c>
      <c r="S921" t="str">
        <f>IF(LEN(TRIM(E921))=0,"",IF(ISERROR(VLOOKUP(E921,'Manifest MDB data'!A:A,1,FALSE)),"OK","EXISTS!!!"))</f>
        <v/>
      </c>
    </row>
    <row r="922" spans="4:19" x14ac:dyDescent="0.25">
      <c r="D922" t="str">
        <f t="shared" si="59"/>
        <v/>
      </c>
      <c r="E922" t="str">
        <f t="shared" si="60"/>
        <v/>
      </c>
      <c r="F922" t="str">
        <f t="shared" si="57"/>
        <v/>
      </c>
      <c r="G922" t="str">
        <f>IF(LEN(TRIM(E922))=0, "", GetSampleTissueBySpecimenPrep(H922))</f>
        <v/>
      </c>
      <c r="H922" t="str">
        <f>IF(LEN(TRIM(E922))=0, "", GetSpecimenPrepName())</f>
        <v/>
      </c>
      <c r="I922" t="str">
        <f>IF(LEN(TRIM(E922))=0, "", GetSampleVolumeBySpecimenPrep(H922))</f>
        <v/>
      </c>
      <c r="L922" t="str">
        <f>IF(LEN(TRIM(E922))=0,"",VLOOKUP("Manifest Id",config!A:B,2,FALSE))</f>
        <v/>
      </c>
      <c r="M922" t="str">
        <f>IF(LEN(TRIM(E922))=0, "",VLOOKUP("Project Name",config!A:B,2,FALSE))</f>
        <v/>
      </c>
      <c r="N922" t="str">
        <f>IF(LEN(TRIM(E922))=0, "",VLOOKUP("Center Name",config!A:B,2,FALSE))</f>
        <v/>
      </c>
      <c r="O922" s="7" t="str">
        <f>IF(LEN(TRIM(E922))=0,"",VLOOKUP("Shipment Date",config!A:B,2,FALSE))</f>
        <v/>
      </c>
      <c r="P922" s="7" t="str">
        <f t="shared" si="58"/>
        <v/>
      </c>
      <c r="Q922" s="7" t="str">
        <f>IF(LEN(TRIM(D922))=0,"",GetConfigParameterValue("Collection Site"))</f>
        <v/>
      </c>
      <c r="R922" t="str">
        <f>IF(LEN(TRIM(E922))=0, "", GetManifestComments(H922))</f>
        <v/>
      </c>
      <c r="S922" t="str">
        <f>IF(LEN(TRIM(E922))=0,"",IF(ISERROR(VLOOKUP(E922,'Manifest MDB data'!A:A,1,FALSE)),"OK","EXISTS!!!"))</f>
        <v/>
      </c>
    </row>
    <row r="923" spans="4:19" x14ac:dyDescent="0.25">
      <c r="D923" t="str">
        <f t="shared" si="59"/>
        <v/>
      </c>
      <c r="E923" t="str">
        <f t="shared" si="60"/>
        <v/>
      </c>
      <c r="F923" t="str">
        <f t="shared" si="57"/>
        <v/>
      </c>
      <c r="G923" t="str">
        <f>IF(LEN(TRIM(E923))=0, "", GetSampleTissueBySpecimenPrep(H923))</f>
        <v/>
      </c>
      <c r="H923" t="str">
        <f>IF(LEN(TRIM(E923))=0, "", GetSpecimenPrepName())</f>
        <v/>
      </c>
      <c r="I923" t="str">
        <f>IF(LEN(TRIM(E923))=0, "", GetSampleVolumeBySpecimenPrep(H923))</f>
        <v/>
      </c>
      <c r="L923" t="str">
        <f>IF(LEN(TRIM(E923))=0,"",VLOOKUP("Manifest Id",config!A:B,2,FALSE))</f>
        <v/>
      </c>
      <c r="M923" t="str">
        <f>IF(LEN(TRIM(E923))=0, "",VLOOKUP("Project Name",config!A:B,2,FALSE))</f>
        <v/>
      </c>
      <c r="N923" t="str">
        <f>IF(LEN(TRIM(E923))=0, "",VLOOKUP("Center Name",config!A:B,2,FALSE))</f>
        <v/>
      </c>
      <c r="O923" s="7" t="str">
        <f>IF(LEN(TRIM(E923))=0,"",VLOOKUP("Shipment Date",config!A:B,2,FALSE))</f>
        <v/>
      </c>
      <c r="P923" s="7" t="str">
        <f t="shared" si="58"/>
        <v/>
      </c>
      <c r="Q923" s="7" t="str">
        <f>IF(LEN(TRIM(D923))=0,"",GetConfigParameterValue("Collection Site"))</f>
        <v/>
      </c>
      <c r="R923" t="str">
        <f>IF(LEN(TRIM(E923))=0, "", GetManifestComments(H923))</f>
        <v/>
      </c>
      <c r="S923" t="str">
        <f>IF(LEN(TRIM(E923))=0,"",IF(ISERROR(VLOOKUP(E923,'Manifest MDB data'!A:A,1,FALSE)),"OK","EXISTS!!!"))</f>
        <v/>
      </c>
    </row>
    <row r="924" spans="4:19" x14ac:dyDescent="0.25">
      <c r="D924" t="str">
        <f t="shared" si="59"/>
        <v/>
      </c>
      <c r="E924" t="str">
        <f t="shared" si="60"/>
        <v/>
      </c>
      <c r="F924" t="str">
        <f t="shared" si="57"/>
        <v/>
      </c>
      <c r="G924" t="str">
        <f>IF(LEN(TRIM(E924))=0, "", GetSampleTissueBySpecimenPrep(H924))</f>
        <v/>
      </c>
      <c r="H924" t="str">
        <f>IF(LEN(TRIM(E924))=0, "", GetSpecimenPrepName())</f>
        <v/>
      </c>
      <c r="I924" t="str">
        <f>IF(LEN(TRIM(E924))=0, "", GetSampleVolumeBySpecimenPrep(H924))</f>
        <v/>
      </c>
      <c r="L924" t="str">
        <f>IF(LEN(TRIM(E924))=0,"",VLOOKUP("Manifest Id",config!A:B,2,FALSE))</f>
        <v/>
      </c>
      <c r="M924" t="str">
        <f>IF(LEN(TRIM(E924))=0, "",VLOOKUP("Project Name",config!A:B,2,FALSE))</f>
        <v/>
      </c>
      <c r="N924" t="str">
        <f>IF(LEN(TRIM(E924))=0, "",VLOOKUP("Center Name",config!A:B,2,FALSE))</f>
        <v/>
      </c>
      <c r="O924" s="7" t="str">
        <f>IF(LEN(TRIM(E924))=0,"",VLOOKUP("Shipment Date",config!A:B,2,FALSE))</f>
        <v/>
      </c>
      <c r="P924" s="7" t="str">
        <f t="shared" si="58"/>
        <v/>
      </c>
      <c r="Q924" s="7" t="str">
        <f>IF(LEN(TRIM(D924))=0,"",GetConfigParameterValue("Collection Site"))</f>
        <v/>
      </c>
      <c r="R924" t="str">
        <f>IF(LEN(TRIM(E924))=0, "", GetManifestComments(H924))</f>
        <v/>
      </c>
      <c r="S924" t="str">
        <f>IF(LEN(TRIM(E924))=0,"",IF(ISERROR(VLOOKUP(E924,'Manifest MDB data'!A:A,1,FALSE)),"OK","EXISTS!!!"))</f>
        <v/>
      </c>
    </row>
    <row r="925" spans="4:19" x14ac:dyDescent="0.25">
      <c r="D925" t="str">
        <f t="shared" si="59"/>
        <v/>
      </c>
      <c r="E925" t="str">
        <f t="shared" si="60"/>
        <v/>
      </c>
      <c r="F925" t="str">
        <f t="shared" si="57"/>
        <v/>
      </c>
      <c r="G925" t="str">
        <f>IF(LEN(TRIM(E925))=0, "", GetSampleTissueBySpecimenPrep(H925))</f>
        <v/>
      </c>
      <c r="H925" t="str">
        <f>IF(LEN(TRIM(E925))=0, "", GetSpecimenPrepName())</f>
        <v/>
      </c>
      <c r="I925" t="str">
        <f>IF(LEN(TRIM(E925))=0, "", GetSampleVolumeBySpecimenPrep(H925))</f>
        <v/>
      </c>
      <c r="L925" t="str">
        <f>IF(LEN(TRIM(E925))=0,"",VLOOKUP("Manifest Id",config!A:B,2,FALSE))</f>
        <v/>
      </c>
      <c r="M925" t="str">
        <f>IF(LEN(TRIM(E925))=0, "",VLOOKUP("Project Name",config!A:B,2,FALSE))</f>
        <v/>
      </c>
      <c r="N925" t="str">
        <f>IF(LEN(TRIM(E925))=0, "",VLOOKUP("Center Name",config!A:B,2,FALSE))</f>
        <v/>
      </c>
      <c r="O925" s="7" t="str">
        <f>IF(LEN(TRIM(E925))=0,"",VLOOKUP("Shipment Date",config!A:B,2,FALSE))</f>
        <v/>
      </c>
      <c r="P925" s="7" t="str">
        <f t="shared" si="58"/>
        <v/>
      </c>
      <c r="Q925" s="7" t="str">
        <f>IF(LEN(TRIM(D925))=0,"",GetConfigParameterValue("Collection Site"))</f>
        <v/>
      </c>
      <c r="R925" t="str">
        <f>IF(LEN(TRIM(E925))=0, "", GetManifestComments(H925))</f>
        <v/>
      </c>
      <c r="S925" t="str">
        <f>IF(LEN(TRIM(E925))=0,"",IF(ISERROR(VLOOKUP(E925,'Manifest MDB data'!A:A,1,FALSE)),"OK","EXISTS!!!"))</f>
        <v/>
      </c>
    </row>
    <row r="926" spans="4:19" x14ac:dyDescent="0.25">
      <c r="D926" t="str">
        <f t="shared" si="59"/>
        <v/>
      </c>
      <c r="E926" t="str">
        <f t="shared" si="60"/>
        <v/>
      </c>
      <c r="F926" t="str">
        <f t="shared" si="57"/>
        <v/>
      </c>
      <c r="G926" t="str">
        <f>IF(LEN(TRIM(E926))=0, "", GetSampleTissueBySpecimenPrep(H926))</f>
        <v/>
      </c>
      <c r="H926" t="str">
        <f>IF(LEN(TRIM(E926))=0, "", GetSpecimenPrepName())</f>
        <v/>
      </c>
      <c r="I926" t="str">
        <f>IF(LEN(TRIM(E926))=0, "", GetSampleVolumeBySpecimenPrep(H926))</f>
        <v/>
      </c>
      <c r="L926" t="str">
        <f>IF(LEN(TRIM(E926))=0,"",VLOOKUP("Manifest Id",config!A:B,2,FALSE))</f>
        <v/>
      </c>
      <c r="M926" t="str">
        <f>IF(LEN(TRIM(E926))=0, "",VLOOKUP("Project Name",config!A:B,2,FALSE))</f>
        <v/>
      </c>
      <c r="N926" t="str">
        <f>IF(LEN(TRIM(E926))=0, "",VLOOKUP("Center Name",config!A:B,2,FALSE))</f>
        <v/>
      </c>
      <c r="O926" s="7" t="str">
        <f>IF(LEN(TRIM(E926))=0,"",VLOOKUP("Shipment Date",config!A:B,2,FALSE))</f>
        <v/>
      </c>
      <c r="P926" s="7" t="str">
        <f t="shared" si="58"/>
        <v/>
      </c>
      <c r="Q926" s="7" t="str">
        <f>IF(LEN(TRIM(D926))=0,"",GetConfigParameterValue("Collection Site"))</f>
        <v/>
      </c>
      <c r="R926" t="str">
        <f>IF(LEN(TRIM(E926))=0, "", GetManifestComments(H926))</f>
        <v/>
      </c>
      <c r="S926" t="str">
        <f>IF(LEN(TRIM(E926))=0,"",IF(ISERROR(VLOOKUP(E926,'Manifest MDB data'!A:A,1,FALSE)),"OK","EXISTS!!!"))</f>
        <v/>
      </c>
    </row>
    <row r="927" spans="4:19" x14ac:dyDescent="0.25">
      <c r="D927" t="str">
        <f t="shared" si="59"/>
        <v/>
      </c>
      <c r="E927" t="str">
        <f t="shared" si="60"/>
        <v/>
      </c>
      <c r="F927" t="str">
        <f t="shared" si="57"/>
        <v/>
      </c>
      <c r="G927" t="str">
        <f>IF(LEN(TRIM(E927))=0, "", GetSampleTissueBySpecimenPrep(H927))</f>
        <v/>
      </c>
      <c r="H927" t="str">
        <f>IF(LEN(TRIM(E927))=0, "", GetSpecimenPrepName())</f>
        <v/>
      </c>
      <c r="I927" t="str">
        <f>IF(LEN(TRIM(E927))=0, "", GetSampleVolumeBySpecimenPrep(H927))</f>
        <v/>
      </c>
      <c r="L927" t="str">
        <f>IF(LEN(TRIM(E927))=0,"",VLOOKUP("Manifest Id",config!A:B,2,FALSE))</f>
        <v/>
      </c>
      <c r="M927" t="str">
        <f>IF(LEN(TRIM(E927))=0, "",VLOOKUP("Project Name",config!A:B,2,FALSE))</f>
        <v/>
      </c>
      <c r="N927" t="str">
        <f>IF(LEN(TRIM(E927))=0, "",VLOOKUP("Center Name",config!A:B,2,FALSE))</f>
        <v/>
      </c>
      <c r="O927" s="7" t="str">
        <f>IF(LEN(TRIM(E927))=0,"",VLOOKUP("Shipment Date",config!A:B,2,FALSE))</f>
        <v/>
      </c>
      <c r="P927" s="7" t="str">
        <f t="shared" si="58"/>
        <v/>
      </c>
      <c r="Q927" s="7" t="str">
        <f>IF(LEN(TRIM(D927))=0,"",GetConfigParameterValue("Collection Site"))</f>
        <v/>
      </c>
      <c r="R927" t="str">
        <f>IF(LEN(TRIM(E927))=0, "", GetManifestComments(H927))</f>
        <v/>
      </c>
      <c r="S927" t="str">
        <f>IF(LEN(TRIM(E927))=0,"",IF(ISERROR(VLOOKUP(E927,'Manifest MDB data'!A:A,1,FALSE)),"OK","EXISTS!!!"))</f>
        <v/>
      </c>
    </row>
    <row r="928" spans="4:19" x14ac:dyDescent="0.25">
      <c r="D928" t="str">
        <f t="shared" si="59"/>
        <v/>
      </c>
      <c r="E928" t="str">
        <f t="shared" si="60"/>
        <v/>
      </c>
      <c r="F928" t="str">
        <f t="shared" si="57"/>
        <v/>
      </c>
      <c r="G928" t="str">
        <f>IF(LEN(TRIM(E928))=0, "", GetSampleTissueBySpecimenPrep(H928))</f>
        <v/>
      </c>
      <c r="H928" t="str">
        <f>IF(LEN(TRIM(E928))=0, "", GetSpecimenPrepName())</f>
        <v/>
      </c>
      <c r="I928" t="str">
        <f>IF(LEN(TRIM(E928))=0, "", GetSampleVolumeBySpecimenPrep(H928))</f>
        <v/>
      </c>
      <c r="L928" t="str">
        <f>IF(LEN(TRIM(E928))=0,"",VLOOKUP("Manifest Id",config!A:B,2,FALSE))</f>
        <v/>
      </c>
      <c r="M928" t="str">
        <f>IF(LEN(TRIM(E928))=0, "",VLOOKUP("Project Name",config!A:B,2,FALSE))</f>
        <v/>
      </c>
      <c r="N928" t="str">
        <f>IF(LEN(TRIM(E928))=0, "",VLOOKUP("Center Name",config!A:B,2,FALSE))</f>
        <v/>
      </c>
      <c r="O928" s="7" t="str">
        <f>IF(LEN(TRIM(E928))=0,"",VLOOKUP("Shipment Date",config!A:B,2,FALSE))</f>
        <v/>
      </c>
      <c r="P928" s="7" t="str">
        <f t="shared" si="58"/>
        <v/>
      </c>
      <c r="Q928" s="7" t="str">
        <f>IF(LEN(TRIM(D928))=0,"",GetConfigParameterValue("Collection Site"))</f>
        <v/>
      </c>
      <c r="R928" t="str">
        <f>IF(LEN(TRIM(E928))=0, "", GetManifestComments(H928))</f>
        <v/>
      </c>
      <c r="S928" t="str">
        <f>IF(LEN(TRIM(E928))=0,"",IF(ISERROR(VLOOKUP(E928,'Manifest MDB data'!A:A,1,FALSE)),"OK","EXISTS!!!"))</f>
        <v/>
      </c>
    </row>
    <row r="929" spans="4:19" x14ac:dyDescent="0.25">
      <c r="D929" t="str">
        <f t="shared" si="59"/>
        <v/>
      </c>
      <c r="E929" t="str">
        <f t="shared" si="60"/>
        <v/>
      </c>
      <c r="F929" t="str">
        <f t="shared" si="57"/>
        <v/>
      </c>
      <c r="G929" t="str">
        <f>IF(LEN(TRIM(E929))=0, "", GetSampleTissueBySpecimenPrep(H929))</f>
        <v/>
      </c>
      <c r="H929" t="str">
        <f>IF(LEN(TRIM(E929))=0, "", GetSpecimenPrepName())</f>
        <v/>
      </c>
      <c r="I929" t="str">
        <f>IF(LEN(TRIM(E929))=0, "", GetSampleVolumeBySpecimenPrep(H929))</f>
        <v/>
      </c>
      <c r="L929" t="str">
        <f>IF(LEN(TRIM(E929))=0,"",VLOOKUP("Manifest Id",config!A:B,2,FALSE))</f>
        <v/>
      </c>
      <c r="M929" t="str">
        <f>IF(LEN(TRIM(E929))=0, "",VLOOKUP("Project Name",config!A:B,2,FALSE))</f>
        <v/>
      </c>
      <c r="N929" t="str">
        <f>IF(LEN(TRIM(E929))=0, "",VLOOKUP("Center Name",config!A:B,2,FALSE))</f>
        <v/>
      </c>
      <c r="O929" s="7" t="str">
        <f>IF(LEN(TRIM(E929))=0,"",VLOOKUP("Shipment Date",config!A:B,2,FALSE))</f>
        <v/>
      </c>
      <c r="P929" s="7" t="str">
        <f t="shared" si="58"/>
        <v/>
      </c>
      <c r="Q929" s="7" t="str">
        <f>IF(LEN(TRIM(D929))=0,"",GetConfigParameterValue("Collection Site"))</f>
        <v/>
      </c>
      <c r="R929" t="str">
        <f>IF(LEN(TRIM(E929))=0, "", GetManifestComments(H929))</f>
        <v/>
      </c>
      <c r="S929" t="str">
        <f>IF(LEN(TRIM(E929))=0,"",IF(ISERROR(VLOOKUP(E929,'Manifest MDB data'!A:A,1,FALSE)),"OK","EXISTS!!!"))</f>
        <v/>
      </c>
    </row>
    <row r="930" spans="4:19" x14ac:dyDescent="0.25">
      <c r="D930" t="str">
        <f t="shared" si="59"/>
        <v/>
      </c>
      <c r="E930" t="str">
        <f t="shared" si="60"/>
        <v/>
      </c>
      <c r="F930" t="str">
        <f t="shared" ref="F930:F993" si="61">IF(LEN(TRIM(E930))=0, "", "Human")</f>
        <v/>
      </c>
      <c r="G930" t="str">
        <f>IF(LEN(TRIM(E930))=0, "", GetSampleTissueBySpecimenPrep(H930))</f>
        <v/>
      </c>
      <c r="H930" t="str">
        <f>IF(LEN(TRIM(E930))=0, "", GetSpecimenPrepName())</f>
        <v/>
      </c>
      <c r="I930" t="str">
        <f>IF(LEN(TRIM(E930))=0, "", GetSampleVolumeBySpecimenPrep(H930))</f>
        <v/>
      </c>
      <c r="L930" t="str">
        <f>IF(LEN(TRIM(E930))=0,"",VLOOKUP("Manifest Id",config!A:B,2,FALSE))</f>
        <v/>
      </c>
      <c r="M930" t="str">
        <f>IF(LEN(TRIM(E930))=0, "",VLOOKUP("Project Name",config!A:B,2,FALSE))</f>
        <v/>
      </c>
      <c r="N930" t="str">
        <f>IF(LEN(TRIM(E930))=0, "",VLOOKUP("Center Name",config!A:B,2,FALSE))</f>
        <v/>
      </c>
      <c r="O930" s="7" t="str">
        <f>IF(LEN(TRIM(E930))=0,"",VLOOKUP("Shipment Date",config!A:B,2,FALSE))</f>
        <v/>
      </c>
      <c r="P930" s="7" t="str">
        <f t="shared" si="58"/>
        <v/>
      </c>
      <c r="Q930" s="7" t="str">
        <f>IF(LEN(TRIM(D930))=0,"",GetConfigParameterValue("Collection Site"))</f>
        <v/>
      </c>
      <c r="R930" t="str">
        <f>IF(LEN(TRIM(E930))=0, "", GetManifestComments(H930))</f>
        <v/>
      </c>
      <c r="S930" t="str">
        <f>IF(LEN(TRIM(E930))=0,"",IF(ISERROR(VLOOKUP(E930,'Manifest MDB data'!A:A,1,FALSE)),"OK","EXISTS!!!"))</f>
        <v/>
      </c>
    </row>
    <row r="931" spans="4:19" x14ac:dyDescent="0.25">
      <c r="D931" t="str">
        <f t="shared" si="59"/>
        <v/>
      </c>
      <c r="E931" t="str">
        <f t="shared" si="60"/>
        <v/>
      </c>
      <c r="F931" t="str">
        <f t="shared" si="61"/>
        <v/>
      </c>
      <c r="G931" t="str">
        <f>IF(LEN(TRIM(E931))=0, "", GetSampleTissueBySpecimenPrep(H931))</f>
        <v/>
      </c>
      <c r="H931" t="str">
        <f>IF(LEN(TRIM(E931))=0, "", GetSpecimenPrepName())</f>
        <v/>
      </c>
      <c r="I931" t="str">
        <f>IF(LEN(TRIM(E931))=0, "", GetSampleVolumeBySpecimenPrep(H931))</f>
        <v/>
      </c>
      <c r="L931" t="str">
        <f>IF(LEN(TRIM(E931))=0,"",VLOOKUP("Manifest Id",config!A:B,2,FALSE))</f>
        <v/>
      </c>
      <c r="M931" t="str">
        <f>IF(LEN(TRIM(E931))=0, "",VLOOKUP("Project Name",config!A:B,2,FALSE))</f>
        <v/>
      </c>
      <c r="N931" t="str">
        <f>IF(LEN(TRIM(E931))=0, "",VLOOKUP("Center Name",config!A:B,2,FALSE))</f>
        <v/>
      </c>
      <c r="O931" s="7" t="str">
        <f>IF(LEN(TRIM(E931))=0,"",VLOOKUP("Shipment Date",config!A:B,2,FALSE))</f>
        <v/>
      </c>
      <c r="P931" s="7" t="str">
        <f t="shared" si="58"/>
        <v/>
      </c>
      <c r="Q931" s="7" t="str">
        <f>IF(LEN(TRIM(D931))=0,"",GetConfigParameterValue("Collection Site"))</f>
        <v/>
      </c>
      <c r="R931" t="str">
        <f>IF(LEN(TRIM(E931))=0, "", GetManifestComments(H931))</f>
        <v/>
      </c>
      <c r="S931" t="str">
        <f>IF(LEN(TRIM(E931))=0,"",IF(ISERROR(VLOOKUP(E931,'Manifest MDB data'!A:A,1,FALSE)),"OK","EXISTS!!!"))</f>
        <v/>
      </c>
    </row>
    <row r="932" spans="4:19" x14ac:dyDescent="0.25">
      <c r="D932" t="str">
        <f t="shared" si="59"/>
        <v/>
      </c>
      <c r="E932" t="str">
        <f t="shared" si="60"/>
        <v/>
      </c>
      <c r="F932" t="str">
        <f t="shared" si="61"/>
        <v/>
      </c>
      <c r="G932" t="str">
        <f>IF(LEN(TRIM(E932))=0, "", GetSampleTissueBySpecimenPrep(H932))</f>
        <v/>
      </c>
      <c r="H932" t="str">
        <f>IF(LEN(TRIM(E932))=0, "", GetSpecimenPrepName())</f>
        <v/>
      </c>
      <c r="I932" t="str">
        <f>IF(LEN(TRIM(E932))=0, "", GetSampleVolumeBySpecimenPrep(H932))</f>
        <v/>
      </c>
      <c r="L932" t="str">
        <f>IF(LEN(TRIM(E932))=0,"",VLOOKUP("Manifest Id",config!A:B,2,FALSE))</f>
        <v/>
      </c>
      <c r="M932" t="str">
        <f>IF(LEN(TRIM(E932))=0, "",VLOOKUP("Project Name",config!A:B,2,FALSE))</f>
        <v/>
      </c>
      <c r="N932" t="str">
        <f>IF(LEN(TRIM(E932))=0, "",VLOOKUP("Center Name",config!A:B,2,FALSE))</f>
        <v/>
      </c>
      <c r="O932" s="7" t="str">
        <f>IF(LEN(TRIM(E932))=0,"",VLOOKUP("Shipment Date",config!A:B,2,FALSE))</f>
        <v/>
      </c>
      <c r="P932" s="7" t="str">
        <f t="shared" si="58"/>
        <v/>
      </c>
      <c r="Q932" s="7" t="str">
        <f>IF(LEN(TRIM(D932))=0,"",GetConfigParameterValue("Collection Site"))</f>
        <v/>
      </c>
      <c r="R932" t="str">
        <f>IF(LEN(TRIM(E932))=0, "", GetManifestComments(H932))</f>
        <v/>
      </c>
      <c r="S932" t="str">
        <f>IF(LEN(TRIM(E932))=0,"",IF(ISERROR(VLOOKUP(E932,'Manifest MDB data'!A:A,1,FALSE)),"OK","EXISTS!!!"))</f>
        <v/>
      </c>
    </row>
    <row r="933" spans="4:19" x14ac:dyDescent="0.25">
      <c r="D933" t="str">
        <f t="shared" si="59"/>
        <v/>
      </c>
      <c r="E933" t="str">
        <f t="shared" si="60"/>
        <v/>
      </c>
      <c r="F933" t="str">
        <f t="shared" si="61"/>
        <v/>
      </c>
      <c r="G933" t="str">
        <f>IF(LEN(TRIM(E933))=0, "", GetSampleTissueBySpecimenPrep(H933))</f>
        <v/>
      </c>
      <c r="H933" t="str">
        <f>IF(LEN(TRIM(E933))=0, "", GetSpecimenPrepName())</f>
        <v/>
      </c>
      <c r="I933" t="str">
        <f>IF(LEN(TRIM(E933))=0, "", GetSampleVolumeBySpecimenPrep(H933))</f>
        <v/>
      </c>
      <c r="L933" t="str">
        <f>IF(LEN(TRIM(E933))=0,"",VLOOKUP("Manifest Id",config!A:B,2,FALSE))</f>
        <v/>
      </c>
      <c r="M933" t="str">
        <f>IF(LEN(TRIM(E933))=0, "",VLOOKUP("Project Name",config!A:B,2,FALSE))</f>
        <v/>
      </c>
      <c r="N933" t="str">
        <f>IF(LEN(TRIM(E933))=0, "",VLOOKUP("Center Name",config!A:B,2,FALSE))</f>
        <v/>
      </c>
      <c r="O933" s="7" t="str">
        <f>IF(LEN(TRIM(E933))=0,"",VLOOKUP("Shipment Date",config!A:B,2,FALSE))</f>
        <v/>
      </c>
      <c r="P933" s="7" t="str">
        <f t="shared" si="58"/>
        <v/>
      </c>
      <c r="Q933" s="7" t="str">
        <f>IF(LEN(TRIM(D933))=0,"",GetConfigParameterValue("Collection Site"))</f>
        <v/>
      </c>
      <c r="R933" t="str">
        <f>IF(LEN(TRIM(E933))=0, "", GetManifestComments(H933))</f>
        <v/>
      </c>
      <c r="S933" t="str">
        <f>IF(LEN(TRIM(E933))=0,"",IF(ISERROR(VLOOKUP(E933,'Manifest MDB data'!A:A,1,FALSE)),"OK","EXISTS!!!"))</f>
        <v/>
      </c>
    </row>
    <row r="934" spans="4:19" x14ac:dyDescent="0.25">
      <c r="D934" t="str">
        <f t="shared" si="59"/>
        <v/>
      </c>
      <c r="E934" t="str">
        <f t="shared" si="60"/>
        <v/>
      </c>
      <c r="F934" t="str">
        <f t="shared" si="61"/>
        <v/>
      </c>
      <c r="G934" t="str">
        <f>IF(LEN(TRIM(E934))=0, "", GetSampleTissueBySpecimenPrep(H934))</f>
        <v/>
      </c>
      <c r="H934" t="str">
        <f>IF(LEN(TRIM(E934))=0, "", GetSpecimenPrepName())</f>
        <v/>
      </c>
      <c r="I934" t="str">
        <f>IF(LEN(TRIM(E934))=0, "", GetSampleVolumeBySpecimenPrep(H934))</f>
        <v/>
      </c>
      <c r="L934" t="str">
        <f>IF(LEN(TRIM(E934))=0,"",VLOOKUP("Manifest Id",config!A:B,2,FALSE))</f>
        <v/>
      </c>
      <c r="M934" t="str">
        <f>IF(LEN(TRIM(E934))=0, "",VLOOKUP("Project Name",config!A:B,2,FALSE))</f>
        <v/>
      </c>
      <c r="N934" t="str">
        <f>IF(LEN(TRIM(E934))=0, "",VLOOKUP("Center Name",config!A:B,2,FALSE))</f>
        <v/>
      </c>
      <c r="O934" s="7" t="str">
        <f>IF(LEN(TRIM(E934))=0,"",VLOOKUP("Shipment Date",config!A:B,2,FALSE))</f>
        <v/>
      </c>
      <c r="P934" s="7" t="str">
        <f t="shared" si="58"/>
        <v/>
      </c>
      <c r="Q934" s="7" t="str">
        <f>IF(LEN(TRIM(D934))=0,"",GetConfigParameterValue("Collection Site"))</f>
        <v/>
      </c>
      <c r="R934" t="str">
        <f>IF(LEN(TRIM(E934))=0, "", GetManifestComments(H934))</f>
        <v/>
      </c>
      <c r="S934" t="str">
        <f>IF(LEN(TRIM(E934))=0,"",IF(ISERROR(VLOOKUP(E934,'Manifest MDB data'!A:A,1,FALSE)),"OK","EXISTS!!!"))</f>
        <v/>
      </c>
    </row>
    <row r="935" spans="4:19" x14ac:dyDescent="0.25">
      <c r="D935" t="str">
        <f t="shared" si="59"/>
        <v/>
      </c>
      <c r="E935" t="str">
        <f t="shared" si="60"/>
        <v/>
      </c>
      <c r="F935" t="str">
        <f t="shared" si="61"/>
        <v/>
      </c>
      <c r="G935" t="str">
        <f>IF(LEN(TRIM(E935))=0, "", GetSampleTissueBySpecimenPrep(H935))</f>
        <v/>
      </c>
      <c r="H935" t="str">
        <f>IF(LEN(TRIM(E935))=0, "", GetSpecimenPrepName())</f>
        <v/>
      </c>
      <c r="I935" t="str">
        <f>IF(LEN(TRIM(E935))=0, "", GetSampleVolumeBySpecimenPrep(H935))</f>
        <v/>
      </c>
      <c r="L935" t="str">
        <f>IF(LEN(TRIM(E935))=0,"",VLOOKUP("Manifest Id",config!A:B,2,FALSE))</f>
        <v/>
      </c>
      <c r="M935" t="str">
        <f>IF(LEN(TRIM(E935))=0, "",VLOOKUP("Project Name",config!A:B,2,FALSE))</f>
        <v/>
      </c>
      <c r="N935" t="str">
        <f>IF(LEN(TRIM(E935))=0, "",VLOOKUP("Center Name",config!A:B,2,FALSE))</f>
        <v/>
      </c>
      <c r="O935" s="7" t="str">
        <f>IF(LEN(TRIM(E935))=0,"",VLOOKUP("Shipment Date",config!A:B,2,FALSE))</f>
        <v/>
      </c>
      <c r="P935" s="7" t="str">
        <f t="shared" si="58"/>
        <v/>
      </c>
      <c r="Q935" s="7" t="str">
        <f>IF(LEN(TRIM(D935))=0,"",GetConfigParameterValue("Collection Site"))</f>
        <v/>
      </c>
      <c r="R935" t="str">
        <f>IF(LEN(TRIM(E935))=0, "", GetManifestComments(H935))</f>
        <v/>
      </c>
      <c r="S935" t="str">
        <f>IF(LEN(TRIM(E935))=0,"",IF(ISERROR(VLOOKUP(E935,'Manifest MDB data'!A:A,1,FALSE)),"OK","EXISTS!!!"))</f>
        <v/>
      </c>
    </row>
    <row r="936" spans="4:19" x14ac:dyDescent="0.25">
      <c r="D936" t="str">
        <f t="shared" si="59"/>
        <v/>
      </c>
      <c r="E936" t="str">
        <f t="shared" si="60"/>
        <v/>
      </c>
      <c r="F936" t="str">
        <f t="shared" si="61"/>
        <v/>
      </c>
      <c r="G936" t="str">
        <f>IF(LEN(TRIM(E936))=0, "", GetSampleTissueBySpecimenPrep(H936))</f>
        <v/>
      </c>
      <c r="H936" t="str">
        <f>IF(LEN(TRIM(E936))=0, "", GetSpecimenPrepName())</f>
        <v/>
      </c>
      <c r="I936" t="str">
        <f>IF(LEN(TRIM(E936))=0, "", GetSampleVolumeBySpecimenPrep(H936))</f>
        <v/>
      </c>
      <c r="L936" t="str">
        <f>IF(LEN(TRIM(E936))=0,"",VLOOKUP("Manifest Id",config!A:B,2,FALSE))</f>
        <v/>
      </c>
      <c r="M936" t="str">
        <f>IF(LEN(TRIM(E936))=0, "",VLOOKUP("Project Name",config!A:B,2,FALSE))</f>
        <v/>
      </c>
      <c r="N936" t="str">
        <f>IF(LEN(TRIM(E936))=0, "",VLOOKUP("Center Name",config!A:B,2,FALSE))</f>
        <v/>
      </c>
      <c r="O936" s="7" t="str">
        <f>IF(LEN(TRIM(E936))=0,"",VLOOKUP("Shipment Date",config!A:B,2,FALSE))</f>
        <v/>
      </c>
      <c r="P936" s="7" t="str">
        <f t="shared" si="58"/>
        <v/>
      </c>
      <c r="Q936" s="7" t="str">
        <f>IF(LEN(TRIM(D936))=0,"",GetConfigParameterValue("Collection Site"))</f>
        <v/>
      </c>
      <c r="R936" t="str">
        <f>IF(LEN(TRIM(E936))=0, "", GetManifestComments(H936))</f>
        <v/>
      </c>
      <c r="S936" t="str">
        <f>IF(LEN(TRIM(E936))=0,"",IF(ISERROR(VLOOKUP(E936,'Manifest MDB data'!A:A,1,FALSE)),"OK","EXISTS!!!"))</f>
        <v/>
      </c>
    </row>
    <row r="937" spans="4:19" x14ac:dyDescent="0.25">
      <c r="D937" t="str">
        <f t="shared" si="59"/>
        <v/>
      </c>
      <c r="E937" t="str">
        <f t="shared" si="60"/>
        <v/>
      </c>
      <c r="F937" t="str">
        <f t="shared" si="61"/>
        <v/>
      </c>
      <c r="G937" t="str">
        <f>IF(LEN(TRIM(E937))=0, "", GetSampleTissueBySpecimenPrep(H937))</f>
        <v/>
      </c>
      <c r="H937" t="str">
        <f>IF(LEN(TRIM(E937))=0, "", GetSpecimenPrepName())</f>
        <v/>
      </c>
      <c r="I937" t="str">
        <f>IF(LEN(TRIM(E937))=0, "", GetSampleVolumeBySpecimenPrep(H937))</f>
        <v/>
      </c>
      <c r="L937" t="str">
        <f>IF(LEN(TRIM(E937))=0,"",VLOOKUP("Manifest Id",config!A:B,2,FALSE))</f>
        <v/>
      </c>
      <c r="M937" t="str">
        <f>IF(LEN(TRIM(E937))=0, "",VLOOKUP("Project Name",config!A:B,2,FALSE))</f>
        <v/>
      </c>
      <c r="N937" t="str">
        <f>IF(LEN(TRIM(E937))=0, "",VLOOKUP("Center Name",config!A:B,2,FALSE))</f>
        <v/>
      </c>
      <c r="O937" s="7" t="str">
        <f>IF(LEN(TRIM(E937))=0,"",VLOOKUP("Shipment Date",config!A:B,2,FALSE))</f>
        <v/>
      </c>
      <c r="P937" s="7" t="str">
        <f t="shared" si="58"/>
        <v/>
      </c>
      <c r="Q937" s="7" t="str">
        <f>IF(LEN(TRIM(D937))=0,"",GetConfigParameterValue("Collection Site"))</f>
        <v/>
      </c>
      <c r="R937" t="str">
        <f>IF(LEN(TRIM(E937))=0, "", GetManifestComments(H937))</f>
        <v/>
      </c>
      <c r="S937" t="str">
        <f>IF(LEN(TRIM(E937))=0,"",IF(ISERROR(VLOOKUP(E937,'Manifest MDB data'!A:A,1,FALSE)),"OK","EXISTS!!!"))</f>
        <v/>
      </c>
    </row>
    <row r="938" spans="4:19" x14ac:dyDescent="0.25">
      <c r="D938" t="str">
        <f t="shared" si="59"/>
        <v/>
      </c>
      <c r="E938" t="str">
        <f t="shared" si="60"/>
        <v/>
      </c>
      <c r="F938" t="str">
        <f t="shared" si="61"/>
        <v/>
      </c>
      <c r="G938" t="str">
        <f>IF(LEN(TRIM(E938))=0, "", GetSampleTissueBySpecimenPrep(H938))</f>
        <v/>
      </c>
      <c r="H938" t="str">
        <f>IF(LEN(TRIM(E938))=0, "", GetSpecimenPrepName())</f>
        <v/>
      </c>
      <c r="I938" t="str">
        <f>IF(LEN(TRIM(E938))=0, "", GetSampleVolumeBySpecimenPrep(H938))</f>
        <v/>
      </c>
      <c r="L938" t="str">
        <f>IF(LEN(TRIM(E938))=0,"",VLOOKUP("Manifest Id",config!A:B,2,FALSE))</f>
        <v/>
      </c>
      <c r="M938" t="str">
        <f>IF(LEN(TRIM(E938))=0, "",VLOOKUP("Project Name",config!A:B,2,FALSE))</f>
        <v/>
      </c>
      <c r="N938" t="str">
        <f>IF(LEN(TRIM(E938))=0, "",VLOOKUP("Center Name",config!A:B,2,FALSE))</f>
        <v/>
      </c>
      <c r="O938" s="7" t="str">
        <f>IF(LEN(TRIM(E938))=0,"",VLOOKUP("Shipment Date",config!A:B,2,FALSE))</f>
        <v/>
      </c>
      <c r="P938" s="7" t="str">
        <f t="shared" si="58"/>
        <v/>
      </c>
      <c r="Q938" s="7" t="str">
        <f>IF(LEN(TRIM(D938))=0,"",GetConfigParameterValue("Collection Site"))</f>
        <v/>
      </c>
      <c r="R938" t="str">
        <f>IF(LEN(TRIM(E938))=0, "", GetManifestComments(H938))</f>
        <v/>
      </c>
      <c r="S938" t="str">
        <f>IF(LEN(TRIM(E938))=0,"",IF(ISERROR(VLOOKUP(E938,'Manifest MDB data'!A:A,1,FALSE)),"OK","EXISTS!!!"))</f>
        <v/>
      </c>
    </row>
    <row r="939" spans="4:19" x14ac:dyDescent="0.25">
      <c r="D939" t="str">
        <f t="shared" si="59"/>
        <v/>
      </c>
      <c r="E939" t="str">
        <f t="shared" si="60"/>
        <v/>
      </c>
      <c r="F939" t="str">
        <f t="shared" si="61"/>
        <v/>
      </c>
      <c r="G939" t="str">
        <f>IF(LEN(TRIM(E939))=0, "", GetSampleTissueBySpecimenPrep(H939))</f>
        <v/>
      </c>
      <c r="H939" t="str">
        <f>IF(LEN(TRIM(E939))=0, "", GetSpecimenPrepName())</f>
        <v/>
      </c>
      <c r="I939" t="str">
        <f>IF(LEN(TRIM(E939))=0, "", GetSampleVolumeBySpecimenPrep(H939))</f>
        <v/>
      </c>
      <c r="L939" t="str">
        <f>IF(LEN(TRIM(E939))=0,"",VLOOKUP("Manifest Id",config!A:B,2,FALSE))</f>
        <v/>
      </c>
      <c r="M939" t="str">
        <f>IF(LEN(TRIM(E939))=0, "",VLOOKUP("Project Name",config!A:B,2,FALSE))</f>
        <v/>
      </c>
      <c r="N939" t="str">
        <f>IF(LEN(TRIM(E939))=0, "",VLOOKUP("Center Name",config!A:B,2,FALSE))</f>
        <v/>
      </c>
      <c r="O939" s="7" t="str">
        <f>IF(LEN(TRIM(E939))=0,"",VLOOKUP("Shipment Date",config!A:B,2,FALSE))</f>
        <v/>
      </c>
      <c r="P939" s="7" t="str">
        <f t="shared" si="58"/>
        <v/>
      </c>
      <c r="Q939" s="7" t="str">
        <f>IF(LEN(TRIM(D939))=0,"",GetConfigParameterValue("Collection Site"))</f>
        <v/>
      </c>
      <c r="R939" t="str">
        <f>IF(LEN(TRIM(E939))=0, "", GetManifestComments(H939))</f>
        <v/>
      </c>
      <c r="S939" t="str">
        <f>IF(LEN(TRIM(E939))=0,"",IF(ISERROR(VLOOKUP(E939,'Manifest MDB data'!A:A,1,FALSE)),"OK","EXISTS!!!"))</f>
        <v/>
      </c>
    </row>
    <row r="940" spans="4:19" x14ac:dyDescent="0.25">
      <c r="D940" t="str">
        <f t="shared" si="59"/>
        <v/>
      </c>
      <c r="E940" t="str">
        <f t="shared" si="60"/>
        <v/>
      </c>
      <c r="F940" t="str">
        <f t="shared" si="61"/>
        <v/>
      </c>
      <c r="G940" t="str">
        <f>IF(LEN(TRIM(E940))=0, "", GetSampleTissueBySpecimenPrep(H940))</f>
        <v/>
      </c>
      <c r="H940" t="str">
        <f>IF(LEN(TRIM(E940))=0, "", GetSpecimenPrepName())</f>
        <v/>
      </c>
      <c r="I940" t="str">
        <f>IF(LEN(TRIM(E940))=0, "", GetSampleVolumeBySpecimenPrep(H940))</f>
        <v/>
      </c>
      <c r="L940" t="str">
        <f>IF(LEN(TRIM(E940))=0,"",VLOOKUP("Manifest Id",config!A:B,2,FALSE))</f>
        <v/>
      </c>
      <c r="M940" t="str">
        <f>IF(LEN(TRIM(E940))=0, "",VLOOKUP("Project Name",config!A:B,2,FALSE))</f>
        <v/>
      </c>
      <c r="N940" t="str">
        <f>IF(LEN(TRIM(E940))=0, "",VLOOKUP("Center Name",config!A:B,2,FALSE))</f>
        <v/>
      </c>
      <c r="O940" s="7" t="str">
        <f>IF(LEN(TRIM(E940))=0,"",VLOOKUP("Shipment Date",config!A:B,2,FALSE))</f>
        <v/>
      </c>
      <c r="P940" s="7" t="str">
        <f t="shared" si="58"/>
        <v/>
      </c>
      <c r="Q940" s="7" t="str">
        <f>IF(LEN(TRIM(D940))=0,"",GetConfigParameterValue("Collection Site"))</f>
        <v/>
      </c>
      <c r="R940" t="str">
        <f>IF(LEN(TRIM(E940))=0, "", GetManifestComments(H940))</f>
        <v/>
      </c>
      <c r="S940" t="str">
        <f>IF(LEN(TRIM(E940))=0,"",IF(ISERROR(VLOOKUP(E940,'Manifest MDB data'!A:A,1,FALSE)),"OK","EXISTS!!!"))</f>
        <v/>
      </c>
    </row>
    <row r="941" spans="4:19" x14ac:dyDescent="0.25">
      <c r="D941" t="str">
        <f t="shared" si="59"/>
        <v/>
      </c>
      <c r="E941" t="str">
        <f t="shared" si="60"/>
        <v/>
      </c>
      <c r="F941" t="str">
        <f t="shared" si="61"/>
        <v/>
      </c>
      <c r="G941" t="str">
        <f>IF(LEN(TRIM(E941))=0, "", GetSampleTissueBySpecimenPrep(H941))</f>
        <v/>
      </c>
      <c r="H941" t="str">
        <f>IF(LEN(TRIM(E941))=0, "", GetSpecimenPrepName())</f>
        <v/>
      </c>
      <c r="I941" t="str">
        <f>IF(LEN(TRIM(E941))=0, "", GetSampleVolumeBySpecimenPrep(H941))</f>
        <v/>
      </c>
      <c r="L941" t="str">
        <f>IF(LEN(TRIM(E941))=0,"",VLOOKUP("Manifest Id",config!A:B,2,FALSE))</f>
        <v/>
      </c>
      <c r="M941" t="str">
        <f>IF(LEN(TRIM(E941))=0, "",VLOOKUP("Project Name",config!A:B,2,FALSE))</f>
        <v/>
      </c>
      <c r="N941" t="str">
        <f>IF(LEN(TRIM(E941))=0, "",VLOOKUP("Center Name",config!A:B,2,FALSE))</f>
        <v/>
      </c>
      <c r="O941" s="7" t="str">
        <f>IF(LEN(TRIM(E941))=0,"",VLOOKUP("Shipment Date",config!A:B,2,FALSE))</f>
        <v/>
      </c>
      <c r="P941" s="7" t="str">
        <f t="shared" si="58"/>
        <v/>
      </c>
      <c r="Q941" s="7" t="str">
        <f>IF(LEN(TRIM(D941))=0,"",GetConfigParameterValue("Collection Site"))</f>
        <v/>
      </c>
      <c r="R941" t="str">
        <f>IF(LEN(TRIM(E941))=0, "", GetManifestComments(H941))</f>
        <v/>
      </c>
      <c r="S941" t="str">
        <f>IF(LEN(TRIM(E941))=0,"",IF(ISERROR(VLOOKUP(E941,'Manifest MDB data'!A:A,1,FALSE)),"OK","EXISTS!!!"))</f>
        <v/>
      </c>
    </row>
    <row r="942" spans="4:19" x14ac:dyDescent="0.25">
      <c r="D942" t="str">
        <f t="shared" si="59"/>
        <v/>
      </c>
      <c r="E942" t="str">
        <f t="shared" si="60"/>
        <v/>
      </c>
      <c r="F942" t="str">
        <f t="shared" si="61"/>
        <v/>
      </c>
      <c r="G942" t="str">
        <f>IF(LEN(TRIM(E942))=0, "", GetSampleTissueBySpecimenPrep(H942))</f>
        <v/>
      </c>
      <c r="H942" t="str">
        <f>IF(LEN(TRIM(E942))=0, "", GetSpecimenPrepName())</f>
        <v/>
      </c>
      <c r="I942" t="str">
        <f>IF(LEN(TRIM(E942))=0, "", GetSampleVolumeBySpecimenPrep(H942))</f>
        <v/>
      </c>
      <c r="L942" t="str">
        <f>IF(LEN(TRIM(E942))=0,"",VLOOKUP("Manifest Id",config!A:B,2,FALSE))</f>
        <v/>
      </c>
      <c r="M942" t="str">
        <f>IF(LEN(TRIM(E942))=0, "",VLOOKUP("Project Name",config!A:B,2,FALSE))</f>
        <v/>
      </c>
      <c r="N942" t="str">
        <f>IF(LEN(TRIM(E942))=0, "",VLOOKUP("Center Name",config!A:B,2,FALSE))</f>
        <v/>
      </c>
      <c r="O942" s="7" t="str">
        <f>IF(LEN(TRIM(E942))=0,"",VLOOKUP("Shipment Date",config!A:B,2,FALSE))</f>
        <v/>
      </c>
      <c r="P942" s="7" t="str">
        <f t="shared" si="58"/>
        <v/>
      </c>
      <c r="Q942" s="7" t="str">
        <f>IF(LEN(TRIM(D942))=0,"",GetConfigParameterValue("Collection Site"))</f>
        <v/>
      </c>
      <c r="R942" t="str">
        <f>IF(LEN(TRIM(E942))=0, "", GetManifestComments(H942))</f>
        <v/>
      </c>
      <c r="S942" t="str">
        <f>IF(LEN(TRIM(E942))=0,"",IF(ISERROR(VLOOKUP(E942,'Manifest MDB data'!A:A,1,FALSE)),"OK","EXISTS!!!"))</f>
        <v/>
      </c>
    </row>
    <row r="943" spans="4:19" x14ac:dyDescent="0.25">
      <c r="D943" t="str">
        <f t="shared" si="59"/>
        <v/>
      </c>
      <c r="E943" t="str">
        <f t="shared" si="60"/>
        <v/>
      </c>
      <c r="F943" t="str">
        <f t="shared" si="61"/>
        <v/>
      </c>
      <c r="G943" t="str">
        <f>IF(LEN(TRIM(E943))=0, "", GetSampleTissueBySpecimenPrep(H943))</f>
        <v/>
      </c>
      <c r="H943" t="str">
        <f>IF(LEN(TRIM(E943))=0, "", GetSpecimenPrepName())</f>
        <v/>
      </c>
      <c r="I943" t="str">
        <f>IF(LEN(TRIM(E943))=0, "", GetSampleVolumeBySpecimenPrep(H943))</f>
        <v/>
      </c>
      <c r="L943" t="str">
        <f>IF(LEN(TRIM(E943))=0,"",VLOOKUP("Manifest Id",config!A:B,2,FALSE))</f>
        <v/>
      </c>
      <c r="M943" t="str">
        <f>IF(LEN(TRIM(E943))=0, "",VLOOKUP("Project Name",config!A:B,2,FALSE))</f>
        <v/>
      </c>
      <c r="N943" t="str">
        <f>IF(LEN(TRIM(E943))=0, "",VLOOKUP("Center Name",config!A:B,2,FALSE))</f>
        <v/>
      </c>
      <c r="O943" s="7" t="str">
        <f>IF(LEN(TRIM(E943))=0,"",VLOOKUP("Shipment Date",config!A:B,2,FALSE))</f>
        <v/>
      </c>
      <c r="P943" s="7" t="str">
        <f t="shared" si="58"/>
        <v/>
      </c>
      <c r="Q943" s="7" t="str">
        <f>IF(LEN(TRIM(D943))=0,"",GetConfigParameterValue("Collection Site"))</f>
        <v/>
      </c>
      <c r="R943" t="str">
        <f>IF(LEN(TRIM(E943))=0, "", GetManifestComments(H943))</f>
        <v/>
      </c>
      <c r="S943" t="str">
        <f>IF(LEN(TRIM(E943))=0,"",IF(ISERROR(VLOOKUP(E943,'Manifest MDB data'!A:A,1,FALSE)),"OK","EXISTS!!!"))</f>
        <v/>
      </c>
    </row>
    <row r="944" spans="4:19" x14ac:dyDescent="0.25">
      <c r="D944" t="str">
        <f t="shared" si="59"/>
        <v/>
      </c>
      <c r="E944" t="str">
        <f t="shared" si="60"/>
        <v/>
      </c>
      <c r="F944" t="str">
        <f t="shared" si="61"/>
        <v/>
      </c>
      <c r="G944" t="str">
        <f>IF(LEN(TRIM(E944))=0, "", GetSampleTissueBySpecimenPrep(H944))</f>
        <v/>
      </c>
      <c r="H944" t="str">
        <f>IF(LEN(TRIM(E944))=0, "", GetSpecimenPrepName())</f>
        <v/>
      </c>
      <c r="I944" t="str">
        <f>IF(LEN(TRIM(E944))=0, "", GetSampleVolumeBySpecimenPrep(H944))</f>
        <v/>
      </c>
      <c r="L944" t="str">
        <f>IF(LEN(TRIM(E944))=0,"",VLOOKUP("Manifest Id",config!A:B,2,FALSE))</f>
        <v/>
      </c>
      <c r="M944" t="str">
        <f>IF(LEN(TRIM(E944))=0, "",VLOOKUP("Project Name",config!A:B,2,FALSE))</f>
        <v/>
      </c>
      <c r="N944" t="str">
        <f>IF(LEN(TRIM(E944))=0, "",VLOOKUP("Center Name",config!A:B,2,FALSE))</f>
        <v/>
      </c>
      <c r="O944" s="7" t="str">
        <f>IF(LEN(TRIM(E944))=0,"",VLOOKUP("Shipment Date",config!A:B,2,FALSE))</f>
        <v/>
      </c>
      <c r="P944" s="7" t="str">
        <f t="shared" si="58"/>
        <v/>
      </c>
      <c r="Q944" s="7" t="str">
        <f>IF(LEN(TRIM(D944))=0,"",GetConfigParameterValue("Collection Site"))</f>
        <v/>
      </c>
      <c r="R944" t="str">
        <f>IF(LEN(TRIM(E944))=0, "", GetManifestComments(H944))</f>
        <v/>
      </c>
      <c r="S944" t="str">
        <f>IF(LEN(TRIM(E944))=0,"",IF(ISERROR(VLOOKUP(E944,'Manifest MDB data'!A:A,1,FALSE)),"OK","EXISTS!!!"))</f>
        <v/>
      </c>
    </row>
    <row r="945" spans="4:19" x14ac:dyDescent="0.25">
      <c r="D945" t="str">
        <f t="shared" si="59"/>
        <v/>
      </c>
      <c r="E945" t="str">
        <f t="shared" si="60"/>
        <v/>
      </c>
      <c r="F945" t="str">
        <f t="shared" si="61"/>
        <v/>
      </c>
      <c r="G945" t="str">
        <f>IF(LEN(TRIM(E945))=0, "", GetSampleTissueBySpecimenPrep(H945))</f>
        <v/>
      </c>
      <c r="H945" t="str">
        <f>IF(LEN(TRIM(E945))=0, "", GetSpecimenPrepName())</f>
        <v/>
      </c>
      <c r="I945" t="str">
        <f>IF(LEN(TRIM(E945))=0, "", GetSampleVolumeBySpecimenPrep(H945))</f>
        <v/>
      </c>
      <c r="L945" t="str">
        <f>IF(LEN(TRIM(E945))=0,"",VLOOKUP("Manifest Id",config!A:B,2,FALSE))</f>
        <v/>
      </c>
      <c r="M945" t="str">
        <f>IF(LEN(TRIM(E945))=0, "",VLOOKUP("Project Name",config!A:B,2,FALSE))</f>
        <v/>
      </c>
      <c r="N945" t="str">
        <f>IF(LEN(TRIM(E945))=0, "",VLOOKUP("Center Name",config!A:B,2,FALSE))</f>
        <v/>
      </c>
      <c r="O945" s="7" t="str">
        <f>IF(LEN(TRIM(E945))=0,"",VLOOKUP("Shipment Date",config!A:B,2,FALSE))</f>
        <v/>
      </c>
      <c r="P945" s="7" t="str">
        <f t="shared" si="58"/>
        <v/>
      </c>
      <c r="Q945" s="7" t="str">
        <f>IF(LEN(TRIM(D945))=0,"",GetConfigParameterValue("Collection Site"))</f>
        <v/>
      </c>
      <c r="R945" t="str">
        <f>IF(LEN(TRIM(E945))=0, "", GetManifestComments(H945))</f>
        <v/>
      </c>
      <c r="S945" t="str">
        <f>IF(LEN(TRIM(E945))=0,"",IF(ISERROR(VLOOKUP(E945,'Manifest MDB data'!A:A,1,FALSE)),"OK","EXISTS!!!"))</f>
        <v/>
      </c>
    </row>
    <row r="946" spans="4:19" x14ac:dyDescent="0.25">
      <c r="D946" t="str">
        <f t="shared" si="59"/>
        <v/>
      </c>
      <c r="E946" t="str">
        <f t="shared" si="60"/>
        <v/>
      </c>
      <c r="F946" t="str">
        <f t="shared" si="61"/>
        <v/>
      </c>
      <c r="G946" t="str">
        <f>IF(LEN(TRIM(E946))=0, "", GetSampleTissueBySpecimenPrep(H946))</f>
        <v/>
      </c>
      <c r="H946" t="str">
        <f>IF(LEN(TRIM(E946))=0, "", GetSpecimenPrepName())</f>
        <v/>
      </c>
      <c r="I946" t="str">
        <f>IF(LEN(TRIM(E946))=0, "", GetSampleVolumeBySpecimenPrep(H946))</f>
        <v/>
      </c>
      <c r="L946" t="str">
        <f>IF(LEN(TRIM(E946))=0,"",VLOOKUP("Manifest Id",config!A:B,2,FALSE))</f>
        <v/>
      </c>
      <c r="M946" t="str">
        <f>IF(LEN(TRIM(E946))=0, "",VLOOKUP("Project Name",config!A:B,2,FALSE))</f>
        <v/>
      </c>
      <c r="N946" t="str">
        <f>IF(LEN(TRIM(E946))=0, "",VLOOKUP("Center Name",config!A:B,2,FALSE))</f>
        <v/>
      </c>
      <c r="O946" s="7" t="str">
        <f>IF(LEN(TRIM(E946))=0,"",VLOOKUP("Shipment Date",config!A:B,2,FALSE))</f>
        <v/>
      </c>
      <c r="P946" s="7" t="str">
        <f t="shared" si="58"/>
        <v/>
      </c>
      <c r="Q946" s="7" t="str">
        <f>IF(LEN(TRIM(D946))=0,"",GetConfigParameterValue("Collection Site"))</f>
        <v/>
      </c>
      <c r="R946" t="str">
        <f>IF(LEN(TRIM(E946))=0, "", GetManifestComments(H946))</f>
        <v/>
      </c>
      <c r="S946" t="str">
        <f>IF(LEN(TRIM(E946))=0,"",IF(ISERROR(VLOOKUP(E946,'Manifest MDB data'!A:A,1,FALSE)),"OK","EXISTS!!!"))</f>
        <v/>
      </c>
    </row>
    <row r="947" spans="4:19" x14ac:dyDescent="0.25">
      <c r="D947" t="str">
        <f t="shared" si="59"/>
        <v/>
      </c>
      <c r="E947" t="str">
        <f t="shared" si="60"/>
        <v/>
      </c>
      <c r="F947" t="str">
        <f t="shared" si="61"/>
        <v/>
      </c>
      <c r="G947" t="str">
        <f>IF(LEN(TRIM(E947))=0, "", GetSampleTissueBySpecimenPrep(H947))</f>
        <v/>
      </c>
      <c r="H947" t="str">
        <f>IF(LEN(TRIM(E947))=0, "", GetSpecimenPrepName())</f>
        <v/>
      </c>
      <c r="I947" t="str">
        <f>IF(LEN(TRIM(E947))=0, "", GetSampleVolumeBySpecimenPrep(H947))</f>
        <v/>
      </c>
      <c r="L947" t="str">
        <f>IF(LEN(TRIM(E947))=0,"",VLOOKUP("Manifest Id",config!A:B,2,FALSE))</f>
        <v/>
      </c>
      <c r="M947" t="str">
        <f>IF(LEN(TRIM(E947))=0, "",VLOOKUP("Project Name",config!A:B,2,FALSE))</f>
        <v/>
      </c>
      <c r="N947" t="str">
        <f>IF(LEN(TRIM(E947))=0, "",VLOOKUP("Center Name",config!A:B,2,FALSE))</f>
        <v/>
      </c>
      <c r="O947" s="7" t="str">
        <f>IF(LEN(TRIM(E947))=0,"",VLOOKUP("Shipment Date",config!A:B,2,FALSE))</f>
        <v/>
      </c>
      <c r="P947" s="7" t="str">
        <f t="shared" si="58"/>
        <v/>
      </c>
      <c r="Q947" s="7" t="str">
        <f>IF(LEN(TRIM(D947))=0,"",GetConfigParameterValue("Collection Site"))</f>
        <v/>
      </c>
      <c r="R947" t="str">
        <f>IF(LEN(TRIM(E947))=0, "", GetManifestComments(H947))</f>
        <v/>
      </c>
      <c r="S947" t="str">
        <f>IF(LEN(TRIM(E947))=0,"",IF(ISERROR(VLOOKUP(E947,'Manifest MDB data'!A:A,1,FALSE)),"OK","EXISTS!!!"))</f>
        <v/>
      </c>
    </row>
    <row r="948" spans="4:19" x14ac:dyDescent="0.25">
      <c r="D948" t="str">
        <f t="shared" si="59"/>
        <v/>
      </c>
      <c r="E948" t="str">
        <f t="shared" si="60"/>
        <v/>
      </c>
      <c r="F948" t="str">
        <f t="shared" si="61"/>
        <v/>
      </c>
      <c r="G948" t="str">
        <f>IF(LEN(TRIM(E948))=0, "", GetSampleTissueBySpecimenPrep(H948))</f>
        <v/>
      </c>
      <c r="H948" t="str">
        <f>IF(LEN(TRIM(E948))=0, "", GetSpecimenPrepName())</f>
        <v/>
      </c>
      <c r="I948" t="str">
        <f>IF(LEN(TRIM(E948))=0, "", GetSampleVolumeBySpecimenPrep(H948))</f>
        <v/>
      </c>
      <c r="L948" t="str">
        <f>IF(LEN(TRIM(E948))=0,"",VLOOKUP("Manifest Id",config!A:B,2,FALSE))</f>
        <v/>
      </c>
      <c r="M948" t="str">
        <f>IF(LEN(TRIM(E948))=0, "",VLOOKUP("Project Name",config!A:B,2,FALSE))</f>
        <v/>
      </c>
      <c r="N948" t="str">
        <f>IF(LEN(TRIM(E948))=0, "",VLOOKUP("Center Name",config!A:B,2,FALSE))</f>
        <v/>
      </c>
      <c r="O948" s="7" t="str">
        <f>IF(LEN(TRIM(E948))=0,"",VLOOKUP("Shipment Date",config!A:B,2,FALSE))</f>
        <v/>
      </c>
      <c r="P948" s="7" t="str">
        <f t="shared" si="58"/>
        <v/>
      </c>
      <c r="Q948" s="7" t="str">
        <f>IF(LEN(TRIM(D948))=0,"",GetConfigParameterValue("Collection Site"))</f>
        <v/>
      </c>
      <c r="R948" t="str">
        <f>IF(LEN(TRIM(E948))=0, "", GetManifestComments(H948))</f>
        <v/>
      </c>
      <c r="S948" t="str">
        <f>IF(LEN(TRIM(E948))=0,"",IF(ISERROR(VLOOKUP(E948,'Manifest MDB data'!A:A,1,FALSE)),"OK","EXISTS!!!"))</f>
        <v/>
      </c>
    </row>
    <row r="949" spans="4:19" x14ac:dyDescent="0.25">
      <c r="D949" t="str">
        <f t="shared" si="59"/>
        <v/>
      </c>
      <c r="E949" t="str">
        <f t="shared" si="60"/>
        <v/>
      </c>
      <c r="F949" t="str">
        <f t="shared" si="61"/>
        <v/>
      </c>
      <c r="G949" t="str">
        <f>IF(LEN(TRIM(E949))=0, "", GetSampleTissueBySpecimenPrep(H949))</f>
        <v/>
      </c>
      <c r="H949" t="str">
        <f>IF(LEN(TRIM(E949))=0, "", GetSpecimenPrepName())</f>
        <v/>
      </c>
      <c r="I949" t="str">
        <f>IF(LEN(TRIM(E949))=0, "", GetSampleVolumeBySpecimenPrep(H949))</f>
        <v/>
      </c>
      <c r="L949" t="str">
        <f>IF(LEN(TRIM(E949))=0,"",VLOOKUP("Manifest Id",config!A:B,2,FALSE))</f>
        <v/>
      </c>
      <c r="M949" t="str">
        <f>IF(LEN(TRIM(E949))=0, "",VLOOKUP("Project Name",config!A:B,2,FALSE))</f>
        <v/>
      </c>
      <c r="N949" t="str">
        <f>IF(LEN(TRIM(E949))=0, "",VLOOKUP("Center Name",config!A:B,2,FALSE))</f>
        <v/>
      </c>
      <c r="O949" s="7" t="str">
        <f>IF(LEN(TRIM(E949))=0,"",VLOOKUP("Shipment Date",config!A:B,2,FALSE))</f>
        <v/>
      </c>
      <c r="P949" s="7" t="str">
        <f t="shared" si="58"/>
        <v/>
      </c>
      <c r="Q949" s="7" t="str">
        <f>IF(LEN(TRIM(D949))=0,"",GetConfigParameterValue("Collection Site"))</f>
        <v/>
      </c>
      <c r="R949" t="str">
        <f>IF(LEN(TRIM(E949))=0, "", GetManifestComments(H949))</f>
        <v/>
      </c>
      <c r="S949" t="str">
        <f>IF(LEN(TRIM(E949))=0,"",IF(ISERROR(VLOOKUP(E949,'Manifest MDB data'!A:A,1,FALSE)),"OK","EXISTS!!!"))</f>
        <v/>
      </c>
    </row>
    <row r="950" spans="4:19" x14ac:dyDescent="0.25">
      <c r="D950" t="str">
        <f t="shared" si="59"/>
        <v/>
      </c>
      <c r="E950" t="str">
        <f t="shared" si="60"/>
        <v/>
      </c>
      <c r="F950" t="str">
        <f t="shared" si="61"/>
        <v/>
      </c>
      <c r="G950" t="str">
        <f>IF(LEN(TRIM(E950))=0, "", GetSampleTissueBySpecimenPrep(H950))</f>
        <v/>
      </c>
      <c r="H950" t="str">
        <f>IF(LEN(TRIM(E950))=0, "", GetSpecimenPrepName())</f>
        <v/>
      </c>
      <c r="I950" t="str">
        <f>IF(LEN(TRIM(E950))=0, "", GetSampleVolumeBySpecimenPrep(H950))</f>
        <v/>
      </c>
      <c r="L950" t="str">
        <f>IF(LEN(TRIM(E950))=0,"",VLOOKUP("Manifest Id",config!A:B,2,FALSE))</f>
        <v/>
      </c>
      <c r="M950" t="str">
        <f>IF(LEN(TRIM(E950))=0, "",VLOOKUP("Project Name",config!A:B,2,FALSE))</f>
        <v/>
      </c>
      <c r="N950" t="str">
        <f>IF(LEN(TRIM(E950))=0, "",VLOOKUP("Center Name",config!A:B,2,FALSE))</f>
        <v/>
      </c>
      <c r="O950" s="7" t="str">
        <f>IF(LEN(TRIM(E950))=0,"",VLOOKUP("Shipment Date",config!A:B,2,FALSE))</f>
        <v/>
      </c>
      <c r="P950" s="7" t="str">
        <f t="shared" si="58"/>
        <v/>
      </c>
      <c r="Q950" s="7" t="str">
        <f>IF(LEN(TRIM(D950))=0,"",GetConfigParameterValue("Collection Site"))</f>
        <v/>
      </c>
      <c r="R950" t="str">
        <f>IF(LEN(TRIM(E950))=0, "", GetManifestComments(H950))</f>
        <v/>
      </c>
      <c r="S950" t="str">
        <f>IF(LEN(TRIM(E950))=0,"",IF(ISERROR(VLOOKUP(E950,'Manifest MDB data'!A:A,1,FALSE)),"OK","EXISTS!!!"))</f>
        <v/>
      </c>
    </row>
    <row r="951" spans="4:19" x14ac:dyDescent="0.25">
      <c r="D951" t="str">
        <f t="shared" si="59"/>
        <v/>
      </c>
      <c r="E951" t="str">
        <f t="shared" si="60"/>
        <v/>
      </c>
      <c r="F951" t="str">
        <f t="shared" si="61"/>
        <v/>
      </c>
      <c r="G951" t="str">
        <f>IF(LEN(TRIM(E951))=0, "", GetSampleTissueBySpecimenPrep(H951))</f>
        <v/>
      </c>
      <c r="H951" t="str">
        <f>IF(LEN(TRIM(E951))=0, "", GetSpecimenPrepName())</f>
        <v/>
      </c>
      <c r="I951" t="str">
        <f>IF(LEN(TRIM(E951))=0, "", GetSampleVolumeBySpecimenPrep(H951))</f>
        <v/>
      </c>
      <c r="L951" t="str">
        <f>IF(LEN(TRIM(E951))=0,"",VLOOKUP("Manifest Id",config!A:B,2,FALSE))</f>
        <v/>
      </c>
      <c r="M951" t="str">
        <f>IF(LEN(TRIM(E951))=0, "",VLOOKUP("Project Name",config!A:B,2,FALSE))</f>
        <v/>
      </c>
      <c r="N951" t="str">
        <f>IF(LEN(TRIM(E951))=0, "",VLOOKUP("Center Name",config!A:B,2,FALSE))</f>
        <v/>
      </c>
      <c r="O951" s="7" t="str">
        <f>IF(LEN(TRIM(E951))=0,"",VLOOKUP("Shipment Date",config!A:B,2,FALSE))</f>
        <v/>
      </c>
      <c r="P951" s="7" t="str">
        <f t="shared" si="58"/>
        <v/>
      </c>
      <c r="Q951" s="7" t="str">
        <f>IF(LEN(TRIM(D951))=0,"",GetConfigParameterValue("Collection Site"))</f>
        <v/>
      </c>
      <c r="R951" t="str">
        <f>IF(LEN(TRIM(E951))=0, "", GetManifestComments(H951))</f>
        <v/>
      </c>
      <c r="S951" t="str">
        <f>IF(LEN(TRIM(E951))=0,"",IF(ISERROR(VLOOKUP(E951,'Manifest MDB data'!A:A,1,FALSE)),"OK","EXISTS!!!"))</f>
        <v/>
      </c>
    </row>
    <row r="952" spans="4:19" x14ac:dyDescent="0.25">
      <c r="D952" t="str">
        <f t="shared" si="59"/>
        <v/>
      </c>
      <c r="E952" t="str">
        <f t="shared" si="60"/>
        <v/>
      </c>
      <c r="F952" t="str">
        <f t="shared" si="61"/>
        <v/>
      </c>
      <c r="G952" t="str">
        <f>IF(LEN(TRIM(E952))=0, "", GetSampleTissueBySpecimenPrep(H952))</f>
        <v/>
      </c>
      <c r="H952" t="str">
        <f>IF(LEN(TRIM(E952))=0, "", GetSpecimenPrepName())</f>
        <v/>
      </c>
      <c r="I952" t="str">
        <f>IF(LEN(TRIM(E952))=0, "", GetSampleVolumeBySpecimenPrep(H952))</f>
        <v/>
      </c>
      <c r="L952" t="str">
        <f>IF(LEN(TRIM(E952))=0,"",VLOOKUP("Manifest Id",config!A:B,2,FALSE))</f>
        <v/>
      </c>
      <c r="M952" t="str">
        <f>IF(LEN(TRIM(E952))=0, "",VLOOKUP("Project Name",config!A:B,2,FALSE))</f>
        <v/>
      </c>
      <c r="N952" t="str">
        <f>IF(LEN(TRIM(E952))=0, "",VLOOKUP("Center Name",config!A:B,2,FALSE))</f>
        <v/>
      </c>
      <c r="O952" s="7" t="str">
        <f>IF(LEN(TRIM(E952))=0,"",VLOOKUP("Shipment Date",config!A:B,2,FALSE))</f>
        <v/>
      </c>
      <c r="P952" s="7" t="str">
        <f t="shared" si="58"/>
        <v/>
      </c>
      <c r="Q952" s="7" t="str">
        <f>IF(LEN(TRIM(D952))=0,"",GetConfigParameterValue("Collection Site"))</f>
        <v/>
      </c>
      <c r="R952" t="str">
        <f>IF(LEN(TRIM(E952))=0, "", GetManifestComments(H952))</f>
        <v/>
      </c>
      <c r="S952" t="str">
        <f>IF(LEN(TRIM(E952))=0,"",IF(ISERROR(VLOOKUP(E952,'Manifest MDB data'!A:A,1,FALSE)),"OK","EXISTS!!!"))</f>
        <v/>
      </c>
    </row>
    <row r="953" spans="4:19" x14ac:dyDescent="0.25">
      <c r="D953" t="str">
        <f t="shared" si="59"/>
        <v/>
      </c>
      <c r="E953" t="str">
        <f t="shared" si="60"/>
        <v/>
      </c>
      <c r="F953" t="str">
        <f t="shared" si="61"/>
        <v/>
      </c>
      <c r="G953" t="str">
        <f>IF(LEN(TRIM(E953))=0, "", GetSampleTissueBySpecimenPrep(H953))</f>
        <v/>
      </c>
      <c r="H953" t="str">
        <f>IF(LEN(TRIM(E953))=0, "", GetSpecimenPrepName())</f>
        <v/>
      </c>
      <c r="I953" t="str">
        <f>IF(LEN(TRIM(E953))=0, "", GetSampleVolumeBySpecimenPrep(H953))</f>
        <v/>
      </c>
      <c r="L953" t="str">
        <f>IF(LEN(TRIM(E953))=0,"",VLOOKUP("Manifest Id",config!A:B,2,FALSE))</f>
        <v/>
      </c>
      <c r="M953" t="str">
        <f>IF(LEN(TRIM(E953))=0, "",VLOOKUP("Project Name",config!A:B,2,FALSE))</f>
        <v/>
      </c>
      <c r="N953" t="str">
        <f>IF(LEN(TRIM(E953))=0, "",VLOOKUP("Center Name",config!A:B,2,FALSE))</f>
        <v/>
      </c>
      <c r="O953" s="7" t="str">
        <f>IF(LEN(TRIM(E953))=0,"",VLOOKUP("Shipment Date",config!A:B,2,FALSE))</f>
        <v/>
      </c>
      <c r="P953" s="7" t="str">
        <f t="shared" si="58"/>
        <v/>
      </c>
      <c r="Q953" s="7" t="str">
        <f>IF(LEN(TRIM(D953))=0,"",GetConfigParameterValue("Collection Site"))</f>
        <v/>
      </c>
      <c r="R953" t="str">
        <f>IF(LEN(TRIM(E953))=0, "", GetManifestComments(H953))</f>
        <v/>
      </c>
      <c r="S953" t="str">
        <f>IF(LEN(TRIM(E953))=0,"",IF(ISERROR(VLOOKUP(E953,'Manifest MDB data'!A:A,1,FALSE)),"OK","EXISTS!!!"))</f>
        <v/>
      </c>
    </row>
    <row r="954" spans="4:19" x14ac:dyDescent="0.25">
      <c r="D954" t="str">
        <f t="shared" si="59"/>
        <v/>
      </c>
      <c r="E954" t="str">
        <f t="shared" si="60"/>
        <v/>
      </c>
      <c r="F954" t="str">
        <f t="shared" si="61"/>
        <v/>
      </c>
      <c r="G954" t="str">
        <f>IF(LEN(TRIM(E954))=0, "", GetSampleTissueBySpecimenPrep(H954))</f>
        <v/>
      </c>
      <c r="H954" t="str">
        <f>IF(LEN(TRIM(E954))=0, "", GetSpecimenPrepName())</f>
        <v/>
      </c>
      <c r="I954" t="str">
        <f>IF(LEN(TRIM(E954))=0, "", GetSampleVolumeBySpecimenPrep(H954))</f>
        <v/>
      </c>
      <c r="L954" t="str">
        <f>IF(LEN(TRIM(E954))=0,"",VLOOKUP("Manifest Id",config!A:B,2,FALSE))</f>
        <v/>
      </c>
      <c r="M954" t="str">
        <f>IF(LEN(TRIM(E954))=0, "",VLOOKUP("Project Name",config!A:B,2,FALSE))</f>
        <v/>
      </c>
      <c r="N954" t="str">
        <f>IF(LEN(TRIM(E954))=0, "",VLOOKUP("Center Name",config!A:B,2,FALSE))</f>
        <v/>
      </c>
      <c r="O954" s="7" t="str">
        <f>IF(LEN(TRIM(E954))=0,"",VLOOKUP("Shipment Date",config!A:B,2,FALSE))</f>
        <v/>
      </c>
      <c r="P954" s="7" t="str">
        <f t="shared" si="58"/>
        <v/>
      </c>
      <c r="Q954" s="7" t="str">
        <f>IF(LEN(TRIM(D954))=0,"",GetConfigParameterValue("Collection Site"))</f>
        <v/>
      </c>
      <c r="R954" t="str">
        <f>IF(LEN(TRIM(E954))=0, "", GetManifestComments(H954))</f>
        <v/>
      </c>
      <c r="S954" t="str">
        <f>IF(LEN(TRIM(E954))=0,"",IF(ISERROR(VLOOKUP(E954,'Manifest MDB data'!A:A,1,FALSE)),"OK","EXISTS!!!"))</f>
        <v/>
      </c>
    </row>
    <row r="955" spans="4:19" x14ac:dyDescent="0.25">
      <c r="D955" t="str">
        <f t="shared" si="59"/>
        <v/>
      </c>
      <c r="E955" t="str">
        <f t="shared" si="60"/>
        <v/>
      </c>
      <c r="F955" t="str">
        <f t="shared" si="61"/>
        <v/>
      </c>
      <c r="G955" t="str">
        <f>IF(LEN(TRIM(E955))=0, "", GetSampleTissueBySpecimenPrep(H955))</f>
        <v/>
      </c>
      <c r="H955" t="str">
        <f>IF(LEN(TRIM(E955))=0, "", GetSpecimenPrepName())</f>
        <v/>
      </c>
      <c r="I955" t="str">
        <f>IF(LEN(TRIM(E955))=0, "", GetSampleVolumeBySpecimenPrep(H955))</f>
        <v/>
      </c>
      <c r="L955" t="str">
        <f>IF(LEN(TRIM(E955))=0,"",VLOOKUP("Manifest Id",config!A:B,2,FALSE))</f>
        <v/>
      </c>
      <c r="M955" t="str">
        <f>IF(LEN(TRIM(E955))=0, "",VLOOKUP("Project Name",config!A:B,2,FALSE))</f>
        <v/>
      </c>
      <c r="N955" t="str">
        <f>IF(LEN(TRIM(E955))=0, "",VLOOKUP("Center Name",config!A:B,2,FALSE))</f>
        <v/>
      </c>
      <c r="O955" s="7" t="str">
        <f>IF(LEN(TRIM(E955))=0,"",VLOOKUP("Shipment Date",config!A:B,2,FALSE))</f>
        <v/>
      </c>
      <c r="P955" s="7" t="str">
        <f t="shared" si="58"/>
        <v/>
      </c>
      <c r="Q955" s="7" t="str">
        <f>IF(LEN(TRIM(D955))=0,"",GetConfigParameterValue("Collection Site"))</f>
        <v/>
      </c>
      <c r="R955" t="str">
        <f>IF(LEN(TRIM(E955))=0, "", GetManifestComments(H955))</f>
        <v/>
      </c>
      <c r="S955" t="str">
        <f>IF(LEN(TRIM(E955))=0,"",IF(ISERROR(VLOOKUP(E955,'Manifest MDB data'!A:A,1,FALSE)),"OK","EXISTS!!!"))</f>
        <v/>
      </c>
    </row>
    <row r="956" spans="4:19" x14ac:dyDescent="0.25">
      <c r="D956" t="str">
        <f t="shared" si="59"/>
        <v/>
      </c>
      <c r="E956" t="str">
        <f t="shared" si="60"/>
        <v/>
      </c>
      <c r="F956" t="str">
        <f t="shared" si="61"/>
        <v/>
      </c>
      <c r="G956" t="str">
        <f>IF(LEN(TRIM(E956))=0, "", GetSampleTissueBySpecimenPrep(H956))</f>
        <v/>
      </c>
      <c r="H956" t="str">
        <f>IF(LEN(TRIM(E956))=0, "", GetSpecimenPrepName())</f>
        <v/>
      </c>
      <c r="I956" t="str">
        <f>IF(LEN(TRIM(E956))=0, "", GetSampleVolumeBySpecimenPrep(H956))</f>
        <v/>
      </c>
      <c r="L956" t="str">
        <f>IF(LEN(TRIM(E956))=0,"",VLOOKUP("Manifest Id",config!A:B,2,FALSE))</f>
        <v/>
      </c>
      <c r="M956" t="str">
        <f>IF(LEN(TRIM(E956))=0, "",VLOOKUP("Project Name",config!A:B,2,FALSE))</f>
        <v/>
      </c>
      <c r="N956" t="str">
        <f>IF(LEN(TRIM(E956))=0, "",VLOOKUP("Center Name",config!A:B,2,FALSE))</f>
        <v/>
      </c>
      <c r="O956" s="7" t="str">
        <f>IF(LEN(TRIM(E956))=0,"",VLOOKUP("Shipment Date",config!A:B,2,FALSE))</f>
        <v/>
      </c>
      <c r="P956" s="7" t="str">
        <f t="shared" si="58"/>
        <v/>
      </c>
      <c r="Q956" s="7" t="str">
        <f>IF(LEN(TRIM(D956))=0,"",GetConfigParameterValue("Collection Site"))</f>
        <v/>
      </c>
      <c r="R956" t="str">
        <f>IF(LEN(TRIM(E956))=0, "", GetManifestComments(H956))</f>
        <v/>
      </c>
      <c r="S956" t="str">
        <f>IF(LEN(TRIM(E956))=0,"",IF(ISERROR(VLOOKUP(E956,'Manifest MDB data'!A:A,1,FALSE)),"OK","EXISTS!!!"))</f>
        <v/>
      </c>
    </row>
    <row r="957" spans="4:19" x14ac:dyDescent="0.25">
      <c r="D957" t="str">
        <f t="shared" si="59"/>
        <v/>
      </c>
      <c r="E957" t="str">
        <f t="shared" si="60"/>
        <v/>
      </c>
      <c r="F957" t="str">
        <f t="shared" si="61"/>
        <v/>
      </c>
      <c r="G957" t="str">
        <f>IF(LEN(TRIM(E957))=0, "", GetSampleTissueBySpecimenPrep(H957))</f>
        <v/>
      </c>
      <c r="H957" t="str">
        <f>IF(LEN(TRIM(E957))=0, "", GetSpecimenPrepName())</f>
        <v/>
      </c>
      <c r="I957" t="str">
        <f>IF(LEN(TRIM(E957))=0, "", GetSampleVolumeBySpecimenPrep(H957))</f>
        <v/>
      </c>
      <c r="L957" t="str">
        <f>IF(LEN(TRIM(E957))=0,"",VLOOKUP("Manifest Id",config!A:B,2,FALSE))</f>
        <v/>
      </c>
      <c r="M957" t="str">
        <f>IF(LEN(TRIM(E957))=0, "",VLOOKUP("Project Name",config!A:B,2,FALSE))</f>
        <v/>
      </c>
      <c r="N957" t="str">
        <f>IF(LEN(TRIM(E957))=0, "",VLOOKUP("Center Name",config!A:B,2,FALSE))</f>
        <v/>
      </c>
      <c r="O957" s="7" t="str">
        <f>IF(LEN(TRIM(E957))=0,"",VLOOKUP("Shipment Date",config!A:B,2,FALSE))</f>
        <v/>
      </c>
      <c r="P957" s="7" t="str">
        <f t="shared" si="58"/>
        <v/>
      </c>
      <c r="Q957" s="7" t="str">
        <f>IF(LEN(TRIM(D957))=0,"",GetConfigParameterValue("Collection Site"))</f>
        <v/>
      </c>
      <c r="R957" t="str">
        <f>IF(LEN(TRIM(E957))=0, "", GetManifestComments(H957))</f>
        <v/>
      </c>
      <c r="S957" t="str">
        <f>IF(LEN(TRIM(E957))=0,"",IF(ISERROR(VLOOKUP(E957,'Manifest MDB data'!A:A,1,FALSE)),"OK","EXISTS!!!"))</f>
        <v/>
      </c>
    </row>
    <row r="958" spans="4:19" x14ac:dyDescent="0.25">
      <c r="D958" t="str">
        <f t="shared" si="59"/>
        <v/>
      </c>
      <c r="E958" t="str">
        <f t="shared" si="60"/>
        <v/>
      </c>
      <c r="F958" t="str">
        <f t="shared" si="61"/>
        <v/>
      </c>
      <c r="G958" t="str">
        <f>IF(LEN(TRIM(E958))=0, "", GetSampleTissueBySpecimenPrep(H958))</f>
        <v/>
      </c>
      <c r="H958" t="str">
        <f>IF(LEN(TRIM(E958))=0, "", GetSpecimenPrepName())</f>
        <v/>
      </c>
      <c r="I958" t="str">
        <f>IF(LEN(TRIM(E958))=0, "", GetSampleVolumeBySpecimenPrep(H958))</f>
        <v/>
      </c>
      <c r="L958" t="str">
        <f>IF(LEN(TRIM(E958))=0,"",VLOOKUP("Manifest Id",config!A:B,2,FALSE))</f>
        <v/>
      </c>
      <c r="M958" t="str">
        <f>IF(LEN(TRIM(E958))=0, "",VLOOKUP("Project Name",config!A:B,2,FALSE))</f>
        <v/>
      </c>
      <c r="N958" t="str">
        <f>IF(LEN(TRIM(E958))=0, "",VLOOKUP("Center Name",config!A:B,2,FALSE))</f>
        <v/>
      </c>
      <c r="O958" s="7" t="str">
        <f>IF(LEN(TRIM(E958))=0,"",VLOOKUP("Shipment Date",config!A:B,2,FALSE))</f>
        <v/>
      </c>
      <c r="P958" s="7" t="str">
        <f t="shared" si="58"/>
        <v/>
      </c>
      <c r="Q958" s="7" t="str">
        <f>IF(LEN(TRIM(D958))=0,"",GetConfigParameterValue("Collection Site"))</f>
        <v/>
      </c>
      <c r="R958" t="str">
        <f>IF(LEN(TRIM(E958))=0, "", GetManifestComments(H958))</f>
        <v/>
      </c>
      <c r="S958" t="str">
        <f>IF(LEN(TRIM(E958))=0,"",IF(ISERROR(VLOOKUP(E958,'Manifest MDB data'!A:A,1,FALSE)),"OK","EXISTS!!!"))</f>
        <v/>
      </c>
    </row>
    <row r="959" spans="4:19" x14ac:dyDescent="0.25">
      <c r="D959" t="str">
        <f t="shared" si="59"/>
        <v/>
      </c>
      <c r="E959" t="str">
        <f t="shared" si="60"/>
        <v/>
      </c>
      <c r="F959" t="str">
        <f t="shared" si="61"/>
        <v/>
      </c>
      <c r="G959" t="str">
        <f>IF(LEN(TRIM(E959))=0, "", GetSampleTissueBySpecimenPrep(H959))</f>
        <v/>
      </c>
      <c r="H959" t="str">
        <f>IF(LEN(TRIM(E959))=0, "", GetSpecimenPrepName())</f>
        <v/>
      </c>
      <c r="I959" t="str">
        <f>IF(LEN(TRIM(E959))=0, "", GetSampleVolumeBySpecimenPrep(H959))</f>
        <v/>
      </c>
      <c r="L959" t="str">
        <f>IF(LEN(TRIM(E959))=0,"",VLOOKUP("Manifest Id",config!A:B,2,FALSE))</f>
        <v/>
      </c>
      <c r="M959" t="str">
        <f>IF(LEN(TRIM(E959))=0, "",VLOOKUP("Project Name",config!A:B,2,FALSE))</f>
        <v/>
      </c>
      <c r="N959" t="str">
        <f>IF(LEN(TRIM(E959))=0, "",VLOOKUP("Center Name",config!A:B,2,FALSE))</f>
        <v/>
      </c>
      <c r="O959" s="7" t="str">
        <f>IF(LEN(TRIM(E959))=0,"",VLOOKUP("Shipment Date",config!A:B,2,FALSE))</f>
        <v/>
      </c>
      <c r="P959" s="7" t="str">
        <f t="shared" si="58"/>
        <v/>
      </c>
      <c r="Q959" s="7" t="str">
        <f>IF(LEN(TRIM(D959))=0,"",GetConfigParameterValue("Collection Site"))</f>
        <v/>
      </c>
      <c r="R959" t="str">
        <f>IF(LEN(TRIM(E959))=0, "", GetManifestComments(H959))</f>
        <v/>
      </c>
      <c r="S959" t="str">
        <f>IF(LEN(TRIM(E959))=0,"",IF(ISERROR(VLOOKUP(E959,'Manifest MDB data'!A:A,1,FALSE)),"OK","EXISTS!!!"))</f>
        <v/>
      </c>
    </row>
    <row r="960" spans="4:19" x14ac:dyDescent="0.25">
      <c r="D960" t="str">
        <f t="shared" si="59"/>
        <v/>
      </c>
      <c r="E960" t="str">
        <f t="shared" si="60"/>
        <v/>
      </c>
      <c r="F960" t="str">
        <f t="shared" si="61"/>
        <v/>
      </c>
      <c r="G960" t="str">
        <f>IF(LEN(TRIM(E960))=0, "", GetSampleTissueBySpecimenPrep(H960))</f>
        <v/>
      </c>
      <c r="H960" t="str">
        <f>IF(LEN(TRIM(E960))=0, "", GetSpecimenPrepName())</f>
        <v/>
      </c>
      <c r="I960" t="str">
        <f>IF(LEN(TRIM(E960))=0, "", GetSampleVolumeBySpecimenPrep(H960))</f>
        <v/>
      </c>
      <c r="L960" t="str">
        <f>IF(LEN(TRIM(E960))=0,"",VLOOKUP("Manifest Id",config!A:B,2,FALSE))</f>
        <v/>
      </c>
      <c r="M960" t="str">
        <f>IF(LEN(TRIM(E960))=0, "",VLOOKUP("Project Name",config!A:B,2,FALSE))</f>
        <v/>
      </c>
      <c r="N960" t="str">
        <f>IF(LEN(TRIM(E960))=0, "",VLOOKUP("Center Name",config!A:B,2,FALSE))</f>
        <v/>
      </c>
      <c r="O960" s="7" t="str">
        <f>IF(LEN(TRIM(E960))=0,"",VLOOKUP("Shipment Date",config!A:B,2,FALSE))</f>
        <v/>
      </c>
      <c r="P960" s="7" t="str">
        <f t="shared" si="58"/>
        <v/>
      </c>
      <c r="Q960" s="7" t="str">
        <f>IF(LEN(TRIM(D960))=0,"",GetConfigParameterValue("Collection Site"))</f>
        <v/>
      </c>
      <c r="R960" t="str">
        <f>IF(LEN(TRIM(E960))=0, "", GetManifestComments(H960))</f>
        <v/>
      </c>
      <c r="S960" t="str">
        <f>IF(LEN(TRIM(E960))=0,"",IF(ISERROR(VLOOKUP(E960,'Manifest MDB data'!A:A,1,FALSE)),"OK","EXISTS!!!"))</f>
        <v/>
      </c>
    </row>
    <row r="961" spans="4:19" x14ac:dyDescent="0.25">
      <c r="D961" t="str">
        <f t="shared" si="59"/>
        <v/>
      </c>
      <c r="E961" t="str">
        <f t="shared" si="60"/>
        <v/>
      </c>
      <c r="F961" t="str">
        <f t="shared" si="61"/>
        <v/>
      </c>
      <c r="G961" t="str">
        <f>IF(LEN(TRIM(E961))=0, "", GetSampleTissueBySpecimenPrep(H961))</f>
        <v/>
      </c>
      <c r="H961" t="str">
        <f>IF(LEN(TRIM(E961))=0, "", GetSpecimenPrepName())</f>
        <v/>
      </c>
      <c r="I961" t="str">
        <f>IF(LEN(TRIM(E961))=0, "", GetSampleVolumeBySpecimenPrep(H961))</f>
        <v/>
      </c>
      <c r="L961" t="str">
        <f>IF(LEN(TRIM(E961))=0,"",VLOOKUP("Manifest Id",config!A:B,2,FALSE))</f>
        <v/>
      </c>
      <c r="M961" t="str">
        <f>IF(LEN(TRIM(E961))=0, "",VLOOKUP("Project Name",config!A:B,2,FALSE))</f>
        <v/>
      </c>
      <c r="N961" t="str">
        <f>IF(LEN(TRIM(E961))=0, "",VLOOKUP("Center Name",config!A:B,2,FALSE))</f>
        <v/>
      </c>
      <c r="O961" s="7" t="str">
        <f>IF(LEN(TRIM(E961))=0,"",VLOOKUP("Shipment Date",config!A:B,2,FALSE))</f>
        <v/>
      </c>
      <c r="P961" s="7" t="str">
        <f t="shared" si="58"/>
        <v/>
      </c>
      <c r="Q961" s="7" t="str">
        <f>IF(LEN(TRIM(D961))=0,"",GetConfigParameterValue("Collection Site"))</f>
        <v/>
      </c>
      <c r="R961" t="str">
        <f>IF(LEN(TRIM(E961))=0, "", GetManifestComments(H961))</f>
        <v/>
      </c>
      <c r="S961" t="str">
        <f>IF(LEN(TRIM(E961))=0,"",IF(ISERROR(VLOOKUP(E961,'Manifest MDB data'!A:A,1,FALSE)),"OK","EXISTS!!!"))</f>
        <v/>
      </c>
    </row>
    <row r="962" spans="4:19" x14ac:dyDescent="0.25">
      <c r="D962" t="str">
        <f t="shared" si="59"/>
        <v/>
      </c>
      <c r="E962" t="str">
        <f t="shared" si="60"/>
        <v/>
      </c>
      <c r="F962" t="str">
        <f t="shared" si="61"/>
        <v/>
      </c>
      <c r="G962" t="str">
        <f>IF(LEN(TRIM(E962))=0, "", GetSampleTissueBySpecimenPrep(H962))</f>
        <v/>
      </c>
      <c r="H962" t="str">
        <f>IF(LEN(TRIM(E962))=0, "", GetSpecimenPrepName())</f>
        <v/>
      </c>
      <c r="I962" t="str">
        <f>IF(LEN(TRIM(E962))=0, "", GetSampleVolumeBySpecimenPrep(H962))</f>
        <v/>
      </c>
      <c r="L962" t="str">
        <f>IF(LEN(TRIM(E962))=0,"",VLOOKUP("Manifest Id",config!A:B,2,FALSE))</f>
        <v/>
      </c>
      <c r="M962" t="str">
        <f>IF(LEN(TRIM(E962))=0, "",VLOOKUP("Project Name",config!A:B,2,FALSE))</f>
        <v/>
      </c>
      <c r="N962" t="str">
        <f>IF(LEN(TRIM(E962))=0, "",VLOOKUP("Center Name",config!A:B,2,FALSE))</f>
        <v/>
      </c>
      <c r="O962" s="7" t="str">
        <f>IF(LEN(TRIM(E962))=0,"",VLOOKUP("Shipment Date",config!A:B,2,FALSE))</f>
        <v/>
      </c>
      <c r="P962" s="7" t="str">
        <f t="shared" ref="P962:P1001" si="62">getColumnValueBySubjectID("Visit Date", RIGHT(LEFT(D962,7),4))</f>
        <v/>
      </c>
      <c r="Q962" s="7" t="str">
        <f>IF(LEN(TRIM(D962))=0,"",GetConfigParameterValue("Collection Site"))</f>
        <v/>
      </c>
      <c r="R962" t="str">
        <f>IF(LEN(TRIM(E962))=0, "", GetManifestComments(H962))</f>
        <v/>
      </c>
      <c r="S962" t="str">
        <f>IF(LEN(TRIM(E962))=0,"",IF(ISERROR(VLOOKUP(E962,'Manifest MDB data'!A:A,1,FALSE)),"OK","EXISTS!!!"))</f>
        <v/>
      </c>
    </row>
    <row r="963" spans="4:19" x14ac:dyDescent="0.25">
      <c r="D963" t="str">
        <f t="shared" ref="D963:D1001" si="63">GetSampleId((ROW()))</f>
        <v/>
      </c>
      <c r="E963" t="str">
        <f t="shared" ref="E963:E1001" si="64">GetAliquotId((ROW()))</f>
        <v/>
      </c>
      <c r="F963" t="str">
        <f t="shared" si="61"/>
        <v/>
      </c>
      <c r="G963" t="str">
        <f>IF(LEN(TRIM(E963))=0, "", GetSampleTissueBySpecimenPrep(H963))</f>
        <v/>
      </c>
      <c r="H963" t="str">
        <f>IF(LEN(TRIM(E963))=0, "", GetSpecimenPrepName())</f>
        <v/>
      </c>
      <c r="I963" t="str">
        <f>IF(LEN(TRIM(E963))=0, "", GetSampleVolumeBySpecimenPrep(H963))</f>
        <v/>
      </c>
      <c r="L963" t="str">
        <f>IF(LEN(TRIM(E963))=0,"",VLOOKUP("Manifest Id",config!A:B,2,FALSE))</f>
        <v/>
      </c>
      <c r="M963" t="str">
        <f>IF(LEN(TRIM(E963))=0, "",VLOOKUP("Project Name",config!A:B,2,FALSE))</f>
        <v/>
      </c>
      <c r="N963" t="str">
        <f>IF(LEN(TRIM(E963))=0, "",VLOOKUP("Center Name",config!A:B,2,FALSE))</f>
        <v/>
      </c>
      <c r="O963" s="7" t="str">
        <f>IF(LEN(TRIM(E963))=0,"",VLOOKUP("Shipment Date",config!A:B,2,FALSE))</f>
        <v/>
      </c>
      <c r="P963" s="7" t="str">
        <f t="shared" si="62"/>
        <v/>
      </c>
      <c r="Q963" s="7" t="str">
        <f>IF(LEN(TRIM(D963))=0,"",GetConfigParameterValue("Collection Site"))</f>
        <v/>
      </c>
      <c r="R963" t="str">
        <f>IF(LEN(TRIM(E963))=0, "", GetManifestComments(H963))</f>
        <v/>
      </c>
      <c r="S963" t="str">
        <f>IF(LEN(TRIM(E963))=0,"",IF(ISERROR(VLOOKUP(E963,'Manifest MDB data'!A:A,1,FALSE)),"OK","EXISTS!!!"))</f>
        <v/>
      </c>
    </row>
    <row r="964" spans="4:19" x14ac:dyDescent="0.25">
      <c r="D964" t="str">
        <f t="shared" si="63"/>
        <v/>
      </c>
      <c r="E964" t="str">
        <f t="shared" si="64"/>
        <v/>
      </c>
      <c r="F964" t="str">
        <f t="shared" si="61"/>
        <v/>
      </c>
      <c r="G964" t="str">
        <f>IF(LEN(TRIM(E964))=0, "", GetSampleTissueBySpecimenPrep(H964))</f>
        <v/>
      </c>
      <c r="H964" t="str">
        <f>IF(LEN(TRIM(E964))=0, "", GetSpecimenPrepName())</f>
        <v/>
      </c>
      <c r="I964" t="str">
        <f>IF(LEN(TRIM(E964))=0, "", GetSampleVolumeBySpecimenPrep(H964))</f>
        <v/>
      </c>
      <c r="L964" t="str">
        <f>IF(LEN(TRIM(E964))=0,"",VLOOKUP("Manifest Id",config!A:B,2,FALSE))</f>
        <v/>
      </c>
      <c r="M964" t="str">
        <f>IF(LEN(TRIM(E964))=0, "",VLOOKUP("Project Name",config!A:B,2,FALSE))</f>
        <v/>
      </c>
      <c r="N964" t="str">
        <f>IF(LEN(TRIM(E964))=0, "",VLOOKUP("Center Name",config!A:B,2,FALSE))</f>
        <v/>
      </c>
      <c r="O964" s="7" t="str">
        <f>IF(LEN(TRIM(E964))=0,"",VLOOKUP("Shipment Date",config!A:B,2,FALSE))</f>
        <v/>
      </c>
      <c r="P964" s="7" t="str">
        <f t="shared" si="62"/>
        <v/>
      </c>
      <c r="Q964" s="7" t="str">
        <f>IF(LEN(TRIM(D964))=0,"",GetConfigParameterValue("Collection Site"))</f>
        <v/>
      </c>
      <c r="R964" t="str">
        <f>IF(LEN(TRIM(E964))=0, "", GetManifestComments(H964))</f>
        <v/>
      </c>
      <c r="S964" t="str">
        <f>IF(LEN(TRIM(E964))=0,"",IF(ISERROR(VLOOKUP(E964,'Manifest MDB data'!A:A,1,FALSE)),"OK","EXISTS!!!"))</f>
        <v/>
      </c>
    </row>
    <row r="965" spans="4:19" x14ac:dyDescent="0.25">
      <c r="D965" t="str">
        <f t="shared" si="63"/>
        <v/>
      </c>
      <c r="E965" t="str">
        <f t="shared" si="64"/>
        <v/>
      </c>
      <c r="F965" t="str">
        <f t="shared" si="61"/>
        <v/>
      </c>
      <c r="G965" t="str">
        <f>IF(LEN(TRIM(E965))=0, "", GetSampleTissueBySpecimenPrep(H965))</f>
        <v/>
      </c>
      <c r="H965" t="str">
        <f>IF(LEN(TRIM(E965))=0, "", GetSpecimenPrepName())</f>
        <v/>
      </c>
      <c r="I965" t="str">
        <f>IF(LEN(TRIM(E965))=0, "", GetSampleVolumeBySpecimenPrep(H965))</f>
        <v/>
      </c>
      <c r="L965" t="str">
        <f>IF(LEN(TRIM(E965))=0,"",VLOOKUP("Manifest Id",config!A:B,2,FALSE))</f>
        <v/>
      </c>
      <c r="M965" t="str">
        <f>IF(LEN(TRIM(E965))=0, "",VLOOKUP("Project Name",config!A:B,2,FALSE))</f>
        <v/>
      </c>
      <c r="N965" t="str">
        <f>IF(LEN(TRIM(E965))=0, "",VLOOKUP("Center Name",config!A:B,2,FALSE))</f>
        <v/>
      </c>
      <c r="O965" s="7" t="str">
        <f>IF(LEN(TRIM(E965))=0,"",VLOOKUP("Shipment Date",config!A:B,2,FALSE))</f>
        <v/>
      </c>
      <c r="P965" s="7" t="str">
        <f t="shared" si="62"/>
        <v/>
      </c>
      <c r="Q965" s="7" t="str">
        <f>IF(LEN(TRIM(D965))=0,"",GetConfigParameterValue("Collection Site"))</f>
        <v/>
      </c>
      <c r="R965" t="str">
        <f>IF(LEN(TRIM(E965))=0, "", GetManifestComments(H965))</f>
        <v/>
      </c>
      <c r="S965" t="str">
        <f>IF(LEN(TRIM(E965))=0,"",IF(ISERROR(VLOOKUP(E965,'Manifest MDB data'!A:A,1,FALSE)),"OK","EXISTS!!!"))</f>
        <v/>
      </c>
    </row>
    <row r="966" spans="4:19" x14ac:dyDescent="0.25">
      <c r="D966" t="str">
        <f t="shared" si="63"/>
        <v/>
      </c>
      <c r="E966" t="str">
        <f t="shared" si="64"/>
        <v/>
      </c>
      <c r="F966" t="str">
        <f t="shared" si="61"/>
        <v/>
      </c>
      <c r="G966" t="str">
        <f>IF(LEN(TRIM(E966))=0, "", GetSampleTissueBySpecimenPrep(H966))</f>
        <v/>
      </c>
      <c r="H966" t="str">
        <f>IF(LEN(TRIM(E966))=0, "", GetSpecimenPrepName())</f>
        <v/>
      </c>
      <c r="I966" t="str">
        <f>IF(LEN(TRIM(E966))=0, "", GetSampleVolumeBySpecimenPrep(H966))</f>
        <v/>
      </c>
      <c r="L966" t="str">
        <f>IF(LEN(TRIM(E966))=0,"",VLOOKUP("Manifest Id",config!A:B,2,FALSE))</f>
        <v/>
      </c>
      <c r="M966" t="str">
        <f>IF(LEN(TRIM(E966))=0, "",VLOOKUP("Project Name",config!A:B,2,FALSE))</f>
        <v/>
      </c>
      <c r="N966" t="str">
        <f>IF(LEN(TRIM(E966))=0, "",VLOOKUP("Center Name",config!A:B,2,FALSE))</f>
        <v/>
      </c>
      <c r="O966" s="7" t="str">
        <f>IF(LEN(TRIM(E966))=0,"",VLOOKUP("Shipment Date",config!A:B,2,FALSE))</f>
        <v/>
      </c>
      <c r="P966" s="7" t="str">
        <f t="shared" si="62"/>
        <v/>
      </c>
      <c r="Q966" s="7" t="str">
        <f>IF(LEN(TRIM(D966))=0,"",GetConfigParameterValue("Collection Site"))</f>
        <v/>
      </c>
      <c r="R966" t="str">
        <f>IF(LEN(TRIM(E966))=0, "", GetManifestComments(H966))</f>
        <v/>
      </c>
      <c r="S966" t="str">
        <f>IF(LEN(TRIM(E966))=0,"",IF(ISERROR(VLOOKUP(E966,'Manifest MDB data'!A:A,1,FALSE)),"OK","EXISTS!!!"))</f>
        <v/>
      </c>
    </row>
    <row r="967" spans="4:19" x14ac:dyDescent="0.25">
      <c r="D967" t="str">
        <f t="shared" si="63"/>
        <v/>
      </c>
      <c r="E967" t="str">
        <f t="shared" si="64"/>
        <v/>
      </c>
      <c r="F967" t="str">
        <f t="shared" si="61"/>
        <v/>
      </c>
      <c r="G967" t="str">
        <f>IF(LEN(TRIM(E967))=0, "", GetSampleTissueBySpecimenPrep(H967))</f>
        <v/>
      </c>
      <c r="H967" t="str">
        <f>IF(LEN(TRIM(E967))=0, "", GetSpecimenPrepName())</f>
        <v/>
      </c>
      <c r="I967" t="str">
        <f>IF(LEN(TRIM(E967))=0, "", GetSampleVolumeBySpecimenPrep(H967))</f>
        <v/>
      </c>
      <c r="L967" t="str">
        <f>IF(LEN(TRIM(E967))=0,"",VLOOKUP("Manifest Id",config!A:B,2,FALSE))</f>
        <v/>
      </c>
      <c r="M967" t="str">
        <f>IF(LEN(TRIM(E967))=0, "",VLOOKUP("Project Name",config!A:B,2,FALSE))</f>
        <v/>
      </c>
      <c r="N967" t="str">
        <f>IF(LEN(TRIM(E967))=0, "",VLOOKUP("Center Name",config!A:B,2,FALSE))</f>
        <v/>
      </c>
      <c r="O967" s="7" t="str">
        <f>IF(LEN(TRIM(E967))=0,"",VLOOKUP("Shipment Date",config!A:B,2,FALSE))</f>
        <v/>
      </c>
      <c r="P967" s="7" t="str">
        <f t="shared" si="62"/>
        <v/>
      </c>
      <c r="Q967" s="7" t="str">
        <f>IF(LEN(TRIM(D967))=0,"",GetConfigParameterValue("Collection Site"))</f>
        <v/>
      </c>
      <c r="R967" t="str">
        <f>IF(LEN(TRIM(E967))=0, "", GetManifestComments(H967))</f>
        <v/>
      </c>
      <c r="S967" t="str">
        <f>IF(LEN(TRIM(E967))=0,"",IF(ISERROR(VLOOKUP(E967,'Manifest MDB data'!A:A,1,FALSE)),"OK","EXISTS!!!"))</f>
        <v/>
      </c>
    </row>
    <row r="968" spans="4:19" x14ac:dyDescent="0.25">
      <c r="D968" t="str">
        <f t="shared" si="63"/>
        <v/>
      </c>
      <c r="E968" t="str">
        <f t="shared" si="64"/>
        <v/>
      </c>
      <c r="F968" t="str">
        <f t="shared" si="61"/>
        <v/>
      </c>
      <c r="G968" t="str">
        <f>IF(LEN(TRIM(E968))=0, "", GetSampleTissueBySpecimenPrep(H968))</f>
        <v/>
      </c>
      <c r="H968" t="str">
        <f>IF(LEN(TRIM(E968))=0, "", GetSpecimenPrepName())</f>
        <v/>
      </c>
      <c r="I968" t="str">
        <f>IF(LEN(TRIM(E968))=0, "", GetSampleVolumeBySpecimenPrep(H968))</f>
        <v/>
      </c>
      <c r="L968" t="str">
        <f>IF(LEN(TRIM(E968))=0,"",VLOOKUP("Manifest Id",config!A:B,2,FALSE))</f>
        <v/>
      </c>
      <c r="M968" t="str">
        <f>IF(LEN(TRIM(E968))=0, "",VLOOKUP("Project Name",config!A:B,2,FALSE))</f>
        <v/>
      </c>
      <c r="N968" t="str">
        <f>IF(LEN(TRIM(E968))=0, "",VLOOKUP("Center Name",config!A:B,2,FALSE))</f>
        <v/>
      </c>
      <c r="O968" s="7" t="str">
        <f>IF(LEN(TRIM(E968))=0,"",VLOOKUP("Shipment Date",config!A:B,2,FALSE))</f>
        <v/>
      </c>
      <c r="P968" s="7" t="str">
        <f t="shared" si="62"/>
        <v/>
      </c>
      <c r="Q968" s="7" t="str">
        <f>IF(LEN(TRIM(D968))=0,"",GetConfigParameterValue("Collection Site"))</f>
        <v/>
      </c>
      <c r="R968" t="str">
        <f>IF(LEN(TRIM(E968))=0, "", GetManifestComments(H968))</f>
        <v/>
      </c>
      <c r="S968" t="str">
        <f>IF(LEN(TRIM(E968))=0,"",IF(ISERROR(VLOOKUP(E968,'Manifest MDB data'!A:A,1,FALSE)),"OK","EXISTS!!!"))</f>
        <v/>
      </c>
    </row>
    <row r="969" spans="4:19" x14ac:dyDescent="0.25">
      <c r="D969" t="str">
        <f t="shared" si="63"/>
        <v/>
      </c>
      <c r="E969" t="str">
        <f t="shared" si="64"/>
        <v/>
      </c>
      <c r="F969" t="str">
        <f t="shared" si="61"/>
        <v/>
      </c>
      <c r="G969" t="str">
        <f>IF(LEN(TRIM(E969))=0, "", GetSampleTissueBySpecimenPrep(H969))</f>
        <v/>
      </c>
      <c r="H969" t="str">
        <f>IF(LEN(TRIM(E969))=0, "", GetSpecimenPrepName())</f>
        <v/>
      </c>
      <c r="I969" t="str">
        <f>IF(LEN(TRIM(E969))=0, "", GetSampleVolumeBySpecimenPrep(H969))</f>
        <v/>
      </c>
      <c r="L969" t="str">
        <f>IF(LEN(TRIM(E969))=0,"",VLOOKUP("Manifest Id",config!A:B,2,FALSE))</f>
        <v/>
      </c>
      <c r="M969" t="str">
        <f>IF(LEN(TRIM(E969))=0, "",VLOOKUP("Project Name",config!A:B,2,FALSE))</f>
        <v/>
      </c>
      <c r="N969" t="str">
        <f>IF(LEN(TRIM(E969))=0, "",VLOOKUP("Center Name",config!A:B,2,FALSE))</f>
        <v/>
      </c>
      <c r="O969" s="7" t="str">
        <f>IF(LEN(TRIM(E969))=0,"",VLOOKUP("Shipment Date",config!A:B,2,FALSE))</f>
        <v/>
      </c>
      <c r="P969" s="7" t="str">
        <f t="shared" si="62"/>
        <v/>
      </c>
      <c r="Q969" s="7" t="str">
        <f>IF(LEN(TRIM(D969))=0,"",GetConfigParameterValue("Collection Site"))</f>
        <v/>
      </c>
      <c r="R969" t="str">
        <f>IF(LEN(TRIM(E969))=0, "", GetManifestComments(H969))</f>
        <v/>
      </c>
      <c r="S969" t="str">
        <f>IF(LEN(TRIM(E969))=0,"",IF(ISERROR(VLOOKUP(E969,'Manifest MDB data'!A:A,1,FALSE)),"OK","EXISTS!!!"))</f>
        <v/>
      </c>
    </row>
    <row r="970" spans="4:19" x14ac:dyDescent="0.25">
      <c r="D970" t="str">
        <f t="shared" si="63"/>
        <v/>
      </c>
      <c r="E970" t="str">
        <f t="shared" si="64"/>
        <v/>
      </c>
      <c r="F970" t="str">
        <f t="shared" si="61"/>
        <v/>
      </c>
      <c r="G970" t="str">
        <f>IF(LEN(TRIM(E970))=0, "", GetSampleTissueBySpecimenPrep(H970))</f>
        <v/>
      </c>
      <c r="H970" t="str">
        <f>IF(LEN(TRIM(E970))=0, "", GetSpecimenPrepName())</f>
        <v/>
      </c>
      <c r="I970" t="str">
        <f>IF(LEN(TRIM(E970))=0, "", GetSampleVolumeBySpecimenPrep(H970))</f>
        <v/>
      </c>
      <c r="L970" t="str">
        <f>IF(LEN(TRIM(E970))=0,"",VLOOKUP("Manifest Id",config!A:B,2,FALSE))</f>
        <v/>
      </c>
      <c r="M970" t="str">
        <f>IF(LEN(TRIM(E970))=0, "",VLOOKUP("Project Name",config!A:B,2,FALSE))</f>
        <v/>
      </c>
      <c r="N970" t="str">
        <f>IF(LEN(TRIM(E970))=0, "",VLOOKUP("Center Name",config!A:B,2,FALSE))</f>
        <v/>
      </c>
      <c r="O970" s="7" t="str">
        <f>IF(LEN(TRIM(E970))=0,"",VLOOKUP("Shipment Date",config!A:B,2,FALSE))</f>
        <v/>
      </c>
      <c r="P970" s="7" t="str">
        <f t="shared" si="62"/>
        <v/>
      </c>
      <c r="Q970" s="7" t="str">
        <f>IF(LEN(TRIM(D970))=0,"",GetConfigParameterValue("Collection Site"))</f>
        <v/>
      </c>
      <c r="R970" t="str">
        <f>IF(LEN(TRIM(E970))=0, "", GetManifestComments(H970))</f>
        <v/>
      </c>
      <c r="S970" t="str">
        <f>IF(LEN(TRIM(E970))=0,"",IF(ISERROR(VLOOKUP(E970,'Manifest MDB data'!A:A,1,FALSE)),"OK","EXISTS!!!"))</f>
        <v/>
      </c>
    </row>
    <row r="971" spans="4:19" x14ac:dyDescent="0.25">
      <c r="D971" t="str">
        <f t="shared" si="63"/>
        <v/>
      </c>
      <c r="E971" t="str">
        <f t="shared" si="64"/>
        <v/>
      </c>
      <c r="F971" t="str">
        <f t="shared" si="61"/>
        <v/>
      </c>
      <c r="G971" t="str">
        <f>IF(LEN(TRIM(E971))=0, "", GetSampleTissueBySpecimenPrep(H971))</f>
        <v/>
      </c>
      <c r="H971" t="str">
        <f>IF(LEN(TRIM(E971))=0, "", GetSpecimenPrepName())</f>
        <v/>
      </c>
      <c r="I971" t="str">
        <f>IF(LEN(TRIM(E971))=0, "", GetSampleVolumeBySpecimenPrep(H971))</f>
        <v/>
      </c>
      <c r="L971" t="str">
        <f>IF(LEN(TRIM(E971))=0,"",VLOOKUP("Manifest Id",config!A:B,2,FALSE))</f>
        <v/>
      </c>
      <c r="M971" t="str">
        <f>IF(LEN(TRIM(E971))=0, "",VLOOKUP("Project Name",config!A:B,2,FALSE))</f>
        <v/>
      </c>
      <c r="N971" t="str">
        <f>IF(LEN(TRIM(E971))=0, "",VLOOKUP("Center Name",config!A:B,2,FALSE))</f>
        <v/>
      </c>
      <c r="O971" s="7" t="str">
        <f>IF(LEN(TRIM(E971))=0,"",VLOOKUP("Shipment Date",config!A:B,2,FALSE))</f>
        <v/>
      </c>
      <c r="P971" s="7" t="str">
        <f t="shared" si="62"/>
        <v/>
      </c>
      <c r="Q971" s="7" t="str">
        <f>IF(LEN(TRIM(D971))=0,"",GetConfigParameterValue("Collection Site"))</f>
        <v/>
      </c>
      <c r="R971" t="str">
        <f>IF(LEN(TRIM(E971))=0, "", GetManifestComments(H971))</f>
        <v/>
      </c>
      <c r="S971" t="str">
        <f>IF(LEN(TRIM(E971))=0,"",IF(ISERROR(VLOOKUP(E971,'Manifest MDB data'!A:A,1,FALSE)),"OK","EXISTS!!!"))</f>
        <v/>
      </c>
    </row>
    <row r="972" spans="4:19" x14ac:dyDescent="0.25">
      <c r="D972" t="str">
        <f t="shared" si="63"/>
        <v/>
      </c>
      <c r="E972" t="str">
        <f t="shared" si="64"/>
        <v/>
      </c>
      <c r="F972" t="str">
        <f t="shared" si="61"/>
        <v/>
      </c>
      <c r="G972" t="str">
        <f>IF(LEN(TRIM(E972))=0, "", GetSampleTissueBySpecimenPrep(H972))</f>
        <v/>
      </c>
      <c r="H972" t="str">
        <f>IF(LEN(TRIM(E972))=0, "", GetSpecimenPrepName())</f>
        <v/>
      </c>
      <c r="I972" t="str">
        <f>IF(LEN(TRIM(E972))=0, "", GetSampleVolumeBySpecimenPrep(H972))</f>
        <v/>
      </c>
      <c r="L972" t="str">
        <f>IF(LEN(TRIM(E972))=0,"",VLOOKUP("Manifest Id",config!A:B,2,FALSE))</f>
        <v/>
      </c>
      <c r="M972" t="str">
        <f>IF(LEN(TRIM(E972))=0, "",VLOOKUP("Project Name",config!A:B,2,FALSE))</f>
        <v/>
      </c>
      <c r="N972" t="str">
        <f>IF(LEN(TRIM(E972))=0, "",VLOOKUP("Center Name",config!A:B,2,FALSE))</f>
        <v/>
      </c>
      <c r="O972" s="7" t="str">
        <f>IF(LEN(TRIM(E972))=0,"",VLOOKUP("Shipment Date",config!A:B,2,FALSE))</f>
        <v/>
      </c>
      <c r="P972" s="7" t="str">
        <f t="shared" si="62"/>
        <v/>
      </c>
      <c r="Q972" s="7" t="str">
        <f>IF(LEN(TRIM(D972))=0,"",GetConfigParameterValue("Collection Site"))</f>
        <v/>
      </c>
      <c r="R972" t="str">
        <f>IF(LEN(TRIM(E972))=0, "", GetManifestComments(H972))</f>
        <v/>
      </c>
      <c r="S972" t="str">
        <f>IF(LEN(TRIM(E972))=0,"",IF(ISERROR(VLOOKUP(E972,'Manifest MDB data'!A:A,1,FALSE)),"OK","EXISTS!!!"))</f>
        <v/>
      </c>
    </row>
    <row r="973" spans="4:19" x14ac:dyDescent="0.25">
      <c r="D973" t="str">
        <f t="shared" si="63"/>
        <v/>
      </c>
      <c r="E973" t="str">
        <f t="shared" si="64"/>
        <v/>
      </c>
      <c r="F973" t="str">
        <f t="shared" si="61"/>
        <v/>
      </c>
      <c r="G973" t="str">
        <f>IF(LEN(TRIM(E973))=0, "", GetSampleTissueBySpecimenPrep(H973))</f>
        <v/>
      </c>
      <c r="H973" t="str">
        <f>IF(LEN(TRIM(E973))=0, "", GetSpecimenPrepName())</f>
        <v/>
      </c>
      <c r="I973" t="str">
        <f>IF(LEN(TRIM(E973))=0, "", GetSampleVolumeBySpecimenPrep(H973))</f>
        <v/>
      </c>
      <c r="L973" t="str">
        <f>IF(LEN(TRIM(E973))=0,"",VLOOKUP("Manifest Id",config!A:B,2,FALSE))</f>
        <v/>
      </c>
      <c r="M973" t="str">
        <f>IF(LEN(TRIM(E973))=0, "",VLOOKUP("Project Name",config!A:B,2,FALSE))</f>
        <v/>
      </c>
      <c r="N973" t="str">
        <f>IF(LEN(TRIM(E973))=0, "",VLOOKUP("Center Name",config!A:B,2,FALSE))</f>
        <v/>
      </c>
      <c r="O973" s="7" t="str">
        <f>IF(LEN(TRIM(E973))=0,"",VLOOKUP("Shipment Date",config!A:B,2,FALSE))</f>
        <v/>
      </c>
      <c r="P973" s="7" t="str">
        <f t="shared" si="62"/>
        <v/>
      </c>
      <c r="Q973" s="7" t="str">
        <f>IF(LEN(TRIM(D973))=0,"",GetConfigParameterValue("Collection Site"))</f>
        <v/>
      </c>
      <c r="R973" t="str">
        <f>IF(LEN(TRIM(E973))=0, "", GetManifestComments(H973))</f>
        <v/>
      </c>
      <c r="S973" t="str">
        <f>IF(LEN(TRIM(E973))=0,"",IF(ISERROR(VLOOKUP(E973,'Manifest MDB data'!A:A,1,FALSE)),"OK","EXISTS!!!"))</f>
        <v/>
      </c>
    </row>
    <row r="974" spans="4:19" x14ac:dyDescent="0.25">
      <c r="D974" t="str">
        <f t="shared" si="63"/>
        <v/>
      </c>
      <c r="E974" t="str">
        <f t="shared" si="64"/>
        <v/>
      </c>
      <c r="F974" t="str">
        <f t="shared" si="61"/>
        <v/>
      </c>
      <c r="G974" t="str">
        <f>IF(LEN(TRIM(E974))=0, "", GetSampleTissueBySpecimenPrep(H974))</f>
        <v/>
      </c>
      <c r="H974" t="str">
        <f>IF(LEN(TRIM(E974))=0, "", GetSpecimenPrepName())</f>
        <v/>
      </c>
      <c r="I974" t="str">
        <f>IF(LEN(TRIM(E974))=0, "", GetSampleVolumeBySpecimenPrep(H974))</f>
        <v/>
      </c>
      <c r="L974" t="str">
        <f>IF(LEN(TRIM(E974))=0,"",VLOOKUP("Manifest Id",config!A:B,2,FALSE))</f>
        <v/>
      </c>
      <c r="M974" t="str">
        <f>IF(LEN(TRIM(E974))=0, "",VLOOKUP("Project Name",config!A:B,2,FALSE))</f>
        <v/>
      </c>
      <c r="N974" t="str">
        <f>IF(LEN(TRIM(E974))=0, "",VLOOKUP("Center Name",config!A:B,2,FALSE))</f>
        <v/>
      </c>
      <c r="O974" s="7" t="str">
        <f>IF(LEN(TRIM(E974))=0,"",VLOOKUP("Shipment Date",config!A:B,2,FALSE))</f>
        <v/>
      </c>
      <c r="P974" s="7" t="str">
        <f t="shared" si="62"/>
        <v/>
      </c>
      <c r="Q974" s="7" t="str">
        <f>IF(LEN(TRIM(D974))=0,"",GetConfigParameterValue("Collection Site"))</f>
        <v/>
      </c>
      <c r="R974" t="str">
        <f>IF(LEN(TRIM(E974))=0, "", GetManifestComments(H974))</f>
        <v/>
      </c>
      <c r="S974" t="str">
        <f>IF(LEN(TRIM(E974))=0,"",IF(ISERROR(VLOOKUP(E974,'Manifest MDB data'!A:A,1,FALSE)),"OK","EXISTS!!!"))</f>
        <v/>
      </c>
    </row>
    <row r="975" spans="4:19" x14ac:dyDescent="0.25">
      <c r="D975" t="str">
        <f t="shared" si="63"/>
        <v/>
      </c>
      <c r="E975" t="str">
        <f t="shared" si="64"/>
        <v/>
      </c>
      <c r="F975" t="str">
        <f t="shared" si="61"/>
        <v/>
      </c>
      <c r="G975" t="str">
        <f>IF(LEN(TRIM(E975))=0, "", GetSampleTissueBySpecimenPrep(H975))</f>
        <v/>
      </c>
      <c r="H975" t="str">
        <f>IF(LEN(TRIM(E975))=0, "", GetSpecimenPrepName())</f>
        <v/>
      </c>
      <c r="I975" t="str">
        <f>IF(LEN(TRIM(E975))=0, "", GetSampleVolumeBySpecimenPrep(H975))</f>
        <v/>
      </c>
      <c r="L975" t="str">
        <f>IF(LEN(TRIM(E975))=0,"",VLOOKUP("Manifest Id",config!A:B,2,FALSE))</f>
        <v/>
      </c>
      <c r="M975" t="str">
        <f>IF(LEN(TRIM(E975))=0, "",VLOOKUP("Project Name",config!A:B,2,FALSE))</f>
        <v/>
      </c>
      <c r="N975" t="str">
        <f>IF(LEN(TRIM(E975))=0, "",VLOOKUP("Center Name",config!A:B,2,FALSE))</f>
        <v/>
      </c>
      <c r="O975" s="7" t="str">
        <f>IF(LEN(TRIM(E975))=0,"",VLOOKUP("Shipment Date",config!A:B,2,FALSE))</f>
        <v/>
      </c>
      <c r="P975" s="7" t="str">
        <f t="shared" si="62"/>
        <v/>
      </c>
      <c r="Q975" s="7" t="str">
        <f>IF(LEN(TRIM(D975))=0,"",GetConfigParameterValue("Collection Site"))</f>
        <v/>
      </c>
      <c r="R975" t="str">
        <f>IF(LEN(TRIM(E975))=0, "", GetManifestComments(H975))</f>
        <v/>
      </c>
      <c r="S975" t="str">
        <f>IF(LEN(TRIM(E975))=0,"",IF(ISERROR(VLOOKUP(E975,'Manifest MDB data'!A:A,1,FALSE)),"OK","EXISTS!!!"))</f>
        <v/>
      </c>
    </row>
    <row r="976" spans="4:19" x14ac:dyDescent="0.25">
      <c r="D976" t="str">
        <f t="shared" si="63"/>
        <v/>
      </c>
      <c r="E976" t="str">
        <f t="shared" si="64"/>
        <v/>
      </c>
      <c r="F976" t="str">
        <f t="shared" si="61"/>
        <v/>
      </c>
      <c r="G976" t="str">
        <f>IF(LEN(TRIM(E976))=0, "", GetSampleTissueBySpecimenPrep(H976))</f>
        <v/>
      </c>
      <c r="H976" t="str">
        <f>IF(LEN(TRIM(E976))=0, "", GetSpecimenPrepName())</f>
        <v/>
      </c>
      <c r="I976" t="str">
        <f>IF(LEN(TRIM(E976))=0, "", GetSampleVolumeBySpecimenPrep(H976))</f>
        <v/>
      </c>
      <c r="L976" t="str">
        <f>IF(LEN(TRIM(E976))=0,"",VLOOKUP("Manifest Id",config!A:B,2,FALSE))</f>
        <v/>
      </c>
      <c r="M976" t="str">
        <f>IF(LEN(TRIM(E976))=0, "",VLOOKUP("Project Name",config!A:B,2,FALSE))</f>
        <v/>
      </c>
      <c r="N976" t="str">
        <f>IF(LEN(TRIM(E976))=0, "",VLOOKUP("Center Name",config!A:B,2,FALSE))</f>
        <v/>
      </c>
      <c r="O976" s="7" t="str">
        <f>IF(LEN(TRIM(E976))=0,"",VLOOKUP("Shipment Date",config!A:B,2,FALSE))</f>
        <v/>
      </c>
      <c r="P976" s="7" t="str">
        <f t="shared" si="62"/>
        <v/>
      </c>
      <c r="Q976" s="7" t="str">
        <f>IF(LEN(TRIM(D976))=0,"",GetConfigParameterValue("Collection Site"))</f>
        <v/>
      </c>
      <c r="R976" t="str">
        <f>IF(LEN(TRIM(E976))=0, "", GetManifestComments(H976))</f>
        <v/>
      </c>
      <c r="S976" t="str">
        <f>IF(LEN(TRIM(E976))=0,"",IF(ISERROR(VLOOKUP(E976,'Manifest MDB data'!A:A,1,FALSE)),"OK","EXISTS!!!"))</f>
        <v/>
      </c>
    </row>
    <row r="977" spans="4:19" x14ac:dyDescent="0.25">
      <c r="D977" t="str">
        <f t="shared" si="63"/>
        <v/>
      </c>
      <c r="E977" t="str">
        <f t="shared" si="64"/>
        <v/>
      </c>
      <c r="F977" t="str">
        <f t="shared" si="61"/>
        <v/>
      </c>
      <c r="G977" t="str">
        <f>IF(LEN(TRIM(E977))=0, "", GetSampleTissueBySpecimenPrep(H977))</f>
        <v/>
      </c>
      <c r="H977" t="str">
        <f>IF(LEN(TRIM(E977))=0, "", GetSpecimenPrepName())</f>
        <v/>
      </c>
      <c r="I977" t="str">
        <f>IF(LEN(TRIM(E977))=0, "", GetSampleVolumeBySpecimenPrep(H977))</f>
        <v/>
      </c>
      <c r="L977" t="str">
        <f>IF(LEN(TRIM(E977))=0,"",VLOOKUP("Manifest Id",config!A:B,2,FALSE))</f>
        <v/>
      </c>
      <c r="M977" t="str">
        <f>IF(LEN(TRIM(E977))=0, "",VLOOKUP("Project Name",config!A:B,2,FALSE))</f>
        <v/>
      </c>
      <c r="N977" t="str">
        <f>IF(LEN(TRIM(E977))=0, "",VLOOKUP("Center Name",config!A:B,2,FALSE))</f>
        <v/>
      </c>
      <c r="O977" s="7" t="str">
        <f>IF(LEN(TRIM(E977))=0,"",VLOOKUP("Shipment Date",config!A:B,2,FALSE))</f>
        <v/>
      </c>
      <c r="P977" s="7" t="str">
        <f t="shared" si="62"/>
        <v/>
      </c>
      <c r="Q977" s="7" t="str">
        <f>IF(LEN(TRIM(D977))=0,"",GetConfigParameterValue("Collection Site"))</f>
        <v/>
      </c>
      <c r="R977" t="str">
        <f>IF(LEN(TRIM(E977))=0, "", GetManifestComments(H977))</f>
        <v/>
      </c>
      <c r="S977" t="str">
        <f>IF(LEN(TRIM(E977))=0,"",IF(ISERROR(VLOOKUP(E977,'Manifest MDB data'!A:A,1,FALSE)),"OK","EXISTS!!!"))</f>
        <v/>
      </c>
    </row>
    <row r="978" spans="4:19" x14ac:dyDescent="0.25">
      <c r="D978" t="str">
        <f t="shared" si="63"/>
        <v/>
      </c>
      <c r="E978" t="str">
        <f t="shared" si="64"/>
        <v/>
      </c>
      <c r="F978" t="str">
        <f t="shared" si="61"/>
        <v/>
      </c>
      <c r="G978" t="str">
        <f>IF(LEN(TRIM(E978))=0, "", GetSampleTissueBySpecimenPrep(H978))</f>
        <v/>
      </c>
      <c r="H978" t="str">
        <f>IF(LEN(TRIM(E978))=0, "", GetSpecimenPrepName())</f>
        <v/>
      </c>
      <c r="I978" t="str">
        <f>IF(LEN(TRIM(E978))=0, "", GetSampleVolumeBySpecimenPrep(H978))</f>
        <v/>
      </c>
      <c r="L978" t="str">
        <f>IF(LEN(TRIM(E978))=0,"",VLOOKUP("Manifest Id",config!A:B,2,FALSE))</f>
        <v/>
      </c>
      <c r="M978" t="str">
        <f>IF(LEN(TRIM(E978))=0, "",VLOOKUP("Project Name",config!A:B,2,FALSE))</f>
        <v/>
      </c>
      <c r="N978" t="str">
        <f>IF(LEN(TRIM(E978))=0, "",VLOOKUP("Center Name",config!A:B,2,FALSE))</f>
        <v/>
      </c>
      <c r="O978" s="7" t="str">
        <f>IF(LEN(TRIM(E978))=0,"",VLOOKUP("Shipment Date",config!A:B,2,FALSE))</f>
        <v/>
      </c>
      <c r="P978" s="7" t="str">
        <f t="shared" si="62"/>
        <v/>
      </c>
      <c r="Q978" s="7" t="str">
        <f>IF(LEN(TRIM(D978))=0,"",GetConfigParameterValue("Collection Site"))</f>
        <v/>
      </c>
      <c r="R978" t="str">
        <f>IF(LEN(TRIM(E978))=0, "", GetManifestComments(H978))</f>
        <v/>
      </c>
      <c r="S978" t="str">
        <f>IF(LEN(TRIM(E978))=0,"",IF(ISERROR(VLOOKUP(E978,'Manifest MDB data'!A:A,1,FALSE)),"OK","EXISTS!!!"))</f>
        <v/>
      </c>
    </row>
    <row r="979" spans="4:19" x14ac:dyDescent="0.25">
      <c r="D979" t="str">
        <f t="shared" si="63"/>
        <v/>
      </c>
      <c r="E979" t="str">
        <f t="shared" si="64"/>
        <v/>
      </c>
      <c r="F979" t="str">
        <f t="shared" si="61"/>
        <v/>
      </c>
      <c r="G979" t="str">
        <f>IF(LEN(TRIM(E979))=0, "", GetSampleTissueBySpecimenPrep(H979))</f>
        <v/>
      </c>
      <c r="H979" t="str">
        <f>IF(LEN(TRIM(E979))=0, "", GetSpecimenPrepName())</f>
        <v/>
      </c>
      <c r="I979" t="str">
        <f>IF(LEN(TRIM(E979))=0, "", GetSampleVolumeBySpecimenPrep(H979))</f>
        <v/>
      </c>
      <c r="L979" t="str">
        <f>IF(LEN(TRIM(E979))=0,"",VLOOKUP("Manifest Id",config!A:B,2,FALSE))</f>
        <v/>
      </c>
      <c r="M979" t="str">
        <f>IF(LEN(TRIM(E979))=0, "",VLOOKUP("Project Name",config!A:B,2,FALSE))</f>
        <v/>
      </c>
      <c r="N979" t="str">
        <f>IF(LEN(TRIM(E979))=0, "",VLOOKUP("Center Name",config!A:B,2,FALSE))</f>
        <v/>
      </c>
      <c r="O979" s="7" t="str">
        <f>IF(LEN(TRIM(E979))=0,"",VLOOKUP("Shipment Date",config!A:B,2,FALSE))</f>
        <v/>
      </c>
      <c r="P979" s="7" t="str">
        <f t="shared" si="62"/>
        <v/>
      </c>
      <c r="Q979" s="7" t="str">
        <f>IF(LEN(TRIM(D979))=0,"",GetConfigParameterValue("Collection Site"))</f>
        <v/>
      </c>
      <c r="R979" t="str">
        <f>IF(LEN(TRIM(E979))=0, "", GetManifestComments(H979))</f>
        <v/>
      </c>
      <c r="S979" t="str">
        <f>IF(LEN(TRIM(E979))=0,"",IF(ISERROR(VLOOKUP(E979,'Manifest MDB data'!A:A,1,FALSE)),"OK","EXISTS!!!"))</f>
        <v/>
      </c>
    </row>
    <row r="980" spans="4:19" x14ac:dyDescent="0.25">
      <c r="D980" t="str">
        <f t="shared" si="63"/>
        <v/>
      </c>
      <c r="E980" t="str">
        <f t="shared" si="64"/>
        <v/>
      </c>
      <c r="F980" t="str">
        <f t="shared" si="61"/>
        <v/>
      </c>
      <c r="G980" t="str">
        <f>IF(LEN(TRIM(E980))=0, "", GetSampleTissueBySpecimenPrep(H980))</f>
        <v/>
      </c>
      <c r="H980" t="str">
        <f>IF(LEN(TRIM(E980))=0, "", GetSpecimenPrepName())</f>
        <v/>
      </c>
      <c r="I980" t="str">
        <f>IF(LEN(TRIM(E980))=0, "", GetSampleVolumeBySpecimenPrep(H980))</f>
        <v/>
      </c>
      <c r="L980" t="str">
        <f>IF(LEN(TRIM(E980))=0,"",VLOOKUP("Manifest Id",config!A:B,2,FALSE))</f>
        <v/>
      </c>
      <c r="M980" t="str">
        <f>IF(LEN(TRIM(E980))=0, "",VLOOKUP("Project Name",config!A:B,2,FALSE))</f>
        <v/>
      </c>
      <c r="N980" t="str">
        <f>IF(LEN(TRIM(E980))=0, "",VLOOKUP("Center Name",config!A:B,2,FALSE))</f>
        <v/>
      </c>
      <c r="O980" s="7" t="str">
        <f>IF(LEN(TRIM(E980))=0,"",VLOOKUP("Shipment Date",config!A:B,2,FALSE))</f>
        <v/>
      </c>
      <c r="P980" s="7" t="str">
        <f t="shared" si="62"/>
        <v/>
      </c>
      <c r="Q980" s="7" t="str">
        <f>IF(LEN(TRIM(D980))=0,"",GetConfigParameterValue("Collection Site"))</f>
        <v/>
      </c>
      <c r="R980" t="str">
        <f>IF(LEN(TRIM(E980))=0, "", GetManifestComments(H980))</f>
        <v/>
      </c>
      <c r="S980" t="str">
        <f>IF(LEN(TRIM(E980))=0,"",IF(ISERROR(VLOOKUP(E980,'Manifest MDB data'!A:A,1,FALSE)),"OK","EXISTS!!!"))</f>
        <v/>
      </c>
    </row>
    <row r="981" spans="4:19" x14ac:dyDescent="0.25">
      <c r="D981" t="str">
        <f t="shared" si="63"/>
        <v/>
      </c>
      <c r="E981" t="str">
        <f t="shared" si="64"/>
        <v/>
      </c>
      <c r="F981" t="str">
        <f t="shared" si="61"/>
        <v/>
      </c>
      <c r="G981" t="str">
        <f>IF(LEN(TRIM(E981))=0, "", GetSampleTissueBySpecimenPrep(H981))</f>
        <v/>
      </c>
      <c r="H981" t="str">
        <f>IF(LEN(TRIM(E981))=0, "", GetSpecimenPrepName())</f>
        <v/>
      </c>
      <c r="I981" t="str">
        <f>IF(LEN(TRIM(E981))=0, "", GetSampleVolumeBySpecimenPrep(H981))</f>
        <v/>
      </c>
      <c r="L981" t="str">
        <f>IF(LEN(TRIM(E981))=0,"",VLOOKUP("Manifest Id",config!A:B,2,FALSE))</f>
        <v/>
      </c>
      <c r="M981" t="str">
        <f>IF(LEN(TRIM(E981))=0, "",VLOOKUP("Project Name",config!A:B,2,FALSE))</f>
        <v/>
      </c>
      <c r="N981" t="str">
        <f>IF(LEN(TRIM(E981))=0, "",VLOOKUP("Center Name",config!A:B,2,FALSE))</f>
        <v/>
      </c>
      <c r="O981" s="7" t="str">
        <f>IF(LEN(TRIM(E981))=0,"",VLOOKUP("Shipment Date",config!A:B,2,FALSE))</f>
        <v/>
      </c>
      <c r="P981" s="7" t="str">
        <f t="shared" si="62"/>
        <v/>
      </c>
      <c r="Q981" s="7" t="str">
        <f>IF(LEN(TRIM(D981))=0,"",GetConfigParameterValue("Collection Site"))</f>
        <v/>
      </c>
      <c r="R981" t="str">
        <f>IF(LEN(TRIM(E981))=0, "", GetManifestComments(H981))</f>
        <v/>
      </c>
      <c r="S981" t="str">
        <f>IF(LEN(TRIM(E981))=0,"",IF(ISERROR(VLOOKUP(E981,'Manifest MDB data'!A:A,1,FALSE)),"OK","EXISTS!!!"))</f>
        <v/>
      </c>
    </row>
    <row r="982" spans="4:19" x14ac:dyDescent="0.25">
      <c r="D982" t="str">
        <f t="shared" si="63"/>
        <v/>
      </c>
      <c r="E982" t="str">
        <f t="shared" si="64"/>
        <v/>
      </c>
      <c r="F982" t="str">
        <f t="shared" si="61"/>
        <v/>
      </c>
      <c r="G982" t="str">
        <f>IF(LEN(TRIM(E982))=0, "", GetSampleTissueBySpecimenPrep(H982))</f>
        <v/>
      </c>
      <c r="H982" t="str">
        <f>IF(LEN(TRIM(E982))=0, "", GetSpecimenPrepName())</f>
        <v/>
      </c>
      <c r="I982" t="str">
        <f>IF(LEN(TRIM(E982))=0, "", GetSampleVolumeBySpecimenPrep(H982))</f>
        <v/>
      </c>
      <c r="L982" t="str">
        <f>IF(LEN(TRIM(E982))=0,"",VLOOKUP("Manifest Id",config!A:B,2,FALSE))</f>
        <v/>
      </c>
      <c r="M982" t="str">
        <f>IF(LEN(TRIM(E982))=0, "",VLOOKUP("Project Name",config!A:B,2,FALSE))</f>
        <v/>
      </c>
      <c r="N982" t="str">
        <f>IF(LEN(TRIM(E982))=0, "",VLOOKUP("Center Name",config!A:B,2,FALSE))</f>
        <v/>
      </c>
      <c r="O982" s="7" t="str">
        <f>IF(LEN(TRIM(E982))=0,"",VLOOKUP("Shipment Date",config!A:B,2,FALSE))</f>
        <v/>
      </c>
      <c r="P982" s="7" t="str">
        <f t="shared" si="62"/>
        <v/>
      </c>
      <c r="Q982" s="7" t="str">
        <f>IF(LEN(TRIM(D982))=0,"",GetConfigParameterValue("Collection Site"))</f>
        <v/>
      </c>
      <c r="R982" t="str">
        <f>IF(LEN(TRIM(E982))=0, "", GetManifestComments(H982))</f>
        <v/>
      </c>
      <c r="S982" t="str">
        <f>IF(LEN(TRIM(E982))=0,"",IF(ISERROR(VLOOKUP(E982,'Manifest MDB data'!A:A,1,FALSE)),"OK","EXISTS!!!"))</f>
        <v/>
      </c>
    </row>
    <row r="983" spans="4:19" x14ac:dyDescent="0.25">
      <c r="D983" t="str">
        <f t="shared" si="63"/>
        <v/>
      </c>
      <c r="E983" t="str">
        <f t="shared" si="64"/>
        <v/>
      </c>
      <c r="F983" t="str">
        <f t="shared" si="61"/>
        <v/>
      </c>
      <c r="G983" t="str">
        <f>IF(LEN(TRIM(E983))=0, "", GetSampleTissueBySpecimenPrep(H983))</f>
        <v/>
      </c>
      <c r="H983" t="str">
        <f>IF(LEN(TRIM(E983))=0, "", GetSpecimenPrepName())</f>
        <v/>
      </c>
      <c r="I983" t="str">
        <f>IF(LEN(TRIM(E983))=0, "", GetSampleVolumeBySpecimenPrep(H983))</f>
        <v/>
      </c>
      <c r="L983" t="str">
        <f>IF(LEN(TRIM(E983))=0,"",VLOOKUP("Manifest Id",config!A:B,2,FALSE))</f>
        <v/>
      </c>
      <c r="M983" t="str">
        <f>IF(LEN(TRIM(E983))=0, "",VLOOKUP("Project Name",config!A:B,2,FALSE))</f>
        <v/>
      </c>
      <c r="N983" t="str">
        <f>IF(LEN(TRIM(E983))=0, "",VLOOKUP("Center Name",config!A:B,2,FALSE))</f>
        <v/>
      </c>
      <c r="O983" s="7" t="str">
        <f>IF(LEN(TRIM(E983))=0,"",VLOOKUP("Shipment Date",config!A:B,2,FALSE))</f>
        <v/>
      </c>
      <c r="P983" s="7" t="str">
        <f t="shared" si="62"/>
        <v/>
      </c>
      <c r="Q983" s="7" t="str">
        <f>IF(LEN(TRIM(D983))=0,"",GetConfigParameterValue("Collection Site"))</f>
        <v/>
      </c>
      <c r="R983" t="str">
        <f>IF(LEN(TRIM(E983))=0, "", GetManifestComments(H983))</f>
        <v/>
      </c>
      <c r="S983" t="str">
        <f>IF(LEN(TRIM(E983))=0,"",IF(ISERROR(VLOOKUP(E983,'Manifest MDB data'!A:A,1,FALSE)),"OK","EXISTS!!!"))</f>
        <v/>
      </c>
    </row>
    <row r="984" spans="4:19" x14ac:dyDescent="0.25">
      <c r="D984" t="str">
        <f t="shared" si="63"/>
        <v/>
      </c>
      <c r="E984" t="str">
        <f t="shared" si="64"/>
        <v/>
      </c>
      <c r="F984" t="str">
        <f t="shared" si="61"/>
        <v/>
      </c>
      <c r="G984" t="str">
        <f>IF(LEN(TRIM(E984))=0, "", GetSampleTissueBySpecimenPrep(H984))</f>
        <v/>
      </c>
      <c r="H984" t="str">
        <f>IF(LEN(TRIM(E984))=0, "", GetSpecimenPrepName())</f>
        <v/>
      </c>
      <c r="I984" t="str">
        <f>IF(LEN(TRIM(E984))=0, "", GetSampleVolumeBySpecimenPrep(H984))</f>
        <v/>
      </c>
      <c r="L984" t="str">
        <f>IF(LEN(TRIM(E984))=0,"",VLOOKUP("Manifest Id",config!A:B,2,FALSE))</f>
        <v/>
      </c>
      <c r="M984" t="str">
        <f>IF(LEN(TRIM(E984))=0, "",VLOOKUP("Project Name",config!A:B,2,FALSE))</f>
        <v/>
      </c>
      <c r="N984" t="str">
        <f>IF(LEN(TRIM(E984))=0, "",VLOOKUP("Center Name",config!A:B,2,FALSE))</f>
        <v/>
      </c>
      <c r="O984" s="7" t="str">
        <f>IF(LEN(TRIM(E984))=0,"",VLOOKUP("Shipment Date",config!A:B,2,FALSE))</f>
        <v/>
      </c>
      <c r="P984" s="7" t="str">
        <f t="shared" si="62"/>
        <v/>
      </c>
      <c r="Q984" s="7" t="str">
        <f>IF(LEN(TRIM(D984))=0,"",GetConfigParameterValue("Collection Site"))</f>
        <v/>
      </c>
      <c r="R984" t="str">
        <f>IF(LEN(TRIM(E984))=0, "", GetManifestComments(H984))</f>
        <v/>
      </c>
      <c r="S984" t="str">
        <f>IF(LEN(TRIM(E984))=0,"",IF(ISERROR(VLOOKUP(E984,'Manifest MDB data'!A:A,1,FALSE)),"OK","EXISTS!!!"))</f>
        <v/>
      </c>
    </row>
    <row r="985" spans="4:19" x14ac:dyDescent="0.25">
      <c r="D985" t="str">
        <f t="shared" si="63"/>
        <v/>
      </c>
      <c r="E985" t="str">
        <f t="shared" si="64"/>
        <v/>
      </c>
      <c r="F985" t="str">
        <f t="shared" si="61"/>
        <v/>
      </c>
      <c r="G985" t="str">
        <f>IF(LEN(TRIM(E985))=0, "", GetSampleTissueBySpecimenPrep(H985))</f>
        <v/>
      </c>
      <c r="H985" t="str">
        <f>IF(LEN(TRIM(E985))=0, "", GetSpecimenPrepName())</f>
        <v/>
      </c>
      <c r="I985" t="str">
        <f>IF(LEN(TRIM(E985))=0, "", GetSampleVolumeBySpecimenPrep(H985))</f>
        <v/>
      </c>
      <c r="L985" t="str">
        <f>IF(LEN(TRIM(E985))=0,"",VLOOKUP("Manifest Id",config!A:B,2,FALSE))</f>
        <v/>
      </c>
      <c r="M985" t="str">
        <f>IF(LEN(TRIM(E985))=0, "",VLOOKUP("Project Name",config!A:B,2,FALSE))</f>
        <v/>
      </c>
      <c r="N985" t="str">
        <f>IF(LEN(TRIM(E985))=0, "",VLOOKUP("Center Name",config!A:B,2,FALSE))</f>
        <v/>
      </c>
      <c r="O985" s="7" t="str">
        <f>IF(LEN(TRIM(E985))=0,"",VLOOKUP("Shipment Date",config!A:B,2,FALSE))</f>
        <v/>
      </c>
      <c r="P985" s="7" t="str">
        <f t="shared" si="62"/>
        <v/>
      </c>
      <c r="Q985" s="7" t="str">
        <f>IF(LEN(TRIM(D985))=0,"",GetConfigParameterValue("Collection Site"))</f>
        <v/>
      </c>
      <c r="R985" t="str">
        <f>IF(LEN(TRIM(E985))=0, "", GetManifestComments(H985))</f>
        <v/>
      </c>
      <c r="S985" t="str">
        <f>IF(LEN(TRIM(E985))=0,"",IF(ISERROR(VLOOKUP(E985,'Manifest MDB data'!A:A,1,FALSE)),"OK","EXISTS!!!"))</f>
        <v/>
      </c>
    </row>
    <row r="986" spans="4:19" x14ac:dyDescent="0.25">
      <c r="D986" t="str">
        <f t="shared" si="63"/>
        <v/>
      </c>
      <c r="E986" t="str">
        <f t="shared" si="64"/>
        <v/>
      </c>
      <c r="F986" t="str">
        <f t="shared" si="61"/>
        <v/>
      </c>
      <c r="G986" t="str">
        <f>IF(LEN(TRIM(E986))=0, "", GetSampleTissueBySpecimenPrep(H986))</f>
        <v/>
      </c>
      <c r="H986" t="str">
        <f>IF(LEN(TRIM(E986))=0, "", GetSpecimenPrepName())</f>
        <v/>
      </c>
      <c r="I986" t="str">
        <f>IF(LEN(TRIM(E986))=0, "", GetSampleVolumeBySpecimenPrep(H986))</f>
        <v/>
      </c>
      <c r="L986" t="str">
        <f>IF(LEN(TRIM(E986))=0,"",VLOOKUP("Manifest Id",config!A:B,2,FALSE))</f>
        <v/>
      </c>
      <c r="M986" t="str">
        <f>IF(LEN(TRIM(E986))=0, "",VLOOKUP("Project Name",config!A:B,2,FALSE))</f>
        <v/>
      </c>
      <c r="N986" t="str">
        <f>IF(LEN(TRIM(E986))=0, "",VLOOKUP("Center Name",config!A:B,2,FALSE))</f>
        <v/>
      </c>
      <c r="O986" s="7" t="str">
        <f>IF(LEN(TRIM(E986))=0,"",VLOOKUP("Shipment Date",config!A:B,2,FALSE))</f>
        <v/>
      </c>
      <c r="P986" s="7" t="str">
        <f t="shared" si="62"/>
        <v/>
      </c>
      <c r="Q986" s="7" t="str">
        <f>IF(LEN(TRIM(D986))=0,"",GetConfigParameterValue("Collection Site"))</f>
        <v/>
      </c>
      <c r="R986" t="str">
        <f>IF(LEN(TRIM(E986))=0, "", GetManifestComments(H986))</f>
        <v/>
      </c>
      <c r="S986" t="str">
        <f>IF(LEN(TRIM(E986))=0,"",IF(ISERROR(VLOOKUP(E986,'Manifest MDB data'!A:A,1,FALSE)),"OK","EXISTS!!!"))</f>
        <v/>
      </c>
    </row>
    <row r="987" spans="4:19" x14ac:dyDescent="0.25">
      <c r="D987" t="str">
        <f t="shared" si="63"/>
        <v/>
      </c>
      <c r="E987" t="str">
        <f t="shared" si="64"/>
        <v/>
      </c>
      <c r="F987" t="str">
        <f t="shared" si="61"/>
        <v/>
      </c>
      <c r="G987" t="str">
        <f>IF(LEN(TRIM(E987))=0, "", GetSampleTissueBySpecimenPrep(H987))</f>
        <v/>
      </c>
      <c r="H987" t="str">
        <f>IF(LEN(TRIM(E987))=0, "", GetSpecimenPrepName())</f>
        <v/>
      </c>
      <c r="I987" t="str">
        <f>IF(LEN(TRIM(E987))=0, "", GetSampleVolumeBySpecimenPrep(H987))</f>
        <v/>
      </c>
      <c r="L987" t="str">
        <f>IF(LEN(TRIM(E987))=0,"",VLOOKUP("Manifest Id",config!A:B,2,FALSE))</f>
        <v/>
      </c>
      <c r="M987" t="str">
        <f>IF(LEN(TRIM(E987))=0, "",VLOOKUP("Project Name",config!A:B,2,FALSE))</f>
        <v/>
      </c>
      <c r="N987" t="str">
        <f>IF(LEN(TRIM(E987))=0, "",VLOOKUP("Center Name",config!A:B,2,FALSE))</f>
        <v/>
      </c>
      <c r="O987" s="7" t="str">
        <f>IF(LEN(TRIM(E987))=0,"",VLOOKUP("Shipment Date",config!A:B,2,FALSE))</f>
        <v/>
      </c>
      <c r="P987" s="7" t="str">
        <f t="shared" si="62"/>
        <v/>
      </c>
      <c r="Q987" s="7" t="str">
        <f>IF(LEN(TRIM(D987))=0,"",GetConfigParameterValue("Collection Site"))</f>
        <v/>
      </c>
      <c r="R987" t="str">
        <f>IF(LEN(TRIM(E987))=0, "", GetManifestComments(H987))</f>
        <v/>
      </c>
      <c r="S987" t="str">
        <f>IF(LEN(TRIM(E987))=0,"",IF(ISERROR(VLOOKUP(E987,'Manifest MDB data'!A:A,1,FALSE)),"OK","EXISTS!!!"))</f>
        <v/>
      </c>
    </row>
    <row r="988" spans="4:19" x14ac:dyDescent="0.25">
      <c r="D988" t="str">
        <f t="shared" si="63"/>
        <v/>
      </c>
      <c r="E988" t="str">
        <f t="shared" si="64"/>
        <v/>
      </c>
      <c r="F988" t="str">
        <f t="shared" si="61"/>
        <v/>
      </c>
      <c r="G988" t="str">
        <f>IF(LEN(TRIM(E988))=0, "", GetSampleTissueBySpecimenPrep(H988))</f>
        <v/>
      </c>
      <c r="H988" t="str">
        <f>IF(LEN(TRIM(E988))=0, "", GetSpecimenPrepName())</f>
        <v/>
      </c>
      <c r="I988" t="str">
        <f>IF(LEN(TRIM(E988))=0, "", GetSampleVolumeBySpecimenPrep(H988))</f>
        <v/>
      </c>
      <c r="L988" t="str">
        <f>IF(LEN(TRIM(E988))=0,"",VLOOKUP("Manifest Id",config!A:B,2,FALSE))</f>
        <v/>
      </c>
      <c r="M988" t="str">
        <f>IF(LEN(TRIM(E988))=0, "",VLOOKUP("Project Name",config!A:B,2,FALSE))</f>
        <v/>
      </c>
      <c r="N988" t="str">
        <f>IF(LEN(TRIM(E988))=0, "",VLOOKUP("Center Name",config!A:B,2,FALSE))</f>
        <v/>
      </c>
      <c r="O988" s="7" t="str">
        <f>IF(LEN(TRIM(E988))=0,"",VLOOKUP("Shipment Date",config!A:B,2,FALSE))</f>
        <v/>
      </c>
      <c r="P988" s="7" t="str">
        <f t="shared" si="62"/>
        <v/>
      </c>
      <c r="Q988" s="7" t="str">
        <f>IF(LEN(TRIM(D988))=0,"",GetConfigParameterValue("Collection Site"))</f>
        <v/>
      </c>
      <c r="R988" t="str">
        <f>IF(LEN(TRIM(E988))=0, "", GetManifestComments(H988))</f>
        <v/>
      </c>
      <c r="S988" t="str">
        <f>IF(LEN(TRIM(E988))=0,"",IF(ISERROR(VLOOKUP(E988,'Manifest MDB data'!A:A,1,FALSE)),"OK","EXISTS!!!"))</f>
        <v/>
      </c>
    </row>
    <row r="989" spans="4:19" x14ac:dyDescent="0.25">
      <c r="D989" t="str">
        <f t="shared" si="63"/>
        <v/>
      </c>
      <c r="E989" t="str">
        <f t="shared" si="64"/>
        <v/>
      </c>
      <c r="F989" t="str">
        <f t="shared" si="61"/>
        <v/>
      </c>
      <c r="G989" t="str">
        <f>IF(LEN(TRIM(E989))=0, "", GetSampleTissueBySpecimenPrep(H989))</f>
        <v/>
      </c>
      <c r="H989" t="str">
        <f>IF(LEN(TRIM(E989))=0, "", GetSpecimenPrepName())</f>
        <v/>
      </c>
      <c r="I989" t="str">
        <f>IF(LEN(TRIM(E989))=0, "", GetSampleVolumeBySpecimenPrep(H989))</f>
        <v/>
      </c>
      <c r="L989" t="str">
        <f>IF(LEN(TRIM(E989))=0,"",VLOOKUP("Manifest Id",config!A:B,2,FALSE))</f>
        <v/>
      </c>
      <c r="M989" t="str">
        <f>IF(LEN(TRIM(E989))=0, "",VLOOKUP("Project Name",config!A:B,2,FALSE))</f>
        <v/>
      </c>
      <c r="N989" t="str">
        <f>IF(LEN(TRIM(E989))=0, "",VLOOKUP("Center Name",config!A:B,2,FALSE))</f>
        <v/>
      </c>
      <c r="O989" s="7" t="str">
        <f>IF(LEN(TRIM(E989))=0,"",VLOOKUP("Shipment Date",config!A:B,2,FALSE))</f>
        <v/>
      </c>
      <c r="P989" s="7" t="str">
        <f t="shared" si="62"/>
        <v/>
      </c>
      <c r="Q989" s="7" t="str">
        <f>IF(LEN(TRIM(D989))=0,"",GetConfigParameterValue("Collection Site"))</f>
        <v/>
      </c>
      <c r="R989" t="str">
        <f>IF(LEN(TRIM(E989))=0, "", GetManifestComments(H989))</f>
        <v/>
      </c>
      <c r="S989" t="str">
        <f>IF(LEN(TRIM(E989))=0,"",IF(ISERROR(VLOOKUP(E989,'Manifest MDB data'!A:A,1,FALSE)),"OK","EXISTS!!!"))</f>
        <v/>
      </c>
    </row>
    <row r="990" spans="4:19" x14ac:dyDescent="0.25">
      <c r="D990" t="str">
        <f t="shared" si="63"/>
        <v/>
      </c>
      <c r="E990" t="str">
        <f t="shared" si="64"/>
        <v/>
      </c>
      <c r="F990" t="str">
        <f t="shared" si="61"/>
        <v/>
      </c>
      <c r="G990" t="str">
        <f>IF(LEN(TRIM(E990))=0, "", GetSampleTissueBySpecimenPrep(H990))</f>
        <v/>
      </c>
      <c r="H990" t="str">
        <f>IF(LEN(TRIM(E990))=0, "", GetSpecimenPrepName())</f>
        <v/>
      </c>
      <c r="I990" t="str">
        <f>IF(LEN(TRIM(E990))=0, "", GetSampleVolumeBySpecimenPrep(H990))</f>
        <v/>
      </c>
      <c r="L990" t="str">
        <f>IF(LEN(TRIM(E990))=0,"",VLOOKUP("Manifest Id",config!A:B,2,FALSE))</f>
        <v/>
      </c>
      <c r="M990" t="str">
        <f>IF(LEN(TRIM(E990))=0, "",VLOOKUP("Project Name",config!A:B,2,FALSE))</f>
        <v/>
      </c>
      <c r="N990" t="str">
        <f>IF(LEN(TRIM(E990))=0, "",VLOOKUP("Center Name",config!A:B,2,FALSE))</f>
        <v/>
      </c>
      <c r="O990" s="7" t="str">
        <f>IF(LEN(TRIM(E990))=0,"",VLOOKUP("Shipment Date",config!A:B,2,FALSE))</f>
        <v/>
      </c>
      <c r="P990" s="7" t="str">
        <f t="shared" si="62"/>
        <v/>
      </c>
      <c r="Q990" s="7" t="str">
        <f>IF(LEN(TRIM(D990))=0,"",GetConfigParameterValue("Collection Site"))</f>
        <v/>
      </c>
      <c r="R990" t="str">
        <f>IF(LEN(TRIM(E990))=0, "", GetManifestComments(H990))</f>
        <v/>
      </c>
      <c r="S990" t="str">
        <f>IF(LEN(TRIM(E990))=0,"",IF(ISERROR(VLOOKUP(E990,'Manifest MDB data'!A:A,1,FALSE)),"OK","EXISTS!!!"))</f>
        <v/>
      </c>
    </row>
    <row r="991" spans="4:19" x14ac:dyDescent="0.25">
      <c r="D991" t="str">
        <f t="shared" si="63"/>
        <v/>
      </c>
      <c r="E991" t="str">
        <f t="shared" si="64"/>
        <v/>
      </c>
      <c r="F991" t="str">
        <f t="shared" si="61"/>
        <v/>
      </c>
      <c r="G991" t="str">
        <f>IF(LEN(TRIM(E991))=0, "", GetSampleTissueBySpecimenPrep(H991))</f>
        <v/>
      </c>
      <c r="H991" t="str">
        <f>IF(LEN(TRIM(E991))=0, "", GetSpecimenPrepName())</f>
        <v/>
      </c>
      <c r="I991" t="str">
        <f>IF(LEN(TRIM(E991))=0, "", GetSampleVolumeBySpecimenPrep(H991))</f>
        <v/>
      </c>
      <c r="L991" t="str">
        <f>IF(LEN(TRIM(E991))=0,"",VLOOKUP("Manifest Id",config!A:B,2,FALSE))</f>
        <v/>
      </c>
      <c r="M991" t="str">
        <f>IF(LEN(TRIM(E991))=0, "",VLOOKUP("Project Name",config!A:B,2,FALSE))</f>
        <v/>
      </c>
      <c r="N991" t="str">
        <f>IF(LEN(TRIM(E991))=0, "",VLOOKUP("Center Name",config!A:B,2,FALSE))</f>
        <v/>
      </c>
      <c r="O991" s="7" t="str">
        <f>IF(LEN(TRIM(E991))=0,"",VLOOKUP("Shipment Date",config!A:B,2,FALSE))</f>
        <v/>
      </c>
      <c r="P991" s="7" t="str">
        <f t="shared" si="62"/>
        <v/>
      </c>
      <c r="Q991" s="7" t="str">
        <f>IF(LEN(TRIM(D991))=0,"",GetConfigParameterValue("Collection Site"))</f>
        <v/>
      </c>
      <c r="R991" t="str">
        <f>IF(LEN(TRIM(E991))=0, "", GetManifestComments(H991))</f>
        <v/>
      </c>
      <c r="S991" t="str">
        <f>IF(LEN(TRIM(E991))=0,"",IF(ISERROR(VLOOKUP(E991,'Manifest MDB data'!A:A,1,FALSE)),"OK","EXISTS!!!"))</f>
        <v/>
      </c>
    </row>
    <row r="992" spans="4:19" x14ac:dyDescent="0.25">
      <c r="D992" t="str">
        <f t="shared" si="63"/>
        <v/>
      </c>
      <c r="E992" t="str">
        <f t="shared" si="64"/>
        <v/>
      </c>
      <c r="F992" t="str">
        <f t="shared" si="61"/>
        <v/>
      </c>
      <c r="G992" t="str">
        <f>IF(LEN(TRIM(E992))=0, "", GetSampleTissueBySpecimenPrep(H992))</f>
        <v/>
      </c>
      <c r="H992" t="str">
        <f>IF(LEN(TRIM(E992))=0, "", GetSpecimenPrepName())</f>
        <v/>
      </c>
      <c r="I992" t="str">
        <f>IF(LEN(TRIM(E992))=0, "", GetSampleVolumeBySpecimenPrep(H992))</f>
        <v/>
      </c>
      <c r="L992" t="str">
        <f>IF(LEN(TRIM(E992))=0,"",VLOOKUP("Manifest Id",config!A:B,2,FALSE))</f>
        <v/>
      </c>
      <c r="M992" t="str">
        <f>IF(LEN(TRIM(E992))=0, "",VLOOKUP("Project Name",config!A:B,2,FALSE))</f>
        <v/>
      </c>
      <c r="N992" t="str">
        <f>IF(LEN(TRIM(E992))=0, "",VLOOKUP("Center Name",config!A:B,2,FALSE))</f>
        <v/>
      </c>
      <c r="O992" s="7" t="str">
        <f>IF(LEN(TRIM(E992))=0,"",VLOOKUP("Shipment Date",config!A:B,2,FALSE))</f>
        <v/>
      </c>
      <c r="P992" s="7" t="str">
        <f t="shared" si="62"/>
        <v/>
      </c>
      <c r="Q992" s="7" t="str">
        <f>IF(LEN(TRIM(D992))=0,"",GetConfigParameterValue("Collection Site"))</f>
        <v/>
      </c>
      <c r="R992" t="str">
        <f>IF(LEN(TRIM(E992))=0, "", GetManifestComments(H992))</f>
        <v/>
      </c>
      <c r="S992" t="str">
        <f>IF(LEN(TRIM(E992))=0,"",IF(ISERROR(VLOOKUP(E992,'Manifest MDB data'!A:A,1,FALSE)),"OK","EXISTS!!!"))</f>
        <v/>
      </c>
    </row>
    <row r="993" spans="4:19" x14ac:dyDescent="0.25">
      <c r="D993" t="str">
        <f t="shared" si="63"/>
        <v/>
      </c>
      <c r="E993" t="str">
        <f t="shared" si="64"/>
        <v/>
      </c>
      <c r="F993" t="str">
        <f t="shared" si="61"/>
        <v/>
      </c>
      <c r="G993" t="str">
        <f>IF(LEN(TRIM(E993))=0, "", GetSampleTissueBySpecimenPrep(H993))</f>
        <v/>
      </c>
      <c r="H993" t="str">
        <f>IF(LEN(TRIM(E993))=0, "", GetSpecimenPrepName())</f>
        <v/>
      </c>
      <c r="I993" t="str">
        <f>IF(LEN(TRIM(E993))=0, "", GetSampleVolumeBySpecimenPrep(H993))</f>
        <v/>
      </c>
      <c r="L993" t="str">
        <f>IF(LEN(TRIM(E993))=0,"",VLOOKUP("Manifest Id",config!A:B,2,FALSE))</f>
        <v/>
      </c>
      <c r="M993" t="str">
        <f>IF(LEN(TRIM(E993))=0, "",VLOOKUP("Project Name",config!A:B,2,FALSE))</f>
        <v/>
      </c>
      <c r="N993" t="str">
        <f>IF(LEN(TRIM(E993))=0, "",VLOOKUP("Center Name",config!A:B,2,FALSE))</f>
        <v/>
      </c>
      <c r="O993" s="7" t="str">
        <f>IF(LEN(TRIM(E993))=0,"",VLOOKUP("Shipment Date",config!A:B,2,FALSE))</f>
        <v/>
      </c>
      <c r="P993" s="7" t="str">
        <f t="shared" si="62"/>
        <v/>
      </c>
      <c r="Q993" s="7" t="str">
        <f>IF(LEN(TRIM(D993))=0,"",GetConfigParameterValue("Collection Site"))</f>
        <v/>
      </c>
      <c r="R993" t="str">
        <f>IF(LEN(TRIM(E993))=0, "", GetManifestComments(H993))</f>
        <v/>
      </c>
      <c r="S993" t="str">
        <f>IF(LEN(TRIM(E993))=0,"",IF(ISERROR(VLOOKUP(E993,'Manifest MDB data'!A:A,1,FALSE)),"OK","EXISTS!!!"))</f>
        <v/>
      </c>
    </row>
    <row r="994" spans="4:19" x14ac:dyDescent="0.25">
      <c r="D994" t="str">
        <f t="shared" si="63"/>
        <v/>
      </c>
      <c r="E994" t="str">
        <f t="shared" si="64"/>
        <v/>
      </c>
      <c r="F994" t="str">
        <f t="shared" ref="F994:F1001" si="65">IF(LEN(TRIM(E994))=0, "", "Human")</f>
        <v/>
      </c>
      <c r="G994" t="str">
        <f>IF(LEN(TRIM(E994))=0, "", GetSampleTissueBySpecimenPrep(H994))</f>
        <v/>
      </c>
      <c r="H994" t="str">
        <f>IF(LEN(TRIM(E994))=0, "", GetSpecimenPrepName())</f>
        <v/>
      </c>
      <c r="I994" t="str">
        <f>IF(LEN(TRIM(E994))=0, "", GetSampleVolumeBySpecimenPrep(H994))</f>
        <v/>
      </c>
      <c r="L994" t="str">
        <f>IF(LEN(TRIM(E994))=0,"",VLOOKUP("Manifest Id",config!A:B,2,FALSE))</f>
        <v/>
      </c>
      <c r="M994" t="str">
        <f>IF(LEN(TRIM(E994))=0, "",VLOOKUP("Project Name",config!A:B,2,FALSE))</f>
        <v/>
      </c>
      <c r="N994" t="str">
        <f>IF(LEN(TRIM(E994))=0, "",VLOOKUP("Center Name",config!A:B,2,FALSE))</f>
        <v/>
      </c>
      <c r="O994" s="7" t="str">
        <f>IF(LEN(TRIM(E994))=0,"",VLOOKUP("Shipment Date",config!A:B,2,FALSE))</f>
        <v/>
      </c>
      <c r="P994" s="7" t="str">
        <f t="shared" si="62"/>
        <v/>
      </c>
      <c r="Q994" s="7" t="str">
        <f>IF(LEN(TRIM(D994))=0,"",GetConfigParameterValue("Collection Site"))</f>
        <v/>
      </c>
      <c r="R994" t="str">
        <f>IF(LEN(TRIM(E994))=0, "", GetManifestComments(H994))</f>
        <v/>
      </c>
      <c r="S994" t="str">
        <f>IF(LEN(TRIM(E994))=0,"",IF(ISERROR(VLOOKUP(E994,'Manifest MDB data'!A:A,1,FALSE)),"OK","EXISTS!!!"))</f>
        <v/>
      </c>
    </row>
    <row r="995" spans="4:19" x14ac:dyDescent="0.25">
      <c r="D995" t="str">
        <f t="shared" si="63"/>
        <v/>
      </c>
      <c r="E995" t="str">
        <f t="shared" si="64"/>
        <v/>
      </c>
      <c r="F995" t="str">
        <f t="shared" si="65"/>
        <v/>
      </c>
      <c r="G995" t="str">
        <f>IF(LEN(TRIM(E995))=0, "", GetSampleTissueBySpecimenPrep(H995))</f>
        <v/>
      </c>
      <c r="H995" t="str">
        <f>IF(LEN(TRIM(E995))=0, "", GetSpecimenPrepName())</f>
        <v/>
      </c>
      <c r="I995" t="str">
        <f>IF(LEN(TRIM(E995))=0, "", GetSampleVolumeBySpecimenPrep(H995))</f>
        <v/>
      </c>
      <c r="L995" t="str">
        <f>IF(LEN(TRIM(E995))=0,"",VLOOKUP("Manifest Id",config!A:B,2,FALSE))</f>
        <v/>
      </c>
      <c r="M995" t="str">
        <f>IF(LEN(TRIM(E995))=0, "",VLOOKUP("Project Name",config!A:B,2,FALSE))</f>
        <v/>
      </c>
      <c r="N995" t="str">
        <f>IF(LEN(TRIM(E995))=0, "",VLOOKUP("Center Name",config!A:B,2,FALSE))</f>
        <v/>
      </c>
      <c r="O995" s="7" t="str">
        <f>IF(LEN(TRIM(E995))=0,"",VLOOKUP("Shipment Date",config!A:B,2,FALSE))</f>
        <v/>
      </c>
      <c r="P995" s="7" t="str">
        <f t="shared" si="62"/>
        <v/>
      </c>
      <c r="Q995" s="7" t="str">
        <f>IF(LEN(TRIM(D995))=0,"",GetConfigParameterValue("Collection Site"))</f>
        <v/>
      </c>
      <c r="R995" t="str">
        <f>IF(LEN(TRIM(E995))=0, "", GetManifestComments(H995))</f>
        <v/>
      </c>
      <c r="S995" t="str">
        <f>IF(LEN(TRIM(E995))=0,"",IF(ISERROR(VLOOKUP(E995,'Manifest MDB data'!A:A,1,FALSE)),"OK","EXISTS!!!"))</f>
        <v/>
      </c>
    </row>
    <row r="996" spans="4:19" x14ac:dyDescent="0.25">
      <c r="D996" t="str">
        <f t="shared" si="63"/>
        <v/>
      </c>
      <c r="E996" t="str">
        <f t="shared" si="64"/>
        <v/>
      </c>
      <c r="F996" t="str">
        <f t="shared" si="65"/>
        <v/>
      </c>
      <c r="G996" t="str">
        <f>IF(LEN(TRIM(E996))=0, "", GetSampleTissueBySpecimenPrep(H996))</f>
        <v/>
      </c>
      <c r="H996" t="str">
        <f>IF(LEN(TRIM(E996))=0, "", GetSpecimenPrepName())</f>
        <v/>
      </c>
      <c r="I996" t="str">
        <f>IF(LEN(TRIM(E996))=0, "", GetSampleVolumeBySpecimenPrep(H996))</f>
        <v/>
      </c>
      <c r="L996" t="str">
        <f>IF(LEN(TRIM(E996))=0,"",VLOOKUP("Manifest Id",config!A:B,2,FALSE))</f>
        <v/>
      </c>
      <c r="M996" t="str">
        <f>IF(LEN(TRIM(E996))=0, "",VLOOKUP("Project Name",config!A:B,2,FALSE))</f>
        <v/>
      </c>
      <c r="N996" t="str">
        <f>IF(LEN(TRIM(E996))=0, "",VLOOKUP("Center Name",config!A:B,2,FALSE))</f>
        <v/>
      </c>
      <c r="O996" s="7" t="str">
        <f>IF(LEN(TRIM(E996))=0,"",VLOOKUP("Shipment Date",config!A:B,2,FALSE))</f>
        <v/>
      </c>
      <c r="P996" s="7" t="str">
        <f t="shared" si="62"/>
        <v/>
      </c>
      <c r="Q996" s="7" t="str">
        <f>IF(LEN(TRIM(D996))=0,"",GetConfigParameterValue("Collection Site"))</f>
        <v/>
      </c>
      <c r="R996" t="str">
        <f>IF(LEN(TRIM(E996))=0, "", GetManifestComments(H996))</f>
        <v/>
      </c>
      <c r="S996" t="str">
        <f>IF(LEN(TRIM(E996))=0,"",IF(ISERROR(VLOOKUP(E996,'Manifest MDB data'!A:A,1,FALSE)),"OK","EXISTS!!!"))</f>
        <v/>
      </c>
    </row>
    <row r="997" spans="4:19" x14ac:dyDescent="0.25">
      <c r="D997" t="str">
        <f t="shared" si="63"/>
        <v/>
      </c>
      <c r="E997" t="str">
        <f t="shared" si="64"/>
        <v/>
      </c>
      <c r="F997" t="str">
        <f t="shared" si="65"/>
        <v/>
      </c>
      <c r="G997" t="str">
        <f>IF(LEN(TRIM(E997))=0, "", GetSampleTissueBySpecimenPrep(H997))</f>
        <v/>
      </c>
      <c r="H997" t="str">
        <f>IF(LEN(TRIM(E997))=0, "", GetSpecimenPrepName())</f>
        <v/>
      </c>
      <c r="I997" t="str">
        <f>IF(LEN(TRIM(E997))=0, "", GetSampleVolumeBySpecimenPrep(H997))</f>
        <v/>
      </c>
      <c r="L997" t="str">
        <f>IF(LEN(TRIM(E997))=0,"",VLOOKUP("Manifest Id",config!A:B,2,FALSE))</f>
        <v/>
      </c>
      <c r="M997" t="str">
        <f>IF(LEN(TRIM(E997))=0, "",VLOOKUP("Project Name",config!A:B,2,FALSE))</f>
        <v/>
      </c>
      <c r="N997" t="str">
        <f>IF(LEN(TRIM(E997))=0, "",VLOOKUP("Center Name",config!A:B,2,FALSE))</f>
        <v/>
      </c>
      <c r="O997" s="7" t="str">
        <f>IF(LEN(TRIM(E997))=0,"",VLOOKUP("Shipment Date",config!A:B,2,FALSE))</f>
        <v/>
      </c>
      <c r="P997" s="7" t="str">
        <f t="shared" si="62"/>
        <v/>
      </c>
      <c r="Q997" s="7" t="str">
        <f>IF(LEN(TRIM(D997))=0,"",GetConfigParameterValue("Collection Site"))</f>
        <v/>
      </c>
      <c r="R997" t="str">
        <f>IF(LEN(TRIM(E997))=0, "", GetManifestComments(H997))</f>
        <v/>
      </c>
      <c r="S997" t="str">
        <f>IF(LEN(TRIM(E997))=0,"",IF(ISERROR(VLOOKUP(E997,'Manifest MDB data'!A:A,1,FALSE)),"OK","EXISTS!!!"))</f>
        <v/>
      </c>
    </row>
    <row r="998" spans="4:19" x14ac:dyDescent="0.25">
      <c r="D998" t="str">
        <f t="shared" si="63"/>
        <v/>
      </c>
      <c r="E998" t="str">
        <f t="shared" si="64"/>
        <v/>
      </c>
      <c r="F998" t="str">
        <f t="shared" si="65"/>
        <v/>
      </c>
      <c r="G998" t="str">
        <f>IF(LEN(TRIM(E998))=0, "", GetSampleTissueBySpecimenPrep(H998))</f>
        <v/>
      </c>
      <c r="H998" t="str">
        <f>IF(LEN(TRIM(E998))=0, "", GetSpecimenPrepName())</f>
        <v/>
      </c>
      <c r="I998" t="str">
        <f>IF(LEN(TRIM(E998))=0, "", GetSampleVolumeBySpecimenPrep(H998))</f>
        <v/>
      </c>
      <c r="L998" t="str">
        <f>IF(LEN(TRIM(E998))=0,"",VLOOKUP("Manifest Id",config!A:B,2,FALSE))</f>
        <v/>
      </c>
      <c r="M998" t="str">
        <f>IF(LEN(TRIM(E998))=0, "",VLOOKUP("Project Name",config!A:B,2,FALSE))</f>
        <v/>
      </c>
      <c r="N998" t="str">
        <f>IF(LEN(TRIM(E998))=0, "",VLOOKUP("Center Name",config!A:B,2,FALSE))</f>
        <v/>
      </c>
      <c r="O998" s="7" t="str">
        <f>IF(LEN(TRIM(E998))=0,"",VLOOKUP("Shipment Date",config!A:B,2,FALSE))</f>
        <v/>
      </c>
      <c r="P998" s="7" t="str">
        <f t="shared" si="62"/>
        <v/>
      </c>
      <c r="Q998" s="7" t="str">
        <f>IF(LEN(TRIM(D998))=0,"",GetConfigParameterValue("Collection Site"))</f>
        <v/>
      </c>
      <c r="R998" t="str">
        <f>IF(LEN(TRIM(E998))=0, "", GetManifestComments(H998))</f>
        <v/>
      </c>
      <c r="S998" t="str">
        <f>IF(LEN(TRIM(E998))=0,"",IF(ISERROR(VLOOKUP(E998,'Manifest MDB data'!A:A,1,FALSE)),"OK","EXISTS!!!"))</f>
        <v/>
      </c>
    </row>
    <row r="999" spans="4:19" x14ac:dyDescent="0.25">
      <c r="D999" t="str">
        <f t="shared" si="63"/>
        <v/>
      </c>
      <c r="E999" t="str">
        <f t="shared" si="64"/>
        <v/>
      </c>
      <c r="F999" t="str">
        <f t="shared" si="65"/>
        <v/>
      </c>
      <c r="G999" t="str">
        <f>IF(LEN(TRIM(E999))=0, "", GetSampleTissueBySpecimenPrep(H999))</f>
        <v/>
      </c>
      <c r="H999" t="str">
        <f>IF(LEN(TRIM(E999))=0, "", GetSpecimenPrepName())</f>
        <v/>
      </c>
      <c r="I999" t="str">
        <f>IF(LEN(TRIM(E999))=0, "", GetSampleVolumeBySpecimenPrep(H999))</f>
        <v/>
      </c>
      <c r="L999" t="str">
        <f>IF(LEN(TRIM(E999))=0,"",VLOOKUP("Manifest Id",config!A:B,2,FALSE))</f>
        <v/>
      </c>
      <c r="M999" t="str">
        <f>IF(LEN(TRIM(E999))=0, "",VLOOKUP("Project Name",config!A:B,2,FALSE))</f>
        <v/>
      </c>
      <c r="N999" t="str">
        <f>IF(LEN(TRIM(E999))=0, "",VLOOKUP("Center Name",config!A:B,2,FALSE))</f>
        <v/>
      </c>
      <c r="O999" s="7" t="str">
        <f>IF(LEN(TRIM(E999))=0,"",VLOOKUP("Shipment Date",config!A:B,2,FALSE))</f>
        <v/>
      </c>
      <c r="P999" s="7" t="str">
        <f t="shared" si="62"/>
        <v/>
      </c>
      <c r="Q999" s="7" t="str">
        <f>IF(LEN(TRIM(D999))=0,"",GetConfigParameterValue("Collection Site"))</f>
        <v/>
      </c>
      <c r="R999" t="str">
        <f>IF(LEN(TRIM(E999))=0, "", GetManifestComments(H999))</f>
        <v/>
      </c>
      <c r="S999" t="str">
        <f>IF(LEN(TRIM(E999))=0,"",IF(ISERROR(VLOOKUP(E999,'Manifest MDB data'!A:A,1,FALSE)),"OK","EXISTS!!!"))</f>
        <v/>
      </c>
    </row>
    <row r="1000" spans="4:19" x14ac:dyDescent="0.25">
      <c r="D1000" t="str">
        <f t="shared" si="63"/>
        <v/>
      </c>
      <c r="E1000" t="str">
        <f t="shared" si="64"/>
        <v/>
      </c>
      <c r="F1000" t="str">
        <f t="shared" si="65"/>
        <v/>
      </c>
      <c r="G1000" t="str">
        <f>IF(LEN(TRIM(E1000))=0, "", GetSampleTissueBySpecimenPrep(H1000))</f>
        <v/>
      </c>
      <c r="H1000" t="str">
        <f>IF(LEN(TRIM(E1000))=0, "", GetSpecimenPrepName())</f>
        <v/>
      </c>
      <c r="I1000" t="str">
        <f>IF(LEN(TRIM(E1000))=0, "", GetSampleVolumeBySpecimenPrep(H1000))</f>
        <v/>
      </c>
      <c r="L1000" t="str">
        <f>IF(LEN(TRIM(E1000))=0,"",VLOOKUP("Manifest Id",config!A:B,2,FALSE))</f>
        <v/>
      </c>
      <c r="M1000" t="str">
        <f>IF(LEN(TRIM(E1000))=0, "",VLOOKUP("Project Name",config!A:B,2,FALSE))</f>
        <v/>
      </c>
      <c r="N1000" t="str">
        <f>IF(LEN(TRIM(E1000))=0, "",VLOOKUP("Center Name",config!A:B,2,FALSE))</f>
        <v/>
      </c>
      <c r="O1000" s="7" t="str">
        <f>IF(LEN(TRIM(E1000))=0,"",VLOOKUP("Shipment Date",config!A:B,2,FALSE))</f>
        <v/>
      </c>
      <c r="P1000" s="7" t="str">
        <f t="shared" si="62"/>
        <v/>
      </c>
      <c r="Q1000" s="7" t="str">
        <f>IF(LEN(TRIM(D1000))=0,"",GetConfigParameterValue("Collection Site"))</f>
        <v/>
      </c>
      <c r="R1000" t="str">
        <f>IF(LEN(TRIM(E1000))=0, "", GetManifestComments(H1000))</f>
        <v/>
      </c>
      <c r="S1000" t="str">
        <f>IF(LEN(TRIM(E1000))=0,"",IF(ISERROR(VLOOKUP(E1000,'Manifest MDB data'!A:A,1,FALSE)),"OK","EXISTS!!!"))</f>
        <v/>
      </c>
    </row>
    <row r="1001" spans="4:19" x14ac:dyDescent="0.25">
      <c r="D1001" t="str">
        <f t="shared" si="63"/>
        <v/>
      </c>
      <c r="E1001" t="str">
        <f t="shared" si="64"/>
        <v/>
      </c>
      <c r="F1001" t="str">
        <f t="shared" si="65"/>
        <v/>
      </c>
      <c r="G1001" t="str">
        <f>IF(LEN(TRIM(E1001))=0, "", GetSampleTissueBySpecimenPrep(H1001))</f>
        <v/>
      </c>
      <c r="H1001" t="str">
        <f>IF(LEN(TRIM(E1001))=0, "", GetSpecimenPrepName())</f>
        <v/>
      </c>
      <c r="I1001" t="str">
        <f>IF(LEN(TRIM(E1001))=0, "", GetSampleVolumeBySpecimenPrep(H1001))</f>
        <v/>
      </c>
      <c r="L1001" t="str">
        <f>IF(LEN(TRIM(E1001))=0,"",VLOOKUP("Manifest Id",config!A:B,2,FALSE))</f>
        <v/>
      </c>
      <c r="M1001" t="str">
        <f>IF(LEN(TRIM(E1001))=0, "",VLOOKUP("Project Name",config!A:B,2,FALSE))</f>
        <v/>
      </c>
      <c r="N1001" t="str">
        <f>IF(LEN(TRIM(E1001))=0, "",VLOOKUP("Center Name",config!A:B,2,FALSE))</f>
        <v/>
      </c>
      <c r="O1001" s="7" t="str">
        <f>IF(LEN(TRIM(E1001))=0,"",VLOOKUP("Shipment Date",config!A:B,2,FALSE))</f>
        <v/>
      </c>
      <c r="P1001" s="7" t="str">
        <f t="shared" si="62"/>
        <v/>
      </c>
      <c r="Q1001" s="7" t="str">
        <f>IF(LEN(TRIM(D1001))=0,"",GetConfigParameterValue("Collection Site"))</f>
        <v/>
      </c>
      <c r="R1001" t="str">
        <f>IF(LEN(TRIM(E1001))=0, "", GetManifestComments(H1001))</f>
        <v/>
      </c>
      <c r="S1001" t="str">
        <f>IF(LEN(TRIM(E1001))=0,"",IF(ISERROR(VLOOKUP(E1001,'Manifest MDB data'!A:A,1,FALSE)),"OK","EXISTS!!!"))</f>
        <v/>
      </c>
    </row>
  </sheetData>
  <sheetProtection algorithmName="SHA-512" hashValue="tcYuATri+g8XRoqiVMtVj9YbDO9vojunZIE6pzViDwgz5hKtv8tOuujSRrxz9JGQAxSaiv6u7j0O9PKokVXmFQ==" saltValue="7VULoCw8gJsyUGePW7hTaA==" spinCount="100000" sheet="1" objects="1" scenarios="1"/>
  <autoFilter ref="A1:S1" xr:uid="{653CEA67-884A-4028-AD9D-5024E8C325E4}"/>
  <conditionalFormatting sqref="S2:S1048576">
    <cfRule type="notContainsText" dxfId="4" priority="2" operator="notContains" text="OK">
      <formula>ISERROR(SEARCH("OK",S2))</formula>
    </cfRule>
    <cfRule type="containsText" dxfId="3" priority="3" operator="containsText" text="OK">
      <formula>NOT(ISERROR(SEARCH("OK",S2)))</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86F7A-23B8-4DA6-8C9B-C7E3E691366B}">
  <sheetPr codeName="Sheet1"/>
  <dimension ref="A1:M1001"/>
  <sheetViews>
    <sheetView zoomScaleNormal="100" workbookViewId="0">
      <selection activeCell="A2" sqref="A2"/>
    </sheetView>
  </sheetViews>
  <sheetFormatPr defaultColWidth="15.28515625" defaultRowHeight="15" x14ac:dyDescent="0.25"/>
  <cols>
    <col min="1" max="1" width="15.42578125" bestFit="1" customWidth="1"/>
    <col min="2" max="2" width="9.85546875" bestFit="1" customWidth="1"/>
    <col min="3" max="3" width="9.85546875" style="54" customWidth="1"/>
    <col min="4" max="4" width="9.85546875" customWidth="1"/>
    <col min="5" max="5" width="4" bestFit="1" customWidth="1"/>
    <col min="6" max="6" width="9" bestFit="1" customWidth="1"/>
    <col min="7" max="7" width="7.28515625" bestFit="1" customWidth="1"/>
    <col min="8" max="8" width="17.85546875" customWidth="1"/>
  </cols>
  <sheetData>
    <row r="1" spans="1:13" ht="30" x14ac:dyDescent="0.25">
      <c r="A1" t="s">
        <v>3753</v>
      </c>
      <c r="B1" t="s">
        <v>45</v>
      </c>
      <c r="C1" s="54" t="s">
        <v>3748</v>
      </c>
      <c r="D1" t="s">
        <v>4636</v>
      </c>
      <c r="E1" t="s">
        <v>46</v>
      </c>
      <c r="F1" t="s">
        <v>47</v>
      </c>
      <c r="G1" t="s">
        <v>48</v>
      </c>
      <c r="H1" t="s">
        <v>3757</v>
      </c>
      <c r="I1" t="s">
        <v>20</v>
      </c>
      <c r="M1" s="10" t="s">
        <v>148</v>
      </c>
    </row>
    <row r="2" spans="1:13" x14ac:dyDescent="0.25">
      <c r="A2" t="str">
        <f>GetSampleId((ROW()))</f>
        <v>C2-1581-V01</v>
      </c>
      <c r="B2" t="str">
        <f>IF(LEN(TRIM(A2))=0,"",LEFT(A2,7))</f>
        <v>C2-1581</v>
      </c>
      <c r="C2" s="55" t="str">
        <f>IF(LEN(TRIM(A2))=0,"",get_string_val(RIGHT(B2,4)))</f>
        <v>1581</v>
      </c>
      <c r="D2" t="str">
        <f>IF(LEN(TRIM(A2))=0,"",GetItemValueFromSpecimenHeader("timepoint"))</f>
        <v>V01</v>
      </c>
      <c r="E2" t="str">
        <f>IF(LEN(TRIM(A2))=0,"",getColumnValueBySubjectID("Age",RIGHT(B2,4)))</f>
        <v>18</v>
      </c>
      <c r="F2" t="str">
        <f>IF(LEN(TRIM(A2))=0,"",getColumnValueBySubjectID("Sex",RIGHT(B2,4)))</f>
        <v>1</v>
      </c>
      <c r="G2" t="str">
        <f t="shared" ref="G2:G65" si="0">IF(LEN(TRIM(A2))=0,"",IF(TRIM(F2)="1","Male", IF(TRIM(F2)="2","Female", "NA")))</f>
        <v>Male</v>
      </c>
      <c r="H2" t="str">
        <f>IF(LEN(TRIM(A2))=0,"",GetConfigParameterValue("Collection Site"))</f>
        <v>Camp Lejeune, NC</v>
      </c>
      <c r="I2" t="str">
        <f>IF(LEN(TRIM(A2))=0,"",getColumnValueBySubjectID("Comments",B2))</f>
        <v/>
      </c>
      <c r="M2" t="str">
        <f>IF(LEN(TRIM(B2))=0,"",IF(ISERROR(VLOOKUP(RIGHT(B2,4),study_demographic!A:A,1,FALSE)),"NOT FOUND!!!", "OK"))</f>
        <v>OK</v>
      </c>
    </row>
    <row r="3" spans="1:13" x14ac:dyDescent="0.25">
      <c r="A3" t="str">
        <f t="shared" ref="A3:A66" si="1">GetSampleId((ROW()))</f>
        <v>C2-0220-V01</v>
      </c>
      <c r="B3" t="str">
        <f t="shared" ref="B3:B66" si="2">IF(LEN(TRIM(A3))=0,"",LEFT(A3,7))</f>
        <v>C2-0220</v>
      </c>
      <c r="C3" s="55" t="str">
        <f>IF(LEN(TRIM(A3))=0,"",get_string_val(RIGHT(B3,4)))</f>
        <v>0220</v>
      </c>
      <c r="D3" t="str">
        <f>IF(LEN(TRIM(A3))=0,"",GetItemValueFromSpecimenHeader("timepoint"))</f>
        <v>V01</v>
      </c>
      <c r="E3" t="str">
        <f t="shared" ref="E3:E66" si="3">getColumnValueBySubjectID("Age",RIGHT(B3,4))</f>
        <v>20</v>
      </c>
      <c r="F3" t="str">
        <f t="shared" ref="F3:F66" si="4">getColumnValueBySubjectID("Sex",RIGHT(B3,4))</f>
        <v>1</v>
      </c>
      <c r="G3" t="str">
        <f t="shared" si="0"/>
        <v>Male</v>
      </c>
      <c r="H3" t="str">
        <f>IF(LEN(TRIM(A3))=0,"",GetConfigParameterValue("Collection Site"))</f>
        <v>Camp Lejeune, NC</v>
      </c>
      <c r="I3" t="str">
        <f t="shared" ref="I3:I66" si="5">getColumnValueBySubjectID("Comments",B3)</f>
        <v/>
      </c>
      <c r="M3" t="str">
        <f>IF(LEN(TRIM(B3))=0,"",IF(ISERROR(VLOOKUP(RIGHT(B3,4),study_demographic!A:A,1,FALSE)),"NOT FOUND!!!", "OK"))</f>
        <v>OK</v>
      </c>
    </row>
    <row r="4" spans="1:13" x14ac:dyDescent="0.25">
      <c r="A4" t="str">
        <f t="shared" si="1"/>
        <v>C2-0378-V01</v>
      </c>
      <c r="B4" t="str">
        <f t="shared" si="2"/>
        <v>C2-0378</v>
      </c>
      <c r="C4" s="55" t="str">
        <f>IF(LEN(TRIM(A4))=0,"",get_string_val(RIGHT(B4,4)))</f>
        <v>0378</v>
      </c>
      <c r="D4" t="str">
        <f>IF(LEN(TRIM(A4))=0,"",GetItemValueFromSpecimenHeader("timepoint"))</f>
        <v>V01</v>
      </c>
      <c r="E4" t="str">
        <f t="shared" si="3"/>
        <v>19</v>
      </c>
      <c r="F4" t="str">
        <f t="shared" si="4"/>
        <v>1</v>
      </c>
      <c r="G4" t="str">
        <f t="shared" si="0"/>
        <v>Male</v>
      </c>
      <c r="H4" t="str">
        <f>IF(LEN(TRIM(A4))=0,"",GetConfigParameterValue("Collection Site"))</f>
        <v>Camp Lejeune, NC</v>
      </c>
      <c r="I4" t="str">
        <f t="shared" si="5"/>
        <v/>
      </c>
      <c r="M4" t="str">
        <f>IF(LEN(TRIM(B4))=0,"",IF(ISERROR(VLOOKUP(RIGHT(B4,4),study_demographic!A:A,1,FALSE)),"NOT FOUND!!!", "OK"))</f>
        <v>OK</v>
      </c>
    </row>
    <row r="5" spans="1:13" x14ac:dyDescent="0.25">
      <c r="A5" t="str">
        <f t="shared" si="1"/>
        <v>C2-0904-V01</v>
      </c>
      <c r="B5" t="str">
        <f t="shared" si="2"/>
        <v>C2-0904</v>
      </c>
      <c r="C5" s="55" t="str">
        <f>IF(LEN(TRIM(A5))=0,"",get_string_val(RIGHT(B5,4)))</f>
        <v>0904</v>
      </c>
      <c r="D5" t="str">
        <f>IF(LEN(TRIM(A5))=0,"",GetItemValueFromSpecimenHeader("timepoint"))</f>
        <v>V01</v>
      </c>
      <c r="E5" t="str">
        <f t="shared" si="3"/>
        <v>19</v>
      </c>
      <c r="F5" t="str">
        <f t="shared" si="4"/>
        <v>1</v>
      </c>
      <c r="G5" t="str">
        <f t="shared" si="0"/>
        <v>Male</v>
      </c>
      <c r="H5" t="str">
        <f>IF(LEN(TRIM(A5))=0,"",GetConfigParameterValue("Collection Site"))</f>
        <v>Camp Lejeune, NC</v>
      </c>
      <c r="I5" t="str">
        <f t="shared" si="5"/>
        <v/>
      </c>
      <c r="M5" t="str">
        <f>IF(LEN(TRIM(B5))=0,"",IF(ISERROR(VLOOKUP(RIGHT(B5,4),study_demographic!A:A,1,FALSE)),"NOT FOUND!!!", "OK"))</f>
        <v>OK</v>
      </c>
    </row>
    <row r="6" spans="1:13" x14ac:dyDescent="0.25">
      <c r="A6" t="str">
        <f t="shared" si="1"/>
        <v>C2-1527-V01</v>
      </c>
      <c r="B6" t="str">
        <f t="shared" si="2"/>
        <v>C2-1527</v>
      </c>
      <c r="C6" s="55" t="str">
        <f>IF(LEN(TRIM(A6))=0,"",get_string_val(RIGHT(B6,4)))</f>
        <v>1527</v>
      </c>
      <c r="D6" t="str">
        <f>IF(LEN(TRIM(A6))=0,"",GetItemValueFromSpecimenHeader("timepoint"))</f>
        <v>V01</v>
      </c>
      <c r="E6" t="str">
        <f t="shared" si="3"/>
        <v>18</v>
      </c>
      <c r="F6" t="str">
        <f t="shared" si="4"/>
        <v>1</v>
      </c>
      <c r="G6" t="str">
        <f t="shared" si="0"/>
        <v>Male</v>
      </c>
      <c r="H6" t="str">
        <f>IF(LEN(TRIM(A6))=0,"",GetConfigParameterValue("Collection Site"))</f>
        <v>Camp Lejeune, NC</v>
      </c>
      <c r="I6" t="str">
        <f t="shared" si="5"/>
        <v/>
      </c>
      <c r="M6" t="str">
        <f>IF(LEN(TRIM(B6))=0,"",IF(ISERROR(VLOOKUP(RIGHT(B6,4),study_demographic!A:A,1,FALSE)),"NOT FOUND!!!", "OK"))</f>
        <v>OK</v>
      </c>
    </row>
    <row r="7" spans="1:13" x14ac:dyDescent="0.25">
      <c r="A7" t="str">
        <f t="shared" si="1"/>
        <v>C2-0261-V01</v>
      </c>
      <c r="B7" t="str">
        <f t="shared" si="2"/>
        <v>C2-0261</v>
      </c>
      <c r="C7" s="55" t="str">
        <f>IF(LEN(TRIM(A7))=0,"",get_string_val(RIGHT(B7,4)))</f>
        <v>0261</v>
      </c>
      <c r="D7" t="str">
        <f>IF(LEN(TRIM(A7))=0,"",GetItemValueFromSpecimenHeader("timepoint"))</f>
        <v>V01</v>
      </c>
      <c r="E7" t="str">
        <f t="shared" si="3"/>
        <v>20</v>
      </c>
      <c r="F7" t="str">
        <f t="shared" si="4"/>
        <v>1</v>
      </c>
      <c r="G7" t="str">
        <f t="shared" si="0"/>
        <v>Male</v>
      </c>
      <c r="H7" t="str">
        <f>IF(LEN(TRIM(A7))=0,"",GetConfigParameterValue("Collection Site"))</f>
        <v>Camp Lejeune, NC</v>
      </c>
      <c r="I7" t="str">
        <f t="shared" si="5"/>
        <v/>
      </c>
      <c r="M7" t="str">
        <f>IF(LEN(TRIM(B7))=0,"",IF(ISERROR(VLOOKUP(RIGHT(B7,4),study_demographic!A:A,1,FALSE)),"NOT FOUND!!!", "OK"))</f>
        <v>OK</v>
      </c>
    </row>
    <row r="8" spans="1:13" x14ac:dyDescent="0.25">
      <c r="A8" t="str">
        <f t="shared" si="1"/>
        <v>C2-0332-V01</v>
      </c>
      <c r="B8" t="str">
        <f t="shared" si="2"/>
        <v>C2-0332</v>
      </c>
      <c r="C8" s="55" t="str">
        <f>IF(LEN(TRIM(A8))=0,"",get_string_val(RIGHT(B8,4)))</f>
        <v>0332</v>
      </c>
      <c r="D8" t="str">
        <f>IF(LEN(TRIM(A8))=0,"",GetItemValueFromSpecimenHeader("timepoint"))</f>
        <v>V01</v>
      </c>
      <c r="E8" t="str">
        <f t="shared" si="3"/>
        <v>19</v>
      </c>
      <c r="F8" t="str">
        <f t="shared" si="4"/>
        <v>1</v>
      </c>
      <c r="G8" t="str">
        <f t="shared" si="0"/>
        <v>Male</v>
      </c>
      <c r="H8" t="str">
        <f>IF(LEN(TRIM(A8))=0,"",GetConfigParameterValue("Collection Site"))</f>
        <v>Camp Lejeune, NC</v>
      </c>
      <c r="I8" t="str">
        <f t="shared" si="5"/>
        <v/>
      </c>
      <c r="M8" t="str">
        <f>IF(LEN(TRIM(B8))=0,"",IF(ISERROR(VLOOKUP(RIGHT(B8,4),study_demographic!A:A,1,FALSE)),"NOT FOUND!!!", "OK"))</f>
        <v>OK</v>
      </c>
    </row>
    <row r="9" spans="1:13" x14ac:dyDescent="0.25">
      <c r="A9" t="str">
        <f t="shared" si="1"/>
        <v>C2-0492-V01</v>
      </c>
      <c r="B9" t="str">
        <f t="shared" si="2"/>
        <v>C2-0492</v>
      </c>
      <c r="C9" s="55" t="str">
        <f>IF(LEN(TRIM(A9))=0,"",get_string_val(RIGHT(B9,4)))</f>
        <v>0492</v>
      </c>
      <c r="D9" t="str">
        <f>IF(LEN(TRIM(A9))=0,"",GetItemValueFromSpecimenHeader("timepoint"))</f>
        <v>V01</v>
      </c>
      <c r="E9" t="str">
        <f t="shared" si="3"/>
        <v>19</v>
      </c>
      <c r="F9" t="str">
        <f t="shared" si="4"/>
        <v>1</v>
      </c>
      <c r="G9" t="str">
        <f t="shared" si="0"/>
        <v>Male</v>
      </c>
      <c r="H9" t="str">
        <f>IF(LEN(TRIM(A9))=0,"",GetConfigParameterValue("Collection Site"))</f>
        <v>Camp Lejeune, NC</v>
      </c>
      <c r="I9" t="str">
        <f t="shared" si="5"/>
        <v/>
      </c>
      <c r="M9" t="str">
        <f>IF(LEN(TRIM(B9))=0,"",IF(ISERROR(VLOOKUP(RIGHT(B9,4),study_demographic!A:A,1,FALSE)),"NOT FOUND!!!", "OK"))</f>
        <v>OK</v>
      </c>
    </row>
    <row r="10" spans="1:13" x14ac:dyDescent="0.25">
      <c r="A10" t="str">
        <f t="shared" si="1"/>
        <v>C2-0567-V01</v>
      </c>
      <c r="B10" t="str">
        <f t="shared" si="2"/>
        <v>C2-0567</v>
      </c>
      <c r="C10" s="55" t="str">
        <f>IF(LEN(TRIM(A10))=0,"",get_string_val(RIGHT(B10,4)))</f>
        <v>0567</v>
      </c>
      <c r="D10" t="str">
        <f>IF(LEN(TRIM(A10))=0,"",GetItemValueFromSpecimenHeader("timepoint"))</f>
        <v>V01</v>
      </c>
      <c r="E10" t="str">
        <f t="shared" si="3"/>
        <v>20</v>
      </c>
      <c r="F10" t="str">
        <f t="shared" si="4"/>
        <v>1</v>
      </c>
      <c r="G10" t="str">
        <f t="shared" si="0"/>
        <v>Male</v>
      </c>
      <c r="H10" t="str">
        <f>IF(LEN(TRIM(A10))=0,"",GetConfigParameterValue("Collection Site"))</f>
        <v>Camp Lejeune, NC</v>
      </c>
      <c r="I10" t="str">
        <f t="shared" si="5"/>
        <v/>
      </c>
      <c r="M10" t="str">
        <f>IF(LEN(TRIM(B10))=0,"",IF(ISERROR(VLOOKUP(RIGHT(B10,4),study_demographic!A:A,1,FALSE)),"NOT FOUND!!!", "OK"))</f>
        <v>OK</v>
      </c>
    </row>
    <row r="11" spans="1:13" x14ac:dyDescent="0.25">
      <c r="A11" t="str">
        <f t="shared" si="1"/>
        <v>C2-0657-V01</v>
      </c>
      <c r="B11" t="str">
        <f t="shared" si="2"/>
        <v>C2-0657</v>
      </c>
      <c r="C11" s="55" t="str">
        <f>IF(LEN(TRIM(A11))=0,"",get_string_val(RIGHT(B11,4)))</f>
        <v>0657</v>
      </c>
      <c r="D11" t="str">
        <f>IF(LEN(TRIM(A11))=0,"",GetItemValueFromSpecimenHeader("timepoint"))</f>
        <v>V01</v>
      </c>
      <c r="E11" t="str">
        <f t="shared" si="3"/>
        <v>21</v>
      </c>
      <c r="F11" t="str">
        <f t="shared" si="4"/>
        <v>1</v>
      </c>
      <c r="G11" t="str">
        <f t="shared" si="0"/>
        <v>Male</v>
      </c>
      <c r="H11" t="str">
        <f>IF(LEN(TRIM(A11))=0,"",GetConfigParameterValue("Collection Site"))</f>
        <v>Camp Lejeune, NC</v>
      </c>
      <c r="I11" t="str">
        <f t="shared" si="5"/>
        <v/>
      </c>
      <c r="M11" t="str">
        <f>IF(LEN(TRIM(B11))=0,"",IF(ISERROR(VLOOKUP(RIGHT(B11,4),study_demographic!A:A,1,FALSE)),"NOT FOUND!!!", "OK"))</f>
        <v>OK</v>
      </c>
    </row>
    <row r="12" spans="1:13" x14ac:dyDescent="0.25">
      <c r="A12" t="str">
        <f t="shared" si="1"/>
        <v>C2-0733-V01</v>
      </c>
      <c r="B12" t="str">
        <f t="shared" si="2"/>
        <v>C2-0733</v>
      </c>
      <c r="C12" s="55" t="str">
        <f>IF(LEN(TRIM(A12))=0,"",get_string_val(RIGHT(B12,4)))</f>
        <v>0733</v>
      </c>
      <c r="D12" t="str">
        <f>IF(LEN(TRIM(A12))=0,"",GetItemValueFromSpecimenHeader("timepoint"))</f>
        <v>V01</v>
      </c>
      <c r="E12" t="str">
        <f t="shared" si="3"/>
        <v>18</v>
      </c>
      <c r="F12" t="str">
        <f t="shared" si="4"/>
        <v>1</v>
      </c>
      <c r="G12" t="str">
        <f t="shared" si="0"/>
        <v>Male</v>
      </c>
      <c r="H12" t="str">
        <f>IF(LEN(TRIM(A12))=0,"",GetConfigParameterValue("Collection Site"))</f>
        <v>Camp Lejeune, NC</v>
      </c>
      <c r="I12" t="str">
        <f t="shared" si="5"/>
        <v/>
      </c>
      <c r="M12" t="str">
        <f>IF(LEN(TRIM(B12))=0,"",IF(ISERROR(VLOOKUP(RIGHT(B12,4),study_demographic!A:A,1,FALSE)),"NOT FOUND!!!", "OK"))</f>
        <v>OK</v>
      </c>
    </row>
    <row r="13" spans="1:13" x14ac:dyDescent="0.25">
      <c r="A13" t="str">
        <f t="shared" si="1"/>
        <v>C2-0861-V01</v>
      </c>
      <c r="B13" t="str">
        <f t="shared" si="2"/>
        <v>C2-0861</v>
      </c>
      <c r="C13" s="55" t="str">
        <f>IF(LEN(TRIM(A13))=0,"",get_string_val(RIGHT(B13,4)))</f>
        <v>0861</v>
      </c>
      <c r="D13" t="str">
        <f>IF(LEN(TRIM(A13))=0,"",GetItemValueFromSpecimenHeader("timepoint"))</f>
        <v>V01</v>
      </c>
      <c r="E13" t="str">
        <f t="shared" si="3"/>
        <v>19</v>
      </c>
      <c r="F13" t="str">
        <f t="shared" si="4"/>
        <v>2</v>
      </c>
      <c r="G13" t="str">
        <f t="shared" si="0"/>
        <v>Female</v>
      </c>
      <c r="H13" t="str">
        <f>IF(LEN(TRIM(A13))=0,"",GetConfigParameterValue("Collection Site"))</f>
        <v>Camp Lejeune, NC</v>
      </c>
      <c r="I13" t="str">
        <f t="shared" si="5"/>
        <v/>
      </c>
      <c r="M13" t="str">
        <f>IF(LEN(TRIM(B13))=0,"",IF(ISERROR(VLOOKUP(RIGHT(B13,4),study_demographic!A:A,1,FALSE)),"NOT FOUND!!!", "OK"))</f>
        <v>OK</v>
      </c>
    </row>
    <row r="14" spans="1:13" x14ac:dyDescent="0.25">
      <c r="A14" t="str">
        <f t="shared" si="1"/>
        <v>C2-1181-V01</v>
      </c>
      <c r="B14" t="str">
        <f t="shared" si="2"/>
        <v>C2-1181</v>
      </c>
      <c r="C14" s="55" t="str">
        <f>IF(LEN(TRIM(A14))=0,"",get_string_val(RIGHT(B14,4)))</f>
        <v>1181</v>
      </c>
      <c r="D14" t="str">
        <f>IF(LEN(TRIM(A14))=0,"",GetItemValueFromSpecimenHeader("timepoint"))</f>
        <v>V01</v>
      </c>
      <c r="E14" t="str">
        <f t="shared" si="3"/>
        <v>18</v>
      </c>
      <c r="F14" t="str">
        <f t="shared" si="4"/>
        <v>1</v>
      </c>
      <c r="G14" t="str">
        <f t="shared" si="0"/>
        <v>Male</v>
      </c>
      <c r="H14" t="str">
        <f>IF(LEN(TRIM(A14))=0,"",GetConfigParameterValue("Collection Site"))</f>
        <v>Camp Lejeune, NC</v>
      </c>
      <c r="I14" t="str">
        <f t="shared" si="5"/>
        <v/>
      </c>
      <c r="M14" t="str">
        <f>IF(LEN(TRIM(B14))=0,"",IF(ISERROR(VLOOKUP(RIGHT(B14,4),study_demographic!A:A,1,FALSE)),"NOT FOUND!!!", "OK"))</f>
        <v>OK</v>
      </c>
    </row>
    <row r="15" spans="1:13" x14ac:dyDescent="0.25">
      <c r="A15" t="str">
        <f t="shared" si="1"/>
        <v>C2-1236-V01</v>
      </c>
      <c r="B15" t="str">
        <f t="shared" si="2"/>
        <v>C2-1236</v>
      </c>
      <c r="C15" s="55" t="str">
        <f>IF(LEN(TRIM(A15))=0,"",get_string_val(RIGHT(B15,4)))</f>
        <v>1236</v>
      </c>
      <c r="D15" t="str">
        <f>IF(LEN(TRIM(A15))=0,"",GetItemValueFromSpecimenHeader("timepoint"))</f>
        <v>V01</v>
      </c>
      <c r="E15" t="str">
        <f t="shared" si="3"/>
        <v>23</v>
      </c>
      <c r="F15" t="str">
        <f t="shared" si="4"/>
        <v>1</v>
      </c>
      <c r="G15" t="str">
        <f t="shared" si="0"/>
        <v>Male</v>
      </c>
      <c r="H15" t="str">
        <f>IF(LEN(TRIM(A15))=0,"",GetConfigParameterValue("Collection Site"))</f>
        <v>Camp Lejeune, NC</v>
      </c>
      <c r="I15" t="str">
        <f t="shared" si="5"/>
        <v/>
      </c>
      <c r="M15" t="str">
        <f>IF(LEN(TRIM(B15))=0,"",IF(ISERROR(VLOOKUP(RIGHT(B15,4),study_demographic!A:A,1,FALSE)),"NOT FOUND!!!", "OK"))</f>
        <v>OK</v>
      </c>
    </row>
    <row r="16" spans="1:13" x14ac:dyDescent="0.25">
      <c r="A16" t="str">
        <f t="shared" si="1"/>
        <v>C2-1357-V01</v>
      </c>
      <c r="B16" t="str">
        <f t="shared" si="2"/>
        <v>C2-1357</v>
      </c>
      <c r="C16" s="55" t="str">
        <f>IF(LEN(TRIM(A16))=0,"",get_string_val(RIGHT(B16,4)))</f>
        <v>1357</v>
      </c>
      <c r="D16" t="str">
        <f>IF(LEN(TRIM(A16))=0,"",GetItemValueFromSpecimenHeader("timepoint"))</f>
        <v>V01</v>
      </c>
      <c r="E16" t="str">
        <f t="shared" si="3"/>
        <v>18</v>
      </c>
      <c r="F16" t="str">
        <f t="shared" si="4"/>
        <v>1</v>
      </c>
      <c r="G16" t="str">
        <f t="shared" si="0"/>
        <v>Male</v>
      </c>
      <c r="H16" t="str">
        <f>IF(LEN(TRIM(A16))=0,"",GetConfigParameterValue("Collection Site"))</f>
        <v>Camp Lejeune, NC</v>
      </c>
      <c r="I16" t="str">
        <f t="shared" si="5"/>
        <v/>
      </c>
      <c r="M16" t="str">
        <f>IF(LEN(TRIM(B16))=0,"",IF(ISERROR(VLOOKUP(RIGHT(B16,4),study_demographic!A:A,1,FALSE)),"NOT FOUND!!!", "OK"))</f>
        <v>OK</v>
      </c>
    </row>
    <row r="17" spans="1:13" x14ac:dyDescent="0.25">
      <c r="A17" t="str">
        <f t="shared" si="1"/>
        <v>C2-1400-V01</v>
      </c>
      <c r="B17" t="str">
        <f t="shared" si="2"/>
        <v>C2-1400</v>
      </c>
      <c r="C17" s="55" t="str">
        <f>IF(LEN(TRIM(A17))=0,"",get_string_val(RIGHT(B17,4)))</f>
        <v>1400</v>
      </c>
      <c r="D17" t="str">
        <f>IF(LEN(TRIM(A17))=0,"",GetItemValueFromSpecimenHeader("timepoint"))</f>
        <v>V01</v>
      </c>
      <c r="E17" t="str">
        <f t="shared" si="3"/>
        <v>18</v>
      </c>
      <c r="F17" t="str">
        <f t="shared" si="4"/>
        <v>1</v>
      </c>
      <c r="G17" t="str">
        <f t="shared" si="0"/>
        <v>Male</v>
      </c>
      <c r="H17" t="str">
        <f>IF(LEN(TRIM(A17))=0,"",GetConfigParameterValue("Collection Site"))</f>
        <v>Camp Lejeune, NC</v>
      </c>
      <c r="I17" t="str">
        <f t="shared" si="5"/>
        <v/>
      </c>
      <c r="M17" t="str">
        <f>IF(LEN(TRIM(B17))=0,"",IF(ISERROR(VLOOKUP(RIGHT(B17,4),study_demographic!A:A,1,FALSE)),"NOT FOUND!!!", "OK"))</f>
        <v>OK</v>
      </c>
    </row>
    <row r="18" spans="1:13" x14ac:dyDescent="0.25">
      <c r="A18" t="str">
        <f t="shared" si="1"/>
        <v>C2-1540-V01</v>
      </c>
      <c r="B18" t="str">
        <f t="shared" si="2"/>
        <v>C2-1540</v>
      </c>
      <c r="C18" s="55" t="str">
        <f>IF(LEN(TRIM(A18))=0,"",get_string_val(RIGHT(B18,4)))</f>
        <v>1540</v>
      </c>
      <c r="D18" t="str">
        <f>IF(LEN(TRIM(A18))=0,"",GetItemValueFromSpecimenHeader("timepoint"))</f>
        <v>V01</v>
      </c>
      <c r="E18" t="str">
        <f t="shared" si="3"/>
        <v>19</v>
      </c>
      <c r="F18" t="str">
        <f t="shared" si="4"/>
        <v>1</v>
      </c>
      <c r="G18" t="str">
        <f t="shared" si="0"/>
        <v>Male</v>
      </c>
      <c r="H18" t="str">
        <f>IF(LEN(TRIM(A18))=0,"",GetConfigParameterValue("Collection Site"))</f>
        <v>Camp Lejeune, NC</v>
      </c>
      <c r="I18" t="str">
        <f t="shared" si="5"/>
        <v/>
      </c>
      <c r="M18" t="str">
        <f>IF(LEN(TRIM(B18))=0,"",IF(ISERROR(VLOOKUP(RIGHT(B18,4),study_demographic!A:A,1,FALSE)),"NOT FOUND!!!", "OK"))</f>
        <v>OK</v>
      </c>
    </row>
    <row r="19" spans="1:13" x14ac:dyDescent="0.25">
      <c r="A19" t="str">
        <f t="shared" si="1"/>
        <v>C2-1549-V01</v>
      </c>
      <c r="B19" t="str">
        <f t="shared" si="2"/>
        <v>C2-1549</v>
      </c>
      <c r="C19" s="55" t="str">
        <f>IF(LEN(TRIM(A19))=0,"",get_string_val(RIGHT(B19,4)))</f>
        <v>1549</v>
      </c>
      <c r="D19" t="str">
        <f>IF(LEN(TRIM(A19))=0,"",GetItemValueFromSpecimenHeader("timepoint"))</f>
        <v>V01</v>
      </c>
      <c r="E19" t="str">
        <f t="shared" si="3"/>
        <v>18</v>
      </c>
      <c r="F19" t="str">
        <f t="shared" si="4"/>
        <v>1</v>
      </c>
      <c r="G19" t="str">
        <f t="shared" si="0"/>
        <v>Male</v>
      </c>
      <c r="H19" t="str">
        <f>IF(LEN(TRIM(A19))=0,"",GetConfigParameterValue("Collection Site"))</f>
        <v>Camp Lejeune, NC</v>
      </c>
      <c r="I19" t="str">
        <f t="shared" si="5"/>
        <v/>
      </c>
      <c r="M19" t="str">
        <f>IF(LEN(TRIM(B19))=0,"",IF(ISERROR(VLOOKUP(RIGHT(B19,4),study_demographic!A:A,1,FALSE)),"NOT FOUND!!!", "OK"))</f>
        <v>OK</v>
      </c>
    </row>
    <row r="20" spans="1:13" x14ac:dyDescent="0.25">
      <c r="A20" t="str">
        <f t="shared" si="1"/>
        <v>C2-1579-V01</v>
      </c>
      <c r="B20" t="str">
        <f t="shared" si="2"/>
        <v>C2-1579</v>
      </c>
      <c r="C20" s="55" t="str">
        <f>IF(LEN(TRIM(A20))=0,"",get_string_val(RIGHT(B20,4)))</f>
        <v>1579</v>
      </c>
      <c r="D20" t="str">
        <f>IF(LEN(TRIM(A20))=0,"",GetItemValueFromSpecimenHeader("timepoint"))</f>
        <v>V01</v>
      </c>
      <c r="E20" t="str">
        <f t="shared" si="3"/>
        <v>18</v>
      </c>
      <c r="F20" t="str">
        <f t="shared" si="4"/>
        <v>1</v>
      </c>
      <c r="G20" t="str">
        <f t="shared" si="0"/>
        <v>Male</v>
      </c>
      <c r="H20" t="str">
        <f>IF(LEN(TRIM(A20))=0,"",GetConfigParameterValue("Collection Site"))</f>
        <v>Camp Lejeune, NC</v>
      </c>
      <c r="I20" t="str">
        <f t="shared" si="5"/>
        <v/>
      </c>
      <c r="M20" t="str">
        <f>IF(LEN(TRIM(B20))=0,"",IF(ISERROR(VLOOKUP(RIGHT(B20,4),study_demographic!A:A,1,FALSE)),"NOT FOUND!!!", "OK"))</f>
        <v>OK</v>
      </c>
    </row>
    <row r="21" spans="1:13" x14ac:dyDescent="0.25">
      <c r="A21" t="str">
        <f t="shared" si="1"/>
        <v>C2-1611-V01</v>
      </c>
      <c r="B21" t="str">
        <f t="shared" si="2"/>
        <v>C2-1611</v>
      </c>
      <c r="C21" s="55" t="str">
        <f>IF(LEN(TRIM(A21))=0,"",get_string_val(RIGHT(B21,4)))</f>
        <v>1611</v>
      </c>
      <c r="D21" t="str">
        <f>IF(LEN(TRIM(A21))=0,"",GetItemValueFromSpecimenHeader("timepoint"))</f>
        <v>V01</v>
      </c>
      <c r="E21" t="str">
        <f t="shared" si="3"/>
        <v>18</v>
      </c>
      <c r="F21" t="str">
        <f t="shared" si="4"/>
        <v>1</v>
      </c>
      <c r="G21" t="str">
        <f t="shared" si="0"/>
        <v>Male</v>
      </c>
      <c r="H21" t="str">
        <f>IF(LEN(TRIM(A21))=0,"",GetConfigParameterValue("Collection Site"))</f>
        <v>Camp Lejeune, NC</v>
      </c>
      <c r="I21" t="str">
        <f t="shared" si="5"/>
        <v/>
      </c>
      <c r="M21" t="str">
        <f>IF(LEN(TRIM(B21))=0,"",IF(ISERROR(VLOOKUP(RIGHT(B21,4),study_demographic!A:A,1,FALSE)),"NOT FOUND!!!", "OK"))</f>
        <v>OK</v>
      </c>
    </row>
    <row r="22" spans="1:13" x14ac:dyDescent="0.25">
      <c r="A22" t="str">
        <f t="shared" si="1"/>
        <v>C2-1654-V01</v>
      </c>
      <c r="B22" t="str">
        <f t="shared" si="2"/>
        <v>C2-1654</v>
      </c>
      <c r="C22" s="55" t="str">
        <f>IF(LEN(TRIM(A22))=0,"",get_string_val(RIGHT(B22,4)))</f>
        <v>1654</v>
      </c>
      <c r="D22" t="str">
        <f>IF(LEN(TRIM(A22))=0,"",GetItemValueFromSpecimenHeader("timepoint"))</f>
        <v>V01</v>
      </c>
      <c r="E22" t="str">
        <f t="shared" si="3"/>
        <v>18</v>
      </c>
      <c r="F22" t="str">
        <f t="shared" si="4"/>
        <v>1</v>
      </c>
      <c r="G22" t="str">
        <f t="shared" si="0"/>
        <v>Male</v>
      </c>
      <c r="H22" t="str">
        <f>IF(LEN(TRIM(A22))=0,"",GetConfigParameterValue("Collection Site"))</f>
        <v>Camp Lejeune, NC</v>
      </c>
      <c r="I22" t="str">
        <f t="shared" si="5"/>
        <v/>
      </c>
      <c r="M22" t="str">
        <f>IF(LEN(TRIM(B22))=0,"",IF(ISERROR(VLOOKUP(RIGHT(B22,4),study_demographic!A:A,1,FALSE)),"NOT FOUND!!!", "OK"))</f>
        <v>OK</v>
      </c>
    </row>
    <row r="23" spans="1:13" x14ac:dyDescent="0.25">
      <c r="A23" t="str">
        <f t="shared" si="1"/>
        <v>C2-1747-V01</v>
      </c>
      <c r="B23" t="str">
        <f t="shared" si="2"/>
        <v>C2-1747</v>
      </c>
      <c r="C23" s="55" t="str">
        <f>IF(LEN(TRIM(A23))=0,"",get_string_val(RIGHT(B23,4)))</f>
        <v>1747</v>
      </c>
      <c r="D23" t="str">
        <f>IF(LEN(TRIM(A23))=0,"",GetItemValueFromSpecimenHeader("timepoint"))</f>
        <v>V01</v>
      </c>
      <c r="E23" t="str">
        <f t="shared" si="3"/>
        <v>20</v>
      </c>
      <c r="F23" t="str">
        <f t="shared" si="4"/>
        <v>1</v>
      </c>
      <c r="G23" t="str">
        <f t="shared" si="0"/>
        <v>Male</v>
      </c>
      <c r="H23" t="str">
        <f>IF(LEN(TRIM(A23))=0,"",GetConfigParameterValue("Collection Site"))</f>
        <v>Camp Lejeune, NC</v>
      </c>
      <c r="I23" t="str">
        <f t="shared" si="5"/>
        <v/>
      </c>
      <c r="M23" t="str">
        <f>IF(LEN(TRIM(B23))=0,"",IF(ISERROR(VLOOKUP(RIGHT(B23,4),study_demographic!A:A,1,FALSE)),"NOT FOUND!!!", "OK"))</f>
        <v>OK</v>
      </c>
    </row>
    <row r="24" spans="1:13" x14ac:dyDescent="0.25">
      <c r="A24" t="str">
        <f t="shared" si="1"/>
        <v>C2-1784-V01</v>
      </c>
      <c r="B24" t="str">
        <f t="shared" si="2"/>
        <v>C2-1784</v>
      </c>
      <c r="C24" s="55" t="str">
        <f>IF(LEN(TRIM(A24))=0,"",get_string_val(RIGHT(B24,4)))</f>
        <v>1784</v>
      </c>
      <c r="D24" t="str">
        <f>IF(LEN(TRIM(A24))=0,"",GetItemValueFromSpecimenHeader("timepoint"))</f>
        <v>V01</v>
      </c>
      <c r="E24" t="str">
        <f t="shared" si="3"/>
        <v>18</v>
      </c>
      <c r="F24" t="str">
        <f t="shared" si="4"/>
        <v>1</v>
      </c>
      <c r="G24" t="str">
        <f t="shared" si="0"/>
        <v>Male</v>
      </c>
      <c r="H24" t="str">
        <f>IF(LEN(TRIM(A24))=0,"",GetConfigParameterValue("Collection Site"))</f>
        <v>Camp Lejeune, NC</v>
      </c>
      <c r="I24" t="str">
        <f t="shared" si="5"/>
        <v/>
      </c>
      <c r="M24" t="str">
        <f>IF(LEN(TRIM(B24))=0,"",IF(ISERROR(VLOOKUP(RIGHT(B24,4),study_demographic!A:A,1,FALSE)),"NOT FOUND!!!", "OK"))</f>
        <v>OK</v>
      </c>
    </row>
    <row r="25" spans="1:13" x14ac:dyDescent="0.25">
      <c r="A25" t="str">
        <f t="shared" si="1"/>
        <v>C2-1848-V01</v>
      </c>
      <c r="B25" t="str">
        <f t="shared" si="2"/>
        <v>C2-1848</v>
      </c>
      <c r="C25" s="55" t="str">
        <f>IF(LEN(TRIM(A25))=0,"",get_string_val(RIGHT(B25,4)))</f>
        <v>1848</v>
      </c>
      <c r="D25" t="str">
        <f>IF(LEN(TRIM(A25))=0,"",GetItemValueFromSpecimenHeader("timepoint"))</f>
        <v>V01</v>
      </c>
      <c r="E25" t="str">
        <f t="shared" si="3"/>
        <v>18</v>
      </c>
      <c r="F25" t="str">
        <f t="shared" si="4"/>
        <v>1</v>
      </c>
      <c r="G25" t="str">
        <f t="shared" si="0"/>
        <v>Male</v>
      </c>
      <c r="H25" t="str">
        <f>IF(LEN(TRIM(A25))=0,"",GetConfigParameterValue("Collection Site"))</f>
        <v>Camp Lejeune, NC</v>
      </c>
      <c r="I25" t="str">
        <f t="shared" si="5"/>
        <v/>
      </c>
      <c r="M25" t="str">
        <f>IF(LEN(TRIM(B25))=0,"",IF(ISERROR(VLOOKUP(RIGHT(B25,4),study_demographic!A:A,1,FALSE)),"NOT FOUND!!!", "OK"))</f>
        <v>OK</v>
      </c>
    </row>
    <row r="26" spans="1:13" x14ac:dyDescent="0.25">
      <c r="A26" t="str">
        <f t="shared" si="1"/>
        <v>C2-2067-V01</v>
      </c>
      <c r="B26" t="str">
        <f t="shared" si="2"/>
        <v>C2-2067</v>
      </c>
      <c r="C26" s="55" t="str">
        <f>IF(LEN(TRIM(A26))=0,"",get_string_val(RIGHT(B26,4)))</f>
        <v>2067</v>
      </c>
      <c r="D26" t="str">
        <f>IF(LEN(TRIM(A26))=0,"",GetItemValueFromSpecimenHeader("timepoint"))</f>
        <v>V01</v>
      </c>
      <c r="E26" t="str">
        <f t="shared" si="3"/>
        <v>18</v>
      </c>
      <c r="F26" t="str">
        <f t="shared" si="4"/>
        <v>1</v>
      </c>
      <c r="G26" t="str">
        <f t="shared" si="0"/>
        <v>Male</v>
      </c>
      <c r="H26" t="str">
        <f>IF(LEN(TRIM(A26))=0,"",GetConfigParameterValue("Collection Site"))</f>
        <v>Camp Lejeune, NC</v>
      </c>
      <c r="I26" t="str">
        <f t="shared" si="5"/>
        <v/>
      </c>
      <c r="M26" t="str">
        <f>IF(LEN(TRIM(B26))=0,"",IF(ISERROR(VLOOKUP(RIGHT(B26,4),study_demographic!A:A,1,FALSE)),"NOT FOUND!!!", "OK"))</f>
        <v>OK</v>
      </c>
    </row>
    <row r="27" spans="1:13" x14ac:dyDescent="0.25">
      <c r="A27" t="str">
        <f t="shared" si="1"/>
        <v>C2-0119-V01</v>
      </c>
      <c r="B27" t="str">
        <f t="shared" si="2"/>
        <v>C2-0119</v>
      </c>
      <c r="C27" s="55" t="str">
        <f>IF(LEN(TRIM(A27))=0,"",get_string_val(RIGHT(B27,4)))</f>
        <v>0119</v>
      </c>
      <c r="D27" t="str">
        <f>IF(LEN(TRIM(A27))=0,"",GetItemValueFromSpecimenHeader("timepoint"))</f>
        <v>V01</v>
      </c>
      <c r="E27" t="str">
        <f t="shared" si="3"/>
        <v>19</v>
      </c>
      <c r="F27" t="str">
        <f t="shared" si="4"/>
        <v>1</v>
      </c>
      <c r="G27" t="str">
        <f t="shared" si="0"/>
        <v>Male</v>
      </c>
      <c r="H27" t="str">
        <f>IF(LEN(TRIM(A27))=0,"",GetConfigParameterValue("Collection Site"))</f>
        <v>Camp Lejeune, NC</v>
      </c>
      <c r="I27" t="str">
        <f t="shared" si="5"/>
        <v/>
      </c>
      <c r="M27" t="str">
        <f>IF(LEN(TRIM(B27))=0,"",IF(ISERROR(VLOOKUP(RIGHT(B27,4),study_demographic!A:A,1,FALSE)),"NOT FOUND!!!", "OK"))</f>
        <v>OK</v>
      </c>
    </row>
    <row r="28" spans="1:13" x14ac:dyDescent="0.25">
      <c r="A28" t="str">
        <f t="shared" si="1"/>
        <v>C2-0211-V01</v>
      </c>
      <c r="B28" t="str">
        <f t="shared" si="2"/>
        <v>C2-0211</v>
      </c>
      <c r="C28" s="55" t="str">
        <f>IF(LEN(TRIM(A28))=0,"",get_string_val(RIGHT(B28,4)))</f>
        <v>0211</v>
      </c>
      <c r="D28" t="str">
        <f>IF(LEN(TRIM(A28))=0,"",GetItemValueFromSpecimenHeader("timepoint"))</f>
        <v>V01</v>
      </c>
      <c r="E28" t="str">
        <f t="shared" si="3"/>
        <v>20</v>
      </c>
      <c r="F28" t="str">
        <f t="shared" si="4"/>
        <v>1</v>
      </c>
      <c r="G28" t="str">
        <f t="shared" si="0"/>
        <v>Male</v>
      </c>
      <c r="H28" t="str">
        <f>IF(LEN(TRIM(A28))=0,"",GetConfigParameterValue("Collection Site"))</f>
        <v>Camp Lejeune, NC</v>
      </c>
      <c r="I28" t="str">
        <f t="shared" si="5"/>
        <v/>
      </c>
      <c r="M28" t="str">
        <f>IF(LEN(TRIM(B28))=0,"",IF(ISERROR(VLOOKUP(RIGHT(B28,4),study_demographic!A:A,1,FALSE)),"NOT FOUND!!!", "OK"))</f>
        <v>OK</v>
      </c>
    </row>
    <row r="29" spans="1:13" x14ac:dyDescent="0.25">
      <c r="A29" t="str">
        <f t="shared" si="1"/>
        <v>C2-0371-V01</v>
      </c>
      <c r="B29" t="str">
        <f t="shared" si="2"/>
        <v>C2-0371</v>
      </c>
      <c r="C29" s="55" t="str">
        <f>IF(LEN(TRIM(A29))=0,"",get_string_val(RIGHT(B29,4)))</f>
        <v>0371</v>
      </c>
      <c r="D29" t="str">
        <f>IF(LEN(TRIM(A29))=0,"",GetItemValueFromSpecimenHeader("timepoint"))</f>
        <v>V01</v>
      </c>
      <c r="E29" t="str">
        <f t="shared" si="3"/>
        <v>27</v>
      </c>
      <c r="F29" t="str">
        <f t="shared" si="4"/>
        <v>1</v>
      </c>
      <c r="G29" t="str">
        <f t="shared" si="0"/>
        <v>Male</v>
      </c>
      <c r="H29" t="str">
        <f>IF(LEN(TRIM(A29))=0,"",GetConfigParameterValue("Collection Site"))</f>
        <v>Camp Lejeune, NC</v>
      </c>
      <c r="I29" t="str">
        <f t="shared" si="5"/>
        <v/>
      </c>
      <c r="M29" t="str">
        <f>IF(LEN(TRIM(B29))=0,"",IF(ISERROR(VLOOKUP(RIGHT(B29,4),study_demographic!A:A,1,FALSE)),"NOT FOUND!!!", "OK"))</f>
        <v>OK</v>
      </c>
    </row>
    <row r="30" spans="1:13" x14ac:dyDescent="0.25">
      <c r="A30" t="str">
        <f t="shared" si="1"/>
        <v>C2-0397-V01</v>
      </c>
      <c r="B30" t="str">
        <f t="shared" si="2"/>
        <v>C2-0397</v>
      </c>
      <c r="C30" s="55" t="str">
        <f>IF(LEN(TRIM(A30))=0,"",get_string_val(RIGHT(B30,4)))</f>
        <v>0397</v>
      </c>
      <c r="D30" t="str">
        <f>IF(LEN(TRIM(A30))=0,"",GetItemValueFromSpecimenHeader("timepoint"))</f>
        <v>V01</v>
      </c>
      <c r="E30" t="str">
        <f t="shared" si="3"/>
        <v>19</v>
      </c>
      <c r="F30" t="str">
        <f t="shared" si="4"/>
        <v>1</v>
      </c>
      <c r="G30" t="str">
        <f t="shared" si="0"/>
        <v>Male</v>
      </c>
      <c r="H30" t="str">
        <f>IF(LEN(TRIM(A30))=0,"",GetConfigParameterValue("Collection Site"))</f>
        <v>Camp Lejeune, NC</v>
      </c>
      <c r="I30" t="str">
        <f t="shared" si="5"/>
        <v/>
      </c>
      <c r="M30" t="str">
        <f>IF(LEN(TRIM(B30))=0,"",IF(ISERROR(VLOOKUP(RIGHT(B30,4),study_demographic!A:A,1,FALSE)),"NOT FOUND!!!", "OK"))</f>
        <v>OK</v>
      </c>
    </row>
    <row r="31" spans="1:13" x14ac:dyDescent="0.25">
      <c r="A31" t="str">
        <f t="shared" si="1"/>
        <v>C2-0500-V01</v>
      </c>
      <c r="B31" t="str">
        <f t="shared" si="2"/>
        <v>C2-0500</v>
      </c>
      <c r="C31" s="55" t="str">
        <f>IF(LEN(TRIM(A31))=0,"",get_string_val(RIGHT(B31,4)))</f>
        <v>0500</v>
      </c>
      <c r="D31" t="str">
        <f>IF(LEN(TRIM(A31))=0,"",GetItemValueFromSpecimenHeader("timepoint"))</f>
        <v>V01</v>
      </c>
      <c r="E31" t="str">
        <f t="shared" si="3"/>
        <v>21</v>
      </c>
      <c r="F31" t="str">
        <f t="shared" si="4"/>
        <v>1</v>
      </c>
      <c r="G31" t="str">
        <f t="shared" si="0"/>
        <v>Male</v>
      </c>
      <c r="H31" t="str">
        <f>IF(LEN(TRIM(A31))=0,"",GetConfigParameterValue("Collection Site"))</f>
        <v>Camp Lejeune, NC</v>
      </c>
      <c r="I31" t="str">
        <f t="shared" si="5"/>
        <v/>
      </c>
      <c r="M31" t="str">
        <f>IF(LEN(TRIM(B31))=0,"",IF(ISERROR(VLOOKUP(RIGHT(B31,4),study_demographic!A:A,1,FALSE)),"NOT FOUND!!!", "OK"))</f>
        <v>OK</v>
      </c>
    </row>
    <row r="32" spans="1:13" x14ac:dyDescent="0.25">
      <c r="A32" t="str">
        <f t="shared" si="1"/>
        <v>C2-0551-V01</v>
      </c>
      <c r="B32" t="str">
        <f t="shared" si="2"/>
        <v>C2-0551</v>
      </c>
      <c r="C32" s="55" t="str">
        <f>IF(LEN(TRIM(A32))=0,"",get_string_val(RIGHT(B32,4)))</f>
        <v>0551</v>
      </c>
      <c r="D32" t="str">
        <f>IF(LEN(TRIM(A32))=0,"",GetItemValueFromSpecimenHeader("timepoint"))</f>
        <v>V01</v>
      </c>
      <c r="E32" t="str">
        <f t="shared" si="3"/>
        <v>19</v>
      </c>
      <c r="F32" t="str">
        <f t="shared" si="4"/>
        <v>1</v>
      </c>
      <c r="G32" t="str">
        <f t="shared" si="0"/>
        <v>Male</v>
      </c>
      <c r="H32" t="str">
        <f>IF(LEN(TRIM(A32))=0,"",GetConfigParameterValue("Collection Site"))</f>
        <v>Camp Lejeune, NC</v>
      </c>
      <c r="I32" t="str">
        <f t="shared" si="5"/>
        <v/>
      </c>
      <c r="M32" t="str">
        <f>IF(LEN(TRIM(B32))=0,"",IF(ISERROR(VLOOKUP(RIGHT(B32,4),study_demographic!A:A,1,FALSE)),"NOT FOUND!!!", "OK"))</f>
        <v>OK</v>
      </c>
    </row>
    <row r="33" spans="1:13" x14ac:dyDescent="0.25">
      <c r="A33" t="str">
        <f t="shared" si="1"/>
        <v>C2-0560-V01</v>
      </c>
      <c r="B33" t="str">
        <f t="shared" si="2"/>
        <v>C2-0560</v>
      </c>
      <c r="C33" s="55" t="str">
        <f>IF(LEN(TRIM(A33))=0,"",get_string_val(RIGHT(B33,4)))</f>
        <v>0560</v>
      </c>
      <c r="D33" t="str">
        <f>IF(LEN(TRIM(A33))=0,"",GetItemValueFromSpecimenHeader("timepoint"))</f>
        <v>V01</v>
      </c>
      <c r="E33" t="str">
        <f t="shared" si="3"/>
        <v>22</v>
      </c>
      <c r="F33" t="str">
        <f t="shared" si="4"/>
        <v>1</v>
      </c>
      <c r="G33" t="str">
        <f t="shared" si="0"/>
        <v>Male</v>
      </c>
      <c r="H33" t="str">
        <f>IF(LEN(TRIM(A33))=0,"",GetConfigParameterValue("Collection Site"))</f>
        <v>Camp Lejeune, NC</v>
      </c>
      <c r="I33" t="str">
        <f t="shared" si="5"/>
        <v/>
      </c>
      <c r="M33" t="str">
        <f>IF(LEN(TRIM(B33))=0,"",IF(ISERROR(VLOOKUP(RIGHT(B33,4),study_demographic!A:A,1,FALSE)),"NOT FOUND!!!", "OK"))</f>
        <v>OK</v>
      </c>
    </row>
    <row r="34" spans="1:13" x14ac:dyDescent="0.25">
      <c r="A34" t="str">
        <f t="shared" si="1"/>
        <v>C2-0594-V01</v>
      </c>
      <c r="B34" t="str">
        <f t="shared" si="2"/>
        <v>C2-0594</v>
      </c>
      <c r="C34" s="55" t="str">
        <f>IF(LEN(TRIM(A34))=0,"",get_string_val(RIGHT(B34,4)))</f>
        <v>0594</v>
      </c>
      <c r="D34" t="str">
        <f>IF(LEN(TRIM(A34))=0,"",GetItemValueFromSpecimenHeader("timepoint"))</f>
        <v>V01</v>
      </c>
      <c r="E34" t="str">
        <f t="shared" si="3"/>
        <v>18</v>
      </c>
      <c r="F34" t="str">
        <f t="shared" si="4"/>
        <v>1</v>
      </c>
      <c r="G34" t="str">
        <f t="shared" si="0"/>
        <v>Male</v>
      </c>
      <c r="H34" t="str">
        <f>IF(LEN(TRIM(A34))=0,"",GetConfigParameterValue("Collection Site"))</f>
        <v>Camp Lejeune, NC</v>
      </c>
      <c r="I34" t="str">
        <f t="shared" si="5"/>
        <v/>
      </c>
      <c r="M34" t="str">
        <f>IF(LEN(TRIM(B34))=0,"",IF(ISERROR(VLOOKUP(RIGHT(B34,4),study_demographic!A:A,1,FALSE)),"NOT FOUND!!!", "OK"))</f>
        <v>OK</v>
      </c>
    </row>
    <row r="35" spans="1:13" x14ac:dyDescent="0.25">
      <c r="A35" t="str">
        <f t="shared" si="1"/>
        <v>C2-0665-V01</v>
      </c>
      <c r="B35" t="str">
        <f t="shared" si="2"/>
        <v>C2-0665</v>
      </c>
      <c r="C35" s="55" t="str">
        <f>IF(LEN(TRIM(A35))=0,"",get_string_val(RIGHT(B35,4)))</f>
        <v>0665</v>
      </c>
      <c r="D35" t="str">
        <f>IF(LEN(TRIM(A35))=0,"",GetItemValueFromSpecimenHeader("timepoint"))</f>
        <v>V01</v>
      </c>
      <c r="E35" t="str">
        <f t="shared" si="3"/>
        <v>18</v>
      </c>
      <c r="F35" t="str">
        <f t="shared" si="4"/>
        <v>1</v>
      </c>
      <c r="G35" t="str">
        <f t="shared" si="0"/>
        <v>Male</v>
      </c>
      <c r="H35" t="str">
        <f>IF(LEN(TRIM(A35))=0,"",GetConfigParameterValue("Collection Site"))</f>
        <v>Camp Lejeune, NC</v>
      </c>
      <c r="I35" t="str">
        <f t="shared" si="5"/>
        <v/>
      </c>
      <c r="M35" t="str">
        <f>IF(LEN(TRIM(B35))=0,"",IF(ISERROR(VLOOKUP(RIGHT(B35,4),study_demographic!A:A,1,FALSE)),"NOT FOUND!!!", "OK"))</f>
        <v>OK</v>
      </c>
    </row>
    <row r="36" spans="1:13" x14ac:dyDescent="0.25">
      <c r="A36" t="str">
        <f t="shared" si="1"/>
        <v>C2-0801-V01</v>
      </c>
      <c r="B36" t="str">
        <f t="shared" si="2"/>
        <v>C2-0801</v>
      </c>
      <c r="C36" s="55" t="str">
        <f>IF(LEN(TRIM(A36))=0,"",get_string_val(RIGHT(B36,4)))</f>
        <v>0801</v>
      </c>
      <c r="D36" t="str">
        <f>IF(LEN(TRIM(A36))=0,"",GetItemValueFromSpecimenHeader("timepoint"))</f>
        <v>V01</v>
      </c>
      <c r="E36" t="str">
        <f t="shared" si="3"/>
        <v>20</v>
      </c>
      <c r="F36" t="str">
        <f t="shared" si="4"/>
        <v>1</v>
      </c>
      <c r="G36" t="str">
        <f t="shared" si="0"/>
        <v>Male</v>
      </c>
      <c r="H36" t="str">
        <f>IF(LEN(TRIM(A36))=0,"",GetConfigParameterValue("Collection Site"))</f>
        <v>Camp Lejeune, NC</v>
      </c>
      <c r="I36" t="str">
        <f t="shared" si="5"/>
        <v/>
      </c>
      <c r="M36" t="str">
        <f>IF(LEN(TRIM(B36))=0,"",IF(ISERROR(VLOOKUP(RIGHT(B36,4),study_demographic!A:A,1,FALSE)),"NOT FOUND!!!", "OK"))</f>
        <v>OK</v>
      </c>
    </row>
    <row r="37" spans="1:13" x14ac:dyDescent="0.25">
      <c r="A37" t="str">
        <f t="shared" si="1"/>
        <v>C2-0913-V01</v>
      </c>
      <c r="B37" t="str">
        <f t="shared" si="2"/>
        <v>C2-0913</v>
      </c>
      <c r="C37" s="55" t="str">
        <f>IF(LEN(TRIM(A37))=0,"",get_string_val(RIGHT(B37,4)))</f>
        <v>0913</v>
      </c>
      <c r="D37" t="str">
        <f>IF(LEN(TRIM(A37))=0,"",GetItemValueFromSpecimenHeader("timepoint"))</f>
        <v>V01</v>
      </c>
      <c r="E37" t="str">
        <f t="shared" si="3"/>
        <v>18</v>
      </c>
      <c r="F37" t="str">
        <f t="shared" si="4"/>
        <v>1</v>
      </c>
      <c r="G37" t="str">
        <f t="shared" si="0"/>
        <v>Male</v>
      </c>
      <c r="H37" t="str">
        <f>IF(LEN(TRIM(A37))=0,"",GetConfigParameterValue("Collection Site"))</f>
        <v>Camp Lejeune, NC</v>
      </c>
      <c r="I37" t="str">
        <f t="shared" si="5"/>
        <v/>
      </c>
      <c r="M37" t="str">
        <f>IF(LEN(TRIM(B37))=0,"",IF(ISERROR(VLOOKUP(RIGHT(B37,4),study_demographic!A:A,1,FALSE)),"NOT FOUND!!!", "OK"))</f>
        <v>OK</v>
      </c>
    </row>
    <row r="38" spans="1:13" x14ac:dyDescent="0.25">
      <c r="A38" t="str">
        <f t="shared" si="1"/>
        <v>C2-0936-V01</v>
      </c>
      <c r="B38" t="str">
        <f t="shared" si="2"/>
        <v>C2-0936</v>
      </c>
      <c r="C38" s="55" t="str">
        <f>IF(LEN(TRIM(A38))=0,"",get_string_val(RIGHT(B38,4)))</f>
        <v>0936</v>
      </c>
      <c r="D38" t="str">
        <f>IF(LEN(TRIM(A38))=0,"",GetItemValueFromSpecimenHeader("timepoint"))</f>
        <v>V01</v>
      </c>
      <c r="E38" t="str">
        <f t="shared" si="3"/>
        <v>18</v>
      </c>
      <c r="F38" t="str">
        <f t="shared" si="4"/>
        <v>1</v>
      </c>
      <c r="G38" t="str">
        <f t="shared" si="0"/>
        <v>Male</v>
      </c>
      <c r="H38" t="str">
        <f>IF(LEN(TRIM(A38))=0,"",GetConfigParameterValue("Collection Site"))</f>
        <v>Camp Lejeune, NC</v>
      </c>
      <c r="I38" t="str">
        <f t="shared" si="5"/>
        <v/>
      </c>
      <c r="M38" t="str">
        <f>IF(LEN(TRIM(B38))=0,"",IF(ISERROR(VLOOKUP(RIGHT(B38,4),study_demographic!A:A,1,FALSE)),"NOT FOUND!!!", "OK"))</f>
        <v>OK</v>
      </c>
    </row>
    <row r="39" spans="1:13" x14ac:dyDescent="0.25">
      <c r="A39" t="str">
        <f t="shared" si="1"/>
        <v>C2-0965-V01</v>
      </c>
      <c r="B39" t="str">
        <f t="shared" si="2"/>
        <v>C2-0965</v>
      </c>
      <c r="C39" s="55" t="str">
        <f>IF(LEN(TRIM(A39))=0,"",get_string_val(RIGHT(B39,4)))</f>
        <v>0965</v>
      </c>
      <c r="D39" t="str">
        <f>IF(LEN(TRIM(A39))=0,"",GetItemValueFromSpecimenHeader("timepoint"))</f>
        <v>V01</v>
      </c>
      <c r="E39" t="str">
        <f t="shared" si="3"/>
        <v>18</v>
      </c>
      <c r="F39" t="str">
        <f t="shared" si="4"/>
        <v>1</v>
      </c>
      <c r="G39" t="str">
        <f t="shared" si="0"/>
        <v>Male</v>
      </c>
      <c r="H39" t="str">
        <f>IF(LEN(TRIM(A39))=0,"",GetConfigParameterValue("Collection Site"))</f>
        <v>Camp Lejeune, NC</v>
      </c>
      <c r="I39" t="str">
        <f t="shared" si="5"/>
        <v/>
      </c>
      <c r="M39" t="str">
        <f>IF(LEN(TRIM(B39))=0,"",IF(ISERROR(VLOOKUP(RIGHT(B39,4),study_demographic!A:A,1,FALSE)),"NOT FOUND!!!", "OK"))</f>
        <v>OK</v>
      </c>
    </row>
    <row r="40" spans="1:13" x14ac:dyDescent="0.25">
      <c r="A40" t="str">
        <f t="shared" si="1"/>
        <v>C2-0976-V01</v>
      </c>
      <c r="B40" t="str">
        <f t="shared" si="2"/>
        <v>C2-0976</v>
      </c>
      <c r="C40" s="55" t="str">
        <f>IF(LEN(TRIM(A40))=0,"",get_string_val(RIGHT(B40,4)))</f>
        <v>0976</v>
      </c>
      <c r="D40" t="str">
        <f>IF(LEN(TRIM(A40))=0,"",GetItemValueFromSpecimenHeader("timepoint"))</f>
        <v>V01</v>
      </c>
      <c r="E40" t="str">
        <f t="shared" si="3"/>
        <v>22</v>
      </c>
      <c r="F40" t="str">
        <f t="shared" si="4"/>
        <v>1</v>
      </c>
      <c r="G40" t="str">
        <f t="shared" si="0"/>
        <v>Male</v>
      </c>
      <c r="H40" t="str">
        <f>IF(LEN(TRIM(A40))=0,"",GetConfigParameterValue("Collection Site"))</f>
        <v>Camp Lejeune, NC</v>
      </c>
      <c r="I40" t="str">
        <f t="shared" si="5"/>
        <v/>
      </c>
      <c r="M40" t="str">
        <f>IF(LEN(TRIM(B40))=0,"",IF(ISERROR(VLOOKUP(RIGHT(B40,4),study_demographic!A:A,1,FALSE)),"NOT FOUND!!!", "OK"))</f>
        <v>OK</v>
      </c>
    </row>
    <row r="41" spans="1:13" x14ac:dyDescent="0.25">
      <c r="A41" t="str">
        <f t="shared" si="1"/>
        <v>C2-1154-V01</v>
      </c>
      <c r="B41" t="str">
        <f t="shared" si="2"/>
        <v>C2-1154</v>
      </c>
      <c r="C41" s="55" t="str">
        <f>IF(LEN(TRIM(A41))=0,"",get_string_val(RIGHT(B41,4)))</f>
        <v>1154</v>
      </c>
      <c r="D41" t="str">
        <f>IF(LEN(TRIM(A41))=0,"",GetItemValueFromSpecimenHeader("timepoint"))</f>
        <v>V01</v>
      </c>
      <c r="E41" t="str">
        <f t="shared" si="3"/>
        <v>20</v>
      </c>
      <c r="F41" t="str">
        <f t="shared" si="4"/>
        <v>1</v>
      </c>
      <c r="G41" t="str">
        <f t="shared" si="0"/>
        <v>Male</v>
      </c>
      <c r="H41" t="str">
        <f>IF(LEN(TRIM(A41))=0,"",GetConfigParameterValue("Collection Site"))</f>
        <v>Camp Lejeune, NC</v>
      </c>
      <c r="I41" t="str">
        <f t="shared" si="5"/>
        <v/>
      </c>
      <c r="M41" t="str">
        <f>IF(LEN(TRIM(B41))=0,"",IF(ISERROR(VLOOKUP(RIGHT(B41,4),study_demographic!A:A,1,FALSE)),"NOT FOUND!!!", "OK"))</f>
        <v>OK</v>
      </c>
    </row>
    <row r="42" spans="1:13" x14ac:dyDescent="0.25">
      <c r="A42" t="str">
        <f t="shared" si="1"/>
        <v>C2-1166-V01</v>
      </c>
      <c r="B42" t="str">
        <f t="shared" si="2"/>
        <v>C2-1166</v>
      </c>
      <c r="C42" s="55" t="str">
        <f>IF(LEN(TRIM(A42))=0,"",get_string_val(RIGHT(B42,4)))</f>
        <v>1166</v>
      </c>
      <c r="D42" t="str">
        <f>IF(LEN(TRIM(A42))=0,"",GetItemValueFromSpecimenHeader("timepoint"))</f>
        <v>V01</v>
      </c>
      <c r="E42" t="str">
        <f t="shared" si="3"/>
        <v>18</v>
      </c>
      <c r="F42" t="str">
        <f t="shared" si="4"/>
        <v>1</v>
      </c>
      <c r="G42" t="str">
        <f t="shared" si="0"/>
        <v>Male</v>
      </c>
      <c r="H42" t="str">
        <f>IF(LEN(TRIM(A42))=0,"",GetConfigParameterValue("Collection Site"))</f>
        <v>Camp Lejeune, NC</v>
      </c>
      <c r="I42" t="str">
        <f t="shared" si="5"/>
        <v/>
      </c>
      <c r="M42" t="str">
        <f>IF(LEN(TRIM(B42))=0,"",IF(ISERROR(VLOOKUP(RIGHT(B42,4),study_demographic!A:A,1,FALSE)),"NOT FOUND!!!", "OK"))</f>
        <v>OK</v>
      </c>
    </row>
    <row r="43" spans="1:13" x14ac:dyDescent="0.25">
      <c r="A43" t="str">
        <f t="shared" si="1"/>
        <v>C2-1291-V01</v>
      </c>
      <c r="B43" t="str">
        <f t="shared" si="2"/>
        <v>C2-1291</v>
      </c>
      <c r="C43" s="55" t="str">
        <f>IF(LEN(TRIM(A43))=0,"",get_string_val(RIGHT(B43,4)))</f>
        <v>1291</v>
      </c>
      <c r="D43" t="str">
        <f>IF(LEN(TRIM(A43))=0,"",GetItemValueFromSpecimenHeader("timepoint"))</f>
        <v>V01</v>
      </c>
      <c r="E43" t="str">
        <f t="shared" si="3"/>
        <v>20</v>
      </c>
      <c r="F43" t="str">
        <f t="shared" si="4"/>
        <v>1</v>
      </c>
      <c r="G43" t="str">
        <f t="shared" si="0"/>
        <v>Male</v>
      </c>
      <c r="H43" t="str">
        <f>IF(LEN(TRIM(A43))=0,"",GetConfigParameterValue("Collection Site"))</f>
        <v>Camp Lejeune, NC</v>
      </c>
      <c r="I43" t="str">
        <f t="shared" si="5"/>
        <v/>
      </c>
      <c r="M43" t="str">
        <f>IF(LEN(TRIM(B43))=0,"",IF(ISERROR(VLOOKUP(RIGHT(B43,4),study_demographic!A:A,1,FALSE)),"NOT FOUND!!!", "OK"))</f>
        <v>OK</v>
      </c>
    </row>
    <row r="44" spans="1:13" x14ac:dyDescent="0.25">
      <c r="A44" t="str">
        <f t="shared" si="1"/>
        <v>C2-1303-V01</v>
      </c>
      <c r="B44" t="str">
        <f t="shared" si="2"/>
        <v>C2-1303</v>
      </c>
      <c r="C44" s="55" t="str">
        <f>IF(LEN(TRIM(A44))=0,"",get_string_val(RIGHT(B44,4)))</f>
        <v>1303</v>
      </c>
      <c r="D44" t="str">
        <f>IF(LEN(TRIM(A44))=0,"",GetItemValueFromSpecimenHeader("timepoint"))</f>
        <v>V01</v>
      </c>
      <c r="E44" t="str">
        <f t="shared" si="3"/>
        <v>19</v>
      </c>
      <c r="F44" t="str">
        <f t="shared" si="4"/>
        <v>1</v>
      </c>
      <c r="G44" t="str">
        <f t="shared" si="0"/>
        <v>Male</v>
      </c>
      <c r="H44" t="str">
        <f>IF(LEN(TRIM(A44))=0,"",GetConfigParameterValue("Collection Site"))</f>
        <v>Camp Lejeune, NC</v>
      </c>
      <c r="I44" t="str">
        <f t="shared" si="5"/>
        <v/>
      </c>
      <c r="M44" t="str">
        <f>IF(LEN(TRIM(B44))=0,"",IF(ISERROR(VLOOKUP(RIGHT(B44,4),study_demographic!A:A,1,FALSE)),"NOT FOUND!!!", "OK"))</f>
        <v>OK</v>
      </c>
    </row>
    <row r="45" spans="1:13" x14ac:dyDescent="0.25">
      <c r="A45" t="str">
        <f t="shared" si="1"/>
        <v>C2-1365-V01</v>
      </c>
      <c r="B45" t="str">
        <f t="shared" si="2"/>
        <v>C2-1365</v>
      </c>
      <c r="C45" s="55" t="str">
        <f>IF(LEN(TRIM(A45))=0,"",get_string_val(RIGHT(B45,4)))</f>
        <v>1365</v>
      </c>
      <c r="D45" t="str">
        <f>IF(LEN(TRIM(A45))=0,"",GetItemValueFromSpecimenHeader("timepoint"))</f>
        <v>V01</v>
      </c>
      <c r="E45" t="str">
        <f t="shared" si="3"/>
        <v>18</v>
      </c>
      <c r="F45" t="str">
        <f t="shared" si="4"/>
        <v>1</v>
      </c>
      <c r="G45" t="str">
        <f t="shared" si="0"/>
        <v>Male</v>
      </c>
      <c r="H45" t="str">
        <f>IF(LEN(TRIM(A45))=0,"",GetConfigParameterValue("Collection Site"))</f>
        <v>Camp Lejeune, NC</v>
      </c>
      <c r="I45" t="str">
        <f t="shared" si="5"/>
        <v/>
      </c>
      <c r="M45" t="str">
        <f>IF(LEN(TRIM(B45))=0,"",IF(ISERROR(VLOOKUP(RIGHT(B45,4),study_demographic!A:A,1,FALSE)),"NOT FOUND!!!", "OK"))</f>
        <v>OK</v>
      </c>
    </row>
    <row r="46" spans="1:13" x14ac:dyDescent="0.25">
      <c r="A46" t="str">
        <f t="shared" si="1"/>
        <v>C2-1475-V01</v>
      </c>
      <c r="B46" t="str">
        <f t="shared" si="2"/>
        <v>C2-1475</v>
      </c>
      <c r="C46" s="55" t="str">
        <f>IF(LEN(TRIM(A46))=0,"",get_string_val(RIGHT(B46,4)))</f>
        <v>1475</v>
      </c>
      <c r="D46" t="str">
        <f>IF(LEN(TRIM(A46))=0,"",GetItemValueFromSpecimenHeader("timepoint"))</f>
        <v>V01</v>
      </c>
      <c r="E46" t="str">
        <f t="shared" si="3"/>
        <v>18</v>
      </c>
      <c r="F46" t="str">
        <f t="shared" si="4"/>
        <v>1</v>
      </c>
      <c r="G46" t="str">
        <f t="shared" si="0"/>
        <v>Male</v>
      </c>
      <c r="H46" t="str">
        <f>IF(LEN(TRIM(A46))=0,"",GetConfigParameterValue("Collection Site"))</f>
        <v>Camp Lejeune, NC</v>
      </c>
      <c r="I46" t="str">
        <f t="shared" si="5"/>
        <v/>
      </c>
      <c r="M46" t="str">
        <f>IF(LEN(TRIM(B46))=0,"",IF(ISERROR(VLOOKUP(RIGHT(B46,4),study_demographic!A:A,1,FALSE)),"NOT FOUND!!!", "OK"))</f>
        <v>OK</v>
      </c>
    </row>
    <row r="47" spans="1:13" x14ac:dyDescent="0.25">
      <c r="A47" t="str">
        <f t="shared" si="1"/>
        <v>C2-1647-V01</v>
      </c>
      <c r="B47" t="str">
        <f t="shared" si="2"/>
        <v>C2-1647</v>
      </c>
      <c r="C47" s="55" t="str">
        <f>IF(LEN(TRIM(A47))=0,"",get_string_val(RIGHT(B47,4)))</f>
        <v>1647</v>
      </c>
      <c r="D47" t="str">
        <f>IF(LEN(TRIM(A47))=0,"",GetItemValueFromSpecimenHeader("timepoint"))</f>
        <v>V01</v>
      </c>
      <c r="E47" t="str">
        <f t="shared" si="3"/>
        <v>20</v>
      </c>
      <c r="F47" t="str">
        <f t="shared" si="4"/>
        <v>1</v>
      </c>
      <c r="G47" t="str">
        <f t="shared" si="0"/>
        <v>Male</v>
      </c>
      <c r="H47" t="str">
        <f>IF(LEN(TRIM(A47))=0,"",GetConfigParameterValue("Collection Site"))</f>
        <v>Camp Lejeune, NC</v>
      </c>
      <c r="I47" t="str">
        <f t="shared" si="5"/>
        <v/>
      </c>
      <c r="M47" t="str">
        <f>IF(LEN(TRIM(B47))=0,"",IF(ISERROR(VLOOKUP(RIGHT(B47,4),study_demographic!A:A,1,FALSE)),"NOT FOUND!!!", "OK"))</f>
        <v>OK</v>
      </c>
    </row>
    <row r="48" spans="1:13" x14ac:dyDescent="0.25">
      <c r="A48" t="str">
        <f t="shared" si="1"/>
        <v>C2-1745-V01</v>
      </c>
      <c r="B48" t="str">
        <f t="shared" si="2"/>
        <v>C2-1745</v>
      </c>
      <c r="C48" s="55" t="str">
        <f>IF(LEN(TRIM(A48))=0,"",get_string_val(RIGHT(B48,4)))</f>
        <v>1745</v>
      </c>
      <c r="D48" t="str">
        <f>IF(LEN(TRIM(A48))=0,"",GetItemValueFromSpecimenHeader("timepoint"))</f>
        <v>V01</v>
      </c>
      <c r="E48" t="str">
        <f t="shared" si="3"/>
        <v>19</v>
      </c>
      <c r="F48" t="str">
        <f t="shared" si="4"/>
        <v>1</v>
      </c>
      <c r="G48" t="str">
        <f t="shared" si="0"/>
        <v>Male</v>
      </c>
      <c r="H48" t="str">
        <f>IF(LEN(TRIM(A48))=0,"",GetConfigParameterValue("Collection Site"))</f>
        <v>Camp Lejeune, NC</v>
      </c>
      <c r="I48" t="str">
        <f t="shared" si="5"/>
        <v/>
      </c>
      <c r="M48" t="str">
        <f>IF(LEN(TRIM(B48))=0,"",IF(ISERROR(VLOOKUP(RIGHT(B48,4),study_demographic!A:A,1,FALSE)),"NOT FOUND!!!", "OK"))</f>
        <v>OK</v>
      </c>
    </row>
    <row r="49" spans="1:13" x14ac:dyDescent="0.25">
      <c r="A49" t="str">
        <f t="shared" si="1"/>
        <v>C2-1808-V01</v>
      </c>
      <c r="B49" t="str">
        <f t="shared" si="2"/>
        <v>C2-1808</v>
      </c>
      <c r="C49" s="55" t="str">
        <f>IF(LEN(TRIM(A49))=0,"",get_string_val(RIGHT(B49,4)))</f>
        <v>1808</v>
      </c>
      <c r="D49" t="str">
        <f>IF(LEN(TRIM(A49))=0,"",GetItemValueFromSpecimenHeader("timepoint"))</f>
        <v>V01</v>
      </c>
      <c r="E49" t="str">
        <f t="shared" si="3"/>
        <v>18</v>
      </c>
      <c r="F49" t="str">
        <f t="shared" si="4"/>
        <v>1</v>
      </c>
      <c r="G49" t="str">
        <f t="shared" si="0"/>
        <v>Male</v>
      </c>
      <c r="H49" t="str">
        <f>IF(LEN(TRIM(A49))=0,"",GetConfigParameterValue("Collection Site"))</f>
        <v>Camp Lejeune, NC</v>
      </c>
      <c r="I49" t="str">
        <f t="shared" si="5"/>
        <v/>
      </c>
      <c r="M49" t="str">
        <f>IF(LEN(TRIM(B49))=0,"",IF(ISERROR(VLOOKUP(RIGHT(B49,4),study_demographic!A:A,1,FALSE)),"NOT FOUND!!!", "OK"))</f>
        <v>OK</v>
      </c>
    </row>
    <row r="50" spans="1:13" x14ac:dyDescent="0.25">
      <c r="A50" t="str">
        <f t="shared" si="1"/>
        <v>C2-1995-V01</v>
      </c>
      <c r="B50" t="str">
        <f t="shared" si="2"/>
        <v>C2-1995</v>
      </c>
      <c r="C50" s="55" t="str">
        <f>IF(LEN(TRIM(A50))=0,"",get_string_val(RIGHT(B50,4)))</f>
        <v>1995</v>
      </c>
      <c r="D50" t="str">
        <f>IF(LEN(TRIM(A50))=0,"",GetItemValueFromSpecimenHeader("timepoint"))</f>
        <v>V01</v>
      </c>
      <c r="E50" t="str">
        <f t="shared" si="3"/>
        <v>18</v>
      </c>
      <c r="F50" t="str">
        <f t="shared" si="4"/>
        <v>1</v>
      </c>
      <c r="G50" t="str">
        <f t="shared" si="0"/>
        <v>Male</v>
      </c>
      <c r="H50" t="str">
        <f>IF(LEN(TRIM(A50))=0,"",GetConfigParameterValue("Collection Site"))</f>
        <v>Camp Lejeune, NC</v>
      </c>
      <c r="I50" t="str">
        <f t="shared" si="5"/>
        <v/>
      </c>
      <c r="M50" t="str">
        <f>IF(LEN(TRIM(B50))=0,"",IF(ISERROR(VLOOKUP(RIGHT(B50,4),study_demographic!A:A,1,FALSE)),"NOT FOUND!!!", "OK"))</f>
        <v>OK</v>
      </c>
    </row>
    <row r="51" spans="1:13" x14ac:dyDescent="0.25">
      <c r="A51" t="str">
        <f t="shared" si="1"/>
        <v>C2-0309-V01</v>
      </c>
      <c r="B51" t="str">
        <f t="shared" si="2"/>
        <v>C2-0309</v>
      </c>
      <c r="C51" s="55" t="str">
        <f>IF(LEN(TRIM(A51))=0,"",get_string_val(RIGHT(B51,4)))</f>
        <v>0309</v>
      </c>
      <c r="D51" t="str">
        <f>IF(LEN(TRIM(A51))=0,"",GetItemValueFromSpecimenHeader("timepoint"))</f>
        <v>V01</v>
      </c>
      <c r="E51" t="str">
        <f t="shared" si="3"/>
        <v>21</v>
      </c>
      <c r="F51" t="str">
        <f t="shared" si="4"/>
        <v>1</v>
      </c>
      <c r="G51" t="str">
        <f t="shared" si="0"/>
        <v>Male</v>
      </c>
      <c r="H51" t="str">
        <f>IF(LEN(TRIM(A51))=0,"",GetConfigParameterValue("Collection Site"))</f>
        <v>Camp Lejeune, NC</v>
      </c>
      <c r="I51" t="str">
        <f t="shared" si="5"/>
        <v/>
      </c>
      <c r="M51" t="str">
        <f>IF(LEN(TRIM(B51))=0,"",IF(ISERROR(VLOOKUP(RIGHT(B51,4),study_demographic!A:A,1,FALSE)),"NOT FOUND!!!", "OK"))</f>
        <v>OK</v>
      </c>
    </row>
    <row r="52" spans="1:13" x14ac:dyDescent="0.25">
      <c r="A52" t="str">
        <f t="shared" si="1"/>
        <v>C2-0311-V01</v>
      </c>
      <c r="B52" t="str">
        <f t="shared" si="2"/>
        <v>C2-0311</v>
      </c>
      <c r="C52" s="55" t="str">
        <f>IF(LEN(TRIM(A52))=0,"",get_string_val(RIGHT(B52,4)))</f>
        <v>0311</v>
      </c>
      <c r="D52" t="str">
        <f>IF(LEN(TRIM(A52))=0,"",GetItemValueFromSpecimenHeader("timepoint"))</f>
        <v>V01</v>
      </c>
      <c r="E52" t="str">
        <f t="shared" si="3"/>
        <v>19</v>
      </c>
      <c r="F52" t="str">
        <f t="shared" si="4"/>
        <v>1</v>
      </c>
      <c r="G52" t="str">
        <f t="shared" si="0"/>
        <v>Male</v>
      </c>
      <c r="H52" t="str">
        <f>IF(LEN(TRIM(A52))=0,"",GetConfigParameterValue("Collection Site"))</f>
        <v>Camp Lejeune, NC</v>
      </c>
      <c r="I52" t="str">
        <f t="shared" si="5"/>
        <v/>
      </c>
      <c r="M52" t="str">
        <f>IF(LEN(TRIM(B52))=0,"",IF(ISERROR(VLOOKUP(RIGHT(B52,4),study_demographic!A:A,1,FALSE)),"NOT FOUND!!!", "OK"))</f>
        <v>OK</v>
      </c>
    </row>
    <row r="53" spans="1:13" x14ac:dyDescent="0.25">
      <c r="A53" t="str">
        <f t="shared" si="1"/>
        <v>C2-0368-V01</v>
      </c>
      <c r="B53" t="str">
        <f t="shared" si="2"/>
        <v>C2-0368</v>
      </c>
      <c r="C53" s="55" t="str">
        <f>IF(LEN(TRIM(A53))=0,"",get_string_val(RIGHT(B53,4)))</f>
        <v>0368</v>
      </c>
      <c r="D53" t="str">
        <f>IF(LEN(TRIM(A53))=0,"",GetItemValueFromSpecimenHeader("timepoint"))</f>
        <v>V01</v>
      </c>
      <c r="E53" t="str">
        <f t="shared" si="3"/>
        <v>20</v>
      </c>
      <c r="F53" t="str">
        <f t="shared" si="4"/>
        <v>1</v>
      </c>
      <c r="G53" t="str">
        <f t="shared" si="0"/>
        <v>Male</v>
      </c>
      <c r="H53" t="str">
        <f>IF(LEN(TRIM(A53))=0,"",GetConfigParameterValue("Collection Site"))</f>
        <v>Camp Lejeune, NC</v>
      </c>
      <c r="I53" t="str">
        <f t="shared" si="5"/>
        <v/>
      </c>
      <c r="M53" t="str">
        <f>IF(LEN(TRIM(B53))=0,"",IF(ISERROR(VLOOKUP(RIGHT(B53,4),study_demographic!A:A,1,FALSE)),"NOT FOUND!!!", "OK"))</f>
        <v>OK</v>
      </c>
    </row>
    <row r="54" spans="1:13" x14ac:dyDescent="0.25">
      <c r="A54" t="str">
        <f t="shared" si="1"/>
        <v>C2-0369-V01</v>
      </c>
      <c r="B54" t="str">
        <f t="shared" si="2"/>
        <v>C2-0369</v>
      </c>
      <c r="C54" s="55" t="str">
        <f>IF(LEN(TRIM(A54))=0,"",get_string_val(RIGHT(B54,4)))</f>
        <v>0369</v>
      </c>
      <c r="D54" t="str">
        <f>IF(LEN(TRIM(A54))=0,"",GetItemValueFromSpecimenHeader("timepoint"))</f>
        <v>V01</v>
      </c>
      <c r="E54" t="str">
        <f t="shared" si="3"/>
        <v>24</v>
      </c>
      <c r="F54" t="str">
        <f t="shared" si="4"/>
        <v>1</v>
      </c>
      <c r="G54" t="str">
        <f t="shared" si="0"/>
        <v>Male</v>
      </c>
      <c r="H54" t="str">
        <f>IF(LEN(TRIM(A54))=0,"",GetConfigParameterValue("Collection Site"))</f>
        <v>Camp Lejeune, NC</v>
      </c>
      <c r="I54" t="str">
        <f t="shared" si="5"/>
        <v/>
      </c>
      <c r="M54" t="str">
        <f>IF(LEN(TRIM(B54))=0,"",IF(ISERROR(VLOOKUP(RIGHT(B54,4),study_demographic!A:A,1,FALSE)),"NOT FOUND!!!", "OK"))</f>
        <v>OK</v>
      </c>
    </row>
    <row r="55" spans="1:13" x14ac:dyDescent="0.25">
      <c r="A55" t="str">
        <f t="shared" si="1"/>
        <v/>
      </c>
      <c r="B55" t="str">
        <f t="shared" si="2"/>
        <v/>
      </c>
      <c r="C55" s="55" t="str">
        <f>IF(LEN(TRIM(A55))=0,"",get_string_val(RIGHT(B55,4)))</f>
        <v/>
      </c>
      <c r="D55" t="str">
        <f>IF(LEN(TRIM(A55))=0,"",GetItemValueFromSpecimenHeader("timepoint"))</f>
        <v/>
      </c>
      <c r="E55" t="str">
        <f t="shared" si="3"/>
        <v/>
      </c>
      <c r="F55" t="str">
        <f t="shared" si="4"/>
        <v/>
      </c>
      <c r="G55" t="str">
        <f t="shared" si="0"/>
        <v/>
      </c>
      <c r="H55" t="str">
        <f>IF(LEN(TRIM(A55))=0,"",GetConfigParameterValue("Collection Site"))</f>
        <v/>
      </c>
      <c r="I55" t="str">
        <f t="shared" si="5"/>
        <v/>
      </c>
      <c r="M55" t="str">
        <f>IF(LEN(TRIM(B55))=0,"",IF(ISERROR(VLOOKUP(RIGHT(B55,4),study_demographic!A:A,1,FALSE)),"NOT FOUND!!!", "OK"))</f>
        <v/>
      </c>
    </row>
    <row r="56" spans="1:13" x14ac:dyDescent="0.25">
      <c r="A56" t="str">
        <f t="shared" si="1"/>
        <v>C2-0401-V01</v>
      </c>
      <c r="B56" t="str">
        <f t="shared" si="2"/>
        <v>C2-0401</v>
      </c>
      <c r="C56" s="55" t="str">
        <f>IF(LEN(TRIM(A56))=0,"",get_string_val(RIGHT(B56,4)))</f>
        <v>0401</v>
      </c>
      <c r="D56" t="str">
        <f>IF(LEN(TRIM(A56))=0,"",GetItemValueFromSpecimenHeader("timepoint"))</f>
        <v>V01</v>
      </c>
      <c r="E56" t="str">
        <f t="shared" si="3"/>
        <v>26</v>
      </c>
      <c r="F56" t="str">
        <f t="shared" si="4"/>
        <v>1</v>
      </c>
      <c r="G56" t="str">
        <f t="shared" si="0"/>
        <v>Male</v>
      </c>
      <c r="H56" t="str">
        <f>IF(LEN(TRIM(A56))=0,"",GetConfigParameterValue("Collection Site"))</f>
        <v>Camp Lejeune, NC</v>
      </c>
      <c r="I56" t="str">
        <f t="shared" si="5"/>
        <v/>
      </c>
      <c r="M56" t="str">
        <f>IF(LEN(TRIM(B56))=0,"",IF(ISERROR(VLOOKUP(RIGHT(B56,4),study_demographic!A:A,1,FALSE)),"NOT FOUND!!!", "OK"))</f>
        <v>OK</v>
      </c>
    </row>
    <row r="57" spans="1:13" x14ac:dyDescent="0.25">
      <c r="A57" t="str">
        <f t="shared" si="1"/>
        <v>C2-0429-V01</v>
      </c>
      <c r="B57" t="str">
        <f t="shared" si="2"/>
        <v>C2-0429</v>
      </c>
      <c r="C57" s="55" t="str">
        <f>IF(LEN(TRIM(A57))=0,"",get_string_val(RIGHT(B57,4)))</f>
        <v>0429</v>
      </c>
      <c r="D57" t="str">
        <f>IF(LEN(TRIM(A57))=0,"",GetItemValueFromSpecimenHeader("timepoint"))</f>
        <v>V01</v>
      </c>
      <c r="E57" t="str">
        <f t="shared" si="3"/>
        <v>21</v>
      </c>
      <c r="F57" t="str">
        <f t="shared" si="4"/>
        <v>1</v>
      </c>
      <c r="G57" t="str">
        <f t="shared" si="0"/>
        <v>Male</v>
      </c>
      <c r="H57" t="str">
        <f>IF(LEN(TRIM(A57))=0,"",GetConfigParameterValue("Collection Site"))</f>
        <v>Camp Lejeune, NC</v>
      </c>
      <c r="I57" t="str">
        <f t="shared" si="5"/>
        <v/>
      </c>
      <c r="M57" t="str">
        <f>IF(LEN(TRIM(B57))=0,"",IF(ISERROR(VLOOKUP(RIGHT(B57,4),study_demographic!A:A,1,FALSE)),"NOT FOUND!!!", "OK"))</f>
        <v>OK</v>
      </c>
    </row>
    <row r="58" spans="1:13" x14ac:dyDescent="0.25">
      <c r="A58" t="str">
        <f t="shared" si="1"/>
        <v>C2-0505-V01</v>
      </c>
      <c r="B58" t="str">
        <f t="shared" si="2"/>
        <v>C2-0505</v>
      </c>
      <c r="C58" s="55" t="str">
        <f>IF(LEN(TRIM(A58))=0,"",get_string_val(RIGHT(B58,4)))</f>
        <v>0505</v>
      </c>
      <c r="D58" t="str">
        <f>IF(LEN(TRIM(A58))=0,"",GetItemValueFromSpecimenHeader("timepoint"))</f>
        <v>V01</v>
      </c>
      <c r="E58" t="str">
        <f t="shared" si="3"/>
        <v>18</v>
      </c>
      <c r="F58" t="str">
        <f t="shared" si="4"/>
        <v>1</v>
      </c>
      <c r="G58" t="str">
        <f t="shared" si="0"/>
        <v>Male</v>
      </c>
      <c r="H58" t="str">
        <f>IF(LEN(TRIM(A58))=0,"",GetConfigParameterValue("Collection Site"))</f>
        <v>Camp Lejeune, NC</v>
      </c>
      <c r="I58" t="str">
        <f t="shared" si="5"/>
        <v/>
      </c>
      <c r="M58" t="str">
        <f>IF(LEN(TRIM(B58))=0,"",IF(ISERROR(VLOOKUP(RIGHT(B58,4),study_demographic!A:A,1,FALSE)),"NOT FOUND!!!", "OK"))</f>
        <v>OK</v>
      </c>
    </row>
    <row r="59" spans="1:13" x14ac:dyDescent="0.25">
      <c r="A59" t="str">
        <f t="shared" si="1"/>
        <v>C2-0562-V01</v>
      </c>
      <c r="B59" t="str">
        <f t="shared" si="2"/>
        <v>C2-0562</v>
      </c>
      <c r="C59" s="55" t="str">
        <f>IF(LEN(TRIM(A59))=0,"",get_string_val(RIGHT(B59,4)))</f>
        <v>0562</v>
      </c>
      <c r="D59" t="str">
        <f>IF(LEN(TRIM(A59))=0,"",GetItemValueFromSpecimenHeader("timepoint"))</f>
        <v>V01</v>
      </c>
      <c r="E59" t="str">
        <f t="shared" si="3"/>
        <v>18</v>
      </c>
      <c r="F59" t="str">
        <f t="shared" si="4"/>
        <v>1</v>
      </c>
      <c r="G59" t="str">
        <f t="shared" si="0"/>
        <v>Male</v>
      </c>
      <c r="H59" t="str">
        <f>IF(LEN(TRIM(A59))=0,"",GetConfigParameterValue("Collection Site"))</f>
        <v>Camp Lejeune, NC</v>
      </c>
      <c r="I59" t="str">
        <f t="shared" si="5"/>
        <v/>
      </c>
      <c r="M59" t="str">
        <f>IF(LEN(TRIM(B59))=0,"",IF(ISERROR(VLOOKUP(RIGHT(B59,4),study_demographic!A:A,1,FALSE)),"NOT FOUND!!!", "OK"))</f>
        <v>OK</v>
      </c>
    </row>
    <row r="60" spans="1:13" x14ac:dyDescent="0.25">
      <c r="A60" t="str">
        <f t="shared" si="1"/>
        <v>C2-0572-V01</v>
      </c>
      <c r="B60" t="str">
        <f t="shared" si="2"/>
        <v>C2-0572</v>
      </c>
      <c r="C60" s="55" t="str">
        <f>IF(LEN(TRIM(A60))=0,"",get_string_val(RIGHT(B60,4)))</f>
        <v>0572</v>
      </c>
      <c r="D60" t="str">
        <f>IF(LEN(TRIM(A60))=0,"",GetItemValueFromSpecimenHeader("timepoint"))</f>
        <v>V01</v>
      </c>
      <c r="E60" t="str">
        <f t="shared" si="3"/>
        <v>25</v>
      </c>
      <c r="F60" t="str">
        <f t="shared" si="4"/>
        <v>1</v>
      </c>
      <c r="G60" t="str">
        <f t="shared" si="0"/>
        <v>Male</v>
      </c>
      <c r="H60" t="str">
        <f>IF(LEN(TRIM(A60))=0,"",GetConfigParameterValue("Collection Site"))</f>
        <v>Camp Lejeune, NC</v>
      </c>
      <c r="I60" t="str">
        <f t="shared" si="5"/>
        <v/>
      </c>
      <c r="M60" t="str">
        <f>IF(LEN(TRIM(B60))=0,"",IF(ISERROR(VLOOKUP(RIGHT(B60,4),study_demographic!A:A,1,FALSE)),"NOT FOUND!!!", "OK"))</f>
        <v>OK</v>
      </c>
    </row>
    <row r="61" spans="1:13" x14ac:dyDescent="0.25">
      <c r="A61" t="str">
        <f t="shared" si="1"/>
        <v>C2-0608-V01</v>
      </c>
      <c r="B61" t="str">
        <f t="shared" si="2"/>
        <v>C2-0608</v>
      </c>
      <c r="C61" s="55" t="str">
        <f>IF(LEN(TRIM(A61))=0,"",get_string_val(RIGHT(B61,4)))</f>
        <v>0608</v>
      </c>
      <c r="D61" t="str">
        <f>IF(LEN(TRIM(A61))=0,"",GetItemValueFromSpecimenHeader("timepoint"))</f>
        <v>V01</v>
      </c>
      <c r="E61" t="str">
        <f t="shared" si="3"/>
        <v>19</v>
      </c>
      <c r="F61" t="str">
        <f t="shared" si="4"/>
        <v>1</v>
      </c>
      <c r="G61" t="str">
        <f t="shared" si="0"/>
        <v>Male</v>
      </c>
      <c r="H61" t="str">
        <f>IF(LEN(TRIM(A61))=0,"",GetConfigParameterValue("Collection Site"))</f>
        <v>Camp Lejeune, NC</v>
      </c>
      <c r="I61" t="str">
        <f t="shared" si="5"/>
        <v/>
      </c>
      <c r="M61" t="str">
        <f>IF(LEN(TRIM(B61))=0,"",IF(ISERROR(VLOOKUP(RIGHT(B61,4),study_demographic!A:A,1,FALSE)),"NOT FOUND!!!", "OK"))</f>
        <v>OK</v>
      </c>
    </row>
    <row r="62" spans="1:13" x14ac:dyDescent="0.25">
      <c r="A62" t="str">
        <f t="shared" si="1"/>
        <v>C2-0634-V01</v>
      </c>
      <c r="B62" t="str">
        <f t="shared" si="2"/>
        <v>C2-0634</v>
      </c>
      <c r="C62" s="55" t="str">
        <f>IF(LEN(TRIM(A62))=0,"",get_string_val(RIGHT(B62,4)))</f>
        <v>0634</v>
      </c>
      <c r="D62" t="str">
        <f>IF(LEN(TRIM(A62))=0,"",GetItemValueFromSpecimenHeader("timepoint"))</f>
        <v>V01</v>
      </c>
      <c r="E62" t="str">
        <f t="shared" si="3"/>
        <v>19</v>
      </c>
      <c r="F62" t="str">
        <f t="shared" si="4"/>
        <v>1</v>
      </c>
      <c r="G62" t="str">
        <f t="shared" si="0"/>
        <v>Male</v>
      </c>
      <c r="H62" t="str">
        <f>IF(LEN(TRIM(A62))=0,"",GetConfigParameterValue("Collection Site"))</f>
        <v>Camp Lejeune, NC</v>
      </c>
      <c r="I62" t="str">
        <f t="shared" si="5"/>
        <v/>
      </c>
      <c r="M62" t="str">
        <f>IF(LEN(TRIM(B62))=0,"",IF(ISERROR(VLOOKUP(RIGHT(B62,4),study_demographic!A:A,1,FALSE)),"NOT FOUND!!!", "OK"))</f>
        <v>OK</v>
      </c>
    </row>
    <row r="63" spans="1:13" x14ac:dyDescent="0.25">
      <c r="A63" t="str">
        <f t="shared" si="1"/>
        <v>C2-0640-V01</v>
      </c>
      <c r="B63" t="str">
        <f t="shared" si="2"/>
        <v>C2-0640</v>
      </c>
      <c r="C63" s="55" t="str">
        <f>IF(LEN(TRIM(A63))=0,"",get_string_val(RIGHT(B63,4)))</f>
        <v>0640</v>
      </c>
      <c r="D63" t="str">
        <f>IF(LEN(TRIM(A63))=0,"",GetItemValueFromSpecimenHeader("timepoint"))</f>
        <v>V01</v>
      </c>
      <c r="E63" t="str">
        <f t="shared" si="3"/>
        <v>19</v>
      </c>
      <c r="F63" t="str">
        <f t="shared" si="4"/>
        <v>1</v>
      </c>
      <c r="G63" t="str">
        <f t="shared" si="0"/>
        <v>Male</v>
      </c>
      <c r="H63" t="str">
        <f>IF(LEN(TRIM(A63))=0,"",GetConfigParameterValue("Collection Site"))</f>
        <v>Camp Lejeune, NC</v>
      </c>
      <c r="I63" t="str">
        <f t="shared" si="5"/>
        <v/>
      </c>
      <c r="M63" t="str">
        <f>IF(LEN(TRIM(B63))=0,"",IF(ISERROR(VLOOKUP(RIGHT(B63,4),study_demographic!A:A,1,FALSE)),"NOT FOUND!!!", "OK"))</f>
        <v>OK</v>
      </c>
    </row>
    <row r="64" spans="1:13" x14ac:dyDescent="0.25">
      <c r="A64" t="str">
        <f t="shared" si="1"/>
        <v>C2-0648-V01</v>
      </c>
      <c r="B64" t="str">
        <f t="shared" si="2"/>
        <v>C2-0648</v>
      </c>
      <c r="C64" s="55" t="str">
        <f>IF(LEN(TRIM(A64))=0,"",get_string_val(RIGHT(B64,4)))</f>
        <v>0648</v>
      </c>
      <c r="D64" t="str">
        <f>IF(LEN(TRIM(A64))=0,"",GetItemValueFromSpecimenHeader("timepoint"))</f>
        <v>V01</v>
      </c>
      <c r="E64" t="str">
        <f t="shared" si="3"/>
        <v>31</v>
      </c>
      <c r="F64" t="str">
        <f t="shared" si="4"/>
        <v>1</v>
      </c>
      <c r="G64" t="str">
        <f t="shared" si="0"/>
        <v>Male</v>
      </c>
      <c r="H64" t="str">
        <f>IF(LEN(TRIM(A64))=0,"",GetConfigParameterValue("Collection Site"))</f>
        <v>Camp Lejeune, NC</v>
      </c>
      <c r="I64" t="str">
        <f t="shared" si="5"/>
        <v/>
      </c>
      <c r="M64" t="str">
        <f>IF(LEN(TRIM(B64))=0,"",IF(ISERROR(VLOOKUP(RIGHT(B64,4),study_demographic!A:A,1,FALSE)),"NOT FOUND!!!", "OK"))</f>
        <v>OK</v>
      </c>
    </row>
    <row r="65" spans="1:13" x14ac:dyDescent="0.25">
      <c r="A65" t="str">
        <f t="shared" si="1"/>
        <v>C2-0684-V01</v>
      </c>
      <c r="B65" t="str">
        <f t="shared" si="2"/>
        <v>C2-0684</v>
      </c>
      <c r="C65" s="55" t="str">
        <f>IF(LEN(TRIM(A65))=0,"",get_string_val(RIGHT(B65,4)))</f>
        <v>0684</v>
      </c>
      <c r="D65" t="str">
        <f>IF(LEN(TRIM(A65))=0,"",GetItemValueFromSpecimenHeader("timepoint"))</f>
        <v>V01</v>
      </c>
      <c r="E65" t="str">
        <f t="shared" si="3"/>
        <v>19</v>
      </c>
      <c r="F65" t="str">
        <f t="shared" si="4"/>
        <v>1</v>
      </c>
      <c r="G65" t="str">
        <f t="shared" si="0"/>
        <v>Male</v>
      </c>
      <c r="H65" t="str">
        <f>IF(LEN(TRIM(A65))=0,"",GetConfigParameterValue("Collection Site"))</f>
        <v>Camp Lejeune, NC</v>
      </c>
      <c r="I65" t="str">
        <f t="shared" si="5"/>
        <v/>
      </c>
      <c r="M65" t="str">
        <f>IF(LEN(TRIM(B65))=0,"",IF(ISERROR(VLOOKUP(RIGHT(B65,4),study_demographic!A:A,1,FALSE)),"NOT FOUND!!!", "OK"))</f>
        <v>OK</v>
      </c>
    </row>
    <row r="66" spans="1:13" x14ac:dyDescent="0.25">
      <c r="A66" t="str">
        <f t="shared" si="1"/>
        <v>C2-0693-V01</v>
      </c>
      <c r="B66" t="str">
        <f t="shared" si="2"/>
        <v>C2-0693</v>
      </c>
      <c r="C66" s="55" t="str">
        <f>IF(LEN(TRIM(A66))=0,"",get_string_val(RIGHT(B66,4)))</f>
        <v>0693</v>
      </c>
      <c r="D66" t="str">
        <f>IF(LEN(TRIM(A66))=0,"",GetItemValueFromSpecimenHeader("timepoint"))</f>
        <v>V01</v>
      </c>
      <c r="E66" t="str">
        <f t="shared" si="3"/>
        <v>18</v>
      </c>
      <c r="F66" t="str">
        <f t="shared" si="4"/>
        <v>2</v>
      </c>
      <c r="G66" t="str">
        <f t="shared" ref="G66:G129" si="6">IF(LEN(TRIM(A66))=0,"",IF(TRIM(F66)="1","Male", IF(TRIM(F66)="2","Female", "NA")))</f>
        <v>Female</v>
      </c>
      <c r="H66" t="str">
        <f>IF(LEN(TRIM(A66))=0,"",GetConfigParameterValue("Collection Site"))</f>
        <v>Camp Lejeune, NC</v>
      </c>
      <c r="I66" t="str">
        <f t="shared" si="5"/>
        <v/>
      </c>
      <c r="M66" t="str">
        <f>IF(LEN(TRIM(B66))=0,"",IF(ISERROR(VLOOKUP(RIGHT(B66,4),study_demographic!A:A,1,FALSE)),"NOT FOUND!!!", "OK"))</f>
        <v>OK</v>
      </c>
    </row>
    <row r="67" spans="1:13" x14ac:dyDescent="0.25">
      <c r="A67" t="str">
        <f t="shared" ref="A67:A130" si="7">GetSampleId((ROW()))</f>
        <v>C2-0798-V01</v>
      </c>
      <c r="B67" t="str">
        <f t="shared" ref="B67:B130" si="8">IF(LEN(TRIM(A67))=0,"",LEFT(A67,7))</f>
        <v>C2-0798</v>
      </c>
      <c r="C67" s="55" t="str">
        <f>IF(LEN(TRIM(A67))=0,"",get_string_val(RIGHT(B67,4)))</f>
        <v>0798</v>
      </c>
      <c r="D67" t="str">
        <f>IF(LEN(TRIM(A67))=0,"",GetItemValueFromSpecimenHeader("timepoint"))</f>
        <v>V01</v>
      </c>
      <c r="E67" t="str">
        <f t="shared" ref="E67:E130" si="9">getColumnValueBySubjectID("Age",RIGHT(B67,4))</f>
        <v>19</v>
      </c>
      <c r="F67" t="str">
        <f t="shared" ref="F67:F130" si="10">getColumnValueBySubjectID("Sex",RIGHT(B67,4))</f>
        <v>1</v>
      </c>
      <c r="G67" t="str">
        <f t="shared" si="6"/>
        <v>Male</v>
      </c>
      <c r="H67" t="str">
        <f>IF(LEN(TRIM(A67))=0,"",GetConfigParameterValue("Collection Site"))</f>
        <v>Camp Lejeune, NC</v>
      </c>
      <c r="I67" t="str">
        <f t="shared" ref="I67:I130" si="11">getColumnValueBySubjectID("Comments",B67)</f>
        <v/>
      </c>
      <c r="M67" t="str">
        <f>IF(LEN(TRIM(B67))=0,"",IF(ISERROR(VLOOKUP(RIGHT(B67,4),study_demographic!A:A,1,FALSE)),"NOT FOUND!!!", "OK"))</f>
        <v>OK</v>
      </c>
    </row>
    <row r="68" spans="1:13" x14ac:dyDescent="0.25">
      <c r="A68" t="str">
        <f t="shared" si="7"/>
        <v>C2-0919-V01</v>
      </c>
      <c r="B68" t="str">
        <f t="shared" si="8"/>
        <v>C2-0919</v>
      </c>
      <c r="C68" s="55" t="str">
        <f>IF(LEN(TRIM(A68))=0,"",get_string_val(RIGHT(B68,4)))</f>
        <v>0919</v>
      </c>
      <c r="D68" t="str">
        <f>IF(LEN(TRIM(A68))=0,"",GetItemValueFromSpecimenHeader("timepoint"))</f>
        <v>V01</v>
      </c>
      <c r="E68" t="str">
        <f t="shared" si="9"/>
        <v>18</v>
      </c>
      <c r="F68" t="str">
        <f t="shared" si="10"/>
        <v>1</v>
      </c>
      <c r="G68" t="str">
        <f t="shared" si="6"/>
        <v>Male</v>
      </c>
      <c r="H68" t="str">
        <f>IF(LEN(TRIM(A68))=0,"",GetConfigParameterValue("Collection Site"))</f>
        <v>Camp Lejeune, NC</v>
      </c>
      <c r="I68" t="str">
        <f t="shared" si="11"/>
        <v/>
      </c>
      <c r="M68" t="str">
        <f>IF(LEN(TRIM(B68))=0,"",IF(ISERROR(VLOOKUP(RIGHT(B68,4),study_demographic!A:A,1,FALSE)),"NOT FOUND!!!", "OK"))</f>
        <v>OK</v>
      </c>
    </row>
    <row r="69" spans="1:13" x14ac:dyDescent="0.25">
      <c r="A69" t="str">
        <f t="shared" si="7"/>
        <v>C2-1148-V01</v>
      </c>
      <c r="B69" t="str">
        <f t="shared" si="8"/>
        <v>C2-1148</v>
      </c>
      <c r="C69" s="55" t="str">
        <f>IF(LEN(TRIM(A69))=0,"",get_string_val(RIGHT(B69,4)))</f>
        <v>1148</v>
      </c>
      <c r="D69" t="str">
        <f>IF(LEN(TRIM(A69))=0,"",GetItemValueFromSpecimenHeader("timepoint"))</f>
        <v>V01</v>
      </c>
      <c r="E69" t="str">
        <f t="shared" si="9"/>
        <v>19</v>
      </c>
      <c r="F69" t="str">
        <f t="shared" si="10"/>
        <v>1</v>
      </c>
      <c r="G69" t="str">
        <f t="shared" si="6"/>
        <v>Male</v>
      </c>
      <c r="H69" t="str">
        <f>IF(LEN(TRIM(A69))=0,"",GetConfigParameterValue("Collection Site"))</f>
        <v>Camp Lejeune, NC</v>
      </c>
      <c r="I69" t="str">
        <f t="shared" si="11"/>
        <v/>
      </c>
      <c r="M69" t="str">
        <f>IF(LEN(TRIM(B69))=0,"",IF(ISERROR(VLOOKUP(RIGHT(B69,4),study_demographic!A:A,1,FALSE)),"NOT FOUND!!!", "OK"))</f>
        <v>OK</v>
      </c>
    </row>
    <row r="70" spans="1:13" x14ac:dyDescent="0.25">
      <c r="A70" t="str">
        <f t="shared" si="7"/>
        <v>C2-1338-V01</v>
      </c>
      <c r="B70" t="str">
        <f t="shared" si="8"/>
        <v>C2-1338</v>
      </c>
      <c r="C70" s="55" t="str">
        <f>IF(LEN(TRIM(A70))=0,"",get_string_val(RIGHT(B70,4)))</f>
        <v>1338</v>
      </c>
      <c r="D70" t="str">
        <f>IF(LEN(TRIM(A70))=0,"",GetItemValueFromSpecimenHeader("timepoint"))</f>
        <v>V01</v>
      </c>
      <c r="E70" t="str">
        <f t="shared" si="9"/>
        <v>19</v>
      </c>
      <c r="F70" t="str">
        <f t="shared" si="10"/>
        <v>1</v>
      </c>
      <c r="G70" t="str">
        <f t="shared" si="6"/>
        <v>Male</v>
      </c>
      <c r="H70" t="str">
        <f>IF(LEN(TRIM(A70))=0,"",GetConfigParameterValue("Collection Site"))</f>
        <v>Camp Lejeune, NC</v>
      </c>
      <c r="I70" t="str">
        <f t="shared" si="11"/>
        <v/>
      </c>
      <c r="M70" t="str">
        <f>IF(LEN(TRIM(B70))=0,"",IF(ISERROR(VLOOKUP(RIGHT(B70,4),study_demographic!A:A,1,FALSE)),"NOT FOUND!!!", "OK"))</f>
        <v>OK</v>
      </c>
    </row>
    <row r="71" spans="1:13" x14ac:dyDescent="0.25">
      <c r="A71" t="str">
        <f t="shared" si="7"/>
        <v>C2-1356-V01</v>
      </c>
      <c r="B71" t="str">
        <f t="shared" si="8"/>
        <v>C2-1356</v>
      </c>
      <c r="C71" s="55" t="str">
        <f>IF(LEN(TRIM(A71))=0,"",get_string_val(RIGHT(B71,4)))</f>
        <v>1356</v>
      </c>
      <c r="D71" t="str">
        <f>IF(LEN(TRIM(A71))=0,"",GetItemValueFromSpecimenHeader("timepoint"))</f>
        <v>V01</v>
      </c>
      <c r="E71" t="str">
        <f t="shared" si="9"/>
        <v>19</v>
      </c>
      <c r="F71" t="str">
        <f t="shared" si="10"/>
        <v>1</v>
      </c>
      <c r="G71" t="str">
        <f t="shared" si="6"/>
        <v>Male</v>
      </c>
      <c r="H71" t="str">
        <f>IF(LEN(TRIM(A71))=0,"",GetConfigParameterValue("Collection Site"))</f>
        <v>Camp Lejeune, NC</v>
      </c>
      <c r="I71" t="str">
        <f t="shared" si="11"/>
        <v/>
      </c>
      <c r="M71" t="str">
        <f>IF(LEN(TRIM(B71))=0,"",IF(ISERROR(VLOOKUP(RIGHT(B71,4),study_demographic!A:A,1,FALSE)),"NOT FOUND!!!", "OK"))</f>
        <v>OK</v>
      </c>
    </row>
    <row r="72" spans="1:13" x14ac:dyDescent="0.25">
      <c r="A72" t="str">
        <f t="shared" si="7"/>
        <v>C2-1462-V01</v>
      </c>
      <c r="B72" t="str">
        <f t="shared" si="8"/>
        <v>C2-1462</v>
      </c>
      <c r="C72" s="55" t="str">
        <f>IF(LEN(TRIM(A72))=0,"",get_string_val(RIGHT(B72,4)))</f>
        <v>1462</v>
      </c>
      <c r="D72" t="str">
        <f>IF(LEN(TRIM(A72))=0,"",GetItemValueFromSpecimenHeader("timepoint"))</f>
        <v>V01</v>
      </c>
      <c r="E72" t="str">
        <f t="shared" si="9"/>
        <v>18</v>
      </c>
      <c r="F72" t="str">
        <f t="shared" si="10"/>
        <v>1</v>
      </c>
      <c r="G72" t="str">
        <f t="shared" si="6"/>
        <v>Male</v>
      </c>
      <c r="H72" t="str">
        <f>IF(LEN(TRIM(A72))=0,"",GetConfigParameterValue("Collection Site"))</f>
        <v>Camp Lejeune, NC</v>
      </c>
      <c r="I72" t="str">
        <f t="shared" si="11"/>
        <v/>
      </c>
      <c r="M72" t="str">
        <f>IF(LEN(TRIM(B72))=0,"",IF(ISERROR(VLOOKUP(RIGHT(B72,4),study_demographic!A:A,1,FALSE)),"NOT FOUND!!!", "OK"))</f>
        <v>OK</v>
      </c>
    </row>
    <row r="73" spans="1:13" x14ac:dyDescent="0.25">
      <c r="A73" t="str">
        <f t="shared" si="7"/>
        <v>C2-1546-V01</v>
      </c>
      <c r="B73" t="str">
        <f t="shared" si="8"/>
        <v>C2-1546</v>
      </c>
      <c r="C73" s="55" t="str">
        <f>IF(LEN(TRIM(A73))=0,"",get_string_val(RIGHT(B73,4)))</f>
        <v>1546</v>
      </c>
      <c r="D73" t="str">
        <f>IF(LEN(TRIM(A73))=0,"",GetItemValueFromSpecimenHeader("timepoint"))</f>
        <v>V01</v>
      </c>
      <c r="E73" t="str">
        <f t="shared" si="9"/>
        <v>18</v>
      </c>
      <c r="F73" t="str">
        <f t="shared" si="10"/>
        <v>1</v>
      </c>
      <c r="G73" t="str">
        <f t="shared" si="6"/>
        <v>Male</v>
      </c>
      <c r="H73" t="str">
        <f>IF(LEN(TRIM(A73))=0,"",GetConfigParameterValue("Collection Site"))</f>
        <v>Camp Lejeune, NC</v>
      </c>
      <c r="I73" t="str">
        <f t="shared" si="11"/>
        <v/>
      </c>
      <c r="M73" t="str">
        <f>IF(LEN(TRIM(B73))=0,"",IF(ISERROR(VLOOKUP(RIGHT(B73,4),study_demographic!A:A,1,FALSE)),"NOT FOUND!!!", "OK"))</f>
        <v>OK</v>
      </c>
    </row>
    <row r="74" spans="1:13" x14ac:dyDescent="0.25">
      <c r="A74" t="str">
        <f t="shared" si="7"/>
        <v>C2-1600-V01</v>
      </c>
      <c r="B74" t="str">
        <f t="shared" si="8"/>
        <v>C2-1600</v>
      </c>
      <c r="C74" s="55" t="str">
        <f>IF(LEN(TRIM(A74))=0,"",get_string_val(RIGHT(B74,4)))</f>
        <v>1600</v>
      </c>
      <c r="D74" t="str">
        <f>IF(LEN(TRIM(A74))=0,"",GetItemValueFromSpecimenHeader("timepoint"))</f>
        <v>V01</v>
      </c>
      <c r="E74" t="str">
        <f t="shared" si="9"/>
        <v>24</v>
      </c>
      <c r="F74" t="str">
        <f t="shared" si="10"/>
        <v>1</v>
      </c>
      <c r="G74" t="str">
        <f t="shared" si="6"/>
        <v>Male</v>
      </c>
      <c r="H74" t="str">
        <f>IF(LEN(TRIM(A74))=0,"",GetConfigParameterValue("Collection Site"))</f>
        <v>Camp Lejeune, NC</v>
      </c>
      <c r="I74" t="str">
        <f t="shared" si="11"/>
        <v/>
      </c>
      <c r="M74" t="str">
        <f>IF(LEN(TRIM(B74))=0,"",IF(ISERROR(VLOOKUP(RIGHT(B74,4),study_demographic!A:A,1,FALSE)),"NOT FOUND!!!", "OK"))</f>
        <v>OK</v>
      </c>
    </row>
    <row r="75" spans="1:13" x14ac:dyDescent="0.25">
      <c r="A75" t="str">
        <f t="shared" si="7"/>
        <v>C2-1608-V01</v>
      </c>
      <c r="B75" t="str">
        <f t="shared" si="8"/>
        <v>C2-1608</v>
      </c>
      <c r="C75" s="55" t="str">
        <f>IF(LEN(TRIM(A75))=0,"",get_string_val(RIGHT(B75,4)))</f>
        <v>1608</v>
      </c>
      <c r="D75" t="str">
        <f>IF(LEN(TRIM(A75))=0,"",GetItemValueFromSpecimenHeader("timepoint"))</f>
        <v>V01</v>
      </c>
      <c r="E75" t="str">
        <f t="shared" si="9"/>
        <v>19</v>
      </c>
      <c r="F75" t="str">
        <f t="shared" si="10"/>
        <v>1</v>
      </c>
      <c r="G75" t="str">
        <f t="shared" si="6"/>
        <v>Male</v>
      </c>
      <c r="H75" t="str">
        <f>IF(LEN(TRIM(A75))=0,"",GetConfigParameterValue("Collection Site"))</f>
        <v>Camp Lejeune, NC</v>
      </c>
      <c r="I75" t="str">
        <f t="shared" si="11"/>
        <v/>
      </c>
      <c r="M75" t="str">
        <f>IF(LEN(TRIM(B75))=0,"",IF(ISERROR(VLOOKUP(RIGHT(B75,4),study_demographic!A:A,1,FALSE)),"NOT FOUND!!!", "OK"))</f>
        <v>OK</v>
      </c>
    </row>
    <row r="76" spans="1:13" x14ac:dyDescent="0.25">
      <c r="A76" t="str">
        <f t="shared" si="7"/>
        <v>C2-0374-V01</v>
      </c>
      <c r="B76" t="str">
        <f t="shared" si="8"/>
        <v>C2-0374</v>
      </c>
      <c r="C76" s="55" t="str">
        <f>IF(LEN(TRIM(A76))=0,"",get_string_val(RIGHT(B76,4)))</f>
        <v>0374</v>
      </c>
      <c r="D76" t="str">
        <f>IF(LEN(TRIM(A76))=0,"",GetItemValueFromSpecimenHeader("timepoint"))</f>
        <v>V01</v>
      </c>
      <c r="E76" t="str">
        <f t="shared" si="9"/>
        <v>19</v>
      </c>
      <c r="F76" t="str">
        <f t="shared" si="10"/>
        <v>1</v>
      </c>
      <c r="G76" t="str">
        <f t="shared" si="6"/>
        <v>Male</v>
      </c>
      <c r="H76" t="str">
        <f>IF(LEN(TRIM(A76))=0,"",GetConfigParameterValue("Collection Site"))</f>
        <v>Camp Lejeune, NC</v>
      </c>
      <c r="I76" t="str">
        <f t="shared" si="11"/>
        <v/>
      </c>
      <c r="M76" t="str">
        <f>IF(LEN(TRIM(B76))=0,"",IF(ISERROR(VLOOKUP(RIGHT(B76,4),study_demographic!A:A,1,FALSE)),"NOT FOUND!!!", "OK"))</f>
        <v>OK</v>
      </c>
    </row>
    <row r="77" spans="1:13" x14ac:dyDescent="0.25">
      <c r="A77" t="str">
        <f t="shared" si="7"/>
        <v>C2-0933-V01</v>
      </c>
      <c r="B77" t="str">
        <f t="shared" si="8"/>
        <v>C2-0933</v>
      </c>
      <c r="C77" s="55" t="str">
        <f>IF(LEN(TRIM(A77))=0,"",get_string_val(RIGHT(B77,4)))</f>
        <v>0933</v>
      </c>
      <c r="D77" t="str">
        <f>IF(LEN(TRIM(A77))=0,"",GetItemValueFromSpecimenHeader("timepoint"))</f>
        <v>V01</v>
      </c>
      <c r="E77" t="str">
        <f t="shared" si="9"/>
        <v>19</v>
      </c>
      <c r="F77" t="str">
        <f t="shared" si="10"/>
        <v>1</v>
      </c>
      <c r="G77" t="str">
        <f t="shared" si="6"/>
        <v>Male</v>
      </c>
      <c r="H77" t="str">
        <f>IF(LEN(TRIM(A77))=0,"",GetConfigParameterValue("Collection Site"))</f>
        <v>Camp Lejeune, NC</v>
      </c>
      <c r="I77" t="str">
        <f t="shared" si="11"/>
        <v/>
      </c>
      <c r="M77" t="str">
        <f>IF(LEN(TRIM(B77))=0,"",IF(ISERROR(VLOOKUP(RIGHT(B77,4),study_demographic!A:A,1,FALSE)),"NOT FOUND!!!", "OK"))</f>
        <v>OK</v>
      </c>
    </row>
    <row r="78" spans="1:13" x14ac:dyDescent="0.25">
      <c r="A78" t="str">
        <f t="shared" si="7"/>
        <v>C2-1038-V01</v>
      </c>
      <c r="B78" t="str">
        <f t="shared" si="8"/>
        <v>C2-1038</v>
      </c>
      <c r="C78" s="55" t="str">
        <f>IF(LEN(TRIM(A78))=0,"",get_string_val(RIGHT(B78,4)))</f>
        <v>1038</v>
      </c>
      <c r="D78" t="str">
        <f>IF(LEN(TRIM(A78))=0,"",GetItemValueFromSpecimenHeader("timepoint"))</f>
        <v>V01</v>
      </c>
      <c r="E78" t="str">
        <f t="shared" si="9"/>
        <v>20</v>
      </c>
      <c r="F78" t="str">
        <f t="shared" si="10"/>
        <v>2</v>
      </c>
      <c r="G78" t="str">
        <f t="shared" si="6"/>
        <v>Female</v>
      </c>
      <c r="H78" t="str">
        <f>IF(LEN(TRIM(A78))=0,"",GetConfigParameterValue("Collection Site"))</f>
        <v>Camp Lejeune, NC</v>
      </c>
      <c r="I78" t="str">
        <f t="shared" si="11"/>
        <v/>
      </c>
      <c r="M78" t="str">
        <f>IF(LEN(TRIM(B78))=0,"",IF(ISERROR(VLOOKUP(RIGHT(B78,4),study_demographic!A:A,1,FALSE)),"NOT FOUND!!!", "OK"))</f>
        <v>OK</v>
      </c>
    </row>
    <row r="79" spans="1:13" x14ac:dyDescent="0.25">
      <c r="A79" t="str">
        <f t="shared" si="7"/>
        <v>C2-1142-V01</v>
      </c>
      <c r="B79" t="str">
        <f t="shared" si="8"/>
        <v>C2-1142</v>
      </c>
      <c r="C79" s="55" t="str">
        <f>IF(LEN(TRIM(A79))=0,"",get_string_val(RIGHT(B79,4)))</f>
        <v>1142</v>
      </c>
      <c r="D79" t="str">
        <f>IF(LEN(TRIM(A79))=0,"",GetItemValueFromSpecimenHeader("timepoint"))</f>
        <v>V01</v>
      </c>
      <c r="E79" t="str">
        <f t="shared" si="9"/>
        <v>18</v>
      </c>
      <c r="F79" t="str">
        <f t="shared" si="10"/>
        <v>1</v>
      </c>
      <c r="G79" t="str">
        <f t="shared" si="6"/>
        <v>Male</v>
      </c>
      <c r="H79" t="str">
        <f>IF(LEN(TRIM(A79))=0,"",GetConfigParameterValue("Collection Site"))</f>
        <v>Camp Lejeune, NC</v>
      </c>
      <c r="I79" t="str">
        <f t="shared" si="11"/>
        <v/>
      </c>
      <c r="M79" t="str">
        <f>IF(LEN(TRIM(B79))=0,"",IF(ISERROR(VLOOKUP(RIGHT(B79,4),study_demographic!A:A,1,FALSE)),"NOT FOUND!!!", "OK"))</f>
        <v>OK</v>
      </c>
    </row>
    <row r="80" spans="1:13" x14ac:dyDescent="0.25">
      <c r="A80" t="str">
        <f t="shared" si="7"/>
        <v>C2-1653-V01</v>
      </c>
      <c r="B80" t="str">
        <f t="shared" si="8"/>
        <v>C2-1653</v>
      </c>
      <c r="C80" s="55" t="str">
        <f>IF(LEN(TRIM(A80))=0,"",get_string_val(RIGHT(B80,4)))</f>
        <v>1653</v>
      </c>
      <c r="D80" t="str">
        <f>IF(LEN(TRIM(A80))=0,"",GetItemValueFromSpecimenHeader("timepoint"))</f>
        <v>V01</v>
      </c>
      <c r="E80" t="str">
        <f t="shared" si="9"/>
        <v>18</v>
      </c>
      <c r="F80" t="str">
        <f t="shared" si="10"/>
        <v>1</v>
      </c>
      <c r="G80" t="str">
        <f t="shared" si="6"/>
        <v>Male</v>
      </c>
      <c r="H80" t="str">
        <f>IF(LEN(TRIM(A80))=0,"",GetConfigParameterValue("Collection Site"))</f>
        <v>Camp Lejeune, NC</v>
      </c>
      <c r="I80" t="str">
        <f t="shared" si="11"/>
        <v/>
      </c>
      <c r="M80" t="str">
        <f>IF(LEN(TRIM(B80))=0,"",IF(ISERROR(VLOOKUP(RIGHT(B80,4),study_demographic!A:A,1,FALSE)),"NOT FOUND!!!", "OK"))</f>
        <v>OK</v>
      </c>
    </row>
    <row r="81" spans="1:13" x14ac:dyDescent="0.25">
      <c r="A81" t="str">
        <f t="shared" si="7"/>
        <v>C2-1691-V01</v>
      </c>
      <c r="B81" t="str">
        <f t="shared" si="8"/>
        <v>C2-1691</v>
      </c>
      <c r="C81" s="55" t="str">
        <f>IF(LEN(TRIM(A81))=0,"",get_string_val(RIGHT(B81,4)))</f>
        <v>1691</v>
      </c>
      <c r="D81" t="str">
        <f>IF(LEN(TRIM(A81))=0,"",GetItemValueFromSpecimenHeader("timepoint"))</f>
        <v>V01</v>
      </c>
      <c r="E81" t="str">
        <f t="shared" si="9"/>
        <v>18</v>
      </c>
      <c r="F81" t="str">
        <f t="shared" si="10"/>
        <v>1</v>
      </c>
      <c r="G81" t="str">
        <f t="shared" si="6"/>
        <v>Male</v>
      </c>
      <c r="H81" t="str">
        <f>IF(LEN(TRIM(A81))=0,"",GetConfigParameterValue("Collection Site"))</f>
        <v>Camp Lejeune, NC</v>
      </c>
      <c r="I81" t="str">
        <f t="shared" si="11"/>
        <v/>
      </c>
      <c r="M81" t="str">
        <f>IF(LEN(TRIM(B81))=0,"",IF(ISERROR(VLOOKUP(RIGHT(B81,4),study_demographic!A:A,1,FALSE)),"NOT FOUND!!!", "OK"))</f>
        <v>OK</v>
      </c>
    </row>
    <row r="82" spans="1:13" x14ac:dyDescent="0.25">
      <c r="A82" t="str">
        <f t="shared" si="7"/>
        <v>C2-1746-V01</v>
      </c>
      <c r="B82" t="str">
        <f t="shared" si="8"/>
        <v>C2-1746</v>
      </c>
      <c r="C82" s="55" t="str">
        <f>IF(LEN(TRIM(A82))=0,"",get_string_val(RIGHT(B82,4)))</f>
        <v>1746</v>
      </c>
      <c r="D82" t="str">
        <f>IF(LEN(TRIM(A82))=0,"",GetItemValueFromSpecimenHeader("timepoint"))</f>
        <v>V01</v>
      </c>
      <c r="E82" t="str">
        <f t="shared" si="9"/>
        <v>18</v>
      </c>
      <c r="F82" t="str">
        <f t="shared" si="10"/>
        <v>1</v>
      </c>
      <c r="G82" t="str">
        <f t="shared" si="6"/>
        <v>Male</v>
      </c>
      <c r="H82" t="str">
        <f>IF(LEN(TRIM(A82))=0,"",GetConfigParameterValue("Collection Site"))</f>
        <v>Camp Lejeune, NC</v>
      </c>
      <c r="I82" t="str">
        <f t="shared" si="11"/>
        <v/>
      </c>
      <c r="M82" t="str">
        <f>IF(LEN(TRIM(B82))=0,"",IF(ISERROR(VLOOKUP(RIGHT(B82,4),study_demographic!A:A,1,FALSE)),"NOT FOUND!!!", "OK"))</f>
        <v>OK</v>
      </c>
    </row>
    <row r="83" spans="1:13" x14ac:dyDescent="0.25">
      <c r="A83" t="str">
        <f t="shared" si="7"/>
        <v>C2-1790-V01</v>
      </c>
      <c r="B83" t="str">
        <f t="shared" si="8"/>
        <v>C2-1790</v>
      </c>
      <c r="C83" s="55" t="str">
        <f>IF(LEN(TRIM(A83))=0,"",get_string_val(RIGHT(B83,4)))</f>
        <v>1790</v>
      </c>
      <c r="D83" t="str">
        <f>IF(LEN(TRIM(A83))=0,"",GetItemValueFromSpecimenHeader("timepoint"))</f>
        <v>V01</v>
      </c>
      <c r="E83" t="str">
        <f t="shared" si="9"/>
        <v>18</v>
      </c>
      <c r="F83" t="str">
        <f t="shared" si="10"/>
        <v>1</v>
      </c>
      <c r="G83" t="str">
        <f t="shared" si="6"/>
        <v>Male</v>
      </c>
      <c r="H83" t="str">
        <f>IF(LEN(TRIM(A83))=0,"",GetConfigParameterValue("Collection Site"))</f>
        <v>Camp Lejeune, NC</v>
      </c>
      <c r="I83" t="str">
        <f t="shared" si="11"/>
        <v/>
      </c>
      <c r="M83" t="str">
        <f>IF(LEN(TRIM(B83))=0,"",IF(ISERROR(VLOOKUP(RIGHT(B83,4),study_demographic!A:A,1,FALSE)),"NOT FOUND!!!", "OK"))</f>
        <v>OK</v>
      </c>
    </row>
    <row r="84" spans="1:13" x14ac:dyDescent="0.25">
      <c r="A84" t="str">
        <f t="shared" si="7"/>
        <v>C2-1862-V01</v>
      </c>
      <c r="B84" t="str">
        <f t="shared" si="8"/>
        <v>C2-1862</v>
      </c>
      <c r="C84" s="55" t="str">
        <f>IF(LEN(TRIM(A84))=0,"",get_string_val(RIGHT(B84,4)))</f>
        <v>1862</v>
      </c>
      <c r="D84" t="str">
        <f>IF(LEN(TRIM(A84))=0,"",GetItemValueFromSpecimenHeader("timepoint"))</f>
        <v>V01</v>
      </c>
      <c r="E84" t="str">
        <f t="shared" si="9"/>
        <v>18</v>
      </c>
      <c r="F84" t="str">
        <f t="shared" si="10"/>
        <v>1</v>
      </c>
      <c r="G84" t="str">
        <f t="shared" si="6"/>
        <v>Male</v>
      </c>
      <c r="H84" t="str">
        <f>IF(LEN(TRIM(A84))=0,"",GetConfigParameterValue("Collection Site"))</f>
        <v>Camp Lejeune, NC</v>
      </c>
      <c r="I84" t="str">
        <f t="shared" si="11"/>
        <v/>
      </c>
      <c r="M84" t="str">
        <f>IF(LEN(TRIM(B84))=0,"",IF(ISERROR(VLOOKUP(RIGHT(B84,4),study_demographic!A:A,1,FALSE)),"NOT FOUND!!!", "OK"))</f>
        <v>OK</v>
      </c>
    </row>
    <row r="85" spans="1:13" x14ac:dyDescent="0.25">
      <c r="A85" t="str">
        <f t="shared" si="7"/>
        <v>C2-1883-V01</v>
      </c>
      <c r="B85" t="str">
        <f t="shared" si="8"/>
        <v>C2-1883</v>
      </c>
      <c r="C85" s="55" t="str">
        <f>IF(LEN(TRIM(A85))=0,"",get_string_val(RIGHT(B85,4)))</f>
        <v>1883</v>
      </c>
      <c r="D85" t="str">
        <f>IF(LEN(TRIM(A85))=0,"",GetItemValueFromSpecimenHeader("timepoint"))</f>
        <v>V01</v>
      </c>
      <c r="E85" t="str">
        <f t="shared" si="9"/>
        <v>20</v>
      </c>
      <c r="F85" t="str">
        <f t="shared" si="10"/>
        <v>1</v>
      </c>
      <c r="G85" t="str">
        <f t="shared" si="6"/>
        <v>Male</v>
      </c>
      <c r="H85" t="str">
        <f>IF(LEN(TRIM(A85))=0,"",GetConfigParameterValue("Collection Site"))</f>
        <v>Camp Lejeune, NC</v>
      </c>
      <c r="I85" t="str">
        <f t="shared" si="11"/>
        <v/>
      </c>
      <c r="M85" t="str">
        <f>IF(LEN(TRIM(B85))=0,"",IF(ISERROR(VLOOKUP(RIGHT(B85,4),study_demographic!A:A,1,FALSE)),"NOT FOUND!!!", "OK"))</f>
        <v>OK</v>
      </c>
    </row>
    <row r="86" spans="1:13" x14ac:dyDescent="0.25">
      <c r="A86" t="str">
        <f t="shared" si="7"/>
        <v>C2-2236-V01</v>
      </c>
      <c r="B86" t="str">
        <f t="shared" si="8"/>
        <v>C2-2236</v>
      </c>
      <c r="C86" s="55" t="str">
        <f>IF(LEN(TRIM(A86))=0,"",get_string_val(RIGHT(B86,4)))</f>
        <v>2236</v>
      </c>
      <c r="D86" t="str">
        <f>IF(LEN(TRIM(A86))=0,"",GetItemValueFromSpecimenHeader("timepoint"))</f>
        <v>V01</v>
      </c>
      <c r="E86" t="str">
        <f t="shared" si="9"/>
        <v>18</v>
      </c>
      <c r="F86" t="str">
        <f t="shared" si="10"/>
        <v>1</v>
      </c>
      <c r="G86" t="str">
        <f t="shared" si="6"/>
        <v>Male</v>
      </c>
      <c r="H86" t="str">
        <f>IF(LEN(TRIM(A86))=0,"",GetConfigParameterValue("Collection Site"))</f>
        <v>Camp Lejeune, NC</v>
      </c>
      <c r="I86" t="str">
        <f t="shared" si="11"/>
        <v/>
      </c>
      <c r="M86" t="str">
        <f>IF(LEN(TRIM(B86))=0,"",IF(ISERROR(VLOOKUP(RIGHT(B86,4),study_demographic!A:A,1,FALSE)),"NOT FOUND!!!", "OK"))</f>
        <v>OK</v>
      </c>
    </row>
    <row r="87" spans="1:13" x14ac:dyDescent="0.25">
      <c r="A87" t="str">
        <f t="shared" si="7"/>
        <v>C2-2627-V01</v>
      </c>
      <c r="B87" t="str">
        <f t="shared" si="8"/>
        <v>C2-2627</v>
      </c>
      <c r="C87" s="55" t="str">
        <f>IF(LEN(TRIM(A87))=0,"",get_string_val(RIGHT(B87,4)))</f>
        <v>2627</v>
      </c>
      <c r="D87" t="str">
        <f>IF(LEN(TRIM(A87))=0,"",GetItemValueFromSpecimenHeader("timepoint"))</f>
        <v>V01</v>
      </c>
      <c r="E87" t="str">
        <f t="shared" si="9"/>
        <v>18</v>
      </c>
      <c r="F87" t="str">
        <f t="shared" si="10"/>
        <v>1</v>
      </c>
      <c r="G87" t="str">
        <f t="shared" si="6"/>
        <v>Male</v>
      </c>
      <c r="H87" t="str">
        <f>IF(LEN(TRIM(A87))=0,"",GetConfigParameterValue("Collection Site"))</f>
        <v>Camp Lejeune, NC</v>
      </c>
      <c r="I87" t="str">
        <f t="shared" si="11"/>
        <v/>
      </c>
      <c r="M87" t="str">
        <f>IF(LEN(TRIM(B87))=0,"",IF(ISERROR(VLOOKUP(RIGHT(B87,4),study_demographic!A:A,1,FALSE)),"NOT FOUND!!!", "OK"))</f>
        <v>OK</v>
      </c>
    </row>
    <row r="88" spans="1:13" x14ac:dyDescent="0.25">
      <c r="A88" t="str">
        <f t="shared" si="7"/>
        <v>C2-2925-V01</v>
      </c>
      <c r="B88" t="str">
        <f t="shared" si="8"/>
        <v>C2-2925</v>
      </c>
      <c r="C88" s="55" t="str">
        <f>IF(LEN(TRIM(A88))=0,"",get_string_val(RIGHT(B88,4)))</f>
        <v>2925</v>
      </c>
      <c r="D88" t="str">
        <f>IF(LEN(TRIM(A88))=0,"",GetItemValueFromSpecimenHeader("timepoint"))</f>
        <v>V01</v>
      </c>
      <c r="E88" t="str">
        <f t="shared" si="9"/>
        <v>18</v>
      </c>
      <c r="F88" t="str">
        <f t="shared" si="10"/>
        <v>1</v>
      </c>
      <c r="G88" t="str">
        <f t="shared" si="6"/>
        <v>Male</v>
      </c>
      <c r="H88" t="str">
        <f>IF(LEN(TRIM(A88))=0,"",GetConfigParameterValue("Collection Site"))</f>
        <v>Camp Lejeune, NC</v>
      </c>
      <c r="I88" t="str">
        <f t="shared" si="11"/>
        <v/>
      </c>
      <c r="M88" t="str">
        <f>IF(LEN(TRIM(B88))=0,"",IF(ISERROR(VLOOKUP(RIGHT(B88,4),study_demographic!A:A,1,FALSE)),"NOT FOUND!!!", "OK"))</f>
        <v>OK</v>
      </c>
    </row>
    <row r="89" spans="1:13" x14ac:dyDescent="0.25">
      <c r="A89" t="str">
        <f t="shared" si="7"/>
        <v>C2-2959-V01</v>
      </c>
      <c r="B89" t="str">
        <f t="shared" si="8"/>
        <v>C2-2959</v>
      </c>
      <c r="C89" s="55" t="str">
        <f>IF(LEN(TRIM(A89))=0,"",get_string_val(RIGHT(B89,4)))</f>
        <v>2959</v>
      </c>
      <c r="D89" t="str">
        <f>IF(LEN(TRIM(A89))=0,"",GetItemValueFromSpecimenHeader("timepoint"))</f>
        <v>V01</v>
      </c>
      <c r="E89" t="str">
        <f t="shared" si="9"/>
        <v>19</v>
      </c>
      <c r="F89" t="str">
        <f t="shared" si="10"/>
        <v>1</v>
      </c>
      <c r="G89" t="str">
        <f t="shared" si="6"/>
        <v>Male</v>
      </c>
      <c r="H89" t="str">
        <f>IF(LEN(TRIM(A89))=0,"",GetConfigParameterValue("Collection Site"))</f>
        <v>Camp Lejeune, NC</v>
      </c>
      <c r="I89" t="str">
        <f t="shared" si="11"/>
        <v/>
      </c>
      <c r="M89" t="str">
        <f>IF(LEN(TRIM(B89))=0,"",IF(ISERROR(VLOOKUP(RIGHT(B89,4),study_demographic!A:A,1,FALSE)),"NOT FOUND!!!", "OK"))</f>
        <v>OK</v>
      </c>
    </row>
    <row r="90" spans="1:13" x14ac:dyDescent="0.25">
      <c r="A90" t="str">
        <f t="shared" si="7"/>
        <v>C2-3031-V01</v>
      </c>
      <c r="B90" t="str">
        <f t="shared" si="8"/>
        <v>C2-3031</v>
      </c>
      <c r="C90" s="55" t="str">
        <f>IF(LEN(TRIM(A90))=0,"",get_string_val(RIGHT(B90,4)))</f>
        <v>3031</v>
      </c>
      <c r="D90" t="str">
        <f>IF(LEN(TRIM(A90))=0,"",GetItemValueFromSpecimenHeader("timepoint"))</f>
        <v>V01</v>
      </c>
      <c r="E90" t="str">
        <f t="shared" si="9"/>
        <v>21</v>
      </c>
      <c r="F90" t="str">
        <f t="shared" si="10"/>
        <v>1</v>
      </c>
      <c r="G90" t="str">
        <f t="shared" si="6"/>
        <v>Male</v>
      </c>
      <c r="H90" t="str">
        <f>IF(LEN(TRIM(A90))=0,"",GetConfigParameterValue("Collection Site"))</f>
        <v>Camp Lejeune, NC</v>
      </c>
      <c r="I90" t="str">
        <f t="shared" si="11"/>
        <v/>
      </c>
      <c r="M90" t="str">
        <f>IF(LEN(TRIM(B90))=0,"",IF(ISERROR(VLOOKUP(RIGHT(B90,4),study_demographic!A:A,1,FALSE)),"NOT FOUND!!!", "OK"))</f>
        <v>OK</v>
      </c>
    </row>
    <row r="91" spans="1:13" x14ac:dyDescent="0.25">
      <c r="A91" t="str">
        <f t="shared" si="7"/>
        <v>C2-3089-V01</v>
      </c>
      <c r="B91" t="str">
        <f t="shared" si="8"/>
        <v>C2-3089</v>
      </c>
      <c r="C91" s="55" t="str">
        <f>IF(LEN(TRIM(A91))=0,"",get_string_val(RIGHT(B91,4)))</f>
        <v>3089</v>
      </c>
      <c r="D91" t="str">
        <f>IF(LEN(TRIM(A91))=0,"",GetItemValueFromSpecimenHeader("timepoint"))</f>
        <v>V01</v>
      </c>
      <c r="E91" t="str">
        <f t="shared" si="9"/>
        <v>18</v>
      </c>
      <c r="F91" t="str">
        <f t="shared" si="10"/>
        <v>1</v>
      </c>
      <c r="G91" t="str">
        <f t="shared" si="6"/>
        <v>Male</v>
      </c>
      <c r="H91" t="str">
        <f>IF(LEN(TRIM(A91))=0,"",GetConfigParameterValue("Collection Site"))</f>
        <v>Camp Lejeune, NC</v>
      </c>
      <c r="I91" t="str">
        <f t="shared" si="11"/>
        <v/>
      </c>
      <c r="M91" t="str">
        <f>IF(LEN(TRIM(B91))=0,"",IF(ISERROR(VLOOKUP(RIGHT(B91,4),study_demographic!A:A,1,FALSE)),"NOT FOUND!!!", "OK"))</f>
        <v>OK</v>
      </c>
    </row>
    <row r="92" spans="1:13" x14ac:dyDescent="0.25">
      <c r="A92" t="str">
        <f t="shared" si="7"/>
        <v>C2-3196-V01</v>
      </c>
      <c r="B92" t="str">
        <f t="shared" si="8"/>
        <v>C2-3196</v>
      </c>
      <c r="C92" s="55" t="str">
        <f>IF(LEN(TRIM(A92))=0,"",get_string_val(RIGHT(B92,4)))</f>
        <v>3196</v>
      </c>
      <c r="D92" t="str">
        <f>IF(LEN(TRIM(A92))=0,"",GetItemValueFromSpecimenHeader("timepoint"))</f>
        <v>V01</v>
      </c>
      <c r="E92" t="str">
        <f t="shared" si="9"/>
        <v>18</v>
      </c>
      <c r="F92" t="str">
        <f t="shared" si="10"/>
        <v>1</v>
      </c>
      <c r="G92" t="str">
        <f t="shared" si="6"/>
        <v>Male</v>
      </c>
      <c r="H92" t="str">
        <f>IF(LEN(TRIM(A92))=0,"",GetConfigParameterValue("Collection Site"))</f>
        <v>Camp Lejeune, NC</v>
      </c>
      <c r="I92" t="str">
        <f t="shared" si="11"/>
        <v/>
      </c>
      <c r="M92" t="str">
        <f>IF(LEN(TRIM(B92))=0,"",IF(ISERROR(VLOOKUP(RIGHT(B92,4),study_demographic!A:A,1,FALSE)),"NOT FOUND!!!", "OK"))</f>
        <v>OK</v>
      </c>
    </row>
    <row r="93" spans="1:13" x14ac:dyDescent="0.25">
      <c r="A93" t="str">
        <f t="shared" si="7"/>
        <v>C2-3223-V01</v>
      </c>
      <c r="B93" t="str">
        <f t="shared" si="8"/>
        <v>C2-3223</v>
      </c>
      <c r="C93" s="55" t="str">
        <f>IF(LEN(TRIM(A93))=0,"",get_string_val(RIGHT(B93,4)))</f>
        <v>3223</v>
      </c>
      <c r="D93" t="str">
        <f>IF(LEN(TRIM(A93))=0,"",GetItemValueFromSpecimenHeader("timepoint"))</f>
        <v>V01</v>
      </c>
      <c r="E93" t="str">
        <f t="shared" si="9"/>
        <v>21</v>
      </c>
      <c r="F93" t="str">
        <f t="shared" si="10"/>
        <v>1</v>
      </c>
      <c r="G93" t="str">
        <f t="shared" si="6"/>
        <v>Male</v>
      </c>
      <c r="H93" t="str">
        <f>IF(LEN(TRIM(A93))=0,"",GetConfigParameterValue("Collection Site"))</f>
        <v>Camp Lejeune, NC</v>
      </c>
      <c r="I93" t="str">
        <f t="shared" si="11"/>
        <v/>
      </c>
      <c r="M93" t="str">
        <f>IF(LEN(TRIM(B93))=0,"",IF(ISERROR(VLOOKUP(RIGHT(B93,4),study_demographic!A:A,1,FALSE)),"NOT FOUND!!!", "OK"))</f>
        <v>OK</v>
      </c>
    </row>
    <row r="94" spans="1:13" x14ac:dyDescent="0.25">
      <c r="A94" t="str">
        <f t="shared" si="7"/>
        <v>C2-3316-V01</v>
      </c>
      <c r="B94" t="str">
        <f t="shared" si="8"/>
        <v>C2-3316</v>
      </c>
      <c r="C94" s="55" t="str">
        <f>IF(LEN(TRIM(A94))=0,"",get_string_val(RIGHT(B94,4)))</f>
        <v>3316</v>
      </c>
      <c r="D94" t="str">
        <f>IF(LEN(TRIM(A94))=0,"",GetItemValueFromSpecimenHeader("timepoint"))</f>
        <v>V01</v>
      </c>
      <c r="E94" t="str">
        <f t="shared" si="9"/>
        <v>19</v>
      </c>
      <c r="F94" t="str">
        <f t="shared" si="10"/>
        <v>1</v>
      </c>
      <c r="G94" t="str">
        <f t="shared" si="6"/>
        <v>Male</v>
      </c>
      <c r="H94" t="str">
        <f>IF(LEN(TRIM(A94))=0,"",GetConfigParameterValue("Collection Site"))</f>
        <v>Camp Lejeune, NC</v>
      </c>
      <c r="I94" t="str">
        <f t="shared" si="11"/>
        <v/>
      </c>
      <c r="M94" t="str">
        <f>IF(LEN(TRIM(B94))=0,"",IF(ISERROR(VLOOKUP(RIGHT(B94,4),study_demographic!A:A,1,FALSE)),"NOT FOUND!!!", "OK"))</f>
        <v>OK</v>
      </c>
    </row>
    <row r="95" spans="1:13" x14ac:dyDescent="0.25">
      <c r="A95" t="str">
        <f t="shared" si="7"/>
        <v>C2-3321-V01</v>
      </c>
      <c r="B95" t="str">
        <f t="shared" si="8"/>
        <v>C2-3321</v>
      </c>
      <c r="C95" s="55" t="str">
        <f>IF(LEN(TRIM(A95))=0,"",get_string_val(RIGHT(B95,4)))</f>
        <v>3321</v>
      </c>
      <c r="D95" t="str">
        <f>IF(LEN(TRIM(A95))=0,"",GetItemValueFromSpecimenHeader("timepoint"))</f>
        <v>V01</v>
      </c>
      <c r="E95" t="str">
        <f t="shared" si="9"/>
        <v>18</v>
      </c>
      <c r="F95" t="str">
        <f t="shared" si="10"/>
        <v>1</v>
      </c>
      <c r="G95" t="str">
        <f t="shared" si="6"/>
        <v>Male</v>
      </c>
      <c r="H95" t="str">
        <f>IF(LEN(TRIM(A95))=0,"",GetConfigParameterValue("Collection Site"))</f>
        <v>Camp Lejeune, NC</v>
      </c>
      <c r="I95" t="str">
        <f t="shared" si="11"/>
        <v/>
      </c>
      <c r="M95" t="str">
        <f>IF(LEN(TRIM(B95))=0,"",IF(ISERROR(VLOOKUP(RIGHT(B95,4),study_demographic!A:A,1,FALSE)),"NOT FOUND!!!", "OK"))</f>
        <v>OK</v>
      </c>
    </row>
    <row r="96" spans="1:13" x14ac:dyDescent="0.25">
      <c r="A96" t="str">
        <f t="shared" si="7"/>
        <v>C2-3372-V01</v>
      </c>
      <c r="B96" t="str">
        <f t="shared" si="8"/>
        <v>C2-3372</v>
      </c>
      <c r="C96" s="55" t="str">
        <f>IF(LEN(TRIM(A96))=0,"",get_string_val(RIGHT(B96,4)))</f>
        <v>3372</v>
      </c>
      <c r="D96" t="str">
        <f>IF(LEN(TRIM(A96))=0,"",GetItemValueFromSpecimenHeader("timepoint"))</f>
        <v>V01</v>
      </c>
      <c r="E96" t="str">
        <f t="shared" si="9"/>
        <v>21</v>
      </c>
      <c r="F96" t="str">
        <f t="shared" si="10"/>
        <v>1</v>
      </c>
      <c r="G96" t="str">
        <f t="shared" si="6"/>
        <v>Male</v>
      </c>
      <c r="H96" t="str">
        <f>IF(LEN(TRIM(A96))=0,"",GetConfigParameterValue("Collection Site"))</f>
        <v>Camp Lejeune, NC</v>
      </c>
      <c r="I96" t="str">
        <f t="shared" si="11"/>
        <v/>
      </c>
      <c r="M96" t="str">
        <f>IF(LEN(TRIM(B96))=0,"",IF(ISERROR(VLOOKUP(RIGHT(B96,4),study_demographic!A:A,1,FALSE)),"NOT FOUND!!!", "OK"))</f>
        <v>OK</v>
      </c>
    </row>
    <row r="97" spans="1:13" x14ac:dyDescent="0.25">
      <c r="A97" t="str">
        <f t="shared" si="7"/>
        <v>C2-3406-V01</v>
      </c>
      <c r="B97" t="str">
        <f t="shared" si="8"/>
        <v>C2-3406</v>
      </c>
      <c r="C97" s="55" t="str">
        <f>IF(LEN(TRIM(A97))=0,"",get_string_val(RIGHT(B97,4)))</f>
        <v>3406</v>
      </c>
      <c r="D97" t="str">
        <f>IF(LEN(TRIM(A97))=0,"",GetItemValueFromSpecimenHeader("timepoint"))</f>
        <v>V01</v>
      </c>
      <c r="E97" t="str">
        <f t="shared" si="9"/>
        <v>18</v>
      </c>
      <c r="F97" t="str">
        <f t="shared" si="10"/>
        <v>1</v>
      </c>
      <c r="G97" t="str">
        <f t="shared" si="6"/>
        <v>Male</v>
      </c>
      <c r="H97" t="str">
        <f>IF(LEN(TRIM(A97))=0,"",GetConfigParameterValue("Collection Site"))</f>
        <v>Camp Lejeune, NC</v>
      </c>
      <c r="I97" t="str">
        <f t="shared" si="11"/>
        <v/>
      </c>
      <c r="M97" t="str">
        <f>IF(LEN(TRIM(B97))=0,"",IF(ISERROR(VLOOKUP(RIGHT(B97,4),study_demographic!A:A,1,FALSE)),"NOT FOUND!!!", "OK"))</f>
        <v>OK</v>
      </c>
    </row>
    <row r="98" spans="1:13" x14ac:dyDescent="0.25">
      <c r="A98" t="str">
        <f t="shared" si="7"/>
        <v>C2-3449-V01</v>
      </c>
      <c r="B98" t="str">
        <f t="shared" si="8"/>
        <v>C2-3449</v>
      </c>
      <c r="C98" s="55" t="str">
        <f>IF(LEN(TRIM(A98))=0,"",get_string_val(RIGHT(B98,4)))</f>
        <v>3449</v>
      </c>
      <c r="D98" t="str">
        <f>IF(LEN(TRIM(A98))=0,"",GetItemValueFromSpecimenHeader("timepoint"))</f>
        <v>V01</v>
      </c>
      <c r="E98" t="str">
        <f t="shared" si="9"/>
        <v>19</v>
      </c>
      <c r="F98" t="str">
        <f t="shared" si="10"/>
        <v>1</v>
      </c>
      <c r="G98" t="str">
        <f t="shared" si="6"/>
        <v>Male</v>
      </c>
      <c r="H98" t="str">
        <f>IF(LEN(TRIM(A98))=0,"",GetConfigParameterValue("Collection Site"))</f>
        <v>Camp Lejeune, NC</v>
      </c>
      <c r="I98" t="str">
        <f t="shared" si="11"/>
        <v/>
      </c>
      <c r="M98" t="str">
        <f>IF(LEN(TRIM(B98))=0,"",IF(ISERROR(VLOOKUP(RIGHT(B98,4),study_demographic!A:A,1,FALSE)),"NOT FOUND!!!", "OK"))</f>
        <v>OK</v>
      </c>
    </row>
    <row r="99" spans="1:13" x14ac:dyDescent="0.25">
      <c r="A99" t="str">
        <f t="shared" si="7"/>
        <v/>
      </c>
      <c r="B99" t="str">
        <f t="shared" si="8"/>
        <v/>
      </c>
      <c r="C99" s="55" t="str">
        <f>IF(LEN(TRIM(A99))=0,"",get_string_val(RIGHT(B99,4)))</f>
        <v/>
      </c>
      <c r="D99" t="str">
        <f>IF(LEN(TRIM(A99))=0,"",GetItemValueFromSpecimenHeader("timepoint"))</f>
        <v/>
      </c>
      <c r="E99" t="str">
        <f t="shared" si="9"/>
        <v/>
      </c>
      <c r="F99" t="str">
        <f t="shared" si="10"/>
        <v/>
      </c>
      <c r="G99" t="str">
        <f t="shared" si="6"/>
        <v/>
      </c>
      <c r="H99" t="str">
        <f>IF(LEN(TRIM(A99))=0,"",GetConfigParameterValue("Collection Site"))</f>
        <v/>
      </c>
      <c r="I99" t="str">
        <f t="shared" si="11"/>
        <v/>
      </c>
      <c r="M99" t="str">
        <f>IF(LEN(TRIM(B99))=0,"",IF(ISERROR(VLOOKUP(RIGHT(B99,4),study_demographic!A:A,1,FALSE)),"NOT FOUND!!!", "OK"))</f>
        <v/>
      </c>
    </row>
    <row r="100" spans="1:13" x14ac:dyDescent="0.25">
      <c r="A100" t="str">
        <f t="shared" si="7"/>
        <v/>
      </c>
      <c r="B100" t="str">
        <f t="shared" si="8"/>
        <v/>
      </c>
      <c r="C100" s="55" t="str">
        <f>IF(LEN(TRIM(A100))=0,"",get_string_val(RIGHT(B100,4)))</f>
        <v/>
      </c>
      <c r="D100" t="str">
        <f>IF(LEN(TRIM(A100))=0,"",GetItemValueFromSpecimenHeader("timepoint"))</f>
        <v/>
      </c>
      <c r="E100" t="str">
        <f t="shared" si="9"/>
        <v/>
      </c>
      <c r="F100" t="str">
        <f t="shared" si="10"/>
        <v/>
      </c>
      <c r="G100" t="str">
        <f t="shared" si="6"/>
        <v/>
      </c>
      <c r="H100" t="str">
        <f>IF(LEN(TRIM(A100))=0,"",GetConfigParameterValue("Collection Site"))</f>
        <v/>
      </c>
      <c r="I100" t="str">
        <f t="shared" si="11"/>
        <v/>
      </c>
      <c r="M100" t="str">
        <f>IF(LEN(TRIM(B100))=0,"",IF(ISERROR(VLOOKUP(RIGHT(B100,4),study_demographic!A:A,1,FALSE)),"NOT FOUND!!!", "OK"))</f>
        <v/>
      </c>
    </row>
    <row r="101" spans="1:13" x14ac:dyDescent="0.25">
      <c r="A101" t="str">
        <f t="shared" si="7"/>
        <v/>
      </c>
      <c r="B101" t="str">
        <f t="shared" si="8"/>
        <v/>
      </c>
      <c r="C101" s="55" t="str">
        <f>IF(LEN(TRIM(A101))=0,"",get_string_val(RIGHT(B101,4)))</f>
        <v/>
      </c>
      <c r="D101" t="str">
        <f>IF(LEN(TRIM(A101))=0,"",GetItemValueFromSpecimenHeader("timepoint"))</f>
        <v/>
      </c>
      <c r="E101" t="str">
        <f t="shared" si="9"/>
        <v/>
      </c>
      <c r="F101" t="str">
        <f t="shared" si="10"/>
        <v/>
      </c>
      <c r="G101" t="str">
        <f t="shared" si="6"/>
        <v/>
      </c>
      <c r="H101" t="str">
        <f>IF(LEN(TRIM(A101))=0,"",GetConfigParameterValue("Collection Site"))</f>
        <v/>
      </c>
      <c r="I101" t="str">
        <f t="shared" si="11"/>
        <v/>
      </c>
      <c r="M101" t="str">
        <f>IF(LEN(TRIM(B101))=0,"",IF(ISERROR(VLOOKUP(RIGHT(B101,4),study_demographic!A:A,1,FALSE)),"NOT FOUND!!!", "OK"))</f>
        <v/>
      </c>
    </row>
    <row r="102" spans="1:13" x14ac:dyDescent="0.25">
      <c r="A102" t="str">
        <f t="shared" si="7"/>
        <v/>
      </c>
      <c r="B102" t="str">
        <f t="shared" si="8"/>
        <v/>
      </c>
      <c r="C102" s="55" t="str">
        <f>IF(LEN(TRIM(A102))=0,"",get_string_val(RIGHT(B102,4)))</f>
        <v/>
      </c>
      <c r="D102" t="str">
        <f>IF(LEN(TRIM(A102))=0,"",GetItemValueFromSpecimenHeader("timepoint"))</f>
        <v/>
      </c>
      <c r="E102" t="str">
        <f t="shared" si="9"/>
        <v/>
      </c>
      <c r="F102" t="str">
        <f t="shared" si="10"/>
        <v/>
      </c>
      <c r="G102" t="str">
        <f t="shared" si="6"/>
        <v/>
      </c>
      <c r="H102" t="str">
        <f>IF(LEN(TRIM(A102))=0,"",GetConfigParameterValue("Collection Site"))</f>
        <v/>
      </c>
      <c r="I102" t="str">
        <f t="shared" si="11"/>
        <v/>
      </c>
      <c r="M102" t="str">
        <f>IF(LEN(TRIM(B102))=0,"",IF(ISERROR(VLOOKUP(RIGHT(B102,4),study_demographic!A:A,1,FALSE)),"NOT FOUND!!!", "OK"))</f>
        <v/>
      </c>
    </row>
    <row r="103" spans="1:13" x14ac:dyDescent="0.25">
      <c r="A103" t="str">
        <f t="shared" si="7"/>
        <v/>
      </c>
      <c r="B103" t="str">
        <f t="shared" si="8"/>
        <v/>
      </c>
      <c r="C103" s="55" t="str">
        <f>IF(LEN(TRIM(A103))=0,"",get_string_val(RIGHT(B103,4)))</f>
        <v/>
      </c>
      <c r="D103" t="str">
        <f>IF(LEN(TRIM(A103))=0,"",GetItemValueFromSpecimenHeader("timepoint"))</f>
        <v/>
      </c>
      <c r="E103" t="str">
        <f t="shared" si="9"/>
        <v/>
      </c>
      <c r="F103" t="str">
        <f t="shared" si="10"/>
        <v/>
      </c>
      <c r="G103" t="str">
        <f t="shared" si="6"/>
        <v/>
      </c>
      <c r="H103" t="str">
        <f>IF(LEN(TRIM(A103))=0,"",GetConfigParameterValue("Collection Site"))</f>
        <v/>
      </c>
      <c r="I103" t="str">
        <f t="shared" si="11"/>
        <v/>
      </c>
      <c r="M103" t="str">
        <f>IF(LEN(TRIM(B103))=0,"",IF(ISERROR(VLOOKUP(RIGHT(B103,4),study_demographic!A:A,1,FALSE)),"NOT FOUND!!!", "OK"))</f>
        <v/>
      </c>
    </row>
    <row r="104" spans="1:13" x14ac:dyDescent="0.25">
      <c r="A104" t="str">
        <f t="shared" si="7"/>
        <v/>
      </c>
      <c r="B104" t="str">
        <f t="shared" si="8"/>
        <v/>
      </c>
      <c r="C104" s="55" t="str">
        <f>IF(LEN(TRIM(A104))=0,"",get_string_val(RIGHT(B104,4)))</f>
        <v/>
      </c>
      <c r="D104" t="str">
        <f>IF(LEN(TRIM(A104))=0,"",GetItemValueFromSpecimenHeader("timepoint"))</f>
        <v/>
      </c>
      <c r="E104" t="str">
        <f t="shared" si="9"/>
        <v/>
      </c>
      <c r="F104" t="str">
        <f t="shared" si="10"/>
        <v/>
      </c>
      <c r="G104" t="str">
        <f t="shared" si="6"/>
        <v/>
      </c>
      <c r="H104" t="str">
        <f>IF(LEN(TRIM(A104))=0,"",GetConfigParameterValue("Collection Site"))</f>
        <v/>
      </c>
      <c r="I104" t="str">
        <f t="shared" si="11"/>
        <v/>
      </c>
      <c r="M104" t="str">
        <f>IF(LEN(TRIM(B104))=0,"",IF(ISERROR(VLOOKUP(RIGHT(B104,4),study_demographic!A:A,1,FALSE)),"NOT FOUND!!!", "OK"))</f>
        <v/>
      </c>
    </row>
    <row r="105" spans="1:13" x14ac:dyDescent="0.25">
      <c r="A105" t="str">
        <f t="shared" si="7"/>
        <v/>
      </c>
      <c r="B105" t="str">
        <f t="shared" si="8"/>
        <v/>
      </c>
      <c r="C105" s="55" t="str">
        <f>IF(LEN(TRIM(A105))=0,"",get_string_val(RIGHT(B105,4)))</f>
        <v/>
      </c>
      <c r="D105" t="str">
        <f>IF(LEN(TRIM(A105))=0,"",GetItemValueFromSpecimenHeader("timepoint"))</f>
        <v/>
      </c>
      <c r="E105" t="str">
        <f t="shared" si="9"/>
        <v/>
      </c>
      <c r="F105" t="str">
        <f t="shared" si="10"/>
        <v/>
      </c>
      <c r="G105" t="str">
        <f t="shared" si="6"/>
        <v/>
      </c>
      <c r="H105" t="str">
        <f>IF(LEN(TRIM(A105))=0,"",GetConfigParameterValue("Collection Site"))</f>
        <v/>
      </c>
      <c r="I105" t="str">
        <f t="shared" si="11"/>
        <v/>
      </c>
      <c r="M105" t="str">
        <f>IF(LEN(TRIM(B105))=0,"",IF(ISERROR(VLOOKUP(RIGHT(B105,4),study_demographic!A:A,1,FALSE)),"NOT FOUND!!!", "OK"))</f>
        <v/>
      </c>
    </row>
    <row r="106" spans="1:13" x14ac:dyDescent="0.25">
      <c r="A106" t="str">
        <f t="shared" si="7"/>
        <v/>
      </c>
      <c r="B106" t="str">
        <f t="shared" si="8"/>
        <v/>
      </c>
      <c r="C106" s="55" t="str">
        <f>IF(LEN(TRIM(A106))=0,"",get_string_val(RIGHT(B106,4)))</f>
        <v/>
      </c>
      <c r="D106" t="str">
        <f>IF(LEN(TRIM(A106))=0,"",GetItemValueFromSpecimenHeader("timepoint"))</f>
        <v/>
      </c>
      <c r="E106" t="str">
        <f t="shared" si="9"/>
        <v/>
      </c>
      <c r="F106" t="str">
        <f t="shared" si="10"/>
        <v/>
      </c>
      <c r="G106" t="str">
        <f t="shared" si="6"/>
        <v/>
      </c>
      <c r="H106" t="str">
        <f>IF(LEN(TRIM(A106))=0,"",GetConfigParameterValue("Collection Site"))</f>
        <v/>
      </c>
      <c r="I106" t="str">
        <f t="shared" si="11"/>
        <v/>
      </c>
      <c r="M106" t="str">
        <f>IF(LEN(TRIM(B106))=0,"",IF(ISERROR(VLOOKUP(RIGHT(B106,4),study_demographic!A:A,1,FALSE)),"NOT FOUND!!!", "OK"))</f>
        <v/>
      </c>
    </row>
    <row r="107" spans="1:13" x14ac:dyDescent="0.25">
      <c r="A107" t="str">
        <f t="shared" si="7"/>
        <v/>
      </c>
      <c r="B107" t="str">
        <f t="shared" si="8"/>
        <v/>
      </c>
      <c r="C107" s="55" t="str">
        <f>IF(LEN(TRIM(A107))=0,"",get_string_val(RIGHT(B107,4)))</f>
        <v/>
      </c>
      <c r="D107" t="str">
        <f>IF(LEN(TRIM(A107))=0,"",GetItemValueFromSpecimenHeader("timepoint"))</f>
        <v/>
      </c>
      <c r="E107" t="str">
        <f t="shared" si="9"/>
        <v/>
      </c>
      <c r="F107" t="str">
        <f t="shared" si="10"/>
        <v/>
      </c>
      <c r="G107" t="str">
        <f t="shared" si="6"/>
        <v/>
      </c>
      <c r="H107" t="str">
        <f>IF(LEN(TRIM(A107))=0,"",GetConfigParameterValue("Collection Site"))</f>
        <v/>
      </c>
      <c r="I107" t="str">
        <f t="shared" si="11"/>
        <v/>
      </c>
      <c r="M107" t="str">
        <f>IF(LEN(TRIM(B107))=0,"",IF(ISERROR(VLOOKUP(RIGHT(B107,4),study_demographic!A:A,1,FALSE)),"NOT FOUND!!!", "OK"))</f>
        <v/>
      </c>
    </row>
    <row r="108" spans="1:13" x14ac:dyDescent="0.25">
      <c r="A108" t="str">
        <f t="shared" si="7"/>
        <v/>
      </c>
      <c r="B108" t="str">
        <f t="shared" si="8"/>
        <v/>
      </c>
      <c r="C108" s="55" t="str">
        <f>IF(LEN(TRIM(A108))=0,"",get_string_val(RIGHT(B108,4)))</f>
        <v/>
      </c>
      <c r="D108" t="str">
        <f>IF(LEN(TRIM(A108))=0,"",GetItemValueFromSpecimenHeader("timepoint"))</f>
        <v/>
      </c>
      <c r="E108" t="str">
        <f t="shared" si="9"/>
        <v/>
      </c>
      <c r="F108" t="str">
        <f t="shared" si="10"/>
        <v/>
      </c>
      <c r="G108" t="str">
        <f t="shared" si="6"/>
        <v/>
      </c>
      <c r="H108" t="str">
        <f>IF(LEN(TRIM(A108))=0,"",GetConfigParameterValue("Collection Site"))</f>
        <v/>
      </c>
      <c r="I108" t="str">
        <f t="shared" si="11"/>
        <v/>
      </c>
      <c r="M108" t="str">
        <f>IF(LEN(TRIM(B108))=0,"",IF(ISERROR(VLOOKUP(RIGHT(B108,4),study_demographic!A:A,1,FALSE)),"NOT FOUND!!!", "OK"))</f>
        <v/>
      </c>
    </row>
    <row r="109" spans="1:13" x14ac:dyDescent="0.25">
      <c r="A109" t="str">
        <f t="shared" si="7"/>
        <v/>
      </c>
      <c r="B109" t="str">
        <f t="shared" si="8"/>
        <v/>
      </c>
      <c r="C109" s="55" t="str">
        <f>IF(LEN(TRIM(A109))=0,"",get_string_val(RIGHT(B109,4)))</f>
        <v/>
      </c>
      <c r="D109" t="str">
        <f>IF(LEN(TRIM(A109))=0,"",GetItemValueFromSpecimenHeader("timepoint"))</f>
        <v/>
      </c>
      <c r="E109" t="str">
        <f t="shared" si="9"/>
        <v/>
      </c>
      <c r="F109" t="str">
        <f t="shared" si="10"/>
        <v/>
      </c>
      <c r="G109" t="str">
        <f t="shared" si="6"/>
        <v/>
      </c>
      <c r="H109" t="str">
        <f>IF(LEN(TRIM(A109))=0,"",GetConfigParameterValue("Collection Site"))</f>
        <v/>
      </c>
      <c r="I109" t="str">
        <f t="shared" si="11"/>
        <v/>
      </c>
      <c r="M109" t="str">
        <f>IF(LEN(TRIM(B109))=0,"",IF(ISERROR(VLOOKUP(RIGHT(B109,4),study_demographic!A:A,1,FALSE)),"NOT FOUND!!!", "OK"))</f>
        <v/>
      </c>
    </row>
    <row r="110" spans="1:13" x14ac:dyDescent="0.25">
      <c r="A110" t="str">
        <f t="shared" si="7"/>
        <v/>
      </c>
      <c r="B110" t="str">
        <f t="shared" si="8"/>
        <v/>
      </c>
      <c r="C110" s="55" t="str">
        <f>IF(LEN(TRIM(A110))=0,"",get_string_val(RIGHT(B110,4)))</f>
        <v/>
      </c>
      <c r="D110" t="str">
        <f>IF(LEN(TRIM(A110))=0,"",GetItemValueFromSpecimenHeader("timepoint"))</f>
        <v/>
      </c>
      <c r="E110" t="str">
        <f t="shared" si="9"/>
        <v/>
      </c>
      <c r="F110" t="str">
        <f t="shared" si="10"/>
        <v/>
      </c>
      <c r="G110" t="str">
        <f t="shared" si="6"/>
        <v/>
      </c>
      <c r="H110" t="str">
        <f>IF(LEN(TRIM(A110))=0,"",GetConfigParameterValue("Collection Site"))</f>
        <v/>
      </c>
      <c r="I110" t="str">
        <f t="shared" si="11"/>
        <v/>
      </c>
      <c r="M110" t="str">
        <f>IF(LEN(TRIM(B110))=0,"",IF(ISERROR(VLOOKUP(RIGHT(B110,4),study_demographic!A:A,1,FALSE)),"NOT FOUND!!!", "OK"))</f>
        <v/>
      </c>
    </row>
    <row r="111" spans="1:13" x14ac:dyDescent="0.25">
      <c r="A111" t="str">
        <f t="shared" si="7"/>
        <v/>
      </c>
      <c r="B111" t="str">
        <f t="shared" si="8"/>
        <v/>
      </c>
      <c r="C111" s="55" t="str">
        <f>IF(LEN(TRIM(A111))=0,"",get_string_val(RIGHT(B111,4)))</f>
        <v/>
      </c>
      <c r="D111" t="str">
        <f>IF(LEN(TRIM(A111))=0,"",GetItemValueFromSpecimenHeader("timepoint"))</f>
        <v/>
      </c>
      <c r="E111" t="str">
        <f t="shared" si="9"/>
        <v/>
      </c>
      <c r="F111" t="str">
        <f t="shared" si="10"/>
        <v/>
      </c>
      <c r="G111" t="str">
        <f t="shared" si="6"/>
        <v/>
      </c>
      <c r="H111" t="str">
        <f>IF(LEN(TRIM(A111))=0,"",GetConfigParameterValue("Collection Site"))</f>
        <v/>
      </c>
      <c r="I111" t="str">
        <f t="shared" si="11"/>
        <v/>
      </c>
      <c r="M111" t="str">
        <f>IF(LEN(TRIM(B111))=0,"",IF(ISERROR(VLOOKUP(RIGHT(B111,4),study_demographic!A:A,1,FALSE)),"NOT FOUND!!!", "OK"))</f>
        <v/>
      </c>
    </row>
    <row r="112" spans="1:13" x14ac:dyDescent="0.25">
      <c r="A112" t="str">
        <f t="shared" si="7"/>
        <v/>
      </c>
      <c r="B112" t="str">
        <f t="shared" si="8"/>
        <v/>
      </c>
      <c r="C112" s="55" t="str">
        <f>IF(LEN(TRIM(A112))=0,"",get_string_val(RIGHT(B112,4)))</f>
        <v/>
      </c>
      <c r="D112" t="str">
        <f>IF(LEN(TRIM(A112))=0,"",GetItemValueFromSpecimenHeader("timepoint"))</f>
        <v/>
      </c>
      <c r="E112" t="str">
        <f t="shared" si="9"/>
        <v/>
      </c>
      <c r="F112" t="str">
        <f t="shared" si="10"/>
        <v/>
      </c>
      <c r="G112" t="str">
        <f t="shared" si="6"/>
        <v/>
      </c>
      <c r="H112" t="str">
        <f>IF(LEN(TRIM(A112))=0,"",GetConfigParameterValue("Collection Site"))</f>
        <v/>
      </c>
      <c r="I112" t="str">
        <f t="shared" si="11"/>
        <v/>
      </c>
      <c r="M112" t="str">
        <f>IF(LEN(TRIM(B112))=0,"",IF(ISERROR(VLOOKUP(RIGHT(B112,4),study_demographic!A:A,1,FALSE)),"NOT FOUND!!!", "OK"))</f>
        <v/>
      </c>
    </row>
    <row r="113" spans="1:13" x14ac:dyDescent="0.25">
      <c r="A113" t="str">
        <f t="shared" si="7"/>
        <v/>
      </c>
      <c r="B113" t="str">
        <f t="shared" si="8"/>
        <v/>
      </c>
      <c r="C113" s="55" t="str">
        <f>IF(LEN(TRIM(A113))=0,"",get_string_val(RIGHT(B113,4)))</f>
        <v/>
      </c>
      <c r="D113" t="str">
        <f>IF(LEN(TRIM(A113))=0,"",GetItemValueFromSpecimenHeader("timepoint"))</f>
        <v/>
      </c>
      <c r="E113" t="str">
        <f t="shared" si="9"/>
        <v/>
      </c>
      <c r="F113" t="str">
        <f t="shared" si="10"/>
        <v/>
      </c>
      <c r="G113" t="str">
        <f t="shared" si="6"/>
        <v/>
      </c>
      <c r="H113" t="str">
        <f>IF(LEN(TRIM(A113))=0,"",GetConfigParameterValue("Collection Site"))</f>
        <v/>
      </c>
      <c r="I113" t="str">
        <f t="shared" si="11"/>
        <v/>
      </c>
      <c r="M113" t="str">
        <f>IF(LEN(TRIM(B113))=0,"",IF(ISERROR(VLOOKUP(RIGHT(B113,4),study_demographic!A:A,1,FALSE)),"NOT FOUND!!!", "OK"))</f>
        <v/>
      </c>
    </row>
    <row r="114" spans="1:13" x14ac:dyDescent="0.25">
      <c r="A114" t="str">
        <f t="shared" si="7"/>
        <v/>
      </c>
      <c r="B114" t="str">
        <f t="shared" si="8"/>
        <v/>
      </c>
      <c r="C114" s="55" t="str">
        <f>IF(LEN(TRIM(A114))=0,"",get_string_val(RIGHT(B114,4)))</f>
        <v/>
      </c>
      <c r="D114" t="str">
        <f>IF(LEN(TRIM(A114))=0,"",GetItemValueFromSpecimenHeader("timepoint"))</f>
        <v/>
      </c>
      <c r="E114" t="str">
        <f t="shared" si="9"/>
        <v/>
      </c>
      <c r="F114" t="str">
        <f t="shared" si="10"/>
        <v/>
      </c>
      <c r="G114" t="str">
        <f t="shared" si="6"/>
        <v/>
      </c>
      <c r="H114" t="str">
        <f>IF(LEN(TRIM(A114))=0,"",GetConfigParameterValue("Collection Site"))</f>
        <v/>
      </c>
      <c r="I114" t="str">
        <f t="shared" si="11"/>
        <v/>
      </c>
      <c r="M114" t="str">
        <f>IF(LEN(TRIM(B114))=0,"",IF(ISERROR(VLOOKUP(RIGHT(B114,4),study_demographic!A:A,1,FALSE)),"NOT FOUND!!!", "OK"))</f>
        <v/>
      </c>
    </row>
    <row r="115" spans="1:13" x14ac:dyDescent="0.25">
      <c r="A115" t="str">
        <f t="shared" si="7"/>
        <v/>
      </c>
      <c r="B115" t="str">
        <f t="shared" si="8"/>
        <v/>
      </c>
      <c r="C115" s="55" t="str">
        <f>IF(LEN(TRIM(A115))=0,"",get_string_val(RIGHT(B115,4)))</f>
        <v/>
      </c>
      <c r="D115" t="str">
        <f>IF(LEN(TRIM(A115))=0,"",GetItemValueFromSpecimenHeader("timepoint"))</f>
        <v/>
      </c>
      <c r="E115" t="str">
        <f t="shared" si="9"/>
        <v/>
      </c>
      <c r="F115" t="str">
        <f t="shared" si="10"/>
        <v/>
      </c>
      <c r="G115" t="str">
        <f t="shared" si="6"/>
        <v/>
      </c>
      <c r="H115" t="str">
        <f>IF(LEN(TRIM(A115))=0,"",GetConfigParameterValue("Collection Site"))</f>
        <v/>
      </c>
      <c r="I115" t="str">
        <f t="shared" si="11"/>
        <v/>
      </c>
      <c r="M115" t="str">
        <f>IF(LEN(TRIM(B115))=0,"",IF(ISERROR(VLOOKUP(RIGHT(B115,4),study_demographic!A:A,1,FALSE)),"NOT FOUND!!!", "OK"))</f>
        <v/>
      </c>
    </row>
    <row r="116" spans="1:13" x14ac:dyDescent="0.25">
      <c r="A116" t="str">
        <f t="shared" si="7"/>
        <v/>
      </c>
      <c r="B116" t="str">
        <f t="shared" si="8"/>
        <v/>
      </c>
      <c r="C116" s="55" t="str">
        <f>IF(LEN(TRIM(A116))=0,"",get_string_val(RIGHT(B116,4)))</f>
        <v/>
      </c>
      <c r="D116" t="str">
        <f>IF(LEN(TRIM(A116))=0,"",GetItemValueFromSpecimenHeader("timepoint"))</f>
        <v/>
      </c>
      <c r="E116" t="str">
        <f t="shared" si="9"/>
        <v/>
      </c>
      <c r="F116" t="str">
        <f t="shared" si="10"/>
        <v/>
      </c>
      <c r="G116" t="str">
        <f t="shared" si="6"/>
        <v/>
      </c>
      <c r="H116" t="str">
        <f>IF(LEN(TRIM(A116))=0,"",GetConfigParameterValue("Collection Site"))</f>
        <v/>
      </c>
      <c r="I116" t="str">
        <f t="shared" si="11"/>
        <v/>
      </c>
      <c r="M116" t="str">
        <f>IF(LEN(TRIM(B116))=0,"",IF(ISERROR(VLOOKUP(RIGHT(B116,4),study_demographic!A:A,1,FALSE)),"NOT FOUND!!!", "OK"))</f>
        <v/>
      </c>
    </row>
    <row r="117" spans="1:13" x14ac:dyDescent="0.25">
      <c r="A117" t="str">
        <f t="shared" si="7"/>
        <v/>
      </c>
      <c r="B117" t="str">
        <f t="shared" si="8"/>
        <v/>
      </c>
      <c r="C117" s="55" t="str">
        <f>IF(LEN(TRIM(A117))=0,"",get_string_val(RIGHT(B117,4)))</f>
        <v/>
      </c>
      <c r="D117" t="str">
        <f>IF(LEN(TRIM(A117))=0,"",GetItemValueFromSpecimenHeader("timepoint"))</f>
        <v/>
      </c>
      <c r="E117" t="str">
        <f t="shared" si="9"/>
        <v/>
      </c>
      <c r="F117" t="str">
        <f t="shared" si="10"/>
        <v/>
      </c>
      <c r="G117" t="str">
        <f t="shared" si="6"/>
        <v/>
      </c>
      <c r="H117" t="str">
        <f>IF(LEN(TRIM(A117))=0,"",GetConfigParameterValue("Collection Site"))</f>
        <v/>
      </c>
      <c r="I117" t="str">
        <f t="shared" si="11"/>
        <v/>
      </c>
      <c r="M117" t="str">
        <f>IF(LEN(TRIM(B117))=0,"",IF(ISERROR(VLOOKUP(RIGHT(B117,4),study_demographic!A:A,1,FALSE)),"NOT FOUND!!!", "OK"))</f>
        <v/>
      </c>
    </row>
    <row r="118" spans="1:13" x14ac:dyDescent="0.25">
      <c r="A118" t="str">
        <f t="shared" si="7"/>
        <v/>
      </c>
      <c r="B118" t="str">
        <f t="shared" si="8"/>
        <v/>
      </c>
      <c r="C118" s="55" t="str">
        <f>IF(LEN(TRIM(A118))=0,"",get_string_val(RIGHT(B118,4)))</f>
        <v/>
      </c>
      <c r="D118" t="str">
        <f>IF(LEN(TRIM(A118))=0,"",GetItemValueFromSpecimenHeader("timepoint"))</f>
        <v/>
      </c>
      <c r="E118" t="str">
        <f t="shared" si="9"/>
        <v/>
      </c>
      <c r="F118" t="str">
        <f t="shared" si="10"/>
        <v/>
      </c>
      <c r="G118" t="str">
        <f t="shared" si="6"/>
        <v/>
      </c>
      <c r="H118" t="str">
        <f>IF(LEN(TRIM(A118))=0,"",GetConfigParameterValue("Collection Site"))</f>
        <v/>
      </c>
      <c r="I118" t="str">
        <f t="shared" si="11"/>
        <v/>
      </c>
      <c r="M118" t="str">
        <f>IF(LEN(TRIM(B118))=0,"",IF(ISERROR(VLOOKUP(RIGHT(B118,4),study_demographic!A:A,1,FALSE)),"NOT FOUND!!!", "OK"))</f>
        <v/>
      </c>
    </row>
    <row r="119" spans="1:13" x14ac:dyDescent="0.25">
      <c r="A119" t="str">
        <f t="shared" si="7"/>
        <v/>
      </c>
      <c r="B119" t="str">
        <f t="shared" si="8"/>
        <v/>
      </c>
      <c r="C119" s="55" t="str">
        <f>IF(LEN(TRIM(A119))=0,"",get_string_val(RIGHT(B119,4)))</f>
        <v/>
      </c>
      <c r="D119" t="str">
        <f>IF(LEN(TRIM(A119))=0,"",GetItemValueFromSpecimenHeader("timepoint"))</f>
        <v/>
      </c>
      <c r="E119" t="str">
        <f t="shared" si="9"/>
        <v/>
      </c>
      <c r="F119" t="str">
        <f t="shared" si="10"/>
        <v/>
      </c>
      <c r="G119" t="str">
        <f t="shared" si="6"/>
        <v/>
      </c>
      <c r="H119" t="str">
        <f>IF(LEN(TRIM(A119))=0,"",GetConfigParameterValue("Collection Site"))</f>
        <v/>
      </c>
      <c r="I119" t="str">
        <f t="shared" si="11"/>
        <v/>
      </c>
      <c r="M119" t="str">
        <f>IF(LEN(TRIM(B119))=0,"",IF(ISERROR(VLOOKUP(RIGHT(B119,4),study_demographic!A:A,1,FALSE)),"NOT FOUND!!!", "OK"))</f>
        <v/>
      </c>
    </row>
    <row r="120" spans="1:13" x14ac:dyDescent="0.25">
      <c r="A120" t="str">
        <f t="shared" si="7"/>
        <v/>
      </c>
      <c r="B120" t="str">
        <f t="shared" si="8"/>
        <v/>
      </c>
      <c r="C120" s="55" t="str">
        <f>IF(LEN(TRIM(A120))=0,"",get_string_val(RIGHT(B120,4)))</f>
        <v/>
      </c>
      <c r="D120" t="str">
        <f>IF(LEN(TRIM(A120))=0,"",GetItemValueFromSpecimenHeader("timepoint"))</f>
        <v/>
      </c>
      <c r="E120" t="str">
        <f t="shared" si="9"/>
        <v/>
      </c>
      <c r="F120" t="str">
        <f t="shared" si="10"/>
        <v/>
      </c>
      <c r="G120" t="str">
        <f t="shared" si="6"/>
        <v/>
      </c>
      <c r="H120" t="str">
        <f>IF(LEN(TRIM(A120))=0,"",GetConfigParameterValue("Collection Site"))</f>
        <v/>
      </c>
      <c r="I120" t="str">
        <f t="shared" si="11"/>
        <v/>
      </c>
      <c r="M120" t="str">
        <f>IF(LEN(TRIM(B120))=0,"",IF(ISERROR(VLOOKUP(RIGHT(B120,4),study_demographic!A:A,1,FALSE)),"NOT FOUND!!!", "OK"))</f>
        <v/>
      </c>
    </row>
    <row r="121" spans="1:13" x14ac:dyDescent="0.25">
      <c r="A121" t="str">
        <f t="shared" si="7"/>
        <v/>
      </c>
      <c r="B121" t="str">
        <f t="shared" si="8"/>
        <v/>
      </c>
      <c r="C121" s="55" t="str">
        <f>IF(LEN(TRIM(A121))=0,"",get_string_val(RIGHT(B121,4)))</f>
        <v/>
      </c>
      <c r="D121" t="str">
        <f>IF(LEN(TRIM(A121))=0,"",GetItemValueFromSpecimenHeader("timepoint"))</f>
        <v/>
      </c>
      <c r="E121" t="str">
        <f t="shared" si="9"/>
        <v/>
      </c>
      <c r="F121" t="str">
        <f t="shared" si="10"/>
        <v/>
      </c>
      <c r="G121" t="str">
        <f t="shared" si="6"/>
        <v/>
      </c>
      <c r="H121" t="str">
        <f>IF(LEN(TRIM(A121))=0,"",GetConfigParameterValue("Collection Site"))</f>
        <v/>
      </c>
      <c r="I121" t="str">
        <f t="shared" si="11"/>
        <v/>
      </c>
      <c r="M121" t="str">
        <f>IF(LEN(TRIM(B121))=0,"",IF(ISERROR(VLOOKUP(RIGHT(B121,4),study_demographic!A:A,1,FALSE)),"NOT FOUND!!!", "OK"))</f>
        <v/>
      </c>
    </row>
    <row r="122" spans="1:13" x14ac:dyDescent="0.25">
      <c r="A122" t="str">
        <f t="shared" si="7"/>
        <v/>
      </c>
      <c r="B122" t="str">
        <f t="shared" si="8"/>
        <v/>
      </c>
      <c r="C122" s="55" t="str">
        <f>IF(LEN(TRIM(A122))=0,"",get_string_val(RIGHT(B122,4)))</f>
        <v/>
      </c>
      <c r="D122" t="str">
        <f>IF(LEN(TRIM(A122))=0,"",GetItemValueFromSpecimenHeader("timepoint"))</f>
        <v/>
      </c>
      <c r="E122" t="str">
        <f t="shared" si="9"/>
        <v/>
      </c>
      <c r="F122" t="str">
        <f t="shared" si="10"/>
        <v/>
      </c>
      <c r="G122" t="str">
        <f t="shared" si="6"/>
        <v/>
      </c>
      <c r="H122" t="str">
        <f>IF(LEN(TRIM(A122))=0,"",GetConfigParameterValue("Collection Site"))</f>
        <v/>
      </c>
      <c r="I122" t="str">
        <f t="shared" si="11"/>
        <v/>
      </c>
      <c r="M122" t="str">
        <f>IF(LEN(TRIM(B122))=0,"",IF(ISERROR(VLOOKUP(RIGHT(B122,4),study_demographic!A:A,1,FALSE)),"NOT FOUND!!!", "OK"))</f>
        <v/>
      </c>
    </row>
    <row r="123" spans="1:13" x14ac:dyDescent="0.25">
      <c r="A123" t="str">
        <f t="shared" si="7"/>
        <v/>
      </c>
      <c r="B123" t="str">
        <f t="shared" si="8"/>
        <v/>
      </c>
      <c r="C123" s="55" t="str">
        <f>IF(LEN(TRIM(A123))=0,"",get_string_val(RIGHT(B123,4)))</f>
        <v/>
      </c>
      <c r="D123" t="str">
        <f>IF(LEN(TRIM(A123))=0,"",GetItemValueFromSpecimenHeader("timepoint"))</f>
        <v/>
      </c>
      <c r="E123" t="str">
        <f t="shared" si="9"/>
        <v/>
      </c>
      <c r="F123" t="str">
        <f t="shared" si="10"/>
        <v/>
      </c>
      <c r="G123" t="str">
        <f t="shared" si="6"/>
        <v/>
      </c>
      <c r="H123" t="str">
        <f>IF(LEN(TRIM(A123))=0,"",GetConfigParameterValue("Collection Site"))</f>
        <v/>
      </c>
      <c r="I123" t="str">
        <f t="shared" si="11"/>
        <v/>
      </c>
      <c r="M123" t="str">
        <f>IF(LEN(TRIM(B123))=0,"",IF(ISERROR(VLOOKUP(RIGHT(B123,4),study_demographic!A:A,1,FALSE)),"NOT FOUND!!!", "OK"))</f>
        <v/>
      </c>
    </row>
    <row r="124" spans="1:13" x14ac:dyDescent="0.25">
      <c r="A124" t="str">
        <f t="shared" si="7"/>
        <v/>
      </c>
      <c r="B124" t="str">
        <f t="shared" si="8"/>
        <v/>
      </c>
      <c r="C124" s="55" t="str">
        <f>IF(LEN(TRIM(A124))=0,"",get_string_val(RIGHT(B124,4)))</f>
        <v/>
      </c>
      <c r="D124" t="str">
        <f>IF(LEN(TRIM(A124))=0,"",GetItemValueFromSpecimenHeader("timepoint"))</f>
        <v/>
      </c>
      <c r="E124" t="str">
        <f t="shared" si="9"/>
        <v/>
      </c>
      <c r="F124" t="str">
        <f t="shared" si="10"/>
        <v/>
      </c>
      <c r="G124" t="str">
        <f t="shared" si="6"/>
        <v/>
      </c>
      <c r="H124" t="str">
        <f>IF(LEN(TRIM(A124))=0,"",GetConfigParameterValue("Collection Site"))</f>
        <v/>
      </c>
      <c r="I124" t="str">
        <f t="shared" si="11"/>
        <v/>
      </c>
      <c r="M124" t="str">
        <f>IF(LEN(TRIM(B124))=0,"",IF(ISERROR(VLOOKUP(RIGHT(B124,4),study_demographic!A:A,1,FALSE)),"NOT FOUND!!!", "OK"))</f>
        <v/>
      </c>
    </row>
    <row r="125" spans="1:13" x14ac:dyDescent="0.25">
      <c r="A125" t="str">
        <f t="shared" si="7"/>
        <v/>
      </c>
      <c r="B125" t="str">
        <f t="shared" si="8"/>
        <v/>
      </c>
      <c r="C125" s="55" t="str">
        <f>IF(LEN(TRIM(A125))=0,"",get_string_val(RIGHT(B125,4)))</f>
        <v/>
      </c>
      <c r="D125" t="str">
        <f>IF(LEN(TRIM(A125))=0,"",GetItemValueFromSpecimenHeader("timepoint"))</f>
        <v/>
      </c>
      <c r="E125" t="str">
        <f t="shared" si="9"/>
        <v/>
      </c>
      <c r="F125" t="str">
        <f t="shared" si="10"/>
        <v/>
      </c>
      <c r="G125" t="str">
        <f t="shared" si="6"/>
        <v/>
      </c>
      <c r="H125" t="str">
        <f>IF(LEN(TRIM(A125))=0,"",GetConfigParameterValue("Collection Site"))</f>
        <v/>
      </c>
      <c r="I125" t="str">
        <f t="shared" si="11"/>
        <v/>
      </c>
      <c r="M125" t="str">
        <f>IF(LEN(TRIM(B125))=0,"",IF(ISERROR(VLOOKUP(RIGHT(B125,4),study_demographic!A:A,1,FALSE)),"NOT FOUND!!!", "OK"))</f>
        <v/>
      </c>
    </row>
    <row r="126" spans="1:13" x14ac:dyDescent="0.25">
      <c r="A126" t="str">
        <f t="shared" si="7"/>
        <v/>
      </c>
      <c r="B126" t="str">
        <f t="shared" si="8"/>
        <v/>
      </c>
      <c r="C126" s="55" t="str">
        <f>IF(LEN(TRIM(A126))=0,"",get_string_val(RIGHT(B126,4)))</f>
        <v/>
      </c>
      <c r="D126" t="str">
        <f>IF(LEN(TRIM(A126))=0,"",GetItemValueFromSpecimenHeader("timepoint"))</f>
        <v/>
      </c>
      <c r="E126" t="str">
        <f t="shared" si="9"/>
        <v/>
      </c>
      <c r="F126" t="str">
        <f t="shared" si="10"/>
        <v/>
      </c>
      <c r="G126" t="str">
        <f t="shared" si="6"/>
        <v/>
      </c>
      <c r="H126" t="str">
        <f>IF(LEN(TRIM(A126))=0,"",GetConfigParameterValue("Collection Site"))</f>
        <v/>
      </c>
      <c r="I126" t="str">
        <f t="shared" si="11"/>
        <v/>
      </c>
      <c r="M126" t="str">
        <f>IF(LEN(TRIM(B126))=0,"",IF(ISERROR(VLOOKUP(RIGHT(B126,4),study_demographic!A:A,1,FALSE)),"NOT FOUND!!!", "OK"))</f>
        <v/>
      </c>
    </row>
    <row r="127" spans="1:13" x14ac:dyDescent="0.25">
      <c r="A127" t="str">
        <f t="shared" si="7"/>
        <v/>
      </c>
      <c r="B127" t="str">
        <f t="shared" si="8"/>
        <v/>
      </c>
      <c r="C127" s="55" t="str">
        <f>IF(LEN(TRIM(A127))=0,"",get_string_val(RIGHT(B127,4)))</f>
        <v/>
      </c>
      <c r="D127" t="str">
        <f>IF(LEN(TRIM(A127))=0,"",GetItemValueFromSpecimenHeader("timepoint"))</f>
        <v/>
      </c>
      <c r="E127" t="str">
        <f t="shared" si="9"/>
        <v/>
      </c>
      <c r="F127" t="str">
        <f t="shared" si="10"/>
        <v/>
      </c>
      <c r="G127" t="str">
        <f t="shared" si="6"/>
        <v/>
      </c>
      <c r="H127" t="str">
        <f>IF(LEN(TRIM(A127))=0,"",GetConfigParameterValue("Collection Site"))</f>
        <v/>
      </c>
      <c r="I127" t="str">
        <f t="shared" si="11"/>
        <v/>
      </c>
      <c r="M127" t="str">
        <f>IF(LEN(TRIM(B127))=0,"",IF(ISERROR(VLOOKUP(RIGHT(B127,4),study_demographic!A:A,1,FALSE)),"NOT FOUND!!!", "OK"))</f>
        <v/>
      </c>
    </row>
    <row r="128" spans="1:13" x14ac:dyDescent="0.25">
      <c r="A128" t="str">
        <f t="shared" si="7"/>
        <v/>
      </c>
      <c r="B128" t="str">
        <f t="shared" si="8"/>
        <v/>
      </c>
      <c r="C128" s="55" t="str">
        <f>IF(LEN(TRIM(A128))=0,"",get_string_val(RIGHT(B128,4)))</f>
        <v/>
      </c>
      <c r="D128" t="str">
        <f>IF(LEN(TRIM(A128))=0,"",GetItemValueFromSpecimenHeader("timepoint"))</f>
        <v/>
      </c>
      <c r="E128" t="str">
        <f t="shared" si="9"/>
        <v/>
      </c>
      <c r="F128" t="str">
        <f t="shared" si="10"/>
        <v/>
      </c>
      <c r="G128" t="str">
        <f t="shared" si="6"/>
        <v/>
      </c>
      <c r="H128" t="str">
        <f>IF(LEN(TRIM(A128))=0,"",GetConfigParameterValue("Collection Site"))</f>
        <v/>
      </c>
      <c r="I128" t="str">
        <f t="shared" si="11"/>
        <v/>
      </c>
      <c r="M128" t="str">
        <f>IF(LEN(TRIM(B128))=0,"",IF(ISERROR(VLOOKUP(RIGHT(B128,4),study_demographic!A:A,1,FALSE)),"NOT FOUND!!!", "OK"))</f>
        <v/>
      </c>
    </row>
    <row r="129" spans="1:13" x14ac:dyDescent="0.25">
      <c r="A129" t="str">
        <f t="shared" si="7"/>
        <v/>
      </c>
      <c r="B129" t="str">
        <f t="shared" si="8"/>
        <v/>
      </c>
      <c r="C129" s="55" t="str">
        <f>IF(LEN(TRIM(A129))=0,"",get_string_val(RIGHT(B129,4)))</f>
        <v/>
      </c>
      <c r="D129" t="str">
        <f>IF(LEN(TRIM(A129))=0,"",GetItemValueFromSpecimenHeader("timepoint"))</f>
        <v/>
      </c>
      <c r="E129" t="str">
        <f t="shared" si="9"/>
        <v/>
      </c>
      <c r="F129" t="str">
        <f t="shared" si="10"/>
        <v/>
      </c>
      <c r="G129" t="str">
        <f t="shared" si="6"/>
        <v/>
      </c>
      <c r="H129" t="str">
        <f>IF(LEN(TRIM(A129))=0,"",GetConfigParameterValue("Collection Site"))</f>
        <v/>
      </c>
      <c r="I129" t="str">
        <f t="shared" si="11"/>
        <v/>
      </c>
      <c r="M129" t="str">
        <f>IF(LEN(TRIM(B129))=0,"",IF(ISERROR(VLOOKUP(RIGHT(B129,4),study_demographic!A:A,1,FALSE)),"NOT FOUND!!!", "OK"))</f>
        <v/>
      </c>
    </row>
    <row r="130" spans="1:13" x14ac:dyDescent="0.25">
      <c r="A130" t="str">
        <f t="shared" si="7"/>
        <v/>
      </c>
      <c r="B130" t="str">
        <f t="shared" si="8"/>
        <v/>
      </c>
      <c r="C130" s="55" t="str">
        <f>IF(LEN(TRIM(A130))=0,"",get_string_val(RIGHT(B130,4)))</f>
        <v/>
      </c>
      <c r="D130" t="str">
        <f>IF(LEN(TRIM(A130))=0,"",GetItemValueFromSpecimenHeader("timepoint"))</f>
        <v/>
      </c>
      <c r="E130" t="str">
        <f t="shared" si="9"/>
        <v/>
      </c>
      <c r="F130" t="str">
        <f t="shared" si="10"/>
        <v/>
      </c>
      <c r="G130" t="str">
        <f t="shared" ref="G130:G193" si="12">IF(LEN(TRIM(A130))=0,"",IF(TRIM(F130)="1","Male", IF(TRIM(F130)="2","Female", "NA")))</f>
        <v/>
      </c>
      <c r="H130" t="str">
        <f>IF(LEN(TRIM(A130))=0,"",GetConfigParameterValue("Collection Site"))</f>
        <v/>
      </c>
      <c r="I130" t="str">
        <f t="shared" si="11"/>
        <v/>
      </c>
      <c r="M130" t="str">
        <f>IF(LEN(TRIM(B130))=0,"",IF(ISERROR(VLOOKUP(RIGHT(B130,4),study_demographic!A:A,1,FALSE)),"NOT FOUND!!!", "OK"))</f>
        <v/>
      </c>
    </row>
    <row r="131" spans="1:13" x14ac:dyDescent="0.25">
      <c r="A131" t="str">
        <f t="shared" ref="A131:A194" si="13">GetSampleId((ROW()))</f>
        <v/>
      </c>
      <c r="B131" t="str">
        <f t="shared" ref="B131:B194" si="14">IF(LEN(TRIM(A131))=0,"",LEFT(A131,7))</f>
        <v/>
      </c>
      <c r="C131" s="55" t="str">
        <f>IF(LEN(TRIM(A131))=0,"",get_string_val(RIGHT(B131,4)))</f>
        <v/>
      </c>
      <c r="D131" t="str">
        <f>IF(LEN(TRIM(A131))=0,"",GetItemValueFromSpecimenHeader("timepoint"))</f>
        <v/>
      </c>
      <c r="E131" t="str">
        <f t="shared" ref="E131:E194" si="15">getColumnValueBySubjectID("Age",RIGHT(B131,4))</f>
        <v/>
      </c>
      <c r="F131" t="str">
        <f t="shared" ref="F131:F194" si="16">getColumnValueBySubjectID("Sex",RIGHT(B131,4))</f>
        <v/>
      </c>
      <c r="G131" t="str">
        <f t="shared" si="12"/>
        <v/>
      </c>
      <c r="H131" t="str">
        <f>IF(LEN(TRIM(A131))=0,"",GetConfigParameterValue("Collection Site"))</f>
        <v/>
      </c>
      <c r="I131" t="str">
        <f t="shared" ref="I131:I194" si="17">getColumnValueBySubjectID("Comments",B131)</f>
        <v/>
      </c>
      <c r="M131" t="str">
        <f>IF(LEN(TRIM(B131))=0,"",IF(ISERROR(VLOOKUP(RIGHT(B131,4),study_demographic!A:A,1,FALSE)),"NOT FOUND!!!", "OK"))</f>
        <v/>
      </c>
    </row>
    <row r="132" spans="1:13" x14ac:dyDescent="0.25">
      <c r="A132" t="str">
        <f t="shared" si="13"/>
        <v/>
      </c>
      <c r="B132" t="str">
        <f t="shared" si="14"/>
        <v/>
      </c>
      <c r="C132" s="55" t="str">
        <f>IF(LEN(TRIM(A132))=0,"",get_string_val(RIGHT(B132,4)))</f>
        <v/>
      </c>
      <c r="D132" t="str">
        <f>IF(LEN(TRIM(A132))=0,"",GetItemValueFromSpecimenHeader("timepoint"))</f>
        <v/>
      </c>
      <c r="E132" t="str">
        <f t="shared" si="15"/>
        <v/>
      </c>
      <c r="F132" t="str">
        <f t="shared" si="16"/>
        <v/>
      </c>
      <c r="G132" t="str">
        <f t="shared" si="12"/>
        <v/>
      </c>
      <c r="H132" t="str">
        <f>IF(LEN(TRIM(A132))=0,"",GetConfigParameterValue("Collection Site"))</f>
        <v/>
      </c>
      <c r="I132" t="str">
        <f t="shared" si="17"/>
        <v/>
      </c>
      <c r="M132" t="str">
        <f>IF(LEN(TRIM(B132))=0,"",IF(ISERROR(VLOOKUP(RIGHT(B132,4),study_demographic!A:A,1,FALSE)),"NOT FOUND!!!", "OK"))</f>
        <v/>
      </c>
    </row>
    <row r="133" spans="1:13" x14ac:dyDescent="0.25">
      <c r="A133" t="str">
        <f t="shared" si="13"/>
        <v/>
      </c>
      <c r="B133" t="str">
        <f t="shared" si="14"/>
        <v/>
      </c>
      <c r="C133" s="55" t="str">
        <f>IF(LEN(TRIM(A133))=0,"",get_string_val(RIGHT(B133,4)))</f>
        <v/>
      </c>
      <c r="D133" t="str">
        <f>IF(LEN(TRIM(A133))=0,"",GetItemValueFromSpecimenHeader("timepoint"))</f>
        <v/>
      </c>
      <c r="E133" t="str">
        <f t="shared" si="15"/>
        <v/>
      </c>
      <c r="F133" t="str">
        <f t="shared" si="16"/>
        <v/>
      </c>
      <c r="G133" t="str">
        <f t="shared" si="12"/>
        <v/>
      </c>
      <c r="H133" t="str">
        <f>IF(LEN(TRIM(A133))=0,"",GetConfigParameterValue("Collection Site"))</f>
        <v/>
      </c>
      <c r="I133" t="str">
        <f t="shared" si="17"/>
        <v/>
      </c>
      <c r="M133" t="str">
        <f>IF(LEN(TRIM(B133))=0,"",IF(ISERROR(VLOOKUP(RIGHT(B133,4),study_demographic!A:A,1,FALSE)),"NOT FOUND!!!", "OK"))</f>
        <v/>
      </c>
    </row>
    <row r="134" spans="1:13" x14ac:dyDescent="0.25">
      <c r="A134" t="str">
        <f t="shared" si="13"/>
        <v/>
      </c>
      <c r="B134" t="str">
        <f t="shared" si="14"/>
        <v/>
      </c>
      <c r="C134" s="55" t="str">
        <f>IF(LEN(TRIM(A134))=0,"",get_string_val(RIGHT(B134,4)))</f>
        <v/>
      </c>
      <c r="D134" t="str">
        <f>IF(LEN(TRIM(A134))=0,"",GetItemValueFromSpecimenHeader("timepoint"))</f>
        <v/>
      </c>
      <c r="E134" t="str">
        <f t="shared" si="15"/>
        <v/>
      </c>
      <c r="F134" t="str">
        <f t="shared" si="16"/>
        <v/>
      </c>
      <c r="G134" t="str">
        <f t="shared" si="12"/>
        <v/>
      </c>
      <c r="H134" t="str">
        <f>IF(LEN(TRIM(A134))=0,"",GetConfigParameterValue("Collection Site"))</f>
        <v/>
      </c>
      <c r="I134" t="str">
        <f t="shared" si="17"/>
        <v/>
      </c>
      <c r="M134" t="str">
        <f>IF(LEN(TRIM(B134))=0,"",IF(ISERROR(VLOOKUP(RIGHT(B134,4),study_demographic!A:A,1,FALSE)),"NOT FOUND!!!", "OK"))</f>
        <v/>
      </c>
    </row>
    <row r="135" spans="1:13" x14ac:dyDescent="0.25">
      <c r="A135" t="str">
        <f t="shared" si="13"/>
        <v/>
      </c>
      <c r="B135" t="str">
        <f t="shared" si="14"/>
        <v/>
      </c>
      <c r="C135" s="55" t="str">
        <f>IF(LEN(TRIM(A135))=0,"",get_string_val(RIGHT(B135,4)))</f>
        <v/>
      </c>
      <c r="D135" t="str">
        <f>IF(LEN(TRIM(A135))=0,"",GetItemValueFromSpecimenHeader("timepoint"))</f>
        <v/>
      </c>
      <c r="E135" t="str">
        <f t="shared" si="15"/>
        <v/>
      </c>
      <c r="F135" t="str">
        <f t="shared" si="16"/>
        <v/>
      </c>
      <c r="G135" t="str">
        <f t="shared" si="12"/>
        <v/>
      </c>
      <c r="H135" t="str">
        <f>IF(LEN(TRIM(A135))=0,"",GetConfigParameterValue("Collection Site"))</f>
        <v/>
      </c>
      <c r="I135" t="str">
        <f t="shared" si="17"/>
        <v/>
      </c>
      <c r="M135" t="str">
        <f>IF(LEN(TRIM(B135))=0,"",IF(ISERROR(VLOOKUP(RIGHT(B135,4),study_demographic!A:A,1,FALSE)),"NOT FOUND!!!", "OK"))</f>
        <v/>
      </c>
    </row>
    <row r="136" spans="1:13" x14ac:dyDescent="0.25">
      <c r="A136" t="str">
        <f t="shared" si="13"/>
        <v/>
      </c>
      <c r="B136" t="str">
        <f t="shared" si="14"/>
        <v/>
      </c>
      <c r="C136" s="55" t="str">
        <f>IF(LEN(TRIM(A136))=0,"",get_string_val(RIGHT(B136,4)))</f>
        <v/>
      </c>
      <c r="D136" t="str">
        <f>IF(LEN(TRIM(A136))=0,"",GetItemValueFromSpecimenHeader("timepoint"))</f>
        <v/>
      </c>
      <c r="E136" t="str">
        <f t="shared" si="15"/>
        <v/>
      </c>
      <c r="F136" t="str">
        <f t="shared" si="16"/>
        <v/>
      </c>
      <c r="G136" t="str">
        <f t="shared" si="12"/>
        <v/>
      </c>
      <c r="H136" t="str">
        <f>IF(LEN(TRIM(A136))=0,"",GetConfigParameterValue("Collection Site"))</f>
        <v/>
      </c>
      <c r="I136" t="str">
        <f t="shared" si="17"/>
        <v/>
      </c>
      <c r="M136" t="str">
        <f>IF(LEN(TRIM(B136))=0,"",IF(ISERROR(VLOOKUP(RIGHT(B136,4),study_demographic!A:A,1,FALSE)),"NOT FOUND!!!", "OK"))</f>
        <v/>
      </c>
    </row>
    <row r="137" spans="1:13" x14ac:dyDescent="0.25">
      <c r="A137" t="str">
        <f t="shared" si="13"/>
        <v/>
      </c>
      <c r="B137" t="str">
        <f t="shared" si="14"/>
        <v/>
      </c>
      <c r="C137" s="55" t="str">
        <f>IF(LEN(TRIM(A137))=0,"",get_string_val(RIGHT(B137,4)))</f>
        <v/>
      </c>
      <c r="D137" t="str">
        <f>IF(LEN(TRIM(A137))=0,"",GetItemValueFromSpecimenHeader("timepoint"))</f>
        <v/>
      </c>
      <c r="E137" t="str">
        <f t="shared" si="15"/>
        <v/>
      </c>
      <c r="F137" t="str">
        <f t="shared" si="16"/>
        <v/>
      </c>
      <c r="G137" t="str">
        <f t="shared" si="12"/>
        <v/>
      </c>
      <c r="H137" t="str">
        <f>IF(LEN(TRIM(A137))=0,"",GetConfigParameterValue("Collection Site"))</f>
        <v/>
      </c>
      <c r="I137" t="str">
        <f t="shared" si="17"/>
        <v/>
      </c>
      <c r="M137" t="str">
        <f>IF(LEN(TRIM(B137))=0,"",IF(ISERROR(VLOOKUP(RIGHT(B137,4),study_demographic!A:A,1,FALSE)),"NOT FOUND!!!", "OK"))</f>
        <v/>
      </c>
    </row>
    <row r="138" spans="1:13" x14ac:dyDescent="0.25">
      <c r="A138" t="str">
        <f t="shared" si="13"/>
        <v/>
      </c>
      <c r="B138" t="str">
        <f t="shared" si="14"/>
        <v/>
      </c>
      <c r="C138" s="55" t="str">
        <f>IF(LEN(TRIM(A138))=0,"",get_string_val(RIGHT(B138,4)))</f>
        <v/>
      </c>
      <c r="D138" t="str">
        <f>IF(LEN(TRIM(A138))=0,"",GetItemValueFromSpecimenHeader("timepoint"))</f>
        <v/>
      </c>
      <c r="E138" t="str">
        <f t="shared" si="15"/>
        <v/>
      </c>
      <c r="F138" t="str">
        <f t="shared" si="16"/>
        <v/>
      </c>
      <c r="G138" t="str">
        <f t="shared" si="12"/>
        <v/>
      </c>
      <c r="H138" t="str">
        <f>IF(LEN(TRIM(A138))=0,"",GetConfigParameterValue("Collection Site"))</f>
        <v/>
      </c>
      <c r="I138" t="str">
        <f t="shared" si="17"/>
        <v/>
      </c>
      <c r="M138" t="str">
        <f>IF(LEN(TRIM(B138))=0,"",IF(ISERROR(VLOOKUP(RIGHT(B138,4),study_demographic!A:A,1,FALSE)),"NOT FOUND!!!", "OK"))</f>
        <v/>
      </c>
    </row>
    <row r="139" spans="1:13" x14ac:dyDescent="0.25">
      <c r="A139" t="str">
        <f t="shared" si="13"/>
        <v/>
      </c>
      <c r="B139" t="str">
        <f t="shared" si="14"/>
        <v/>
      </c>
      <c r="C139" s="55" t="str">
        <f>IF(LEN(TRIM(A139))=0,"",get_string_val(RIGHT(B139,4)))</f>
        <v/>
      </c>
      <c r="D139" t="str">
        <f>IF(LEN(TRIM(A139))=0,"",GetItemValueFromSpecimenHeader("timepoint"))</f>
        <v/>
      </c>
      <c r="E139" t="str">
        <f t="shared" si="15"/>
        <v/>
      </c>
      <c r="F139" t="str">
        <f t="shared" si="16"/>
        <v/>
      </c>
      <c r="G139" t="str">
        <f t="shared" si="12"/>
        <v/>
      </c>
      <c r="H139" t="str">
        <f>IF(LEN(TRIM(A139))=0,"",GetConfigParameterValue("Collection Site"))</f>
        <v/>
      </c>
      <c r="I139" t="str">
        <f t="shared" si="17"/>
        <v/>
      </c>
      <c r="M139" t="str">
        <f>IF(LEN(TRIM(B139))=0,"",IF(ISERROR(VLOOKUP(RIGHT(B139,4),study_demographic!A:A,1,FALSE)),"NOT FOUND!!!", "OK"))</f>
        <v/>
      </c>
    </row>
    <row r="140" spans="1:13" x14ac:dyDescent="0.25">
      <c r="A140" t="str">
        <f t="shared" si="13"/>
        <v/>
      </c>
      <c r="B140" t="str">
        <f t="shared" si="14"/>
        <v/>
      </c>
      <c r="C140" s="55" t="str">
        <f>IF(LEN(TRIM(A140))=0,"",get_string_val(RIGHT(B140,4)))</f>
        <v/>
      </c>
      <c r="D140" t="str">
        <f>IF(LEN(TRIM(A140))=0,"",GetItemValueFromSpecimenHeader("timepoint"))</f>
        <v/>
      </c>
      <c r="E140" t="str">
        <f t="shared" si="15"/>
        <v/>
      </c>
      <c r="F140" t="str">
        <f t="shared" si="16"/>
        <v/>
      </c>
      <c r="G140" t="str">
        <f t="shared" si="12"/>
        <v/>
      </c>
      <c r="H140" t="str">
        <f>IF(LEN(TRIM(A140))=0,"",GetConfigParameterValue("Collection Site"))</f>
        <v/>
      </c>
      <c r="I140" t="str">
        <f t="shared" si="17"/>
        <v/>
      </c>
      <c r="M140" t="str">
        <f>IF(LEN(TRIM(B140))=0,"",IF(ISERROR(VLOOKUP(RIGHT(B140,4),study_demographic!A:A,1,FALSE)),"NOT FOUND!!!", "OK"))</f>
        <v/>
      </c>
    </row>
    <row r="141" spans="1:13" x14ac:dyDescent="0.25">
      <c r="A141" t="str">
        <f t="shared" si="13"/>
        <v/>
      </c>
      <c r="B141" t="str">
        <f t="shared" si="14"/>
        <v/>
      </c>
      <c r="C141" s="55" t="str">
        <f>IF(LEN(TRIM(A141))=0,"",get_string_val(RIGHT(B141,4)))</f>
        <v/>
      </c>
      <c r="D141" t="str">
        <f>IF(LEN(TRIM(A141))=0,"",GetItemValueFromSpecimenHeader("timepoint"))</f>
        <v/>
      </c>
      <c r="E141" t="str">
        <f t="shared" si="15"/>
        <v/>
      </c>
      <c r="F141" t="str">
        <f t="shared" si="16"/>
        <v/>
      </c>
      <c r="G141" t="str">
        <f t="shared" si="12"/>
        <v/>
      </c>
      <c r="H141" t="str">
        <f>IF(LEN(TRIM(A141))=0,"",GetConfigParameterValue("Collection Site"))</f>
        <v/>
      </c>
      <c r="I141" t="str">
        <f t="shared" si="17"/>
        <v/>
      </c>
      <c r="M141" t="str">
        <f>IF(LEN(TRIM(B141))=0,"",IF(ISERROR(VLOOKUP(RIGHT(B141,4),study_demographic!A:A,1,FALSE)),"NOT FOUND!!!", "OK"))</f>
        <v/>
      </c>
    </row>
    <row r="142" spans="1:13" x14ac:dyDescent="0.25">
      <c r="A142" t="str">
        <f t="shared" si="13"/>
        <v/>
      </c>
      <c r="B142" t="str">
        <f t="shared" si="14"/>
        <v/>
      </c>
      <c r="C142" s="55" t="str">
        <f>IF(LEN(TRIM(A142))=0,"",get_string_val(RIGHT(B142,4)))</f>
        <v/>
      </c>
      <c r="D142" t="str">
        <f>IF(LEN(TRIM(A142))=0,"",GetItemValueFromSpecimenHeader("timepoint"))</f>
        <v/>
      </c>
      <c r="E142" t="str">
        <f t="shared" si="15"/>
        <v/>
      </c>
      <c r="F142" t="str">
        <f t="shared" si="16"/>
        <v/>
      </c>
      <c r="G142" t="str">
        <f t="shared" si="12"/>
        <v/>
      </c>
      <c r="H142" t="str">
        <f>IF(LEN(TRIM(A142))=0,"",GetConfigParameterValue("Collection Site"))</f>
        <v/>
      </c>
      <c r="I142" t="str">
        <f t="shared" si="17"/>
        <v/>
      </c>
      <c r="M142" t="str">
        <f>IF(LEN(TRIM(B142))=0,"",IF(ISERROR(VLOOKUP(RIGHT(B142,4),study_demographic!A:A,1,FALSE)),"NOT FOUND!!!", "OK"))</f>
        <v/>
      </c>
    </row>
    <row r="143" spans="1:13" x14ac:dyDescent="0.25">
      <c r="A143" t="str">
        <f t="shared" si="13"/>
        <v/>
      </c>
      <c r="B143" t="str">
        <f t="shared" si="14"/>
        <v/>
      </c>
      <c r="C143" s="55" t="str">
        <f>IF(LEN(TRIM(A143))=0,"",get_string_val(RIGHT(B143,4)))</f>
        <v/>
      </c>
      <c r="D143" t="str">
        <f>IF(LEN(TRIM(A143))=0,"",GetItemValueFromSpecimenHeader("timepoint"))</f>
        <v/>
      </c>
      <c r="E143" t="str">
        <f t="shared" si="15"/>
        <v/>
      </c>
      <c r="F143" t="str">
        <f t="shared" si="16"/>
        <v/>
      </c>
      <c r="G143" t="str">
        <f t="shared" si="12"/>
        <v/>
      </c>
      <c r="H143" t="str">
        <f>IF(LEN(TRIM(A143))=0,"",GetConfigParameterValue("Collection Site"))</f>
        <v/>
      </c>
      <c r="I143" t="str">
        <f t="shared" si="17"/>
        <v/>
      </c>
      <c r="M143" t="str">
        <f>IF(LEN(TRIM(B143))=0,"",IF(ISERROR(VLOOKUP(RIGHT(B143,4),study_demographic!A:A,1,FALSE)),"NOT FOUND!!!", "OK"))</f>
        <v/>
      </c>
    </row>
    <row r="144" spans="1:13" x14ac:dyDescent="0.25">
      <c r="A144" t="str">
        <f t="shared" si="13"/>
        <v/>
      </c>
      <c r="B144" t="str">
        <f t="shared" si="14"/>
        <v/>
      </c>
      <c r="C144" s="55" t="str">
        <f>IF(LEN(TRIM(A144))=0,"",get_string_val(RIGHT(B144,4)))</f>
        <v/>
      </c>
      <c r="D144" t="str">
        <f>IF(LEN(TRIM(A144))=0,"",GetItemValueFromSpecimenHeader("timepoint"))</f>
        <v/>
      </c>
      <c r="E144" t="str">
        <f t="shared" si="15"/>
        <v/>
      </c>
      <c r="F144" t="str">
        <f t="shared" si="16"/>
        <v/>
      </c>
      <c r="G144" t="str">
        <f t="shared" si="12"/>
        <v/>
      </c>
      <c r="H144" t="str">
        <f>IF(LEN(TRIM(A144))=0,"",GetConfigParameterValue("Collection Site"))</f>
        <v/>
      </c>
      <c r="I144" t="str">
        <f t="shared" si="17"/>
        <v/>
      </c>
      <c r="M144" t="str">
        <f>IF(LEN(TRIM(B144))=0,"",IF(ISERROR(VLOOKUP(RIGHT(B144,4),study_demographic!A:A,1,FALSE)),"NOT FOUND!!!", "OK"))</f>
        <v/>
      </c>
    </row>
    <row r="145" spans="1:13" x14ac:dyDescent="0.25">
      <c r="A145" t="str">
        <f t="shared" si="13"/>
        <v/>
      </c>
      <c r="B145" t="str">
        <f t="shared" si="14"/>
        <v/>
      </c>
      <c r="C145" s="55" t="str">
        <f>IF(LEN(TRIM(A145))=0,"",get_string_val(RIGHT(B145,4)))</f>
        <v/>
      </c>
      <c r="D145" t="str">
        <f>IF(LEN(TRIM(A145))=0,"",GetItemValueFromSpecimenHeader("timepoint"))</f>
        <v/>
      </c>
      <c r="E145" t="str">
        <f t="shared" si="15"/>
        <v/>
      </c>
      <c r="F145" t="str">
        <f t="shared" si="16"/>
        <v/>
      </c>
      <c r="G145" t="str">
        <f t="shared" si="12"/>
        <v/>
      </c>
      <c r="H145" t="str">
        <f>IF(LEN(TRIM(A145))=0,"",GetConfigParameterValue("Collection Site"))</f>
        <v/>
      </c>
      <c r="I145" t="str">
        <f t="shared" si="17"/>
        <v/>
      </c>
      <c r="M145" t="str">
        <f>IF(LEN(TRIM(B145))=0,"",IF(ISERROR(VLOOKUP(RIGHT(B145,4),study_demographic!A:A,1,FALSE)),"NOT FOUND!!!", "OK"))</f>
        <v/>
      </c>
    </row>
    <row r="146" spans="1:13" x14ac:dyDescent="0.25">
      <c r="A146" t="str">
        <f t="shared" si="13"/>
        <v/>
      </c>
      <c r="B146" t="str">
        <f t="shared" si="14"/>
        <v/>
      </c>
      <c r="C146" s="55" t="str">
        <f>IF(LEN(TRIM(A146))=0,"",get_string_val(RIGHT(B146,4)))</f>
        <v/>
      </c>
      <c r="D146" t="str">
        <f>IF(LEN(TRIM(A146))=0,"",GetItemValueFromSpecimenHeader("timepoint"))</f>
        <v/>
      </c>
      <c r="E146" t="str">
        <f t="shared" si="15"/>
        <v/>
      </c>
      <c r="F146" t="str">
        <f t="shared" si="16"/>
        <v/>
      </c>
      <c r="G146" t="str">
        <f t="shared" si="12"/>
        <v/>
      </c>
      <c r="H146" t="str">
        <f>IF(LEN(TRIM(A146))=0,"",GetConfigParameterValue("Collection Site"))</f>
        <v/>
      </c>
      <c r="I146" t="str">
        <f t="shared" si="17"/>
        <v/>
      </c>
      <c r="M146" t="str">
        <f>IF(LEN(TRIM(B146))=0,"",IF(ISERROR(VLOOKUP(RIGHT(B146,4),study_demographic!A:A,1,FALSE)),"NOT FOUND!!!", "OK"))</f>
        <v/>
      </c>
    </row>
    <row r="147" spans="1:13" x14ac:dyDescent="0.25">
      <c r="A147" t="str">
        <f t="shared" si="13"/>
        <v/>
      </c>
      <c r="B147" t="str">
        <f t="shared" si="14"/>
        <v/>
      </c>
      <c r="C147" s="55" t="str">
        <f>IF(LEN(TRIM(A147))=0,"",get_string_val(RIGHT(B147,4)))</f>
        <v/>
      </c>
      <c r="D147" t="str">
        <f>IF(LEN(TRIM(A147))=0,"",GetItemValueFromSpecimenHeader("timepoint"))</f>
        <v/>
      </c>
      <c r="E147" t="str">
        <f t="shared" si="15"/>
        <v/>
      </c>
      <c r="F147" t="str">
        <f t="shared" si="16"/>
        <v/>
      </c>
      <c r="G147" t="str">
        <f t="shared" si="12"/>
        <v/>
      </c>
      <c r="H147" t="str">
        <f>IF(LEN(TRIM(A147))=0,"",GetConfigParameterValue("Collection Site"))</f>
        <v/>
      </c>
      <c r="I147" t="str">
        <f t="shared" si="17"/>
        <v/>
      </c>
      <c r="M147" t="str">
        <f>IF(LEN(TRIM(B147))=0,"",IF(ISERROR(VLOOKUP(RIGHT(B147,4),study_demographic!A:A,1,FALSE)),"NOT FOUND!!!", "OK"))</f>
        <v/>
      </c>
    </row>
    <row r="148" spans="1:13" x14ac:dyDescent="0.25">
      <c r="A148" t="str">
        <f t="shared" si="13"/>
        <v/>
      </c>
      <c r="B148" t="str">
        <f t="shared" si="14"/>
        <v/>
      </c>
      <c r="C148" s="55" t="str">
        <f>IF(LEN(TRIM(A148))=0,"",get_string_val(RIGHT(B148,4)))</f>
        <v/>
      </c>
      <c r="D148" t="str">
        <f>IF(LEN(TRIM(A148))=0,"",GetItemValueFromSpecimenHeader("timepoint"))</f>
        <v/>
      </c>
      <c r="E148" t="str">
        <f t="shared" si="15"/>
        <v/>
      </c>
      <c r="F148" t="str">
        <f t="shared" si="16"/>
        <v/>
      </c>
      <c r="G148" t="str">
        <f t="shared" si="12"/>
        <v/>
      </c>
      <c r="H148" t="str">
        <f>IF(LEN(TRIM(A148))=0,"",GetConfigParameterValue("Collection Site"))</f>
        <v/>
      </c>
      <c r="I148" t="str">
        <f t="shared" si="17"/>
        <v/>
      </c>
      <c r="M148" t="str">
        <f>IF(LEN(TRIM(B148))=0,"",IF(ISERROR(VLOOKUP(RIGHT(B148,4),study_demographic!A:A,1,FALSE)),"NOT FOUND!!!", "OK"))</f>
        <v/>
      </c>
    </row>
    <row r="149" spans="1:13" x14ac:dyDescent="0.25">
      <c r="A149" t="str">
        <f t="shared" si="13"/>
        <v/>
      </c>
      <c r="B149" t="str">
        <f t="shared" si="14"/>
        <v/>
      </c>
      <c r="C149" s="55" t="str">
        <f>IF(LEN(TRIM(A149))=0,"",get_string_val(RIGHT(B149,4)))</f>
        <v/>
      </c>
      <c r="D149" t="str">
        <f>IF(LEN(TRIM(A149))=0,"",GetItemValueFromSpecimenHeader("timepoint"))</f>
        <v/>
      </c>
      <c r="E149" t="str">
        <f t="shared" si="15"/>
        <v/>
      </c>
      <c r="F149" t="str">
        <f t="shared" si="16"/>
        <v/>
      </c>
      <c r="G149" t="str">
        <f t="shared" si="12"/>
        <v/>
      </c>
      <c r="H149" t="str">
        <f>IF(LEN(TRIM(A149))=0,"",GetConfigParameterValue("Collection Site"))</f>
        <v/>
      </c>
      <c r="I149" t="str">
        <f t="shared" si="17"/>
        <v/>
      </c>
      <c r="M149" t="str">
        <f>IF(LEN(TRIM(B149))=0,"",IF(ISERROR(VLOOKUP(RIGHT(B149,4),study_demographic!A:A,1,FALSE)),"NOT FOUND!!!", "OK"))</f>
        <v/>
      </c>
    </row>
    <row r="150" spans="1:13" x14ac:dyDescent="0.25">
      <c r="A150" t="str">
        <f t="shared" si="13"/>
        <v/>
      </c>
      <c r="B150" t="str">
        <f t="shared" si="14"/>
        <v/>
      </c>
      <c r="C150" s="55" t="str">
        <f>IF(LEN(TRIM(A150))=0,"",get_string_val(RIGHT(B150,4)))</f>
        <v/>
      </c>
      <c r="D150" t="str">
        <f>IF(LEN(TRIM(A150))=0,"",GetItemValueFromSpecimenHeader("timepoint"))</f>
        <v/>
      </c>
      <c r="E150" t="str">
        <f t="shared" si="15"/>
        <v/>
      </c>
      <c r="F150" t="str">
        <f t="shared" si="16"/>
        <v/>
      </c>
      <c r="G150" t="str">
        <f t="shared" si="12"/>
        <v/>
      </c>
      <c r="H150" t="str">
        <f>IF(LEN(TRIM(A150))=0,"",GetConfigParameterValue("Collection Site"))</f>
        <v/>
      </c>
      <c r="I150" t="str">
        <f t="shared" si="17"/>
        <v/>
      </c>
      <c r="M150" t="str">
        <f>IF(LEN(TRIM(B150))=0,"",IF(ISERROR(VLOOKUP(RIGHT(B150,4),study_demographic!A:A,1,FALSE)),"NOT FOUND!!!", "OK"))</f>
        <v/>
      </c>
    </row>
    <row r="151" spans="1:13" x14ac:dyDescent="0.25">
      <c r="A151" t="str">
        <f t="shared" si="13"/>
        <v/>
      </c>
      <c r="B151" t="str">
        <f t="shared" si="14"/>
        <v/>
      </c>
      <c r="C151" s="55" t="str">
        <f>IF(LEN(TRIM(A151))=0,"",get_string_val(RIGHT(B151,4)))</f>
        <v/>
      </c>
      <c r="D151" t="str">
        <f>IF(LEN(TRIM(A151))=0,"",GetItemValueFromSpecimenHeader("timepoint"))</f>
        <v/>
      </c>
      <c r="E151" t="str">
        <f t="shared" si="15"/>
        <v/>
      </c>
      <c r="F151" t="str">
        <f t="shared" si="16"/>
        <v/>
      </c>
      <c r="G151" t="str">
        <f t="shared" si="12"/>
        <v/>
      </c>
      <c r="H151" t="str">
        <f>IF(LEN(TRIM(A151))=0,"",GetConfigParameterValue("Collection Site"))</f>
        <v/>
      </c>
      <c r="I151" t="str">
        <f t="shared" si="17"/>
        <v/>
      </c>
      <c r="M151" t="str">
        <f>IF(LEN(TRIM(B151))=0,"",IF(ISERROR(VLOOKUP(RIGHT(B151,4),study_demographic!A:A,1,FALSE)),"NOT FOUND!!!", "OK"))</f>
        <v/>
      </c>
    </row>
    <row r="152" spans="1:13" x14ac:dyDescent="0.25">
      <c r="A152" t="str">
        <f t="shared" si="13"/>
        <v/>
      </c>
      <c r="B152" t="str">
        <f t="shared" si="14"/>
        <v/>
      </c>
      <c r="C152" s="55" t="str">
        <f>IF(LEN(TRIM(A152))=0,"",get_string_val(RIGHT(B152,4)))</f>
        <v/>
      </c>
      <c r="D152" t="str">
        <f>IF(LEN(TRIM(A152))=0,"",GetItemValueFromSpecimenHeader("timepoint"))</f>
        <v/>
      </c>
      <c r="E152" t="str">
        <f t="shared" si="15"/>
        <v/>
      </c>
      <c r="F152" t="str">
        <f t="shared" si="16"/>
        <v/>
      </c>
      <c r="G152" t="str">
        <f t="shared" si="12"/>
        <v/>
      </c>
      <c r="H152" t="str">
        <f>IF(LEN(TRIM(A152))=0,"",GetConfigParameterValue("Collection Site"))</f>
        <v/>
      </c>
      <c r="I152" t="str">
        <f t="shared" si="17"/>
        <v/>
      </c>
      <c r="M152" t="str">
        <f>IF(LEN(TRIM(B152))=0,"",IF(ISERROR(VLOOKUP(RIGHT(B152,4),study_demographic!A:A,1,FALSE)),"NOT FOUND!!!", "OK"))</f>
        <v/>
      </c>
    </row>
    <row r="153" spans="1:13" x14ac:dyDescent="0.25">
      <c r="A153" t="str">
        <f t="shared" si="13"/>
        <v/>
      </c>
      <c r="B153" t="str">
        <f t="shared" si="14"/>
        <v/>
      </c>
      <c r="C153" s="55" t="str">
        <f>IF(LEN(TRIM(A153))=0,"",get_string_val(RIGHT(B153,4)))</f>
        <v/>
      </c>
      <c r="D153" t="str">
        <f>IF(LEN(TRIM(A153))=0,"",GetItemValueFromSpecimenHeader("timepoint"))</f>
        <v/>
      </c>
      <c r="E153" t="str">
        <f t="shared" si="15"/>
        <v/>
      </c>
      <c r="F153" t="str">
        <f t="shared" si="16"/>
        <v/>
      </c>
      <c r="G153" t="str">
        <f t="shared" si="12"/>
        <v/>
      </c>
      <c r="H153" t="str">
        <f>IF(LEN(TRIM(A153))=0,"",GetConfigParameterValue("Collection Site"))</f>
        <v/>
      </c>
      <c r="I153" t="str">
        <f t="shared" si="17"/>
        <v/>
      </c>
      <c r="M153" t="str">
        <f>IF(LEN(TRIM(B153))=0,"",IF(ISERROR(VLOOKUP(RIGHT(B153,4),study_demographic!A:A,1,FALSE)),"NOT FOUND!!!", "OK"))</f>
        <v/>
      </c>
    </row>
    <row r="154" spans="1:13" x14ac:dyDescent="0.25">
      <c r="A154" t="str">
        <f t="shared" si="13"/>
        <v/>
      </c>
      <c r="B154" t="str">
        <f t="shared" si="14"/>
        <v/>
      </c>
      <c r="C154" s="55" t="str">
        <f>IF(LEN(TRIM(A154))=0,"",get_string_val(RIGHT(B154,4)))</f>
        <v/>
      </c>
      <c r="D154" t="str">
        <f>IF(LEN(TRIM(A154))=0,"",GetItemValueFromSpecimenHeader("timepoint"))</f>
        <v/>
      </c>
      <c r="E154" t="str">
        <f t="shared" si="15"/>
        <v/>
      </c>
      <c r="F154" t="str">
        <f t="shared" si="16"/>
        <v/>
      </c>
      <c r="G154" t="str">
        <f t="shared" si="12"/>
        <v/>
      </c>
      <c r="H154" t="str">
        <f>IF(LEN(TRIM(A154))=0,"",GetConfigParameterValue("Collection Site"))</f>
        <v/>
      </c>
      <c r="I154" t="str">
        <f t="shared" si="17"/>
        <v/>
      </c>
      <c r="M154" t="str">
        <f>IF(LEN(TRIM(B154))=0,"",IF(ISERROR(VLOOKUP(RIGHT(B154,4),study_demographic!A:A,1,FALSE)),"NOT FOUND!!!", "OK"))</f>
        <v/>
      </c>
    </row>
    <row r="155" spans="1:13" x14ac:dyDescent="0.25">
      <c r="A155" t="str">
        <f t="shared" si="13"/>
        <v/>
      </c>
      <c r="B155" t="str">
        <f t="shared" si="14"/>
        <v/>
      </c>
      <c r="C155" s="55" t="str">
        <f>IF(LEN(TRIM(A155))=0,"",get_string_val(RIGHT(B155,4)))</f>
        <v/>
      </c>
      <c r="D155" t="str">
        <f>IF(LEN(TRIM(A155))=0,"",GetItemValueFromSpecimenHeader("timepoint"))</f>
        <v/>
      </c>
      <c r="E155" t="str">
        <f t="shared" si="15"/>
        <v/>
      </c>
      <c r="F155" t="str">
        <f t="shared" si="16"/>
        <v/>
      </c>
      <c r="G155" t="str">
        <f t="shared" si="12"/>
        <v/>
      </c>
      <c r="H155" t="str">
        <f>IF(LEN(TRIM(A155))=0,"",GetConfigParameterValue("Collection Site"))</f>
        <v/>
      </c>
      <c r="I155" t="str">
        <f t="shared" si="17"/>
        <v/>
      </c>
      <c r="M155" t="str">
        <f>IF(LEN(TRIM(B155))=0,"",IF(ISERROR(VLOOKUP(RIGHT(B155,4),study_demographic!A:A,1,FALSE)),"NOT FOUND!!!", "OK"))</f>
        <v/>
      </c>
    </row>
    <row r="156" spans="1:13" x14ac:dyDescent="0.25">
      <c r="A156" t="str">
        <f t="shared" si="13"/>
        <v/>
      </c>
      <c r="B156" t="str">
        <f t="shared" si="14"/>
        <v/>
      </c>
      <c r="C156" s="55" t="str">
        <f>IF(LEN(TRIM(A156))=0,"",get_string_val(RIGHT(B156,4)))</f>
        <v/>
      </c>
      <c r="D156" t="str">
        <f>IF(LEN(TRIM(A156))=0,"",GetItemValueFromSpecimenHeader("timepoint"))</f>
        <v/>
      </c>
      <c r="E156" t="str">
        <f t="shared" si="15"/>
        <v/>
      </c>
      <c r="F156" t="str">
        <f t="shared" si="16"/>
        <v/>
      </c>
      <c r="G156" t="str">
        <f t="shared" si="12"/>
        <v/>
      </c>
      <c r="H156" t="str">
        <f>IF(LEN(TRIM(A156))=0,"",GetConfigParameterValue("Collection Site"))</f>
        <v/>
      </c>
      <c r="I156" t="str">
        <f t="shared" si="17"/>
        <v/>
      </c>
      <c r="M156" t="str">
        <f>IF(LEN(TRIM(B156))=0,"",IF(ISERROR(VLOOKUP(RIGHT(B156,4),study_demographic!A:A,1,FALSE)),"NOT FOUND!!!", "OK"))</f>
        <v/>
      </c>
    </row>
    <row r="157" spans="1:13" x14ac:dyDescent="0.25">
      <c r="A157" t="str">
        <f t="shared" si="13"/>
        <v/>
      </c>
      <c r="B157" t="str">
        <f t="shared" si="14"/>
        <v/>
      </c>
      <c r="C157" s="55" t="str">
        <f>IF(LEN(TRIM(A157))=0,"",get_string_val(RIGHT(B157,4)))</f>
        <v/>
      </c>
      <c r="D157" t="str">
        <f>IF(LEN(TRIM(A157))=0,"",GetItemValueFromSpecimenHeader("timepoint"))</f>
        <v/>
      </c>
      <c r="E157" t="str">
        <f t="shared" si="15"/>
        <v/>
      </c>
      <c r="F157" t="str">
        <f t="shared" si="16"/>
        <v/>
      </c>
      <c r="G157" t="str">
        <f t="shared" si="12"/>
        <v/>
      </c>
      <c r="H157" t="str">
        <f>IF(LEN(TRIM(A157))=0,"",GetConfigParameterValue("Collection Site"))</f>
        <v/>
      </c>
      <c r="I157" t="str">
        <f t="shared" si="17"/>
        <v/>
      </c>
      <c r="M157" t="str">
        <f>IF(LEN(TRIM(B157))=0,"",IF(ISERROR(VLOOKUP(RIGHT(B157,4),study_demographic!A:A,1,FALSE)),"NOT FOUND!!!", "OK"))</f>
        <v/>
      </c>
    </row>
    <row r="158" spans="1:13" x14ac:dyDescent="0.25">
      <c r="A158" t="str">
        <f t="shared" si="13"/>
        <v/>
      </c>
      <c r="B158" t="str">
        <f t="shared" si="14"/>
        <v/>
      </c>
      <c r="C158" s="55" t="str">
        <f>IF(LEN(TRIM(A158))=0,"",get_string_val(RIGHT(B158,4)))</f>
        <v/>
      </c>
      <c r="D158" t="str">
        <f>IF(LEN(TRIM(A158))=0,"",GetItemValueFromSpecimenHeader("timepoint"))</f>
        <v/>
      </c>
      <c r="E158" t="str">
        <f t="shared" si="15"/>
        <v/>
      </c>
      <c r="F158" t="str">
        <f t="shared" si="16"/>
        <v/>
      </c>
      <c r="G158" t="str">
        <f t="shared" si="12"/>
        <v/>
      </c>
      <c r="H158" t="str">
        <f>IF(LEN(TRIM(A158))=0,"",GetConfigParameterValue("Collection Site"))</f>
        <v/>
      </c>
      <c r="I158" t="str">
        <f t="shared" si="17"/>
        <v/>
      </c>
      <c r="M158" t="str">
        <f>IF(LEN(TRIM(B158))=0,"",IF(ISERROR(VLOOKUP(RIGHT(B158,4),study_demographic!A:A,1,FALSE)),"NOT FOUND!!!", "OK"))</f>
        <v/>
      </c>
    </row>
    <row r="159" spans="1:13" x14ac:dyDescent="0.25">
      <c r="A159" t="str">
        <f t="shared" si="13"/>
        <v/>
      </c>
      <c r="B159" t="str">
        <f t="shared" si="14"/>
        <v/>
      </c>
      <c r="C159" s="55" t="str">
        <f>IF(LEN(TRIM(A159))=0,"",get_string_val(RIGHT(B159,4)))</f>
        <v/>
      </c>
      <c r="D159" t="str">
        <f>IF(LEN(TRIM(A159))=0,"",GetItemValueFromSpecimenHeader("timepoint"))</f>
        <v/>
      </c>
      <c r="E159" t="str">
        <f t="shared" si="15"/>
        <v/>
      </c>
      <c r="F159" t="str">
        <f t="shared" si="16"/>
        <v/>
      </c>
      <c r="G159" t="str">
        <f t="shared" si="12"/>
        <v/>
      </c>
      <c r="H159" t="str">
        <f>IF(LEN(TRIM(A159))=0,"",GetConfigParameterValue("Collection Site"))</f>
        <v/>
      </c>
      <c r="I159" t="str">
        <f t="shared" si="17"/>
        <v/>
      </c>
      <c r="M159" t="str">
        <f>IF(LEN(TRIM(B159))=0,"",IF(ISERROR(VLOOKUP(RIGHT(B159,4),study_demographic!A:A,1,FALSE)),"NOT FOUND!!!", "OK"))</f>
        <v/>
      </c>
    </row>
    <row r="160" spans="1:13" x14ac:dyDescent="0.25">
      <c r="A160" t="str">
        <f t="shared" si="13"/>
        <v/>
      </c>
      <c r="B160" t="str">
        <f t="shared" si="14"/>
        <v/>
      </c>
      <c r="C160" s="55" t="str">
        <f>IF(LEN(TRIM(A160))=0,"",get_string_val(RIGHT(B160,4)))</f>
        <v/>
      </c>
      <c r="D160" t="str">
        <f>IF(LEN(TRIM(A160))=0,"",GetItemValueFromSpecimenHeader("timepoint"))</f>
        <v/>
      </c>
      <c r="E160" t="str">
        <f t="shared" si="15"/>
        <v/>
      </c>
      <c r="F160" t="str">
        <f t="shared" si="16"/>
        <v/>
      </c>
      <c r="G160" t="str">
        <f t="shared" si="12"/>
        <v/>
      </c>
      <c r="H160" t="str">
        <f>IF(LEN(TRIM(A160))=0,"",GetConfigParameterValue("Collection Site"))</f>
        <v/>
      </c>
      <c r="I160" t="str">
        <f t="shared" si="17"/>
        <v/>
      </c>
      <c r="M160" t="str">
        <f>IF(LEN(TRIM(B160))=0,"",IF(ISERROR(VLOOKUP(RIGHT(B160,4),study_demographic!A:A,1,FALSE)),"NOT FOUND!!!", "OK"))</f>
        <v/>
      </c>
    </row>
    <row r="161" spans="1:13" x14ac:dyDescent="0.25">
      <c r="A161" t="str">
        <f t="shared" si="13"/>
        <v/>
      </c>
      <c r="B161" t="str">
        <f t="shared" si="14"/>
        <v/>
      </c>
      <c r="C161" s="55" t="str">
        <f>IF(LEN(TRIM(A161))=0,"",get_string_val(RIGHT(B161,4)))</f>
        <v/>
      </c>
      <c r="D161" t="str">
        <f>IF(LEN(TRIM(A161))=0,"",GetItemValueFromSpecimenHeader("timepoint"))</f>
        <v/>
      </c>
      <c r="E161" t="str">
        <f t="shared" si="15"/>
        <v/>
      </c>
      <c r="F161" t="str">
        <f t="shared" si="16"/>
        <v/>
      </c>
      <c r="G161" t="str">
        <f t="shared" si="12"/>
        <v/>
      </c>
      <c r="H161" t="str">
        <f>IF(LEN(TRIM(A161))=0,"",GetConfigParameterValue("Collection Site"))</f>
        <v/>
      </c>
      <c r="I161" t="str">
        <f t="shared" si="17"/>
        <v/>
      </c>
      <c r="M161" t="str">
        <f>IF(LEN(TRIM(B161))=0,"",IF(ISERROR(VLOOKUP(RIGHT(B161,4),study_demographic!A:A,1,FALSE)),"NOT FOUND!!!", "OK"))</f>
        <v/>
      </c>
    </row>
    <row r="162" spans="1:13" x14ac:dyDescent="0.25">
      <c r="A162" t="str">
        <f t="shared" si="13"/>
        <v/>
      </c>
      <c r="B162" t="str">
        <f t="shared" si="14"/>
        <v/>
      </c>
      <c r="C162" s="55" t="str">
        <f>IF(LEN(TRIM(A162))=0,"",get_string_val(RIGHT(B162,4)))</f>
        <v/>
      </c>
      <c r="D162" t="str">
        <f>IF(LEN(TRIM(A162))=0,"",GetItemValueFromSpecimenHeader("timepoint"))</f>
        <v/>
      </c>
      <c r="E162" t="str">
        <f t="shared" si="15"/>
        <v/>
      </c>
      <c r="F162" t="str">
        <f t="shared" si="16"/>
        <v/>
      </c>
      <c r="G162" t="str">
        <f t="shared" si="12"/>
        <v/>
      </c>
      <c r="H162" t="str">
        <f>IF(LEN(TRIM(A162))=0,"",GetConfigParameterValue("Collection Site"))</f>
        <v/>
      </c>
      <c r="I162" t="str">
        <f t="shared" si="17"/>
        <v/>
      </c>
      <c r="M162" t="str">
        <f>IF(LEN(TRIM(B162))=0,"",IF(ISERROR(VLOOKUP(RIGHT(B162,4),study_demographic!A:A,1,FALSE)),"NOT FOUND!!!", "OK"))</f>
        <v/>
      </c>
    </row>
    <row r="163" spans="1:13" x14ac:dyDescent="0.25">
      <c r="A163" t="str">
        <f t="shared" si="13"/>
        <v/>
      </c>
      <c r="B163" t="str">
        <f t="shared" si="14"/>
        <v/>
      </c>
      <c r="C163" s="55" t="str">
        <f>IF(LEN(TRIM(A163))=0,"",get_string_val(RIGHT(B163,4)))</f>
        <v/>
      </c>
      <c r="D163" t="str">
        <f>IF(LEN(TRIM(A163))=0,"",GetItemValueFromSpecimenHeader("timepoint"))</f>
        <v/>
      </c>
      <c r="E163" t="str">
        <f t="shared" si="15"/>
        <v/>
      </c>
      <c r="F163" t="str">
        <f t="shared" si="16"/>
        <v/>
      </c>
      <c r="G163" t="str">
        <f t="shared" si="12"/>
        <v/>
      </c>
      <c r="H163" t="str">
        <f>IF(LEN(TRIM(A163))=0,"",GetConfigParameterValue("Collection Site"))</f>
        <v/>
      </c>
      <c r="I163" t="str">
        <f t="shared" si="17"/>
        <v/>
      </c>
      <c r="M163" t="str">
        <f>IF(LEN(TRIM(B163))=0,"",IF(ISERROR(VLOOKUP(RIGHT(B163,4),study_demographic!A:A,1,FALSE)),"NOT FOUND!!!", "OK"))</f>
        <v/>
      </c>
    </row>
    <row r="164" spans="1:13" x14ac:dyDescent="0.25">
      <c r="A164" t="str">
        <f t="shared" si="13"/>
        <v/>
      </c>
      <c r="B164" t="str">
        <f t="shared" si="14"/>
        <v/>
      </c>
      <c r="C164" s="55" t="str">
        <f>IF(LEN(TRIM(A164))=0,"",get_string_val(RIGHT(B164,4)))</f>
        <v/>
      </c>
      <c r="D164" t="str">
        <f>IF(LEN(TRIM(A164))=0,"",GetItemValueFromSpecimenHeader("timepoint"))</f>
        <v/>
      </c>
      <c r="E164" t="str">
        <f t="shared" si="15"/>
        <v/>
      </c>
      <c r="F164" t="str">
        <f t="shared" si="16"/>
        <v/>
      </c>
      <c r="G164" t="str">
        <f t="shared" si="12"/>
        <v/>
      </c>
      <c r="H164" t="str">
        <f>IF(LEN(TRIM(A164))=0,"",GetConfigParameterValue("Collection Site"))</f>
        <v/>
      </c>
      <c r="I164" t="str">
        <f t="shared" si="17"/>
        <v/>
      </c>
      <c r="M164" t="str">
        <f>IF(LEN(TRIM(B164))=0,"",IF(ISERROR(VLOOKUP(RIGHT(B164,4),study_demographic!A:A,1,FALSE)),"NOT FOUND!!!", "OK"))</f>
        <v/>
      </c>
    </row>
    <row r="165" spans="1:13" x14ac:dyDescent="0.25">
      <c r="A165" t="str">
        <f t="shared" si="13"/>
        <v/>
      </c>
      <c r="B165" t="str">
        <f t="shared" si="14"/>
        <v/>
      </c>
      <c r="C165" s="55" t="str">
        <f>IF(LEN(TRIM(A165))=0,"",get_string_val(RIGHT(B165,4)))</f>
        <v/>
      </c>
      <c r="D165" t="str">
        <f>IF(LEN(TRIM(A165))=0,"",GetItemValueFromSpecimenHeader("timepoint"))</f>
        <v/>
      </c>
      <c r="E165" t="str">
        <f t="shared" si="15"/>
        <v/>
      </c>
      <c r="F165" t="str">
        <f t="shared" si="16"/>
        <v/>
      </c>
      <c r="G165" t="str">
        <f t="shared" si="12"/>
        <v/>
      </c>
      <c r="H165" t="str">
        <f>IF(LEN(TRIM(A165))=0,"",GetConfigParameterValue("Collection Site"))</f>
        <v/>
      </c>
      <c r="I165" t="str">
        <f t="shared" si="17"/>
        <v/>
      </c>
      <c r="M165" t="str">
        <f>IF(LEN(TRIM(B165))=0,"",IF(ISERROR(VLOOKUP(RIGHT(B165,4),study_demographic!A:A,1,FALSE)),"NOT FOUND!!!", "OK"))</f>
        <v/>
      </c>
    </row>
    <row r="166" spans="1:13" x14ac:dyDescent="0.25">
      <c r="A166" t="str">
        <f t="shared" si="13"/>
        <v/>
      </c>
      <c r="B166" t="str">
        <f t="shared" si="14"/>
        <v/>
      </c>
      <c r="C166" s="55" t="str">
        <f>IF(LEN(TRIM(A166))=0,"",get_string_val(RIGHT(B166,4)))</f>
        <v/>
      </c>
      <c r="D166" t="str">
        <f>IF(LEN(TRIM(A166))=0,"",GetItemValueFromSpecimenHeader("timepoint"))</f>
        <v/>
      </c>
      <c r="E166" t="str">
        <f t="shared" si="15"/>
        <v/>
      </c>
      <c r="F166" t="str">
        <f t="shared" si="16"/>
        <v/>
      </c>
      <c r="G166" t="str">
        <f t="shared" si="12"/>
        <v/>
      </c>
      <c r="H166" t="str">
        <f>IF(LEN(TRIM(A166))=0,"",GetConfigParameterValue("Collection Site"))</f>
        <v/>
      </c>
      <c r="I166" t="str">
        <f t="shared" si="17"/>
        <v/>
      </c>
      <c r="M166" t="str">
        <f>IF(LEN(TRIM(B166))=0,"",IF(ISERROR(VLOOKUP(RIGHT(B166,4),study_demographic!A:A,1,FALSE)),"NOT FOUND!!!", "OK"))</f>
        <v/>
      </c>
    </row>
    <row r="167" spans="1:13" x14ac:dyDescent="0.25">
      <c r="A167" t="str">
        <f t="shared" si="13"/>
        <v/>
      </c>
      <c r="B167" t="str">
        <f t="shared" si="14"/>
        <v/>
      </c>
      <c r="C167" s="55" t="str">
        <f>IF(LEN(TRIM(A167))=0,"",get_string_val(RIGHT(B167,4)))</f>
        <v/>
      </c>
      <c r="D167" t="str">
        <f>IF(LEN(TRIM(A167))=0,"",GetItemValueFromSpecimenHeader("timepoint"))</f>
        <v/>
      </c>
      <c r="E167" t="str">
        <f t="shared" si="15"/>
        <v/>
      </c>
      <c r="F167" t="str">
        <f t="shared" si="16"/>
        <v/>
      </c>
      <c r="G167" t="str">
        <f t="shared" si="12"/>
        <v/>
      </c>
      <c r="H167" t="str">
        <f>IF(LEN(TRIM(A167))=0,"",GetConfigParameterValue("Collection Site"))</f>
        <v/>
      </c>
      <c r="I167" t="str">
        <f t="shared" si="17"/>
        <v/>
      </c>
      <c r="M167" t="str">
        <f>IF(LEN(TRIM(B167))=0,"",IF(ISERROR(VLOOKUP(RIGHT(B167,4),study_demographic!A:A,1,FALSE)),"NOT FOUND!!!", "OK"))</f>
        <v/>
      </c>
    </row>
    <row r="168" spans="1:13" x14ac:dyDescent="0.25">
      <c r="A168" t="str">
        <f t="shared" si="13"/>
        <v/>
      </c>
      <c r="B168" t="str">
        <f t="shared" si="14"/>
        <v/>
      </c>
      <c r="C168" s="55" t="str">
        <f>IF(LEN(TRIM(A168))=0,"",get_string_val(RIGHT(B168,4)))</f>
        <v/>
      </c>
      <c r="D168" t="str">
        <f>IF(LEN(TRIM(A168))=0,"",GetItemValueFromSpecimenHeader("timepoint"))</f>
        <v/>
      </c>
      <c r="E168" t="str">
        <f t="shared" si="15"/>
        <v/>
      </c>
      <c r="F168" t="str">
        <f t="shared" si="16"/>
        <v/>
      </c>
      <c r="G168" t="str">
        <f t="shared" si="12"/>
        <v/>
      </c>
      <c r="H168" t="str">
        <f>IF(LEN(TRIM(A168))=0,"",GetConfigParameterValue("Collection Site"))</f>
        <v/>
      </c>
      <c r="I168" t="str">
        <f t="shared" si="17"/>
        <v/>
      </c>
      <c r="M168" t="str">
        <f>IF(LEN(TRIM(B168))=0,"",IF(ISERROR(VLOOKUP(RIGHT(B168,4),study_demographic!A:A,1,FALSE)),"NOT FOUND!!!", "OK"))</f>
        <v/>
      </c>
    </row>
    <row r="169" spans="1:13" x14ac:dyDescent="0.25">
      <c r="A169" t="str">
        <f t="shared" si="13"/>
        <v/>
      </c>
      <c r="B169" t="str">
        <f t="shared" si="14"/>
        <v/>
      </c>
      <c r="C169" s="55" t="str">
        <f>IF(LEN(TRIM(A169))=0,"",get_string_val(RIGHT(B169,4)))</f>
        <v/>
      </c>
      <c r="D169" t="str">
        <f>IF(LEN(TRIM(A169))=0,"",GetItemValueFromSpecimenHeader("timepoint"))</f>
        <v/>
      </c>
      <c r="E169" t="str">
        <f t="shared" si="15"/>
        <v/>
      </c>
      <c r="F169" t="str">
        <f t="shared" si="16"/>
        <v/>
      </c>
      <c r="G169" t="str">
        <f t="shared" si="12"/>
        <v/>
      </c>
      <c r="H169" t="str">
        <f>IF(LEN(TRIM(A169))=0,"",GetConfigParameterValue("Collection Site"))</f>
        <v/>
      </c>
      <c r="I169" t="str">
        <f t="shared" si="17"/>
        <v/>
      </c>
      <c r="M169" t="str">
        <f>IF(LEN(TRIM(B169))=0,"",IF(ISERROR(VLOOKUP(RIGHT(B169,4),study_demographic!A:A,1,FALSE)),"NOT FOUND!!!", "OK"))</f>
        <v/>
      </c>
    </row>
    <row r="170" spans="1:13" x14ac:dyDescent="0.25">
      <c r="A170" t="str">
        <f t="shared" si="13"/>
        <v/>
      </c>
      <c r="B170" t="str">
        <f t="shared" si="14"/>
        <v/>
      </c>
      <c r="C170" s="55" t="str">
        <f>IF(LEN(TRIM(A170))=0,"",get_string_val(RIGHT(B170,4)))</f>
        <v/>
      </c>
      <c r="D170" t="str">
        <f>IF(LEN(TRIM(A170))=0,"",GetItemValueFromSpecimenHeader("timepoint"))</f>
        <v/>
      </c>
      <c r="E170" t="str">
        <f t="shared" si="15"/>
        <v/>
      </c>
      <c r="F170" t="str">
        <f t="shared" si="16"/>
        <v/>
      </c>
      <c r="G170" t="str">
        <f t="shared" si="12"/>
        <v/>
      </c>
      <c r="H170" t="str">
        <f>IF(LEN(TRIM(A170))=0,"",GetConfigParameterValue("Collection Site"))</f>
        <v/>
      </c>
      <c r="I170" t="str">
        <f t="shared" si="17"/>
        <v/>
      </c>
      <c r="M170" t="str">
        <f>IF(LEN(TRIM(B170))=0,"",IF(ISERROR(VLOOKUP(RIGHT(B170,4),study_demographic!A:A,1,FALSE)),"NOT FOUND!!!", "OK"))</f>
        <v/>
      </c>
    </row>
    <row r="171" spans="1:13" x14ac:dyDescent="0.25">
      <c r="A171" t="str">
        <f t="shared" si="13"/>
        <v/>
      </c>
      <c r="B171" t="str">
        <f t="shared" si="14"/>
        <v/>
      </c>
      <c r="C171" s="55" t="str">
        <f>IF(LEN(TRIM(A171))=0,"",get_string_val(RIGHT(B171,4)))</f>
        <v/>
      </c>
      <c r="D171" t="str">
        <f>IF(LEN(TRIM(A171))=0,"",GetItemValueFromSpecimenHeader("timepoint"))</f>
        <v/>
      </c>
      <c r="E171" t="str">
        <f t="shared" si="15"/>
        <v/>
      </c>
      <c r="F171" t="str">
        <f t="shared" si="16"/>
        <v/>
      </c>
      <c r="G171" t="str">
        <f t="shared" si="12"/>
        <v/>
      </c>
      <c r="H171" t="str">
        <f>IF(LEN(TRIM(A171))=0,"",GetConfigParameterValue("Collection Site"))</f>
        <v/>
      </c>
      <c r="I171" t="str">
        <f t="shared" si="17"/>
        <v/>
      </c>
      <c r="M171" t="str">
        <f>IF(LEN(TRIM(B171))=0,"",IF(ISERROR(VLOOKUP(RIGHT(B171,4),study_demographic!A:A,1,FALSE)),"NOT FOUND!!!", "OK"))</f>
        <v/>
      </c>
    </row>
    <row r="172" spans="1:13" x14ac:dyDescent="0.25">
      <c r="A172" t="str">
        <f t="shared" si="13"/>
        <v/>
      </c>
      <c r="B172" t="str">
        <f t="shared" si="14"/>
        <v/>
      </c>
      <c r="C172" s="55" t="str">
        <f>IF(LEN(TRIM(A172))=0,"",get_string_val(RIGHT(B172,4)))</f>
        <v/>
      </c>
      <c r="D172" t="str">
        <f>IF(LEN(TRIM(A172))=0,"",GetItemValueFromSpecimenHeader("timepoint"))</f>
        <v/>
      </c>
      <c r="E172" t="str">
        <f t="shared" si="15"/>
        <v/>
      </c>
      <c r="F172" t="str">
        <f t="shared" si="16"/>
        <v/>
      </c>
      <c r="G172" t="str">
        <f t="shared" si="12"/>
        <v/>
      </c>
      <c r="H172" t="str">
        <f>IF(LEN(TRIM(A172))=0,"",GetConfigParameterValue("Collection Site"))</f>
        <v/>
      </c>
      <c r="I172" t="str">
        <f t="shared" si="17"/>
        <v/>
      </c>
      <c r="M172" t="str">
        <f>IF(LEN(TRIM(B172))=0,"",IF(ISERROR(VLOOKUP(RIGHT(B172,4),study_demographic!A:A,1,FALSE)),"NOT FOUND!!!", "OK"))</f>
        <v/>
      </c>
    </row>
    <row r="173" spans="1:13" x14ac:dyDescent="0.25">
      <c r="A173" t="str">
        <f t="shared" si="13"/>
        <v/>
      </c>
      <c r="B173" t="str">
        <f t="shared" si="14"/>
        <v/>
      </c>
      <c r="C173" s="55" t="str">
        <f>IF(LEN(TRIM(A173))=0,"",get_string_val(RIGHT(B173,4)))</f>
        <v/>
      </c>
      <c r="D173" t="str">
        <f>IF(LEN(TRIM(A173))=0,"",GetItemValueFromSpecimenHeader("timepoint"))</f>
        <v/>
      </c>
      <c r="E173" t="str">
        <f t="shared" si="15"/>
        <v/>
      </c>
      <c r="F173" t="str">
        <f t="shared" si="16"/>
        <v/>
      </c>
      <c r="G173" t="str">
        <f t="shared" si="12"/>
        <v/>
      </c>
      <c r="H173" t="str">
        <f>IF(LEN(TRIM(A173))=0,"",GetConfigParameterValue("Collection Site"))</f>
        <v/>
      </c>
      <c r="I173" t="str">
        <f t="shared" si="17"/>
        <v/>
      </c>
      <c r="M173" t="str">
        <f>IF(LEN(TRIM(B173))=0,"",IF(ISERROR(VLOOKUP(RIGHT(B173,4),study_demographic!A:A,1,FALSE)),"NOT FOUND!!!", "OK"))</f>
        <v/>
      </c>
    </row>
    <row r="174" spans="1:13" x14ac:dyDescent="0.25">
      <c r="A174" t="str">
        <f t="shared" si="13"/>
        <v/>
      </c>
      <c r="B174" t="str">
        <f t="shared" si="14"/>
        <v/>
      </c>
      <c r="C174" s="55" t="str">
        <f>IF(LEN(TRIM(A174))=0,"",get_string_val(RIGHT(B174,4)))</f>
        <v/>
      </c>
      <c r="D174" t="str">
        <f>IF(LEN(TRIM(A174))=0,"",GetItemValueFromSpecimenHeader("timepoint"))</f>
        <v/>
      </c>
      <c r="E174" t="str">
        <f t="shared" si="15"/>
        <v/>
      </c>
      <c r="F174" t="str">
        <f t="shared" si="16"/>
        <v/>
      </c>
      <c r="G174" t="str">
        <f t="shared" si="12"/>
        <v/>
      </c>
      <c r="H174" t="str">
        <f>IF(LEN(TRIM(A174))=0,"",GetConfigParameterValue("Collection Site"))</f>
        <v/>
      </c>
      <c r="I174" t="str">
        <f t="shared" si="17"/>
        <v/>
      </c>
      <c r="M174" t="str">
        <f>IF(LEN(TRIM(B174))=0,"",IF(ISERROR(VLOOKUP(RIGHT(B174,4),study_demographic!A:A,1,FALSE)),"NOT FOUND!!!", "OK"))</f>
        <v/>
      </c>
    </row>
    <row r="175" spans="1:13" x14ac:dyDescent="0.25">
      <c r="A175" t="str">
        <f t="shared" si="13"/>
        <v/>
      </c>
      <c r="B175" t="str">
        <f t="shared" si="14"/>
        <v/>
      </c>
      <c r="C175" s="55" t="str">
        <f>IF(LEN(TRIM(A175))=0,"",get_string_val(RIGHT(B175,4)))</f>
        <v/>
      </c>
      <c r="D175" t="str">
        <f>IF(LEN(TRIM(A175))=0,"",GetItemValueFromSpecimenHeader("timepoint"))</f>
        <v/>
      </c>
      <c r="E175" t="str">
        <f t="shared" si="15"/>
        <v/>
      </c>
      <c r="F175" t="str">
        <f t="shared" si="16"/>
        <v/>
      </c>
      <c r="G175" t="str">
        <f t="shared" si="12"/>
        <v/>
      </c>
      <c r="H175" t="str">
        <f>IF(LEN(TRIM(A175))=0,"",GetConfigParameterValue("Collection Site"))</f>
        <v/>
      </c>
      <c r="I175" t="str">
        <f t="shared" si="17"/>
        <v/>
      </c>
      <c r="M175" t="str">
        <f>IF(LEN(TRIM(B175))=0,"",IF(ISERROR(VLOOKUP(RIGHT(B175,4),study_demographic!A:A,1,FALSE)),"NOT FOUND!!!", "OK"))</f>
        <v/>
      </c>
    </row>
    <row r="176" spans="1:13" x14ac:dyDescent="0.25">
      <c r="A176" t="str">
        <f t="shared" si="13"/>
        <v/>
      </c>
      <c r="B176" t="str">
        <f t="shared" si="14"/>
        <v/>
      </c>
      <c r="C176" s="55" t="str">
        <f>IF(LEN(TRIM(A176))=0,"",get_string_val(RIGHT(B176,4)))</f>
        <v/>
      </c>
      <c r="D176" t="str">
        <f>IF(LEN(TRIM(A176))=0,"",GetItemValueFromSpecimenHeader("timepoint"))</f>
        <v/>
      </c>
      <c r="E176" t="str">
        <f t="shared" si="15"/>
        <v/>
      </c>
      <c r="F176" t="str">
        <f t="shared" si="16"/>
        <v/>
      </c>
      <c r="G176" t="str">
        <f t="shared" si="12"/>
        <v/>
      </c>
      <c r="H176" t="str">
        <f>IF(LEN(TRIM(A176))=0,"",GetConfigParameterValue("Collection Site"))</f>
        <v/>
      </c>
      <c r="I176" t="str">
        <f t="shared" si="17"/>
        <v/>
      </c>
      <c r="M176" t="str">
        <f>IF(LEN(TRIM(B176))=0,"",IF(ISERROR(VLOOKUP(RIGHT(B176,4),study_demographic!A:A,1,FALSE)),"NOT FOUND!!!", "OK"))</f>
        <v/>
      </c>
    </row>
    <row r="177" spans="1:13" x14ac:dyDescent="0.25">
      <c r="A177" t="str">
        <f t="shared" si="13"/>
        <v/>
      </c>
      <c r="B177" t="str">
        <f t="shared" si="14"/>
        <v/>
      </c>
      <c r="C177" s="55" t="str">
        <f>IF(LEN(TRIM(A177))=0,"",get_string_val(RIGHT(B177,4)))</f>
        <v/>
      </c>
      <c r="D177" t="str">
        <f>IF(LEN(TRIM(A177))=0,"",GetItemValueFromSpecimenHeader("timepoint"))</f>
        <v/>
      </c>
      <c r="E177" t="str">
        <f t="shared" si="15"/>
        <v/>
      </c>
      <c r="F177" t="str">
        <f t="shared" si="16"/>
        <v/>
      </c>
      <c r="G177" t="str">
        <f t="shared" si="12"/>
        <v/>
      </c>
      <c r="H177" t="str">
        <f>IF(LEN(TRIM(A177))=0,"",GetConfigParameterValue("Collection Site"))</f>
        <v/>
      </c>
      <c r="I177" t="str">
        <f t="shared" si="17"/>
        <v/>
      </c>
      <c r="M177" t="str">
        <f>IF(LEN(TRIM(B177))=0,"",IF(ISERROR(VLOOKUP(RIGHT(B177,4),study_demographic!A:A,1,FALSE)),"NOT FOUND!!!", "OK"))</f>
        <v/>
      </c>
    </row>
    <row r="178" spans="1:13" x14ac:dyDescent="0.25">
      <c r="A178" t="str">
        <f t="shared" si="13"/>
        <v/>
      </c>
      <c r="B178" t="str">
        <f t="shared" si="14"/>
        <v/>
      </c>
      <c r="C178" s="55" t="str">
        <f>IF(LEN(TRIM(A178))=0,"",get_string_val(RIGHT(B178,4)))</f>
        <v/>
      </c>
      <c r="D178" t="str">
        <f>IF(LEN(TRIM(A178))=0,"",GetItemValueFromSpecimenHeader("timepoint"))</f>
        <v/>
      </c>
      <c r="E178" t="str">
        <f t="shared" si="15"/>
        <v/>
      </c>
      <c r="F178" t="str">
        <f t="shared" si="16"/>
        <v/>
      </c>
      <c r="G178" t="str">
        <f t="shared" si="12"/>
        <v/>
      </c>
      <c r="H178" t="str">
        <f>IF(LEN(TRIM(A178))=0,"",GetConfigParameterValue("Collection Site"))</f>
        <v/>
      </c>
      <c r="I178" t="str">
        <f t="shared" si="17"/>
        <v/>
      </c>
      <c r="M178" t="str">
        <f>IF(LEN(TRIM(B178))=0,"",IF(ISERROR(VLOOKUP(RIGHT(B178,4),study_demographic!A:A,1,FALSE)),"NOT FOUND!!!", "OK"))</f>
        <v/>
      </c>
    </row>
    <row r="179" spans="1:13" x14ac:dyDescent="0.25">
      <c r="A179" t="str">
        <f t="shared" si="13"/>
        <v/>
      </c>
      <c r="B179" t="str">
        <f t="shared" si="14"/>
        <v/>
      </c>
      <c r="C179" s="55" t="str">
        <f>IF(LEN(TRIM(A179))=0,"",get_string_val(RIGHT(B179,4)))</f>
        <v/>
      </c>
      <c r="D179" t="str">
        <f>IF(LEN(TRIM(A179))=0,"",GetItemValueFromSpecimenHeader("timepoint"))</f>
        <v/>
      </c>
      <c r="E179" t="str">
        <f t="shared" si="15"/>
        <v/>
      </c>
      <c r="F179" t="str">
        <f t="shared" si="16"/>
        <v/>
      </c>
      <c r="G179" t="str">
        <f t="shared" si="12"/>
        <v/>
      </c>
      <c r="H179" t="str">
        <f>IF(LEN(TRIM(A179))=0,"",GetConfigParameterValue("Collection Site"))</f>
        <v/>
      </c>
      <c r="I179" t="str">
        <f t="shared" si="17"/>
        <v/>
      </c>
      <c r="M179" t="str">
        <f>IF(LEN(TRIM(B179))=0,"",IF(ISERROR(VLOOKUP(RIGHT(B179,4),study_demographic!A:A,1,FALSE)),"NOT FOUND!!!", "OK"))</f>
        <v/>
      </c>
    </row>
    <row r="180" spans="1:13" x14ac:dyDescent="0.25">
      <c r="A180" t="str">
        <f t="shared" si="13"/>
        <v/>
      </c>
      <c r="B180" t="str">
        <f t="shared" si="14"/>
        <v/>
      </c>
      <c r="C180" s="55" t="str">
        <f>IF(LEN(TRIM(A180))=0,"",get_string_val(RIGHT(B180,4)))</f>
        <v/>
      </c>
      <c r="D180" t="str">
        <f>IF(LEN(TRIM(A180))=0,"",GetItemValueFromSpecimenHeader("timepoint"))</f>
        <v/>
      </c>
      <c r="E180" t="str">
        <f t="shared" si="15"/>
        <v/>
      </c>
      <c r="F180" t="str">
        <f t="shared" si="16"/>
        <v/>
      </c>
      <c r="G180" t="str">
        <f t="shared" si="12"/>
        <v/>
      </c>
      <c r="H180" t="str">
        <f>IF(LEN(TRIM(A180))=0,"",GetConfigParameterValue("Collection Site"))</f>
        <v/>
      </c>
      <c r="I180" t="str">
        <f t="shared" si="17"/>
        <v/>
      </c>
      <c r="M180" t="str">
        <f>IF(LEN(TRIM(B180))=0,"",IF(ISERROR(VLOOKUP(RIGHT(B180,4),study_demographic!A:A,1,FALSE)),"NOT FOUND!!!", "OK"))</f>
        <v/>
      </c>
    </row>
    <row r="181" spans="1:13" x14ac:dyDescent="0.25">
      <c r="A181" t="str">
        <f t="shared" si="13"/>
        <v/>
      </c>
      <c r="B181" t="str">
        <f t="shared" si="14"/>
        <v/>
      </c>
      <c r="C181" s="55" t="str">
        <f>IF(LEN(TRIM(A181))=0,"",get_string_val(RIGHT(B181,4)))</f>
        <v/>
      </c>
      <c r="D181" t="str">
        <f>IF(LEN(TRIM(A181))=0,"",GetItemValueFromSpecimenHeader("timepoint"))</f>
        <v/>
      </c>
      <c r="E181" t="str">
        <f t="shared" si="15"/>
        <v/>
      </c>
      <c r="F181" t="str">
        <f t="shared" si="16"/>
        <v/>
      </c>
      <c r="G181" t="str">
        <f t="shared" si="12"/>
        <v/>
      </c>
      <c r="H181" t="str">
        <f>IF(LEN(TRIM(A181))=0,"",GetConfigParameterValue("Collection Site"))</f>
        <v/>
      </c>
      <c r="I181" t="str">
        <f t="shared" si="17"/>
        <v/>
      </c>
      <c r="M181" t="str">
        <f>IF(LEN(TRIM(B181))=0,"",IF(ISERROR(VLOOKUP(RIGHT(B181,4),study_demographic!A:A,1,FALSE)),"NOT FOUND!!!", "OK"))</f>
        <v/>
      </c>
    </row>
    <row r="182" spans="1:13" x14ac:dyDescent="0.25">
      <c r="A182" t="str">
        <f t="shared" si="13"/>
        <v/>
      </c>
      <c r="B182" t="str">
        <f t="shared" si="14"/>
        <v/>
      </c>
      <c r="C182" s="55" t="str">
        <f>IF(LEN(TRIM(A182))=0,"",get_string_val(RIGHT(B182,4)))</f>
        <v/>
      </c>
      <c r="D182" t="str">
        <f>IF(LEN(TRIM(A182))=0,"",GetItemValueFromSpecimenHeader("timepoint"))</f>
        <v/>
      </c>
      <c r="E182" t="str">
        <f t="shared" si="15"/>
        <v/>
      </c>
      <c r="F182" t="str">
        <f t="shared" si="16"/>
        <v/>
      </c>
      <c r="G182" t="str">
        <f t="shared" si="12"/>
        <v/>
      </c>
      <c r="H182" t="str">
        <f>IF(LEN(TRIM(A182))=0,"",GetConfigParameterValue("Collection Site"))</f>
        <v/>
      </c>
      <c r="I182" t="str">
        <f t="shared" si="17"/>
        <v/>
      </c>
      <c r="M182" t="str">
        <f>IF(LEN(TRIM(B182))=0,"",IF(ISERROR(VLOOKUP(RIGHT(B182,4),study_demographic!A:A,1,FALSE)),"NOT FOUND!!!", "OK"))</f>
        <v/>
      </c>
    </row>
    <row r="183" spans="1:13" x14ac:dyDescent="0.25">
      <c r="A183" t="str">
        <f t="shared" si="13"/>
        <v/>
      </c>
      <c r="B183" t="str">
        <f t="shared" si="14"/>
        <v/>
      </c>
      <c r="C183" s="55" t="str">
        <f>IF(LEN(TRIM(A183))=0,"",get_string_val(RIGHT(B183,4)))</f>
        <v/>
      </c>
      <c r="D183" t="str">
        <f>IF(LEN(TRIM(A183))=0,"",GetItemValueFromSpecimenHeader("timepoint"))</f>
        <v/>
      </c>
      <c r="E183" t="str">
        <f t="shared" si="15"/>
        <v/>
      </c>
      <c r="F183" t="str">
        <f t="shared" si="16"/>
        <v/>
      </c>
      <c r="G183" t="str">
        <f t="shared" si="12"/>
        <v/>
      </c>
      <c r="H183" t="str">
        <f>IF(LEN(TRIM(A183))=0,"",GetConfigParameterValue("Collection Site"))</f>
        <v/>
      </c>
      <c r="I183" t="str">
        <f t="shared" si="17"/>
        <v/>
      </c>
      <c r="M183" t="str">
        <f>IF(LEN(TRIM(B183))=0,"",IF(ISERROR(VLOOKUP(RIGHT(B183,4),study_demographic!A:A,1,FALSE)),"NOT FOUND!!!", "OK"))</f>
        <v/>
      </c>
    </row>
    <row r="184" spans="1:13" x14ac:dyDescent="0.25">
      <c r="A184" t="str">
        <f t="shared" si="13"/>
        <v/>
      </c>
      <c r="B184" t="str">
        <f t="shared" si="14"/>
        <v/>
      </c>
      <c r="C184" s="55" t="str">
        <f>IF(LEN(TRIM(A184))=0,"",get_string_val(RIGHT(B184,4)))</f>
        <v/>
      </c>
      <c r="D184" t="str">
        <f>IF(LEN(TRIM(A184))=0,"",GetItemValueFromSpecimenHeader("timepoint"))</f>
        <v/>
      </c>
      <c r="E184" t="str">
        <f t="shared" si="15"/>
        <v/>
      </c>
      <c r="F184" t="str">
        <f t="shared" si="16"/>
        <v/>
      </c>
      <c r="G184" t="str">
        <f t="shared" si="12"/>
        <v/>
      </c>
      <c r="H184" t="str">
        <f>IF(LEN(TRIM(A184))=0,"",GetConfigParameterValue("Collection Site"))</f>
        <v/>
      </c>
      <c r="I184" t="str">
        <f t="shared" si="17"/>
        <v/>
      </c>
      <c r="M184" t="str">
        <f>IF(LEN(TRIM(B184))=0,"",IF(ISERROR(VLOOKUP(RIGHT(B184,4),study_demographic!A:A,1,FALSE)),"NOT FOUND!!!", "OK"))</f>
        <v/>
      </c>
    </row>
    <row r="185" spans="1:13" x14ac:dyDescent="0.25">
      <c r="A185" t="str">
        <f t="shared" si="13"/>
        <v/>
      </c>
      <c r="B185" t="str">
        <f t="shared" si="14"/>
        <v/>
      </c>
      <c r="C185" s="55" t="str">
        <f>IF(LEN(TRIM(A185))=0,"",get_string_val(RIGHT(B185,4)))</f>
        <v/>
      </c>
      <c r="D185" t="str">
        <f>IF(LEN(TRIM(A185))=0,"",GetItemValueFromSpecimenHeader("timepoint"))</f>
        <v/>
      </c>
      <c r="E185" t="str">
        <f t="shared" si="15"/>
        <v/>
      </c>
      <c r="F185" t="str">
        <f t="shared" si="16"/>
        <v/>
      </c>
      <c r="G185" t="str">
        <f t="shared" si="12"/>
        <v/>
      </c>
      <c r="H185" t="str">
        <f>IF(LEN(TRIM(A185))=0,"",GetConfigParameterValue("Collection Site"))</f>
        <v/>
      </c>
      <c r="I185" t="str">
        <f t="shared" si="17"/>
        <v/>
      </c>
      <c r="M185" t="str">
        <f>IF(LEN(TRIM(B185))=0,"",IF(ISERROR(VLOOKUP(RIGHT(B185,4),study_demographic!A:A,1,FALSE)),"NOT FOUND!!!", "OK"))</f>
        <v/>
      </c>
    </row>
    <row r="186" spans="1:13" x14ac:dyDescent="0.25">
      <c r="A186" t="str">
        <f t="shared" si="13"/>
        <v/>
      </c>
      <c r="B186" t="str">
        <f t="shared" si="14"/>
        <v/>
      </c>
      <c r="C186" s="55" t="str">
        <f>IF(LEN(TRIM(A186))=0,"",get_string_val(RIGHT(B186,4)))</f>
        <v/>
      </c>
      <c r="D186" t="str">
        <f>IF(LEN(TRIM(A186))=0,"",GetItemValueFromSpecimenHeader("timepoint"))</f>
        <v/>
      </c>
      <c r="E186" t="str">
        <f t="shared" si="15"/>
        <v/>
      </c>
      <c r="F186" t="str">
        <f t="shared" si="16"/>
        <v/>
      </c>
      <c r="G186" t="str">
        <f t="shared" si="12"/>
        <v/>
      </c>
      <c r="H186" t="str">
        <f>IF(LEN(TRIM(A186))=0,"",GetConfigParameterValue("Collection Site"))</f>
        <v/>
      </c>
      <c r="I186" t="str">
        <f t="shared" si="17"/>
        <v/>
      </c>
      <c r="M186" t="str">
        <f>IF(LEN(TRIM(B186))=0,"",IF(ISERROR(VLOOKUP(RIGHT(B186,4),study_demographic!A:A,1,FALSE)),"NOT FOUND!!!", "OK"))</f>
        <v/>
      </c>
    </row>
    <row r="187" spans="1:13" x14ac:dyDescent="0.25">
      <c r="A187" t="str">
        <f t="shared" si="13"/>
        <v/>
      </c>
      <c r="B187" t="str">
        <f t="shared" si="14"/>
        <v/>
      </c>
      <c r="C187" s="55" t="str">
        <f>IF(LEN(TRIM(A187))=0,"",get_string_val(RIGHT(B187,4)))</f>
        <v/>
      </c>
      <c r="D187" t="str">
        <f>IF(LEN(TRIM(A187))=0,"",GetItemValueFromSpecimenHeader("timepoint"))</f>
        <v/>
      </c>
      <c r="E187" t="str">
        <f t="shared" si="15"/>
        <v/>
      </c>
      <c r="F187" t="str">
        <f t="shared" si="16"/>
        <v/>
      </c>
      <c r="G187" t="str">
        <f t="shared" si="12"/>
        <v/>
      </c>
      <c r="H187" t="str">
        <f>IF(LEN(TRIM(A187))=0,"",GetConfigParameterValue("Collection Site"))</f>
        <v/>
      </c>
      <c r="I187" t="str">
        <f t="shared" si="17"/>
        <v/>
      </c>
      <c r="M187" t="str">
        <f>IF(LEN(TRIM(B187))=0,"",IF(ISERROR(VLOOKUP(RIGHT(B187,4),study_demographic!A:A,1,FALSE)),"NOT FOUND!!!", "OK"))</f>
        <v/>
      </c>
    </row>
    <row r="188" spans="1:13" x14ac:dyDescent="0.25">
      <c r="A188" t="str">
        <f t="shared" si="13"/>
        <v/>
      </c>
      <c r="B188" t="str">
        <f t="shared" si="14"/>
        <v/>
      </c>
      <c r="C188" s="55" t="str">
        <f>IF(LEN(TRIM(A188))=0,"",get_string_val(RIGHT(B188,4)))</f>
        <v/>
      </c>
      <c r="D188" t="str">
        <f>IF(LEN(TRIM(A188))=0,"",GetItemValueFromSpecimenHeader("timepoint"))</f>
        <v/>
      </c>
      <c r="E188" t="str">
        <f t="shared" si="15"/>
        <v/>
      </c>
      <c r="F188" t="str">
        <f t="shared" si="16"/>
        <v/>
      </c>
      <c r="G188" t="str">
        <f t="shared" si="12"/>
        <v/>
      </c>
      <c r="H188" t="str">
        <f>IF(LEN(TRIM(A188))=0,"",GetConfigParameterValue("Collection Site"))</f>
        <v/>
      </c>
      <c r="I188" t="str">
        <f t="shared" si="17"/>
        <v/>
      </c>
      <c r="M188" t="str">
        <f>IF(LEN(TRIM(B188))=0,"",IF(ISERROR(VLOOKUP(RIGHT(B188,4),study_demographic!A:A,1,FALSE)),"NOT FOUND!!!", "OK"))</f>
        <v/>
      </c>
    </row>
    <row r="189" spans="1:13" x14ac:dyDescent="0.25">
      <c r="A189" t="str">
        <f t="shared" si="13"/>
        <v/>
      </c>
      <c r="B189" t="str">
        <f t="shared" si="14"/>
        <v/>
      </c>
      <c r="C189" s="55" t="str">
        <f>IF(LEN(TRIM(A189))=0,"",get_string_val(RIGHT(B189,4)))</f>
        <v/>
      </c>
      <c r="D189" t="str">
        <f>IF(LEN(TRIM(A189))=0,"",GetItemValueFromSpecimenHeader("timepoint"))</f>
        <v/>
      </c>
      <c r="E189" t="str">
        <f t="shared" si="15"/>
        <v/>
      </c>
      <c r="F189" t="str">
        <f t="shared" si="16"/>
        <v/>
      </c>
      <c r="G189" t="str">
        <f t="shared" si="12"/>
        <v/>
      </c>
      <c r="H189" t="str">
        <f>IF(LEN(TRIM(A189))=0,"",GetConfigParameterValue("Collection Site"))</f>
        <v/>
      </c>
      <c r="I189" t="str">
        <f t="shared" si="17"/>
        <v/>
      </c>
      <c r="M189" t="str">
        <f>IF(LEN(TRIM(B189))=0,"",IF(ISERROR(VLOOKUP(RIGHT(B189,4),study_demographic!A:A,1,FALSE)),"NOT FOUND!!!", "OK"))</f>
        <v/>
      </c>
    </row>
    <row r="190" spans="1:13" x14ac:dyDescent="0.25">
      <c r="A190" t="str">
        <f t="shared" si="13"/>
        <v/>
      </c>
      <c r="B190" t="str">
        <f t="shared" si="14"/>
        <v/>
      </c>
      <c r="C190" s="55" t="str">
        <f>IF(LEN(TRIM(A190))=0,"",get_string_val(RIGHT(B190,4)))</f>
        <v/>
      </c>
      <c r="D190" t="str">
        <f>IF(LEN(TRIM(A190))=0,"",GetItemValueFromSpecimenHeader("timepoint"))</f>
        <v/>
      </c>
      <c r="E190" t="str">
        <f t="shared" si="15"/>
        <v/>
      </c>
      <c r="F190" t="str">
        <f t="shared" si="16"/>
        <v/>
      </c>
      <c r="G190" t="str">
        <f t="shared" si="12"/>
        <v/>
      </c>
      <c r="H190" t="str">
        <f>IF(LEN(TRIM(A190))=0,"",GetConfigParameterValue("Collection Site"))</f>
        <v/>
      </c>
      <c r="I190" t="str">
        <f t="shared" si="17"/>
        <v/>
      </c>
      <c r="M190" t="str">
        <f>IF(LEN(TRIM(B190))=0,"",IF(ISERROR(VLOOKUP(RIGHT(B190,4),study_demographic!A:A,1,FALSE)),"NOT FOUND!!!", "OK"))</f>
        <v/>
      </c>
    </row>
    <row r="191" spans="1:13" x14ac:dyDescent="0.25">
      <c r="A191" t="str">
        <f t="shared" si="13"/>
        <v/>
      </c>
      <c r="B191" t="str">
        <f t="shared" si="14"/>
        <v/>
      </c>
      <c r="C191" s="55" t="str">
        <f>IF(LEN(TRIM(A191))=0,"",get_string_val(RIGHT(B191,4)))</f>
        <v/>
      </c>
      <c r="D191" t="str">
        <f>IF(LEN(TRIM(A191))=0,"",GetItemValueFromSpecimenHeader("timepoint"))</f>
        <v/>
      </c>
      <c r="E191" t="str">
        <f t="shared" si="15"/>
        <v/>
      </c>
      <c r="F191" t="str">
        <f t="shared" si="16"/>
        <v/>
      </c>
      <c r="G191" t="str">
        <f t="shared" si="12"/>
        <v/>
      </c>
      <c r="H191" t="str">
        <f>IF(LEN(TRIM(A191))=0,"",GetConfigParameterValue("Collection Site"))</f>
        <v/>
      </c>
      <c r="I191" t="str">
        <f t="shared" si="17"/>
        <v/>
      </c>
      <c r="M191" t="str">
        <f>IF(LEN(TRIM(B191))=0,"",IF(ISERROR(VLOOKUP(RIGHT(B191,4),study_demographic!A:A,1,FALSE)),"NOT FOUND!!!", "OK"))</f>
        <v/>
      </c>
    </row>
    <row r="192" spans="1:13" x14ac:dyDescent="0.25">
      <c r="A192" t="str">
        <f t="shared" si="13"/>
        <v/>
      </c>
      <c r="B192" t="str">
        <f t="shared" si="14"/>
        <v/>
      </c>
      <c r="C192" s="55" t="str">
        <f>IF(LEN(TRIM(A192))=0,"",get_string_val(RIGHT(B192,4)))</f>
        <v/>
      </c>
      <c r="D192" t="str">
        <f>IF(LEN(TRIM(A192))=0,"",GetItemValueFromSpecimenHeader("timepoint"))</f>
        <v/>
      </c>
      <c r="E192" t="str">
        <f t="shared" si="15"/>
        <v/>
      </c>
      <c r="F192" t="str">
        <f t="shared" si="16"/>
        <v/>
      </c>
      <c r="G192" t="str">
        <f t="shared" si="12"/>
        <v/>
      </c>
      <c r="H192" t="str">
        <f>IF(LEN(TRIM(A192))=0,"",GetConfigParameterValue("Collection Site"))</f>
        <v/>
      </c>
      <c r="I192" t="str">
        <f t="shared" si="17"/>
        <v/>
      </c>
      <c r="M192" t="str">
        <f>IF(LEN(TRIM(B192))=0,"",IF(ISERROR(VLOOKUP(RIGHT(B192,4),study_demographic!A:A,1,FALSE)),"NOT FOUND!!!", "OK"))</f>
        <v/>
      </c>
    </row>
    <row r="193" spans="1:13" x14ac:dyDescent="0.25">
      <c r="A193" t="str">
        <f t="shared" si="13"/>
        <v/>
      </c>
      <c r="B193" t="str">
        <f t="shared" si="14"/>
        <v/>
      </c>
      <c r="C193" s="55" t="str">
        <f>IF(LEN(TRIM(A193))=0,"",get_string_val(RIGHT(B193,4)))</f>
        <v/>
      </c>
      <c r="D193" t="str">
        <f>IF(LEN(TRIM(A193))=0,"",GetItemValueFromSpecimenHeader("timepoint"))</f>
        <v/>
      </c>
      <c r="E193" t="str">
        <f t="shared" si="15"/>
        <v/>
      </c>
      <c r="F193" t="str">
        <f t="shared" si="16"/>
        <v/>
      </c>
      <c r="G193" t="str">
        <f t="shared" si="12"/>
        <v/>
      </c>
      <c r="H193" t="str">
        <f>IF(LEN(TRIM(A193))=0,"",GetConfigParameterValue("Collection Site"))</f>
        <v/>
      </c>
      <c r="I193" t="str">
        <f t="shared" si="17"/>
        <v/>
      </c>
      <c r="M193" t="str">
        <f>IF(LEN(TRIM(B193))=0,"",IF(ISERROR(VLOOKUP(RIGHT(B193,4),study_demographic!A:A,1,FALSE)),"NOT FOUND!!!", "OK"))</f>
        <v/>
      </c>
    </row>
    <row r="194" spans="1:13" x14ac:dyDescent="0.25">
      <c r="A194" t="str">
        <f t="shared" si="13"/>
        <v/>
      </c>
      <c r="B194" t="str">
        <f t="shared" si="14"/>
        <v/>
      </c>
      <c r="C194" s="55" t="str">
        <f>IF(LEN(TRIM(A194))=0,"",get_string_val(RIGHT(B194,4)))</f>
        <v/>
      </c>
      <c r="D194" t="str">
        <f>IF(LEN(TRIM(A194))=0,"",GetItemValueFromSpecimenHeader("timepoint"))</f>
        <v/>
      </c>
      <c r="E194" t="str">
        <f t="shared" si="15"/>
        <v/>
      </c>
      <c r="F194" t="str">
        <f t="shared" si="16"/>
        <v/>
      </c>
      <c r="G194" t="str">
        <f t="shared" ref="G194:G257" si="18">IF(LEN(TRIM(A194))=0,"",IF(TRIM(F194)="1","Male", IF(TRIM(F194)="2","Female", "NA")))</f>
        <v/>
      </c>
      <c r="H194" t="str">
        <f>IF(LEN(TRIM(A194))=0,"",GetConfigParameterValue("Collection Site"))</f>
        <v/>
      </c>
      <c r="I194" t="str">
        <f t="shared" si="17"/>
        <v/>
      </c>
      <c r="M194" t="str">
        <f>IF(LEN(TRIM(B194))=0,"",IF(ISERROR(VLOOKUP(RIGHT(B194,4),study_demographic!A:A,1,FALSE)),"NOT FOUND!!!", "OK"))</f>
        <v/>
      </c>
    </row>
    <row r="195" spans="1:13" x14ac:dyDescent="0.25">
      <c r="A195" t="str">
        <f t="shared" ref="A195:A258" si="19">GetSampleId((ROW()))</f>
        <v/>
      </c>
      <c r="B195" t="str">
        <f t="shared" ref="B195:B258" si="20">IF(LEN(TRIM(A195))=0,"",LEFT(A195,7))</f>
        <v/>
      </c>
      <c r="C195" s="55" t="str">
        <f>IF(LEN(TRIM(A195))=0,"",get_string_val(RIGHT(B195,4)))</f>
        <v/>
      </c>
      <c r="D195" t="str">
        <f>IF(LEN(TRIM(A195))=0,"",GetItemValueFromSpecimenHeader("timepoint"))</f>
        <v/>
      </c>
      <c r="E195" t="str">
        <f t="shared" ref="E195:E258" si="21">getColumnValueBySubjectID("Age",RIGHT(B195,4))</f>
        <v/>
      </c>
      <c r="F195" t="str">
        <f t="shared" ref="F195:F258" si="22">getColumnValueBySubjectID("Sex",RIGHT(B195,4))</f>
        <v/>
      </c>
      <c r="G195" t="str">
        <f t="shared" si="18"/>
        <v/>
      </c>
      <c r="H195" t="str">
        <f>IF(LEN(TRIM(A195))=0,"",GetConfigParameterValue("Collection Site"))</f>
        <v/>
      </c>
      <c r="I195" t="str">
        <f t="shared" ref="I195:I258" si="23">getColumnValueBySubjectID("Comments",B195)</f>
        <v/>
      </c>
      <c r="M195" t="str">
        <f>IF(LEN(TRIM(B195))=0,"",IF(ISERROR(VLOOKUP(RIGHT(B195,4),study_demographic!A:A,1,FALSE)),"NOT FOUND!!!", "OK"))</f>
        <v/>
      </c>
    </row>
    <row r="196" spans="1:13" x14ac:dyDescent="0.25">
      <c r="A196" t="str">
        <f t="shared" si="19"/>
        <v/>
      </c>
      <c r="B196" t="str">
        <f t="shared" si="20"/>
        <v/>
      </c>
      <c r="C196" s="55" t="str">
        <f>IF(LEN(TRIM(A196))=0,"",get_string_val(RIGHT(B196,4)))</f>
        <v/>
      </c>
      <c r="D196" t="str">
        <f>IF(LEN(TRIM(A196))=0,"",GetItemValueFromSpecimenHeader("timepoint"))</f>
        <v/>
      </c>
      <c r="E196" t="str">
        <f t="shared" si="21"/>
        <v/>
      </c>
      <c r="F196" t="str">
        <f t="shared" si="22"/>
        <v/>
      </c>
      <c r="G196" t="str">
        <f t="shared" si="18"/>
        <v/>
      </c>
      <c r="H196" t="str">
        <f>IF(LEN(TRIM(A196))=0,"",GetConfigParameterValue("Collection Site"))</f>
        <v/>
      </c>
      <c r="I196" t="str">
        <f t="shared" si="23"/>
        <v/>
      </c>
      <c r="M196" t="str">
        <f>IF(LEN(TRIM(B196))=0,"",IF(ISERROR(VLOOKUP(RIGHT(B196,4),study_demographic!A:A,1,FALSE)),"NOT FOUND!!!", "OK"))</f>
        <v/>
      </c>
    </row>
    <row r="197" spans="1:13" x14ac:dyDescent="0.25">
      <c r="A197" t="str">
        <f t="shared" si="19"/>
        <v/>
      </c>
      <c r="B197" t="str">
        <f t="shared" si="20"/>
        <v/>
      </c>
      <c r="C197" s="55" t="str">
        <f>IF(LEN(TRIM(A197))=0,"",get_string_val(RIGHT(B197,4)))</f>
        <v/>
      </c>
      <c r="D197" t="str">
        <f>IF(LEN(TRIM(A197))=0,"",GetItemValueFromSpecimenHeader("timepoint"))</f>
        <v/>
      </c>
      <c r="E197" t="str">
        <f t="shared" si="21"/>
        <v/>
      </c>
      <c r="F197" t="str">
        <f t="shared" si="22"/>
        <v/>
      </c>
      <c r="G197" t="str">
        <f t="shared" si="18"/>
        <v/>
      </c>
      <c r="H197" t="str">
        <f>IF(LEN(TRIM(A197))=0,"",GetConfigParameterValue("Collection Site"))</f>
        <v/>
      </c>
      <c r="I197" t="str">
        <f t="shared" si="23"/>
        <v/>
      </c>
      <c r="M197" t="str">
        <f>IF(LEN(TRIM(B197))=0,"",IF(ISERROR(VLOOKUP(RIGHT(B197,4),study_demographic!A:A,1,FALSE)),"NOT FOUND!!!", "OK"))</f>
        <v/>
      </c>
    </row>
    <row r="198" spans="1:13" x14ac:dyDescent="0.25">
      <c r="A198" t="str">
        <f t="shared" si="19"/>
        <v/>
      </c>
      <c r="B198" t="str">
        <f t="shared" si="20"/>
        <v/>
      </c>
      <c r="C198" s="55" t="str">
        <f>IF(LEN(TRIM(A198))=0,"",get_string_val(RIGHT(B198,4)))</f>
        <v/>
      </c>
      <c r="D198" t="str">
        <f>IF(LEN(TRIM(A198))=0,"",GetItemValueFromSpecimenHeader("timepoint"))</f>
        <v/>
      </c>
      <c r="E198" t="str">
        <f t="shared" si="21"/>
        <v/>
      </c>
      <c r="F198" t="str">
        <f t="shared" si="22"/>
        <v/>
      </c>
      <c r="G198" t="str">
        <f t="shared" si="18"/>
        <v/>
      </c>
      <c r="H198" t="str">
        <f>IF(LEN(TRIM(A198))=0,"",GetConfigParameterValue("Collection Site"))</f>
        <v/>
      </c>
      <c r="I198" t="str">
        <f t="shared" si="23"/>
        <v/>
      </c>
      <c r="M198" t="str">
        <f>IF(LEN(TRIM(B198))=0,"",IF(ISERROR(VLOOKUP(RIGHT(B198,4),study_demographic!A:A,1,FALSE)),"NOT FOUND!!!", "OK"))</f>
        <v/>
      </c>
    </row>
    <row r="199" spans="1:13" x14ac:dyDescent="0.25">
      <c r="A199" t="str">
        <f t="shared" si="19"/>
        <v/>
      </c>
      <c r="B199" t="str">
        <f t="shared" si="20"/>
        <v/>
      </c>
      <c r="C199" s="55" t="str">
        <f>IF(LEN(TRIM(A199))=0,"",get_string_val(RIGHT(B199,4)))</f>
        <v/>
      </c>
      <c r="D199" t="str">
        <f>IF(LEN(TRIM(A199))=0,"",GetItemValueFromSpecimenHeader("timepoint"))</f>
        <v/>
      </c>
      <c r="E199" t="str">
        <f t="shared" si="21"/>
        <v/>
      </c>
      <c r="F199" t="str">
        <f t="shared" si="22"/>
        <v/>
      </c>
      <c r="G199" t="str">
        <f t="shared" si="18"/>
        <v/>
      </c>
      <c r="H199" t="str">
        <f>IF(LEN(TRIM(A199))=0,"",GetConfigParameterValue("Collection Site"))</f>
        <v/>
      </c>
      <c r="I199" t="str">
        <f t="shared" si="23"/>
        <v/>
      </c>
      <c r="M199" t="str">
        <f>IF(LEN(TRIM(B199))=0,"",IF(ISERROR(VLOOKUP(RIGHT(B199,4),study_demographic!A:A,1,FALSE)),"NOT FOUND!!!", "OK"))</f>
        <v/>
      </c>
    </row>
    <row r="200" spans="1:13" x14ac:dyDescent="0.25">
      <c r="A200" t="str">
        <f t="shared" si="19"/>
        <v/>
      </c>
      <c r="B200" t="str">
        <f t="shared" si="20"/>
        <v/>
      </c>
      <c r="C200" s="55" t="str">
        <f>IF(LEN(TRIM(A200))=0,"",get_string_val(RIGHT(B200,4)))</f>
        <v/>
      </c>
      <c r="D200" t="str">
        <f>IF(LEN(TRIM(A200))=0,"",GetItemValueFromSpecimenHeader("timepoint"))</f>
        <v/>
      </c>
      <c r="E200" t="str">
        <f t="shared" si="21"/>
        <v/>
      </c>
      <c r="F200" t="str">
        <f t="shared" si="22"/>
        <v/>
      </c>
      <c r="G200" t="str">
        <f t="shared" si="18"/>
        <v/>
      </c>
      <c r="H200" t="str">
        <f>IF(LEN(TRIM(A200))=0,"",GetConfigParameterValue("Collection Site"))</f>
        <v/>
      </c>
      <c r="I200" t="str">
        <f t="shared" si="23"/>
        <v/>
      </c>
      <c r="M200" t="str">
        <f>IF(LEN(TRIM(B200))=0,"",IF(ISERROR(VLOOKUP(RIGHT(B200,4),study_demographic!A:A,1,FALSE)),"NOT FOUND!!!", "OK"))</f>
        <v/>
      </c>
    </row>
    <row r="201" spans="1:13" x14ac:dyDescent="0.25">
      <c r="A201" t="str">
        <f t="shared" si="19"/>
        <v/>
      </c>
      <c r="B201" t="str">
        <f t="shared" si="20"/>
        <v/>
      </c>
      <c r="C201" s="55" t="str">
        <f>IF(LEN(TRIM(A201))=0,"",get_string_val(RIGHT(B201,4)))</f>
        <v/>
      </c>
      <c r="D201" t="str">
        <f>IF(LEN(TRIM(A201))=0,"",GetItemValueFromSpecimenHeader("timepoint"))</f>
        <v/>
      </c>
      <c r="E201" t="str">
        <f t="shared" si="21"/>
        <v/>
      </c>
      <c r="F201" t="str">
        <f t="shared" si="22"/>
        <v/>
      </c>
      <c r="G201" t="str">
        <f t="shared" si="18"/>
        <v/>
      </c>
      <c r="H201" t="str">
        <f>IF(LEN(TRIM(A201))=0,"",GetConfigParameterValue("Collection Site"))</f>
        <v/>
      </c>
      <c r="I201" t="str">
        <f t="shared" si="23"/>
        <v/>
      </c>
      <c r="M201" t="str">
        <f>IF(LEN(TRIM(B201))=0,"",IF(ISERROR(VLOOKUP(RIGHT(B201,4),study_demographic!A:A,1,FALSE)),"NOT FOUND!!!", "OK"))</f>
        <v/>
      </c>
    </row>
    <row r="202" spans="1:13" x14ac:dyDescent="0.25">
      <c r="A202" t="str">
        <f t="shared" si="19"/>
        <v/>
      </c>
      <c r="B202" t="str">
        <f t="shared" si="20"/>
        <v/>
      </c>
      <c r="C202" s="55" t="str">
        <f>IF(LEN(TRIM(A202))=0,"",get_string_val(RIGHT(B202,4)))</f>
        <v/>
      </c>
      <c r="D202" t="str">
        <f>IF(LEN(TRIM(A202))=0,"",GetItemValueFromSpecimenHeader("timepoint"))</f>
        <v/>
      </c>
      <c r="E202" t="str">
        <f t="shared" si="21"/>
        <v/>
      </c>
      <c r="F202" t="str">
        <f t="shared" si="22"/>
        <v/>
      </c>
      <c r="G202" t="str">
        <f t="shared" si="18"/>
        <v/>
      </c>
      <c r="H202" t="str">
        <f>IF(LEN(TRIM(A202))=0,"",GetConfigParameterValue("Collection Site"))</f>
        <v/>
      </c>
      <c r="I202" t="str">
        <f t="shared" si="23"/>
        <v/>
      </c>
      <c r="M202" t="str">
        <f>IF(LEN(TRIM(B202))=0,"",IF(ISERROR(VLOOKUP(RIGHT(B202,4),study_demographic!A:A,1,FALSE)),"NOT FOUND!!!", "OK"))</f>
        <v/>
      </c>
    </row>
    <row r="203" spans="1:13" x14ac:dyDescent="0.25">
      <c r="A203" t="str">
        <f t="shared" si="19"/>
        <v/>
      </c>
      <c r="B203" t="str">
        <f t="shared" si="20"/>
        <v/>
      </c>
      <c r="C203" s="55" t="str">
        <f>IF(LEN(TRIM(A203))=0,"",get_string_val(RIGHT(B203,4)))</f>
        <v/>
      </c>
      <c r="D203" t="str">
        <f>IF(LEN(TRIM(A203))=0,"",GetItemValueFromSpecimenHeader("timepoint"))</f>
        <v/>
      </c>
      <c r="E203" t="str">
        <f t="shared" si="21"/>
        <v/>
      </c>
      <c r="F203" t="str">
        <f t="shared" si="22"/>
        <v/>
      </c>
      <c r="G203" t="str">
        <f t="shared" si="18"/>
        <v/>
      </c>
      <c r="H203" t="str">
        <f>IF(LEN(TRIM(A203))=0,"",GetConfigParameterValue("Collection Site"))</f>
        <v/>
      </c>
      <c r="I203" t="str">
        <f t="shared" si="23"/>
        <v/>
      </c>
      <c r="M203" t="str">
        <f>IF(LEN(TRIM(B203))=0,"",IF(ISERROR(VLOOKUP(RIGHT(B203,4),study_demographic!A:A,1,FALSE)),"NOT FOUND!!!", "OK"))</f>
        <v/>
      </c>
    </row>
    <row r="204" spans="1:13" x14ac:dyDescent="0.25">
      <c r="A204" t="str">
        <f t="shared" si="19"/>
        <v/>
      </c>
      <c r="B204" t="str">
        <f t="shared" si="20"/>
        <v/>
      </c>
      <c r="C204" s="55" t="str">
        <f>IF(LEN(TRIM(A204))=0,"",get_string_val(RIGHT(B204,4)))</f>
        <v/>
      </c>
      <c r="D204" t="str">
        <f>IF(LEN(TRIM(A204))=0,"",GetItemValueFromSpecimenHeader("timepoint"))</f>
        <v/>
      </c>
      <c r="E204" t="str">
        <f t="shared" si="21"/>
        <v/>
      </c>
      <c r="F204" t="str">
        <f t="shared" si="22"/>
        <v/>
      </c>
      <c r="G204" t="str">
        <f t="shared" si="18"/>
        <v/>
      </c>
      <c r="H204" t="str">
        <f>IF(LEN(TRIM(A204))=0,"",GetConfigParameterValue("Collection Site"))</f>
        <v/>
      </c>
      <c r="I204" t="str">
        <f t="shared" si="23"/>
        <v/>
      </c>
      <c r="M204" t="str">
        <f>IF(LEN(TRIM(B204))=0,"",IF(ISERROR(VLOOKUP(RIGHT(B204,4),study_demographic!A:A,1,FALSE)),"NOT FOUND!!!", "OK"))</f>
        <v/>
      </c>
    </row>
    <row r="205" spans="1:13" x14ac:dyDescent="0.25">
      <c r="A205" t="str">
        <f t="shared" si="19"/>
        <v/>
      </c>
      <c r="B205" t="str">
        <f t="shared" si="20"/>
        <v/>
      </c>
      <c r="C205" s="55" t="str">
        <f>IF(LEN(TRIM(A205))=0,"",get_string_val(RIGHT(B205,4)))</f>
        <v/>
      </c>
      <c r="D205" t="str">
        <f>IF(LEN(TRIM(A205))=0,"",GetItemValueFromSpecimenHeader("timepoint"))</f>
        <v/>
      </c>
      <c r="E205" t="str">
        <f t="shared" si="21"/>
        <v/>
      </c>
      <c r="F205" t="str">
        <f t="shared" si="22"/>
        <v/>
      </c>
      <c r="G205" t="str">
        <f t="shared" si="18"/>
        <v/>
      </c>
      <c r="H205" t="str">
        <f>IF(LEN(TRIM(A205))=0,"",GetConfigParameterValue("Collection Site"))</f>
        <v/>
      </c>
      <c r="I205" t="str">
        <f t="shared" si="23"/>
        <v/>
      </c>
      <c r="M205" t="str">
        <f>IF(LEN(TRIM(B205))=0,"",IF(ISERROR(VLOOKUP(RIGHT(B205,4),study_demographic!A:A,1,FALSE)),"NOT FOUND!!!", "OK"))</f>
        <v/>
      </c>
    </row>
    <row r="206" spans="1:13" x14ac:dyDescent="0.25">
      <c r="A206" t="str">
        <f t="shared" si="19"/>
        <v/>
      </c>
      <c r="B206" t="str">
        <f t="shared" si="20"/>
        <v/>
      </c>
      <c r="C206" s="55" t="str">
        <f>IF(LEN(TRIM(A206))=0,"",get_string_val(RIGHT(B206,4)))</f>
        <v/>
      </c>
      <c r="D206" t="str">
        <f>IF(LEN(TRIM(A206))=0,"",GetItemValueFromSpecimenHeader("timepoint"))</f>
        <v/>
      </c>
      <c r="E206" t="str">
        <f t="shared" si="21"/>
        <v/>
      </c>
      <c r="F206" t="str">
        <f t="shared" si="22"/>
        <v/>
      </c>
      <c r="G206" t="str">
        <f t="shared" si="18"/>
        <v/>
      </c>
      <c r="H206" t="str">
        <f>IF(LEN(TRIM(A206))=0,"",GetConfigParameterValue("Collection Site"))</f>
        <v/>
      </c>
      <c r="I206" t="str">
        <f t="shared" si="23"/>
        <v/>
      </c>
      <c r="M206" t="str">
        <f>IF(LEN(TRIM(B206))=0,"",IF(ISERROR(VLOOKUP(RIGHT(B206,4),study_demographic!A:A,1,FALSE)),"NOT FOUND!!!", "OK"))</f>
        <v/>
      </c>
    </row>
    <row r="207" spans="1:13" x14ac:dyDescent="0.25">
      <c r="A207" t="str">
        <f t="shared" si="19"/>
        <v/>
      </c>
      <c r="B207" t="str">
        <f t="shared" si="20"/>
        <v/>
      </c>
      <c r="C207" s="55" t="str">
        <f>IF(LEN(TRIM(A207))=0,"",get_string_val(RIGHT(B207,4)))</f>
        <v/>
      </c>
      <c r="D207" t="str">
        <f>IF(LEN(TRIM(A207))=0,"",GetItemValueFromSpecimenHeader("timepoint"))</f>
        <v/>
      </c>
      <c r="E207" t="str">
        <f t="shared" si="21"/>
        <v/>
      </c>
      <c r="F207" t="str">
        <f t="shared" si="22"/>
        <v/>
      </c>
      <c r="G207" t="str">
        <f t="shared" si="18"/>
        <v/>
      </c>
      <c r="H207" t="str">
        <f>IF(LEN(TRIM(A207))=0,"",GetConfigParameterValue("Collection Site"))</f>
        <v/>
      </c>
      <c r="I207" t="str">
        <f t="shared" si="23"/>
        <v/>
      </c>
      <c r="M207" t="str">
        <f>IF(LEN(TRIM(B207))=0,"",IF(ISERROR(VLOOKUP(RIGHT(B207,4),study_demographic!A:A,1,FALSE)),"NOT FOUND!!!", "OK"))</f>
        <v/>
      </c>
    </row>
    <row r="208" spans="1:13" x14ac:dyDescent="0.25">
      <c r="A208" t="str">
        <f t="shared" si="19"/>
        <v/>
      </c>
      <c r="B208" t="str">
        <f t="shared" si="20"/>
        <v/>
      </c>
      <c r="C208" s="55" t="str">
        <f>IF(LEN(TRIM(A208))=0,"",get_string_val(RIGHT(B208,4)))</f>
        <v/>
      </c>
      <c r="D208" t="str">
        <f>IF(LEN(TRIM(A208))=0,"",GetItemValueFromSpecimenHeader("timepoint"))</f>
        <v/>
      </c>
      <c r="E208" t="str">
        <f t="shared" si="21"/>
        <v/>
      </c>
      <c r="F208" t="str">
        <f t="shared" si="22"/>
        <v/>
      </c>
      <c r="G208" t="str">
        <f t="shared" si="18"/>
        <v/>
      </c>
      <c r="H208" t="str">
        <f>IF(LEN(TRIM(A208))=0,"",GetConfigParameterValue("Collection Site"))</f>
        <v/>
      </c>
      <c r="I208" t="str">
        <f t="shared" si="23"/>
        <v/>
      </c>
      <c r="M208" t="str">
        <f>IF(LEN(TRIM(B208))=0,"",IF(ISERROR(VLOOKUP(RIGHT(B208,4),study_demographic!A:A,1,FALSE)),"NOT FOUND!!!", "OK"))</f>
        <v/>
      </c>
    </row>
    <row r="209" spans="1:13" x14ac:dyDescent="0.25">
      <c r="A209" t="str">
        <f t="shared" si="19"/>
        <v/>
      </c>
      <c r="B209" t="str">
        <f t="shared" si="20"/>
        <v/>
      </c>
      <c r="C209" s="55" t="str">
        <f>IF(LEN(TRIM(A209))=0,"",get_string_val(RIGHT(B209,4)))</f>
        <v/>
      </c>
      <c r="D209" t="str">
        <f>IF(LEN(TRIM(A209))=0,"",GetItemValueFromSpecimenHeader("timepoint"))</f>
        <v/>
      </c>
      <c r="E209" t="str">
        <f t="shared" si="21"/>
        <v/>
      </c>
      <c r="F209" t="str">
        <f t="shared" si="22"/>
        <v/>
      </c>
      <c r="G209" t="str">
        <f t="shared" si="18"/>
        <v/>
      </c>
      <c r="H209" t="str">
        <f>IF(LEN(TRIM(A209))=0,"",GetConfigParameterValue("Collection Site"))</f>
        <v/>
      </c>
      <c r="I209" t="str">
        <f t="shared" si="23"/>
        <v/>
      </c>
      <c r="M209" t="str">
        <f>IF(LEN(TRIM(B209))=0,"",IF(ISERROR(VLOOKUP(RIGHT(B209,4),study_demographic!A:A,1,FALSE)),"NOT FOUND!!!", "OK"))</f>
        <v/>
      </c>
    </row>
    <row r="210" spans="1:13" x14ac:dyDescent="0.25">
      <c r="A210" t="str">
        <f t="shared" si="19"/>
        <v/>
      </c>
      <c r="B210" t="str">
        <f t="shared" si="20"/>
        <v/>
      </c>
      <c r="C210" s="55" t="str">
        <f>IF(LEN(TRIM(A210))=0,"",get_string_val(RIGHT(B210,4)))</f>
        <v/>
      </c>
      <c r="D210" t="str">
        <f>IF(LEN(TRIM(A210))=0,"",GetItemValueFromSpecimenHeader("timepoint"))</f>
        <v/>
      </c>
      <c r="E210" t="str">
        <f t="shared" si="21"/>
        <v/>
      </c>
      <c r="F210" t="str">
        <f t="shared" si="22"/>
        <v/>
      </c>
      <c r="G210" t="str">
        <f t="shared" si="18"/>
        <v/>
      </c>
      <c r="H210" t="str">
        <f>IF(LEN(TRIM(A210))=0,"",GetConfigParameterValue("Collection Site"))</f>
        <v/>
      </c>
      <c r="I210" t="str">
        <f t="shared" si="23"/>
        <v/>
      </c>
      <c r="M210" t="str">
        <f>IF(LEN(TRIM(B210))=0,"",IF(ISERROR(VLOOKUP(RIGHT(B210,4),study_demographic!A:A,1,FALSE)),"NOT FOUND!!!", "OK"))</f>
        <v/>
      </c>
    </row>
    <row r="211" spans="1:13" x14ac:dyDescent="0.25">
      <c r="A211" t="str">
        <f t="shared" si="19"/>
        <v/>
      </c>
      <c r="B211" t="str">
        <f t="shared" si="20"/>
        <v/>
      </c>
      <c r="C211" s="55" t="str">
        <f>IF(LEN(TRIM(A211))=0,"",get_string_val(RIGHT(B211,4)))</f>
        <v/>
      </c>
      <c r="D211" t="str">
        <f>IF(LEN(TRIM(A211))=0,"",GetItemValueFromSpecimenHeader("timepoint"))</f>
        <v/>
      </c>
      <c r="E211" t="str">
        <f t="shared" si="21"/>
        <v/>
      </c>
      <c r="F211" t="str">
        <f t="shared" si="22"/>
        <v/>
      </c>
      <c r="G211" t="str">
        <f t="shared" si="18"/>
        <v/>
      </c>
      <c r="H211" t="str">
        <f>IF(LEN(TRIM(A211))=0,"",GetConfigParameterValue("Collection Site"))</f>
        <v/>
      </c>
      <c r="I211" t="str">
        <f t="shared" si="23"/>
        <v/>
      </c>
      <c r="M211" t="str">
        <f>IF(LEN(TRIM(B211))=0,"",IF(ISERROR(VLOOKUP(RIGHT(B211,4),study_demographic!A:A,1,FALSE)),"NOT FOUND!!!", "OK"))</f>
        <v/>
      </c>
    </row>
    <row r="212" spans="1:13" x14ac:dyDescent="0.25">
      <c r="A212" t="str">
        <f t="shared" si="19"/>
        <v/>
      </c>
      <c r="B212" t="str">
        <f t="shared" si="20"/>
        <v/>
      </c>
      <c r="C212" s="55" t="str">
        <f>IF(LEN(TRIM(A212))=0,"",get_string_val(RIGHT(B212,4)))</f>
        <v/>
      </c>
      <c r="D212" t="str">
        <f>IF(LEN(TRIM(A212))=0,"",GetItemValueFromSpecimenHeader("timepoint"))</f>
        <v/>
      </c>
      <c r="E212" t="str">
        <f t="shared" si="21"/>
        <v/>
      </c>
      <c r="F212" t="str">
        <f t="shared" si="22"/>
        <v/>
      </c>
      <c r="G212" t="str">
        <f t="shared" si="18"/>
        <v/>
      </c>
      <c r="H212" t="str">
        <f>IF(LEN(TRIM(A212))=0,"",GetConfigParameterValue("Collection Site"))</f>
        <v/>
      </c>
      <c r="I212" t="str">
        <f t="shared" si="23"/>
        <v/>
      </c>
      <c r="M212" t="str">
        <f>IF(LEN(TRIM(B212))=0,"",IF(ISERROR(VLOOKUP(RIGHT(B212,4),study_demographic!A:A,1,FALSE)),"NOT FOUND!!!", "OK"))</f>
        <v/>
      </c>
    </row>
    <row r="213" spans="1:13" x14ac:dyDescent="0.25">
      <c r="A213" t="str">
        <f t="shared" si="19"/>
        <v/>
      </c>
      <c r="B213" t="str">
        <f t="shared" si="20"/>
        <v/>
      </c>
      <c r="C213" s="55" t="str">
        <f>IF(LEN(TRIM(A213))=0,"",get_string_val(RIGHT(B213,4)))</f>
        <v/>
      </c>
      <c r="D213" t="str">
        <f>IF(LEN(TRIM(A213))=0,"",GetItemValueFromSpecimenHeader("timepoint"))</f>
        <v/>
      </c>
      <c r="E213" t="str">
        <f t="shared" si="21"/>
        <v/>
      </c>
      <c r="F213" t="str">
        <f t="shared" si="22"/>
        <v/>
      </c>
      <c r="G213" t="str">
        <f t="shared" si="18"/>
        <v/>
      </c>
      <c r="H213" t="str">
        <f>IF(LEN(TRIM(A213))=0,"",GetConfigParameterValue("Collection Site"))</f>
        <v/>
      </c>
      <c r="I213" t="str">
        <f t="shared" si="23"/>
        <v/>
      </c>
      <c r="M213" t="str">
        <f>IF(LEN(TRIM(B213))=0,"",IF(ISERROR(VLOOKUP(RIGHT(B213,4),study_demographic!A:A,1,FALSE)),"NOT FOUND!!!", "OK"))</f>
        <v/>
      </c>
    </row>
    <row r="214" spans="1:13" x14ac:dyDescent="0.25">
      <c r="A214" t="str">
        <f t="shared" si="19"/>
        <v/>
      </c>
      <c r="B214" t="str">
        <f t="shared" si="20"/>
        <v/>
      </c>
      <c r="C214" s="55" t="str">
        <f>IF(LEN(TRIM(A214))=0,"",get_string_val(RIGHT(B214,4)))</f>
        <v/>
      </c>
      <c r="D214" t="str">
        <f>IF(LEN(TRIM(A214))=0,"",GetItemValueFromSpecimenHeader("timepoint"))</f>
        <v/>
      </c>
      <c r="E214" t="str">
        <f t="shared" si="21"/>
        <v/>
      </c>
      <c r="F214" t="str">
        <f t="shared" si="22"/>
        <v/>
      </c>
      <c r="G214" t="str">
        <f t="shared" si="18"/>
        <v/>
      </c>
      <c r="H214" t="str">
        <f>IF(LEN(TRIM(A214))=0,"",GetConfigParameterValue("Collection Site"))</f>
        <v/>
      </c>
      <c r="I214" t="str">
        <f t="shared" si="23"/>
        <v/>
      </c>
      <c r="M214" t="str">
        <f>IF(LEN(TRIM(B214))=0,"",IF(ISERROR(VLOOKUP(RIGHT(B214,4),study_demographic!A:A,1,FALSE)),"NOT FOUND!!!", "OK"))</f>
        <v/>
      </c>
    </row>
    <row r="215" spans="1:13" x14ac:dyDescent="0.25">
      <c r="A215" t="str">
        <f t="shared" si="19"/>
        <v/>
      </c>
      <c r="B215" t="str">
        <f t="shared" si="20"/>
        <v/>
      </c>
      <c r="C215" s="55" t="str">
        <f>IF(LEN(TRIM(A215))=0,"",get_string_val(RIGHT(B215,4)))</f>
        <v/>
      </c>
      <c r="D215" t="str">
        <f>IF(LEN(TRIM(A215))=0,"",GetItemValueFromSpecimenHeader("timepoint"))</f>
        <v/>
      </c>
      <c r="E215" t="str">
        <f t="shared" si="21"/>
        <v/>
      </c>
      <c r="F215" t="str">
        <f t="shared" si="22"/>
        <v/>
      </c>
      <c r="G215" t="str">
        <f t="shared" si="18"/>
        <v/>
      </c>
      <c r="H215" t="str">
        <f>IF(LEN(TRIM(A215))=0,"",GetConfigParameterValue("Collection Site"))</f>
        <v/>
      </c>
      <c r="I215" t="str">
        <f t="shared" si="23"/>
        <v/>
      </c>
      <c r="M215" t="str">
        <f>IF(LEN(TRIM(B215))=0,"",IF(ISERROR(VLOOKUP(RIGHT(B215,4),study_demographic!A:A,1,FALSE)),"NOT FOUND!!!", "OK"))</f>
        <v/>
      </c>
    </row>
    <row r="216" spans="1:13" x14ac:dyDescent="0.25">
      <c r="A216" t="str">
        <f t="shared" si="19"/>
        <v/>
      </c>
      <c r="B216" t="str">
        <f t="shared" si="20"/>
        <v/>
      </c>
      <c r="C216" s="55" t="str">
        <f>IF(LEN(TRIM(A216))=0,"",get_string_val(RIGHT(B216,4)))</f>
        <v/>
      </c>
      <c r="D216" t="str">
        <f>IF(LEN(TRIM(A216))=0,"",GetItemValueFromSpecimenHeader("timepoint"))</f>
        <v/>
      </c>
      <c r="E216" t="str">
        <f t="shared" si="21"/>
        <v/>
      </c>
      <c r="F216" t="str">
        <f t="shared" si="22"/>
        <v/>
      </c>
      <c r="G216" t="str">
        <f t="shared" si="18"/>
        <v/>
      </c>
      <c r="H216" t="str">
        <f>IF(LEN(TRIM(A216))=0,"",GetConfigParameterValue("Collection Site"))</f>
        <v/>
      </c>
      <c r="I216" t="str">
        <f t="shared" si="23"/>
        <v/>
      </c>
      <c r="M216" t="str">
        <f>IF(LEN(TRIM(B216))=0,"",IF(ISERROR(VLOOKUP(RIGHT(B216,4),study_demographic!A:A,1,FALSE)),"NOT FOUND!!!", "OK"))</f>
        <v/>
      </c>
    </row>
    <row r="217" spans="1:13" x14ac:dyDescent="0.25">
      <c r="A217" t="str">
        <f t="shared" si="19"/>
        <v/>
      </c>
      <c r="B217" t="str">
        <f t="shared" si="20"/>
        <v/>
      </c>
      <c r="C217" s="55" t="str">
        <f>IF(LEN(TRIM(A217))=0,"",get_string_val(RIGHT(B217,4)))</f>
        <v/>
      </c>
      <c r="D217" t="str">
        <f>IF(LEN(TRIM(A217))=0,"",GetItemValueFromSpecimenHeader("timepoint"))</f>
        <v/>
      </c>
      <c r="E217" t="str">
        <f t="shared" si="21"/>
        <v/>
      </c>
      <c r="F217" t="str">
        <f t="shared" si="22"/>
        <v/>
      </c>
      <c r="G217" t="str">
        <f t="shared" si="18"/>
        <v/>
      </c>
      <c r="H217" t="str">
        <f>IF(LEN(TRIM(A217))=0,"",GetConfigParameterValue("Collection Site"))</f>
        <v/>
      </c>
      <c r="I217" t="str">
        <f t="shared" si="23"/>
        <v/>
      </c>
      <c r="M217" t="str">
        <f>IF(LEN(TRIM(B217))=0,"",IF(ISERROR(VLOOKUP(RIGHT(B217,4),study_demographic!A:A,1,FALSE)),"NOT FOUND!!!", "OK"))</f>
        <v/>
      </c>
    </row>
    <row r="218" spans="1:13" x14ac:dyDescent="0.25">
      <c r="A218" t="str">
        <f t="shared" si="19"/>
        <v/>
      </c>
      <c r="B218" t="str">
        <f t="shared" si="20"/>
        <v/>
      </c>
      <c r="C218" s="55" t="str">
        <f>IF(LEN(TRIM(A218))=0,"",get_string_val(RIGHT(B218,4)))</f>
        <v/>
      </c>
      <c r="D218" t="str">
        <f>IF(LEN(TRIM(A218))=0,"",GetItemValueFromSpecimenHeader("timepoint"))</f>
        <v/>
      </c>
      <c r="E218" t="str">
        <f t="shared" si="21"/>
        <v/>
      </c>
      <c r="F218" t="str">
        <f t="shared" si="22"/>
        <v/>
      </c>
      <c r="G218" t="str">
        <f t="shared" si="18"/>
        <v/>
      </c>
      <c r="H218" t="str">
        <f>IF(LEN(TRIM(A218))=0,"",GetConfigParameterValue("Collection Site"))</f>
        <v/>
      </c>
      <c r="I218" t="str">
        <f t="shared" si="23"/>
        <v/>
      </c>
      <c r="M218" t="str">
        <f>IF(LEN(TRIM(B218))=0,"",IF(ISERROR(VLOOKUP(RIGHT(B218,4),study_demographic!A:A,1,FALSE)),"NOT FOUND!!!", "OK"))</f>
        <v/>
      </c>
    </row>
    <row r="219" spans="1:13" x14ac:dyDescent="0.25">
      <c r="A219" t="str">
        <f t="shared" si="19"/>
        <v/>
      </c>
      <c r="B219" t="str">
        <f t="shared" si="20"/>
        <v/>
      </c>
      <c r="C219" s="55" t="str">
        <f>IF(LEN(TRIM(A219))=0,"",get_string_val(RIGHT(B219,4)))</f>
        <v/>
      </c>
      <c r="D219" t="str">
        <f>IF(LEN(TRIM(A219))=0,"",GetItemValueFromSpecimenHeader("timepoint"))</f>
        <v/>
      </c>
      <c r="E219" t="str">
        <f t="shared" si="21"/>
        <v/>
      </c>
      <c r="F219" t="str">
        <f t="shared" si="22"/>
        <v/>
      </c>
      <c r="G219" t="str">
        <f t="shared" si="18"/>
        <v/>
      </c>
      <c r="H219" t="str">
        <f>IF(LEN(TRIM(A219))=0,"",GetConfigParameterValue("Collection Site"))</f>
        <v/>
      </c>
      <c r="I219" t="str">
        <f t="shared" si="23"/>
        <v/>
      </c>
      <c r="M219" t="str">
        <f>IF(LEN(TRIM(B219))=0,"",IF(ISERROR(VLOOKUP(RIGHT(B219,4),study_demographic!A:A,1,FALSE)),"NOT FOUND!!!", "OK"))</f>
        <v/>
      </c>
    </row>
    <row r="220" spans="1:13" x14ac:dyDescent="0.25">
      <c r="A220" t="str">
        <f t="shared" si="19"/>
        <v/>
      </c>
      <c r="B220" t="str">
        <f t="shared" si="20"/>
        <v/>
      </c>
      <c r="C220" s="55" t="str">
        <f>IF(LEN(TRIM(A220))=0,"",get_string_val(RIGHT(B220,4)))</f>
        <v/>
      </c>
      <c r="D220" t="str">
        <f>IF(LEN(TRIM(A220))=0,"",GetItemValueFromSpecimenHeader("timepoint"))</f>
        <v/>
      </c>
      <c r="E220" t="str">
        <f t="shared" si="21"/>
        <v/>
      </c>
      <c r="F220" t="str">
        <f t="shared" si="22"/>
        <v/>
      </c>
      <c r="G220" t="str">
        <f t="shared" si="18"/>
        <v/>
      </c>
      <c r="H220" t="str">
        <f>IF(LEN(TRIM(A220))=0,"",GetConfigParameterValue("Collection Site"))</f>
        <v/>
      </c>
      <c r="I220" t="str">
        <f t="shared" si="23"/>
        <v/>
      </c>
      <c r="M220" t="str">
        <f>IF(LEN(TRIM(B220))=0,"",IF(ISERROR(VLOOKUP(RIGHT(B220,4),study_demographic!A:A,1,FALSE)),"NOT FOUND!!!", "OK"))</f>
        <v/>
      </c>
    </row>
    <row r="221" spans="1:13" x14ac:dyDescent="0.25">
      <c r="A221" t="str">
        <f t="shared" si="19"/>
        <v/>
      </c>
      <c r="B221" t="str">
        <f t="shared" si="20"/>
        <v/>
      </c>
      <c r="C221" s="55" t="str">
        <f>IF(LEN(TRIM(A221))=0,"",get_string_val(RIGHT(B221,4)))</f>
        <v/>
      </c>
      <c r="D221" t="str">
        <f>IF(LEN(TRIM(A221))=0,"",GetItemValueFromSpecimenHeader("timepoint"))</f>
        <v/>
      </c>
      <c r="E221" t="str">
        <f t="shared" si="21"/>
        <v/>
      </c>
      <c r="F221" t="str">
        <f t="shared" si="22"/>
        <v/>
      </c>
      <c r="G221" t="str">
        <f t="shared" si="18"/>
        <v/>
      </c>
      <c r="H221" t="str">
        <f>IF(LEN(TRIM(A221))=0,"",GetConfigParameterValue("Collection Site"))</f>
        <v/>
      </c>
      <c r="I221" t="str">
        <f t="shared" si="23"/>
        <v/>
      </c>
      <c r="M221" t="str">
        <f>IF(LEN(TRIM(B221))=0,"",IF(ISERROR(VLOOKUP(RIGHT(B221,4),study_demographic!A:A,1,FALSE)),"NOT FOUND!!!", "OK"))</f>
        <v/>
      </c>
    </row>
    <row r="222" spans="1:13" x14ac:dyDescent="0.25">
      <c r="A222" t="str">
        <f t="shared" si="19"/>
        <v/>
      </c>
      <c r="B222" t="str">
        <f t="shared" si="20"/>
        <v/>
      </c>
      <c r="C222" s="55" t="str">
        <f>IF(LEN(TRIM(A222))=0,"",get_string_val(RIGHT(B222,4)))</f>
        <v/>
      </c>
      <c r="D222" t="str">
        <f>IF(LEN(TRIM(A222))=0,"",GetItemValueFromSpecimenHeader("timepoint"))</f>
        <v/>
      </c>
      <c r="E222" t="str">
        <f t="shared" si="21"/>
        <v/>
      </c>
      <c r="F222" t="str">
        <f t="shared" si="22"/>
        <v/>
      </c>
      <c r="G222" t="str">
        <f t="shared" si="18"/>
        <v/>
      </c>
      <c r="H222" t="str">
        <f>IF(LEN(TRIM(A222))=0,"",GetConfigParameterValue("Collection Site"))</f>
        <v/>
      </c>
      <c r="I222" t="str">
        <f t="shared" si="23"/>
        <v/>
      </c>
      <c r="M222" t="str">
        <f>IF(LEN(TRIM(B222))=0,"",IF(ISERROR(VLOOKUP(RIGHT(B222,4),study_demographic!A:A,1,FALSE)),"NOT FOUND!!!", "OK"))</f>
        <v/>
      </c>
    </row>
    <row r="223" spans="1:13" x14ac:dyDescent="0.25">
      <c r="A223" t="str">
        <f t="shared" si="19"/>
        <v/>
      </c>
      <c r="B223" t="str">
        <f t="shared" si="20"/>
        <v/>
      </c>
      <c r="C223" s="55" t="str">
        <f>IF(LEN(TRIM(A223))=0,"",get_string_val(RIGHT(B223,4)))</f>
        <v/>
      </c>
      <c r="D223" t="str">
        <f>IF(LEN(TRIM(A223))=0,"",GetItemValueFromSpecimenHeader("timepoint"))</f>
        <v/>
      </c>
      <c r="E223" t="str">
        <f t="shared" si="21"/>
        <v/>
      </c>
      <c r="F223" t="str">
        <f t="shared" si="22"/>
        <v/>
      </c>
      <c r="G223" t="str">
        <f t="shared" si="18"/>
        <v/>
      </c>
      <c r="H223" t="str">
        <f>IF(LEN(TRIM(A223))=0,"",GetConfigParameterValue("Collection Site"))</f>
        <v/>
      </c>
      <c r="I223" t="str">
        <f t="shared" si="23"/>
        <v/>
      </c>
      <c r="M223" t="str">
        <f>IF(LEN(TRIM(B223))=0,"",IF(ISERROR(VLOOKUP(RIGHT(B223,4),study_demographic!A:A,1,FALSE)),"NOT FOUND!!!", "OK"))</f>
        <v/>
      </c>
    </row>
    <row r="224" spans="1:13" x14ac:dyDescent="0.25">
      <c r="A224" t="str">
        <f t="shared" si="19"/>
        <v/>
      </c>
      <c r="B224" t="str">
        <f t="shared" si="20"/>
        <v/>
      </c>
      <c r="C224" s="55" t="str">
        <f>IF(LEN(TRIM(A224))=0,"",get_string_val(RIGHT(B224,4)))</f>
        <v/>
      </c>
      <c r="D224" t="str">
        <f>IF(LEN(TRIM(A224))=0,"",GetItemValueFromSpecimenHeader("timepoint"))</f>
        <v/>
      </c>
      <c r="E224" t="str">
        <f t="shared" si="21"/>
        <v/>
      </c>
      <c r="F224" t="str">
        <f t="shared" si="22"/>
        <v/>
      </c>
      <c r="G224" t="str">
        <f t="shared" si="18"/>
        <v/>
      </c>
      <c r="H224" t="str">
        <f>IF(LEN(TRIM(A224))=0,"",GetConfigParameterValue("Collection Site"))</f>
        <v/>
      </c>
      <c r="I224" t="str">
        <f t="shared" si="23"/>
        <v/>
      </c>
      <c r="M224" t="str">
        <f>IF(LEN(TRIM(B224))=0,"",IF(ISERROR(VLOOKUP(RIGHT(B224,4),study_demographic!A:A,1,FALSE)),"NOT FOUND!!!", "OK"))</f>
        <v/>
      </c>
    </row>
    <row r="225" spans="1:13" x14ac:dyDescent="0.25">
      <c r="A225" t="str">
        <f t="shared" si="19"/>
        <v/>
      </c>
      <c r="B225" t="str">
        <f t="shared" si="20"/>
        <v/>
      </c>
      <c r="C225" s="55" t="str">
        <f>IF(LEN(TRIM(A225))=0,"",get_string_val(RIGHT(B225,4)))</f>
        <v/>
      </c>
      <c r="D225" t="str">
        <f>IF(LEN(TRIM(A225))=0,"",GetItemValueFromSpecimenHeader("timepoint"))</f>
        <v/>
      </c>
      <c r="E225" t="str">
        <f t="shared" si="21"/>
        <v/>
      </c>
      <c r="F225" t="str">
        <f t="shared" si="22"/>
        <v/>
      </c>
      <c r="G225" t="str">
        <f t="shared" si="18"/>
        <v/>
      </c>
      <c r="H225" t="str">
        <f>IF(LEN(TRIM(A225))=0,"",GetConfigParameterValue("Collection Site"))</f>
        <v/>
      </c>
      <c r="I225" t="str">
        <f t="shared" si="23"/>
        <v/>
      </c>
      <c r="M225" t="str">
        <f>IF(LEN(TRIM(B225))=0,"",IF(ISERROR(VLOOKUP(RIGHT(B225,4),study_demographic!A:A,1,FALSE)),"NOT FOUND!!!", "OK"))</f>
        <v/>
      </c>
    </row>
    <row r="226" spans="1:13" x14ac:dyDescent="0.25">
      <c r="A226" t="str">
        <f t="shared" si="19"/>
        <v/>
      </c>
      <c r="B226" t="str">
        <f t="shared" si="20"/>
        <v/>
      </c>
      <c r="C226" s="55" t="str">
        <f>IF(LEN(TRIM(A226))=0,"",get_string_val(RIGHT(B226,4)))</f>
        <v/>
      </c>
      <c r="D226" t="str">
        <f>IF(LEN(TRIM(A226))=0,"",GetItemValueFromSpecimenHeader("timepoint"))</f>
        <v/>
      </c>
      <c r="E226" t="str">
        <f t="shared" si="21"/>
        <v/>
      </c>
      <c r="F226" t="str">
        <f t="shared" si="22"/>
        <v/>
      </c>
      <c r="G226" t="str">
        <f t="shared" si="18"/>
        <v/>
      </c>
      <c r="H226" t="str">
        <f>IF(LEN(TRIM(A226))=0,"",GetConfigParameterValue("Collection Site"))</f>
        <v/>
      </c>
      <c r="I226" t="str">
        <f t="shared" si="23"/>
        <v/>
      </c>
      <c r="M226" t="str">
        <f>IF(LEN(TRIM(B226))=0,"",IF(ISERROR(VLOOKUP(RIGHT(B226,4),study_demographic!A:A,1,FALSE)),"NOT FOUND!!!", "OK"))</f>
        <v/>
      </c>
    </row>
    <row r="227" spans="1:13" x14ac:dyDescent="0.25">
      <c r="A227" t="str">
        <f t="shared" si="19"/>
        <v/>
      </c>
      <c r="B227" t="str">
        <f t="shared" si="20"/>
        <v/>
      </c>
      <c r="C227" s="55" t="str">
        <f>IF(LEN(TRIM(A227))=0,"",get_string_val(RIGHT(B227,4)))</f>
        <v/>
      </c>
      <c r="D227" t="str">
        <f>IF(LEN(TRIM(A227))=0,"",GetItemValueFromSpecimenHeader("timepoint"))</f>
        <v/>
      </c>
      <c r="E227" t="str">
        <f t="shared" si="21"/>
        <v/>
      </c>
      <c r="F227" t="str">
        <f t="shared" si="22"/>
        <v/>
      </c>
      <c r="G227" t="str">
        <f t="shared" si="18"/>
        <v/>
      </c>
      <c r="H227" t="str">
        <f>IF(LEN(TRIM(A227))=0,"",GetConfigParameterValue("Collection Site"))</f>
        <v/>
      </c>
      <c r="I227" t="str">
        <f t="shared" si="23"/>
        <v/>
      </c>
      <c r="M227" t="str">
        <f>IF(LEN(TRIM(B227))=0,"",IF(ISERROR(VLOOKUP(RIGHT(B227,4),study_demographic!A:A,1,FALSE)),"NOT FOUND!!!", "OK"))</f>
        <v/>
      </c>
    </row>
    <row r="228" spans="1:13" x14ac:dyDescent="0.25">
      <c r="A228" t="str">
        <f t="shared" si="19"/>
        <v/>
      </c>
      <c r="B228" t="str">
        <f t="shared" si="20"/>
        <v/>
      </c>
      <c r="C228" s="55" t="str">
        <f>IF(LEN(TRIM(A228))=0,"",get_string_val(RIGHT(B228,4)))</f>
        <v/>
      </c>
      <c r="D228" t="str">
        <f>IF(LEN(TRIM(A228))=0,"",GetItemValueFromSpecimenHeader("timepoint"))</f>
        <v/>
      </c>
      <c r="E228" t="str">
        <f t="shared" si="21"/>
        <v/>
      </c>
      <c r="F228" t="str">
        <f t="shared" si="22"/>
        <v/>
      </c>
      <c r="G228" t="str">
        <f t="shared" si="18"/>
        <v/>
      </c>
      <c r="H228" t="str">
        <f>IF(LEN(TRIM(A228))=0,"",GetConfigParameterValue("Collection Site"))</f>
        <v/>
      </c>
      <c r="I228" t="str">
        <f t="shared" si="23"/>
        <v/>
      </c>
      <c r="M228" t="str">
        <f>IF(LEN(TRIM(B228))=0,"",IF(ISERROR(VLOOKUP(RIGHT(B228,4),study_demographic!A:A,1,FALSE)),"NOT FOUND!!!", "OK"))</f>
        <v/>
      </c>
    </row>
    <row r="229" spans="1:13" x14ac:dyDescent="0.25">
      <c r="A229" t="str">
        <f t="shared" si="19"/>
        <v/>
      </c>
      <c r="B229" t="str">
        <f t="shared" si="20"/>
        <v/>
      </c>
      <c r="C229" s="55" t="str">
        <f>IF(LEN(TRIM(A229))=0,"",get_string_val(RIGHT(B229,4)))</f>
        <v/>
      </c>
      <c r="D229" t="str">
        <f>IF(LEN(TRIM(A229))=0,"",GetItemValueFromSpecimenHeader("timepoint"))</f>
        <v/>
      </c>
      <c r="E229" t="str">
        <f t="shared" si="21"/>
        <v/>
      </c>
      <c r="F229" t="str">
        <f t="shared" si="22"/>
        <v/>
      </c>
      <c r="G229" t="str">
        <f t="shared" si="18"/>
        <v/>
      </c>
      <c r="H229" t="str">
        <f>IF(LEN(TRIM(A229))=0,"",GetConfigParameterValue("Collection Site"))</f>
        <v/>
      </c>
      <c r="I229" t="str">
        <f t="shared" si="23"/>
        <v/>
      </c>
      <c r="M229" t="str">
        <f>IF(LEN(TRIM(B229))=0,"",IF(ISERROR(VLOOKUP(RIGHT(B229,4),study_demographic!A:A,1,FALSE)),"NOT FOUND!!!", "OK"))</f>
        <v/>
      </c>
    </row>
    <row r="230" spans="1:13" x14ac:dyDescent="0.25">
      <c r="A230" t="str">
        <f t="shared" si="19"/>
        <v/>
      </c>
      <c r="B230" t="str">
        <f t="shared" si="20"/>
        <v/>
      </c>
      <c r="C230" s="55" t="str">
        <f>IF(LEN(TRIM(A230))=0,"",get_string_val(RIGHT(B230,4)))</f>
        <v/>
      </c>
      <c r="D230" t="str">
        <f>IF(LEN(TRIM(A230))=0,"",GetItemValueFromSpecimenHeader("timepoint"))</f>
        <v/>
      </c>
      <c r="E230" t="str">
        <f t="shared" si="21"/>
        <v/>
      </c>
      <c r="F230" t="str">
        <f t="shared" si="22"/>
        <v/>
      </c>
      <c r="G230" t="str">
        <f t="shared" si="18"/>
        <v/>
      </c>
      <c r="H230" t="str">
        <f>IF(LEN(TRIM(A230))=0,"",GetConfigParameterValue("Collection Site"))</f>
        <v/>
      </c>
      <c r="I230" t="str">
        <f t="shared" si="23"/>
        <v/>
      </c>
      <c r="M230" t="str">
        <f>IF(LEN(TRIM(B230))=0,"",IF(ISERROR(VLOOKUP(RIGHT(B230,4),study_demographic!A:A,1,FALSE)),"NOT FOUND!!!", "OK"))</f>
        <v/>
      </c>
    </row>
    <row r="231" spans="1:13" x14ac:dyDescent="0.25">
      <c r="A231" t="str">
        <f t="shared" si="19"/>
        <v/>
      </c>
      <c r="B231" t="str">
        <f t="shared" si="20"/>
        <v/>
      </c>
      <c r="C231" s="55" t="str">
        <f>IF(LEN(TRIM(A231))=0,"",get_string_val(RIGHT(B231,4)))</f>
        <v/>
      </c>
      <c r="D231" t="str">
        <f>IF(LEN(TRIM(A231))=0,"",GetItemValueFromSpecimenHeader("timepoint"))</f>
        <v/>
      </c>
      <c r="E231" t="str">
        <f t="shared" si="21"/>
        <v/>
      </c>
      <c r="F231" t="str">
        <f t="shared" si="22"/>
        <v/>
      </c>
      <c r="G231" t="str">
        <f t="shared" si="18"/>
        <v/>
      </c>
      <c r="H231" t="str">
        <f>IF(LEN(TRIM(A231))=0,"",GetConfigParameterValue("Collection Site"))</f>
        <v/>
      </c>
      <c r="I231" t="str">
        <f t="shared" si="23"/>
        <v/>
      </c>
      <c r="M231" t="str">
        <f>IF(LEN(TRIM(B231))=0,"",IF(ISERROR(VLOOKUP(RIGHT(B231,4),study_demographic!A:A,1,FALSE)),"NOT FOUND!!!", "OK"))</f>
        <v/>
      </c>
    </row>
    <row r="232" spans="1:13" x14ac:dyDescent="0.25">
      <c r="A232" t="str">
        <f t="shared" si="19"/>
        <v/>
      </c>
      <c r="B232" t="str">
        <f t="shared" si="20"/>
        <v/>
      </c>
      <c r="C232" s="55" t="str">
        <f>IF(LEN(TRIM(A232))=0,"",get_string_val(RIGHT(B232,4)))</f>
        <v/>
      </c>
      <c r="D232" t="str">
        <f>IF(LEN(TRIM(A232))=0,"",GetItemValueFromSpecimenHeader("timepoint"))</f>
        <v/>
      </c>
      <c r="E232" t="str">
        <f t="shared" si="21"/>
        <v/>
      </c>
      <c r="F232" t="str">
        <f t="shared" si="22"/>
        <v/>
      </c>
      <c r="G232" t="str">
        <f t="shared" si="18"/>
        <v/>
      </c>
      <c r="H232" t="str">
        <f>IF(LEN(TRIM(A232))=0,"",GetConfigParameterValue("Collection Site"))</f>
        <v/>
      </c>
      <c r="I232" t="str">
        <f t="shared" si="23"/>
        <v/>
      </c>
      <c r="M232" t="str">
        <f>IF(LEN(TRIM(B232))=0,"",IF(ISERROR(VLOOKUP(RIGHT(B232,4),study_demographic!A:A,1,FALSE)),"NOT FOUND!!!", "OK"))</f>
        <v/>
      </c>
    </row>
    <row r="233" spans="1:13" x14ac:dyDescent="0.25">
      <c r="A233" t="str">
        <f t="shared" si="19"/>
        <v/>
      </c>
      <c r="B233" t="str">
        <f t="shared" si="20"/>
        <v/>
      </c>
      <c r="C233" s="55" t="str">
        <f>IF(LEN(TRIM(A233))=0,"",get_string_val(RIGHT(B233,4)))</f>
        <v/>
      </c>
      <c r="D233" t="str">
        <f>IF(LEN(TRIM(A233))=0,"",GetItemValueFromSpecimenHeader("timepoint"))</f>
        <v/>
      </c>
      <c r="E233" t="str">
        <f t="shared" si="21"/>
        <v/>
      </c>
      <c r="F233" t="str">
        <f t="shared" si="22"/>
        <v/>
      </c>
      <c r="G233" t="str">
        <f t="shared" si="18"/>
        <v/>
      </c>
      <c r="H233" t="str">
        <f>IF(LEN(TRIM(A233))=0,"",GetConfigParameterValue("Collection Site"))</f>
        <v/>
      </c>
      <c r="I233" t="str">
        <f t="shared" si="23"/>
        <v/>
      </c>
      <c r="M233" t="str">
        <f>IF(LEN(TRIM(B233))=0,"",IF(ISERROR(VLOOKUP(RIGHT(B233,4),study_demographic!A:A,1,FALSE)),"NOT FOUND!!!", "OK"))</f>
        <v/>
      </c>
    </row>
    <row r="234" spans="1:13" x14ac:dyDescent="0.25">
      <c r="A234" t="str">
        <f t="shared" si="19"/>
        <v/>
      </c>
      <c r="B234" t="str">
        <f t="shared" si="20"/>
        <v/>
      </c>
      <c r="C234" s="55" t="str">
        <f>IF(LEN(TRIM(A234))=0,"",get_string_val(RIGHT(B234,4)))</f>
        <v/>
      </c>
      <c r="D234" t="str">
        <f>IF(LEN(TRIM(A234))=0,"",GetItemValueFromSpecimenHeader("timepoint"))</f>
        <v/>
      </c>
      <c r="E234" t="str">
        <f t="shared" si="21"/>
        <v/>
      </c>
      <c r="F234" t="str">
        <f t="shared" si="22"/>
        <v/>
      </c>
      <c r="G234" t="str">
        <f t="shared" si="18"/>
        <v/>
      </c>
      <c r="H234" t="str">
        <f>IF(LEN(TRIM(A234))=0,"",GetConfigParameterValue("Collection Site"))</f>
        <v/>
      </c>
      <c r="I234" t="str">
        <f t="shared" si="23"/>
        <v/>
      </c>
      <c r="M234" t="str">
        <f>IF(LEN(TRIM(B234))=0,"",IF(ISERROR(VLOOKUP(RIGHT(B234,4),study_demographic!A:A,1,FALSE)),"NOT FOUND!!!", "OK"))</f>
        <v/>
      </c>
    </row>
    <row r="235" spans="1:13" x14ac:dyDescent="0.25">
      <c r="A235" t="str">
        <f t="shared" si="19"/>
        <v/>
      </c>
      <c r="B235" t="str">
        <f t="shared" si="20"/>
        <v/>
      </c>
      <c r="C235" s="55" t="str">
        <f>IF(LEN(TRIM(A235))=0,"",get_string_val(RIGHT(B235,4)))</f>
        <v/>
      </c>
      <c r="D235" t="str">
        <f>IF(LEN(TRIM(A235))=0,"",GetItemValueFromSpecimenHeader("timepoint"))</f>
        <v/>
      </c>
      <c r="E235" t="str">
        <f t="shared" si="21"/>
        <v/>
      </c>
      <c r="F235" t="str">
        <f t="shared" si="22"/>
        <v/>
      </c>
      <c r="G235" t="str">
        <f t="shared" si="18"/>
        <v/>
      </c>
      <c r="H235" t="str">
        <f>IF(LEN(TRIM(A235))=0,"",GetConfigParameterValue("Collection Site"))</f>
        <v/>
      </c>
      <c r="I235" t="str">
        <f t="shared" si="23"/>
        <v/>
      </c>
      <c r="M235" t="str">
        <f>IF(LEN(TRIM(B235))=0,"",IF(ISERROR(VLOOKUP(RIGHT(B235,4),study_demographic!A:A,1,FALSE)),"NOT FOUND!!!", "OK"))</f>
        <v/>
      </c>
    </row>
    <row r="236" spans="1:13" x14ac:dyDescent="0.25">
      <c r="A236" t="str">
        <f t="shared" si="19"/>
        <v/>
      </c>
      <c r="B236" t="str">
        <f t="shared" si="20"/>
        <v/>
      </c>
      <c r="C236" s="55" t="str">
        <f>IF(LEN(TRIM(A236))=0,"",get_string_val(RIGHT(B236,4)))</f>
        <v/>
      </c>
      <c r="D236" t="str">
        <f>IF(LEN(TRIM(A236))=0,"",GetItemValueFromSpecimenHeader("timepoint"))</f>
        <v/>
      </c>
      <c r="E236" t="str">
        <f t="shared" si="21"/>
        <v/>
      </c>
      <c r="F236" t="str">
        <f t="shared" si="22"/>
        <v/>
      </c>
      <c r="G236" t="str">
        <f t="shared" si="18"/>
        <v/>
      </c>
      <c r="H236" t="str">
        <f>IF(LEN(TRIM(A236))=0,"",GetConfigParameterValue("Collection Site"))</f>
        <v/>
      </c>
      <c r="I236" t="str">
        <f t="shared" si="23"/>
        <v/>
      </c>
      <c r="M236" t="str">
        <f>IF(LEN(TRIM(B236))=0,"",IF(ISERROR(VLOOKUP(RIGHT(B236,4),study_demographic!A:A,1,FALSE)),"NOT FOUND!!!", "OK"))</f>
        <v/>
      </c>
    </row>
    <row r="237" spans="1:13" x14ac:dyDescent="0.25">
      <c r="A237" t="str">
        <f t="shared" si="19"/>
        <v/>
      </c>
      <c r="B237" t="str">
        <f t="shared" si="20"/>
        <v/>
      </c>
      <c r="C237" s="55" t="str">
        <f>IF(LEN(TRIM(A237))=0,"",get_string_val(RIGHT(B237,4)))</f>
        <v/>
      </c>
      <c r="D237" t="str">
        <f>IF(LEN(TRIM(A237))=0,"",GetItemValueFromSpecimenHeader("timepoint"))</f>
        <v/>
      </c>
      <c r="E237" t="str">
        <f t="shared" si="21"/>
        <v/>
      </c>
      <c r="F237" t="str">
        <f t="shared" si="22"/>
        <v/>
      </c>
      <c r="G237" t="str">
        <f t="shared" si="18"/>
        <v/>
      </c>
      <c r="H237" t="str">
        <f>IF(LEN(TRIM(A237))=0,"",GetConfigParameterValue("Collection Site"))</f>
        <v/>
      </c>
      <c r="I237" t="str">
        <f t="shared" si="23"/>
        <v/>
      </c>
      <c r="M237" t="str">
        <f>IF(LEN(TRIM(B237))=0,"",IF(ISERROR(VLOOKUP(RIGHT(B237,4),study_demographic!A:A,1,FALSE)),"NOT FOUND!!!", "OK"))</f>
        <v/>
      </c>
    </row>
    <row r="238" spans="1:13" x14ac:dyDescent="0.25">
      <c r="A238" t="str">
        <f t="shared" si="19"/>
        <v/>
      </c>
      <c r="B238" t="str">
        <f t="shared" si="20"/>
        <v/>
      </c>
      <c r="C238" s="55" t="str">
        <f>IF(LEN(TRIM(A238))=0,"",get_string_val(RIGHT(B238,4)))</f>
        <v/>
      </c>
      <c r="D238" t="str">
        <f>IF(LEN(TRIM(A238))=0,"",GetItemValueFromSpecimenHeader("timepoint"))</f>
        <v/>
      </c>
      <c r="E238" t="str">
        <f t="shared" si="21"/>
        <v/>
      </c>
      <c r="F238" t="str">
        <f t="shared" si="22"/>
        <v/>
      </c>
      <c r="G238" t="str">
        <f t="shared" si="18"/>
        <v/>
      </c>
      <c r="H238" t="str">
        <f>IF(LEN(TRIM(A238))=0,"",GetConfigParameterValue("Collection Site"))</f>
        <v/>
      </c>
      <c r="I238" t="str">
        <f t="shared" si="23"/>
        <v/>
      </c>
      <c r="M238" t="str">
        <f>IF(LEN(TRIM(B238))=0,"",IF(ISERROR(VLOOKUP(RIGHT(B238,4),study_demographic!A:A,1,FALSE)),"NOT FOUND!!!", "OK"))</f>
        <v/>
      </c>
    </row>
    <row r="239" spans="1:13" x14ac:dyDescent="0.25">
      <c r="A239" t="str">
        <f t="shared" si="19"/>
        <v/>
      </c>
      <c r="B239" t="str">
        <f t="shared" si="20"/>
        <v/>
      </c>
      <c r="C239" s="55" t="str">
        <f>IF(LEN(TRIM(A239))=0,"",get_string_val(RIGHT(B239,4)))</f>
        <v/>
      </c>
      <c r="D239" t="str">
        <f>IF(LEN(TRIM(A239))=0,"",GetItemValueFromSpecimenHeader("timepoint"))</f>
        <v/>
      </c>
      <c r="E239" t="str">
        <f t="shared" si="21"/>
        <v/>
      </c>
      <c r="F239" t="str">
        <f t="shared" si="22"/>
        <v/>
      </c>
      <c r="G239" t="str">
        <f t="shared" si="18"/>
        <v/>
      </c>
      <c r="H239" t="str">
        <f>IF(LEN(TRIM(A239))=0,"",GetConfigParameterValue("Collection Site"))</f>
        <v/>
      </c>
      <c r="I239" t="str">
        <f t="shared" si="23"/>
        <v/>
      </c>
      <c r="M239" t="str">
        <f>IF(LEN(TRIM(B239))=0,"",IF(ISERROR(VLOOKUP(RIGHT(B239,4),study_demographic!A:A,1,FALSE)),"NOT FOUND!!!", "OK"))</f>
        <v/>
      </c>
    </row>
    <row r="240" spans="1:13" x14ac:dyDescent="0.25">
      <c r="A240" t="str">
        <f t="shared" si="19"/>
        <v/>
      </c>
      <c r="B240" t="str">
        <f t="shared" si="20"/>
        <v/>
      </c>
      <c r="C240" s="55" t="str">
        <f>IF(LEN(TRIM(A240))=0,"",get_string_val(RIGHT(B240,4)))</f>
        <v/>
      </c>
      <c r="D240" t="str">
        <f>IF(LEN(TRIM(A240))=0,"",GetItemValueFromSpecimenHeader("timepoint"))</f>
        <v/>
      </c>
      <c r="E240" t="str">
        <f t="shared" si="21"/>
        <v/>
      </c>
      <c r="F240" t="str">
        <f t="shared" si="22"/>
        <v/>
      </c>
      <c r="G240" t="str">
        <f t="shared" si="18"/>
        <v/>
      </c>
      <c r="H240" t="str">
        <f>IF(LEN(TRIM(A240))=0,"",GetConfigParameterValue("Collection Site"))</f>
        <v/>
      </c>
      <c r="I240" t="str">
        <f t="shared" si="23"/>
        <v/>
      </c>
      <c r="M240" t="str">
        <f>IF(LEN(TRIM(B240))=0,"",IF(ISERROR(VLOOKUP(RIGHT(B240,4),study_demographic!A:A,1,FALSE)),"NOT FOUND!!!", "OK"))</f>
        <v/>
      </c>
    </row>
    <row r="241" spans="1:13" x14ac:dyDescent="0.25">
      <c r="A241" t="str">
        <f t="shared" si="19"/>
        <v/>
      </c>
      <c r="B241" t="str">
        <f t="shared" si="20"/>
        <v/>
      </c>
      <c r="C241" s="55" t="str">
        <f>IF(LEN(TRIM(A241))=0,"",get_string_val(RIGHT(B241,4)))</f>
        <v/>
      </c>
      <c r="D241" t="str">
        <f>IF(LEN(TRIM(A241))=0,"",GetItemValueFromSpecimenHeader("timepoint"))</f>
        <v/>
      </c>
      <c r="E241" t="str">
        <f t="shared" si="21"/>
        <v/>
      </c>
      <c r="F241" t="str">
        <f t="shared" si="22"/>
        <v/>
      </c>
      <c r="G241" t="str">
        <f t="shared" si="18"/>
        <v/>
      </c>
      <c r="H241" t="str">
        <f>IF(LEN(TRIM(A241))=0,"",GetConfigParameterValue("Collection Site"))</f>
        <v/>
      </c>
      <c r="I241" t="str">
        <f t="shared" si="23"/>
        <v/>
      </c>
      <c r="M241" t="str">
        <f>IF(LEN(TRIM(B241))=0,"",IF(ISERROR(VLOOKUP(RIGHT(B241,4),study_demographic!A:A,1,FALSE)),"NOT FOUND!!!", "OK"))</f>
        <v/>
      </c>
    </row>
    <row r="242" spans="1:13" x14ac:dyDescent="0.25">
      <c r="A242" t="str">
        <f t="shared" si="19"/>
        <v/>
      </c>
      <c r="B242" t="str">
        <f t="shared" si="20"/>
        <v/>
      </c>
      <c r="C242" s="55" t="str">
        <f>IF(LEN(TRIM(A242))=0,"",get_string_val(RIGHT(B242,4)))</f>
        <v/>
      </c>
      <c r="D242" t="str">
        <f>IF(LEN(TRIM(A242))=0,"",GetItemValueFromSpecimenHeader("timepoint"))</f>
        <v/>
      </c>
      <c r="E242" t="str">
        <f t="shared" si="21"/>
        <v/>
      </c>
      <c r="F242" t="str">
        <f t="shared" si="22"/>
        <v/>
      </c>
      <c r="G242" t="str">
        <f t="shared" si="18"/>
        <v/>
      </c>
      <c r="H242" t="str">
        <f>IF(LEN(TRIM(A242))=0,"",GetConfigParameterValue("Collection Site"))</f>
        <v/>
      </c>
      <c r="I242" t="str">
        <f t="shared" si="23"/>
        <v/>
      </c>
      <c r="M242" t="str">
        <f>IF(LEN(TRIM(B242))=0,"",IF(ISERROR(VLOOKUP(RIGHT(B242,4),study_demographic!A:A,1,FALSE)),"NOT FOUND!!!", "OK"))</f>
        <v/>
      </c>
    </row>
    <row r="243" spans="1:13" x14ac:dyDescent="0.25">
      <c r="A243" t="str">
        <f t="shared" si="19"/>
        <v/>
      </c>
      <c r="B243" t="str">
        <f t="shared" si="20"/>
        <v/>
      </c>
      <c r="C243" s="55" t="str">
        <f>IF(LEN(TRIM(A243))=0,"",get_string_val(RIGHT(B243,4)))</f>
        <v/>
      </c>
      <c r="D243" t="str">
        <f>IF(LEN(TRIM(A243))=0,"",GetItemValueFromSpecimenHeader("timepoint"))</f>
        <v/>
      </c>
      <c r="E243" t="str">
        <f t="shared" si="21"/>
        <v/>
      </c>
      <c r="F243" t="str">
        <f t="shared" si="22"/>
        <v/>
      </c>
      <c r="G243" t="str">
        <f t="shared" si="18"/>
        <v/>
      </c>
      <c r="H243" t="str">
        <f>IF(LEN(TRIM(A243))=0,"",GetConfigParameterValue("Collection Site"))</f>
        <v/>
      </c>
      <c r="I243" t="str">
        <f t="shared" si="23"/>
        <v/>
      </c>
      <c r="M243" t="str">
        <f>IF(LEN(TRIM(B243))=0,"",IF(ISERROR(VLOOKUP(RIGHT(B243,4),study_demographic!A:A,1,FALSE)),"NOT FOUND!!!", "OK"))</f>
        <v/>
      </c>
    </row>
    <row r="244" spans="1:13" x14ac:dyDescent="0.25">
      <c r="A244" t="str">
        <f t="shared" si="19"/>
        <v/>
      </c>
      <c r="B244" t="str">
        <f t="shared" si="20"/>
        <v/>
      </c>
      <c r="C244" s="55" t="str">
        <f>IF(LEN(TRIM(A244))=0,"",get_string_val(RIGHT(B244,4)))</f>
        <v/>
      </c>
      <c r="D244" t="str">
        <f>IF(LEN(TRIM(A244))=0,"",GetItemValueFromSpecimenHeader("timepoint"))</f>
        <v/>
      </c>
      <c r="E244" t="str">
        <f t="shared" si="21"/>
        <v/>
      </c>
      <c r="F244" t="str">
        <f t="shared" si="22"/>
        <v/>
      </c>
      <c r="G244" t="str">
        <f t="shared" si="18"/>
        <v/>
      </c>
      <c r="H244" t="str">
        <f>IF(LEN(TRIM(A244))=0,"",GetConfigParameterValue("Collection Site"))</f>
        <v/>
      </c>
      <c r="I244" t="str">
        <f t="shared" si="23"/>
        <v/>
      </c>
      <c r="M244" t="str">
        <f>IF(LEN(TRIM(B244))=0,"",IF(ISERROR(VLOOKUP(RIGHT(B244,4),study_demographic!A:A,1,FALSE)),"NOT FOUND!!!", "OK"))</f>
        <v/>
      </c>
    </row>
    <row r="245" spans="1:13" x14ac:dyDescent="0.25">
      <c r="A245" t="str">
        <f t="shared" si="19"/>
        <v/>
      </c>
      <c r="B245" t="str">
        <f t="shared" si="20"/>
        <v/>
      </c>
      <c r="C245" s="55" t="str">
        <f>IF(LEN(TRIM(A245))=0,"",get_string_val(RIGHT(B245,4)))</f>
        <v/>
      </c>
      <c r="D245" t="str">
        <f>IF(LEN(TRIM(A245))=0,"",GetItemValueFromSpecimenHeader("timepoint"))</f>
        <v/>
      </c>
      <c r="E245" t="str">
        <f t="shared" si="21"/>
        <v/>
      </c>
      <c r="F245" t="str">
        <f t="shared" si="22"/>
        <v/>
      </c>
      <c r="G245" t="str">
        <f t="shared" si="18"/>
        <v/>
      </c>
      <c r="H245" t="str">
        <f>IF(LEN(TRIM(A245))=0,"",GetConfigParameterValue("Collection Site"))</f>
        <v/>
      </c>
      <c r="I245" t="str">
        <f t="shared" si="23"/>
        <v/>
      </c>
      <c r="M245" t="str">
        <f>IF(LEN(TRIM(B245))=0,"",IF(ISERROR(VLOOKUP(RIGHT(B245,4),study_demographic!A:A,1,FALSE)),"NOT FOUND!!!", "OK"))</f>
        <v/>
      </c>
    </row>
    <row r="246" spans="1:13" x14ac:dyDescent="0.25">
      <c r="A246" t="str">
        <f t="shared" si="19"/>
        <v/>
      </c>
      <c r="B246" t="str">
        <f t="shared" si="20"/>
        <v/>
      </c>
      <c r="C246" s="55" t="str">
        <f>IF(LEN(TRIM(A246))=0,"",get_string_val(RIGHT(B246,4)))</f>
        <v/>
      </c>
      <c r="D246" t="str">
        <f>IF(LEN(TRIM(A246))=0,"",GetItemValueFromSpecimenHeader("timepoint"))</f>
        <v/>
      </c>
      <c r="E246" t="str">
        <f t="shared" si="21"/>
        <v/>
      </c>
      <c r="F246" t="str">
        <f t="shared" si="22"/>
        <v/>
      </c>
      <c r="G246" t="str">
        <f t="shared" si="18"/>
        <v/>
      </c>
      <c r="H246" t="str">
        <f>IF(LEN(TRIM(A246))=0,"",GetConfigParameterValue("Collection Site"))</f>
        <v/>
      </c>
      <c r="I246" t="str">
        <f t="shared" si="23"/>
        <v/>
      </c>
      <c r="M246" t="str">
        <f>IF(LEN(TRIM(B246))=0,"",IF(ISERROR(VLOOKUP(RIGHT(B246,4),study_demographic!A:A,1,FALSE)),"NOT FOUND!!!", "OK"))</f>
        <v/>
      </c>
    </row>
    <row r="247" spans="1:13" x14ac:dyDescent="0.25">
      <c r="A247" t="str">
        <f t="shared" si="19"/>
        <v/>
      </c>
      <c r="B247" t="str">
        <f t="shared" si="20"/>
        <v/>
      </c>
      <c r="C247" s="55" t="str">
        <f>IF(LEN(TRIM(A247))=0,"",get_string_val(RIGHT(B247,4)))</f>
        <v/>
      </c>
      <c r="D247" t="str">
        <f>IF(LEN(TRIM(A247))=0,"",GetItemValueFromSpecimenHeader("timepoint"))</f>
        <v/>
      </c>
      <c r="E247" t="str">
        <f t="shared" si="21"/>
        <v/>
      </c>
      <c r="F247" t="str">
        <f t="shared" si="22"/>
        <v/>
      </c>
      <c r="G247" t="str">
        <f t="shared" si="18"/>
        <v/>
      </c>
      <c r="H247" t="str">
        <f>IF(LEN(TRIM(A247))=0,"",GetConfigParameterValue("Collection Site"))</f>
        <v/>
      </c>
      <c r="I247" t="str">
        <f t="shared" si="23"/>
        <v/>
      </c>
      <c r="M247" t="str">
        <f>IF(LEN(TRIM(B247))=0,"",IF(ISERROR(VLOOKUP(RIGHT(B247,4),study_demographic!A:A,1,FALSE)),"NOT FOUND!!!", "OK"))</f>
        <v/>
      </c>
    </row>
    <row r="248" spans="1:13" x14ac:dyDescent="0.25">
      <c r="A248" t="str">
        <f t="shared" si="19"/>
        <v/>
      </c>
      <c r="B248" t="str">
        <f t="shared" si="20"/>
        <v/>
      </c>
      <c r="C248" s="55" t="str">
        <f>IF(LEN(TRIM(A248))=0,"",get_string_val(RIGHT(B248,4)))</f>
        <v/>
      </c>
      <c r="D248" t="str">
        <f>IF(LEN(TRIM(A248))=0,"",GetItemValueFromSpecimenHeader("timepoint"))</f>
        <v/>
      </c>
      <c r="E248" t="str">
        <f t="shared" si="21"/>
        <v/>
      </c>
      <c r="F248" t="str">
        <f t="shared" si="22"/>
        <v/>
      </c>
      <c r="G248" t="str">
        <f t="shared" si="18"/>
        <v/>
      </c>
      <c r="H248" t="str">
        <f>IF(LEN(TRIM(A248))=0,"",GetConfigParameterValue("Collection Site"))</f>
        <v/>
      </c>
      <c r="I248" t="str">
        <f t="shared" si="23"/>
        <v/>
      </c>
      <c r="M248" t="str">
        <f>IF(LEN(TRIM(B248))=0,"",IF(ISERROR(VLOOKUP(RIGHT(B248,4),study_demographic!A:A,1,FALSE)),"NOT FOUND!!!", "OK"))</f>
        <v/>
      </c>
    </row>
    <row r="249" spans="1:13" x14ac:dyDescent="0.25">
      <c r="A249" t="str">
        <f t="shared" si="19"/>
        <v/>
      </c>
      <c r="B249" t="str">
        <f t="shared" si="20"/>
        <v/>
      </c>
      <c r="C249" s="55" t="str">
        <f>IF(LEN(TRIM(A249))=0,"",get_string_val(RIGHT(B249,4)))</f>
        <v/>
      </c>
      <c r="D249" t="str">
        <f>IF(LEN(TRIM(A249))=0,"",GetItemValueFromSpecimenHeader("timepoint"))</f>
        <v/>
      </c>
      <c r="E249" t="str">
        <f t="shared" si="21"/>
        <v/>
      </c>
      <c r="F249" t="str">
        <f t="shared" si="22"/>
        <v/>
      </c>
      <c r="G249" t="str">
        <f t="shared" si="18"/>
        <v/>
      </c>
      <c r="H249" t="str">
        <f>IF(LEN(TRIM(A249))=0,"",GetConfigParameterValue("Collection Site"))</f>
        <v/>
      </c>
      <c r="I249" t="str">
        <f t="shared" si="23"/>
        <v/>
      </c>
      <c r="M249" t="str">
        <f>IF(LEN(TRIM(B249))=0,"",IF(ISERROR(VLOOKUP(RIGHT(B249,4),study_demographic!A:A,1,FALSE)),"NOT FOUND!!!", "OK"))</f>
        <v/>
      </c>
    </row>
    <row r="250" spans="1:13" x14ac:dyDescent="0.25">
      <c r="A250" t="str">
        <f t="shared" si="19"/>
        <v/>
      </c>
      <c r="B250" t="str">
        <f t="shared" si="20"/>
        <v/>
      </c>
      <c r="C250" s="55" t="str">
        <f>IF(LEN(TRIM(A250))=0,"",get_string_val(RIGHT(B250,4)))</f>
        <v/>
      </c>
      <c r="D250" t="str">
        <f>IF(LEN(TRIM(A250))=0,"",GetItemValueFromSpecimenHeader("timepoint"))</f>
        <v/>
      </c>
      <c r="E250" t="str">
        <f t="shared" si="21"/>
        <v/>
      </c>
      <c r="F250" t="str">
        <f t="shared" si="22"/>
        <v/>
      </c>
      <c r="G250" t="str">
        <f t="shared" si="18"/>
        <v/>
      </c>
      <c r="H250" t="str">
        <f>IF(LEN(TRIM(A250))=0,"",GetConfigParameterValue("Collection Site"))</f>
        <v/>
      </c>
      <c r="I250" t="str">
        <f t="shared" si="23"/>
        <v/>
      </c>
      <c r="M250" t="str">
        <f>IF(LEN(TRIM(B250))=0,"",IF(ISERROR(VLOOKUP(RIGHT(B250,4),study_demographic!A:A,1,FALSE)),"NOT FOUND!!!", "OK"))</f>
        <v/>
      </c>
    </row>
    <row r="251" spans="1:13" x14ac:dyDescent="0.25">
      <c r="A251" t="str">
        <f t="shared" si="19"/>
        <v/>
      </c>
      <c r="B251" t="str">
        <f t="shared" si="20"/>
        <v/>
      </c>
      <c r="C251" s="55" t="str">
        <f>IF(LEN(TRIM(A251))=0,"",get_string_val(RIGHT(B251,4)))</f>
        <v/>
      </c>
      <c r="D251" t="str">
        <f>IF(LEN(TRIM(A251))=0,"",GetItemValueFromSpecimenHeader("timepoint"))</f>
        <v/>
      </c>
      <c r="E251" t="str">
        <f t="shared" si="21"/>
        <v/>
      </c>
      <c r="F251" t="str">
        <f t="shared" si="22"/>
        <v/>
      </c>
      <c r="G251" t="str">
        <f t="shared" si="18"/>
        <v/>
      </c>
      <c r="H251" t="str">
        <f>IF(LEN(TRIM(A251))=0,"",GetConfigParameterValue("Collection Site"))</f>
        <v/>
      </c>
      <c r="I251" t="str">
        <f t="shared" si="23"/>
        <v/>
      </c>
      <c r="M251" t="str">
        <f>IF(LEN(TRIM(B251))=0,"",IF(ISERROR(VLOOKUP(RIGHT(B251,4),study_demographic!A:A,1,FALSE)),"NOT FOUND!!!", "OK"))</f>
        <v/>
      </c>
    </row>
    <row r="252" spans="1:13" x14ac:dyDescent="0.25">
      <c r="A252" t="str">
        <f t="shared" si="19"/>
        <v/>
      </c>
      <c r="B252" t="str">
        <f t="shared" si="20"/>
        <v/>
      </c>
      <c r="C252" s="55" t="str">
        <f>IF(LEN(TRIM(A252))=0,"",get_string_val(RIGHT(B252,4)))</f>
        <v/>
      </c>
      <c r="D252" t="str">
        <f>IF(LEN(TRIM(A252))=0,"",GetItemValueFromSpecimenHeader("timepoint"))</f>
        <v/>
      </c>
      <c r="E252" t="str">
        <f t="shared" si="21"/>
        <v/>
      </c>
      <c r="F252" t="str">
        <f t="shared" si="22"/>
        <v/>
      </c>
      <c r="G252" t="str">
        <f t="shared" si="18"/>
        <v/>
      </c>
      <c r="H252" t="str">
        <f>IF(LEN(TRIM(A252))=0,"",GetConfigParameterValue("Collection Site"))</f>
        <v/>
      </c>
      <c r="I252" t="str">
        <f t="shared" si="23"/>
        <v/>
      </c>
      <c r="M252" t="str">
        <f>IF(LEN(TRIM(B252))=0,"",IF(ISERROR(VLOOKUP(RIGHT(B252,4),study_demographic!A:A,1,FALSE)),"NOT FOUND!!!", "OK"))</f>
        <v/>
      </c>
    </row>
    <row r="253" spans="1:13" x14ac:dyDescent="0.25">
      <c r="A253" t="str">
        <f t="shared" si="19"/>
        <v/>
      </c>
      <c r="B253" t="str">
        <f t="shared" si="20"/>
        <v/>
      </c>
      <c r="C253" s="55" t="str">
        <f>IF(LEN(TRIM(A253))=0,"",get_string_val(RIGHT(B253,4)))</f>
        <v/>
      </c>
      <c r="D253" t="str">
        <f>IF(LEN(TRIM(A253))=0,"",GetItemValueFromSpecimenHeader("timepoint"))</f>
        <v/>
      </c>
      <c r="E253" t="str">
        <f t="shared" si="21"/>
        <v/>
      </c>
      <c r="F253" t="str">
        <f t="shared" si="22"/>
        <v/>
      </c>
      <c r="G253" t="str">
        <f t="shared" si="18"/>
        <v/>
      </c>
      <c r="H253" t="str">
        <f>IF(LEN(TRIM(A253))=0,"",GetConfigParameterValue("Collection Site"))</f>
        <v/>
      </c>
      <c r="I253" t="str">
        <f t="shared" si="23"/>
        <v/>
      </c>
      <c r="M253" t="str">
        <f>IF(LEN(TRIM(B253))=0,"",IF(ISERROR(VLOOKUP(RIGHT(B253,4),study_demographic!A:A,1,FALSE)),"NOT FOUND!!!", "OK"))</f>
        <v/>
      </c>
    </row>
    <row r="254" spans="1:13" x14ac:dyDescent="0.25">
      <c r="A254" t="str">
        <f t="shared" si="19"/>
        <v/>
      </c>
      <c r="B254" t="str">
        <f t="shared" si="20"/>
        <v/>
      </c>
      <c r="C254" s="55" t="str">
        <f>IF(LEN(TRIM(A254))=0,"",get_string_val(RIGHT(B254,4)))</f>
        <v/>
      </c>
      <c r="D254" t="str">
        <f>IF(LEN(TRIM(A254))=0,"",GetItemValueFromSpecimenHeader("timepoint"))</f>
        <v/>
      </c>
      <c r="E254" t="str">
        <f t="shared" si="21"/>
        <v/>
      </c>
      <c r="F254" t="str">
        <f t="shared" si="22"/>
        <v/>
      </c>
      <c r="G254" t="str">
        <f t="shared" si="18"/>
        <v/>
      </c>
      <c r="H254" t="str">
        <f>IF(LEN(TRIM(A254))=0,"",GetConfigParameterValue("Collection Site"))</f>
        <v/>
      </c>
      <c r="I254" t="str">
        <f t="shared" si="23"/>
        <v/>
      </c>
      <c r="M254" t="str">
        <f>IF(LEN(TRIM(B254))=0,"",IF(ISERROR(VLOOKUP(RIGHT(B254,4),study_demographic!A:A,1,FALSE)),"NOT FOUND!!!", "OK"))</f>
        <v/>
      </c>
    </row>
    <row r="255" spans="1:13" x14ac:dyDescent="0.25">
      <c r="A255" t="str">
        <f t="shared" si="19"/>
        <v/>
      </c>
      <c r="B255" t="str">
        <f t="shared" si="20"/>
        <v/>
      </c>
      <c r="C255" s="55" t="str">
        <f>IF(LEN(TRIM(A255))=0,"",get_string_val(RIGHT(B255,4)))</f>
        <v/>
      </c>
      <c r="D255" t="str">
        <f>IF(LEN(TRIM(A255))=0,"",GetItemValueFromSpecimenHeader("timepoint"))</f>
        <v/>
      </c>
      <c r="E255" t="str">
        <f t="shared" si="21"/>
        <v/>
      </c>
      <c r="F255" t="str">
        <f t="shared" si="22"/>
        <v/>
      </c>
      <c r="G255" t="str">
        <f t="shared" si="18"/>
        <v/>
      </c>
      <c r="H255" t="str">
        <f>IF(LEN(TRIM(A255))=0,"",GetConfigParameterValue("Collection Site"))</f>
        <v/>
      </c>
      <c r="I255" t="str">
        <f t="shared" si="23"/>
        <v/>
      </c>
      <c r="M255" t="str">
        <f>IF(LEN(TRIM(B255))=0,"",IF(ISERROR(VLOOKUP(RIGHT(B255,4),study_demographic!A:A,1,FALSE)),"NOT FOUND!!!", "OK"))</f>
        <v/>
      </c>
    </row>
    <row r="256" spans="1:13" x14ac:dyDescent="0.25">
      <c r="A256" t="str">
        <f t="shared" si="19"/>
        <v/>
      </c>
      <c r="B256" t="str">
        <f t="shared" si="20"/>
        <v/>
      </c>
      <c r="C256" s="55" t="str">
        <f>IF(LEN(TRIM(A256))=0,"",get_string_val(RIGHT(B256,4)))</f>
        <v/>
      </c>
      <c r="D256" t="str">
        <f>IF(LEN(TRIM(A256))=0,"",GetItemValueFromSpecimenHeader("timepoint"))</f>
        <v/>
      </c>
      <c r="E256" t="str">
        <f t="shared" si="21"/>
        <v/>
      </c>
      <c r="F256" t="str">
        <f t="shared" si="22"/>
        <v/>
      </c>
      <c r="G256" t="str">
        <f t="shared" si="18"/>
        <v/>
      </c>
      <c r="H256" t="str">
        <f>IF(LEN(TRIM(A256))=0,"",GetConfigParameterValue("Collection Site"))</f>
        <v/>
      </c>
      <c r="I256" t="str">
        <f t="shared" si="23"/>
        <v/>
      </c>
      <c r="M256" t="str">
        <f>IF(LEN(TRIM(B256))=0,"",IF(ISERROR(VLOOKUP(RIGHT(B256,4),study_demographic!A:A,1,FALSE)),"NOT FOUND!!!", "OK"))</f>
        <v/>
      </c>
    </row>
    <row r="257" spans="1:13" x14ac:dyDescent="0.25">
      <c r="A257" t="str">
        <f t="shared" si="19"/>
        <v/>
      </c>
      <c r="B257" t="str">
        <f t="shared" si="20"/>
        <v/>
      </c>
      <c r="C257" s="55" t="str">
        <f>IF(LEN(TRIM(A257))=0,"",get_string_val(RIGHT(B257,4)))</f>
        <v/>
      </c>
      <c r="D257" t="str">
        <f>IF(LEN(TRIM(A257))=0,"",GetItemValueFromSpecimenHeader("timepoint"))</f>
        <v/>
      </c>
      <c r="E257" t="str">
        <f t="shared" si="21"/>
        <v/>
      </c>
      <c r="F257" t="str">
        <f t="shared" si="22"/>
        <v/>
      </c>
      <c r="G257" t="str">
        <f t="shared" si="18"/>
        <v/>
      </c>
      <c r="H257" t="str">
        <f>IF(LEN(TRIM(A257))=0,"",GetConfigParameterValue("Collection Site"))</f>
        <v/>
      </c>
      <c r="I257" t="str">
        <f t="shared" si="23"/>
        <v/>
      </c>
      <c r="M257" t="str">
        <f>IF(LEN(TRIM(B257))=0,"",IF(ISERROR(VLOOKUP(RIGHT(B257,4),study_demographic!A:A,1,FALSE)),"NOT FOUND!!!", "OK"))</f>
        <v/>
      </c>
    </row>
    <row r="258" spans="1:13" x14ac:dyDescent="0.25">
      <c r="A258" t="str">
        <f t="shared" si="19"/>
        <v/>
      </c>
      <c r="B258" t="str">
        <f t="shared" si="20"/>
        <v/>
      </c>
      <c r="C258" s="55" t="str">
        <f>IF(LEN(TRIM(A258))=0,"",get_string_val(RIGHT(B258,4)))</f>
        <v/>
      </c>
      <c r="D258" t="str">
        <f>IF(LEN(TRIM(A258))=0,"",GetItemValueFromSpecimenHeader("timepoint"))</f>
        <v/>
      </c>
      <c r="E258" t="str">
        <f t="shared" si="21"/>
        <v/>
      </c>
      <c r="F258" t="str">
        <f t="shared" si="22"/>
        <v/>
      </c>
      <c r="G258" t="str">
        <f t="shared" ref="G258:G321" si="24">IF(LEN(TRIM(A258))=0,"",IF(TRIM(F258)="1","Male", IF(TRIM(F258)="2","Female", "NA")))</f>
        <v/>
      </c>
      <c r="H258" t="str">
        <f>IF(LEN(TRIM(A258))=0,"",GetConfigParameterValue("Collection Site"))</f>
        <v/>
      </c>
      <c r="I258" t="str">
        <f t="shared" si="23"/>
        <v/>
      </c>
      <c r="M258" t="str">
        <f>IF(LEN(TRIM(B258))=0,"",IF(ISERROR(VLOOKUP(RIGHT(B258,4),study_demographic!A:A,1,FALSE)),"NOT FOUND!!!", "OK"))</f>
        <v/>
      </c>
    </row>
    <row r="259" spans="1:13" x14ac:dyDescent="0.25">
      <c r="A259" t="str">
        <f t="shared" ref="A259:A322" si="25">GetSampleId((ROW()))</f>
        <v/>
      </c>
      <c r="B259" t="str">
        <f t="shared" ref="B259:B322" si="26">IF(LEN(TRIM(A259))=0,"",LEFT(A259,7))</f>
        <v/>
      </c>
      <c r="C259" s="55" t="str">
        <f>IF(LEN(TRIM(A259))=0,"",get_string_val(RIGHT(B259,4)))</f>
        <v/>
      </c>
      <c r="D259" t="str">
        <f>IF(LEN(TRIM(A259))=0,"",GetItemValueFromSpecimenHeader("timepoint"))</f>
        <v/>
      </c>
      <c r="E259" t="str">
        <f t="shared" ref="E259:E322" si="27">getColumnValueBySubjectID("Age",RIGHT(B259,4))</f>
        <v/>
      </c>
      <c r="F259" t="str">
        <f t="shared" ref="F259:F322" si="28">getColumnValueBySubjectID("Sex",RIGHT(B259,4))</f>
        <v/>
      </c>
      <c r="G259" t="str">
        <f t="shared" si="24"/>
        <v/>
      </c>
      <c r="H259" t="str">
        <f>IF(LEN(TRIM(A259))=0,"",GetConfigParameterValue("Collection Site"))</f>
        <v/>
      </c>
      <c r="I259" t="str">
        <f t="shared" ref="I259:I322" si="29">getColumnValueBySubjectID("Comments",B259)</f>
        <v/>
      </c>
      <c r="M259" t="str">
        <f>IF(LEN(TRIM(B259))=0,"",IF(ISERROR(VLOOKUP(RIGHT(B259,4),study_demographic!A:A,1,FALSE)),"NOT FOUND!!!", "OK"))</f>
        <v/>
      </c>
    </row>
    <row r="260" spans="1:13" x14ac:dyDescent="0.25">
      <c r="A260" t="str">
        <f t="shared" si="25"/>
        <v/>
      </c>
      <c r="B260" t="str">
        <f t="shared" si="26"/>
        <v/>
      </c>
      <c r="C260" s="55" t="str">
        <f>IF(LEN(TRIM(A260))=0,"",get_string_val(RIGHT(B260,4)))</f>
        <v/>
      </c>
      <c r="D260" t="str">
        <f>IF(LEN(TRIM(A260))=0,"",GetItemValueFromSpecimenHeader("timepoint"))</f>
        <v/>
      </c>
      <c r="E260" t="str">
        <f t="shared" si="27"/>
        <v/>
      </c>
      <c r="F260" t="str">
        <f t="shared" si="28"/>
        <v/>
      </c>
      <c r="G260" t="str">
        <f t="shared" si="24"/>
        <v/>
      </c>
      <c r="H260" t="str">
        <f>IF(LEN(TRIM(A260))=0,"",GetConfigParameterValue("Collection Site"))</f>
        <v/>
      </c>
      <c r="I260" t="str">
        <f t="shared" si="29"/>
        <v/>
      </c>
      <c r="M260" t="str">
        <f>IF(LEN(TRIM(B260))=0,"",IF(ISERROR(VLOOKUP(RIGHT(B260,4),study_demographic!A:A,1,FALSE)),"NOT FOUND!!!", "OK"))</f>
        <v/>
      </c>
    </row>
    <row r="261" spans="1:13" x14ac:dyDescent="0.25">
      <c r="A261" t="str">
        <f t="shared" si="25"/>
        <v/>
      </c>
      <c r="B261" t="str">
        <f t="shared" si="26"/>
        <v/>
      </c>
      <c r="C261" s="55" t="str">
        <f>IF(LEN(TRIM(A261))=0,"",get_string_val(RIGHT(B261,4)))</f>
        <v/>
      </c>
      <c r="D261" t="str">
        <f>IF(LEN(TRIM(A261))=0,"",GetItemValueFromSpecimenHeader("timepoint"))</f>
        <v/>
      </c>
      <c r="E261" t="str">
        <f t="shared" si="27"/>
        <v/>
      </c>
      <c r="F261" t="str">
        <f t="shared" si="28"/>
        <v/>
      </c>
      <c r="G261" t="str">
        <f t="shared" si="24"/>
        <v/>
      </c>
      <c r="H261" t="str">
        <f>IF(LEN(TRIM(A261))=0,"",GetConfigParameterValue("Collection Site"))</f>
        <v/>
      </c>
      <c r="I261" t="str">
        <f t="shared" si="29"/>
        <v/>
      </c>
      <c r="M261" t="str">
        <f>IF(LEN(TRIM(B261))=0,"",IF(ISERROR(VLOOKUP(RIGHT(B261,4),study_demographic!A:A,1,FALSE)),"NOT FOUND!!!", "OK"))</f>
        <v/>
      </c>
    </row>
    <row r="262" spans="1:13" x14ac:dyDescent="0.25">
      <c r="A262" t="str">
        <f t="shared" si="25"/>
        <v/>
      </c>
      <c r="B262" t="str">
        <f t="shared" si="26"/>
        <v/>
      </c>
      <c r="C262" s="55" t="str">
        <f>IF(LEN(TRIM(A262))=0,"",get_string_val(RIGHT(B262,4)))</f>
        <v/>
      </c>
      <c r="D262" t="str">
        <f>IF(LEN(TRIM(A262))=0,"",GetItemValueFromSpecimenHeader("timepoint"))</f>
        <v/>
      </c>
      <c r="E262" t="str">
        <f t="shared" si="27"/>
        <v/>
      </c>
      <c r="F262" t="str">
        <f t="shared" si="28"/>
        <v/>
      </c>
      <c r="G262" t="str">
        <f t="shared" si="24"/>
        <v/>
      </c>
      <c r="H262" t="str">
        <f>IF(LEN(TRIM(A262))=0,"",GetConfigParameterValue("Collection Site"))</f>
        <v/>
      </c>
      <c r="I262" t="str">
        <f t="shared" si="29"/>
        <v/>
      </c>
      <c r="M262" t="str">
        <f>IF(LEN(TRIM(B262))=0,"",IF(ISERROR(VLOOKUP(RIGHT(B262,4),study_demographic!A:A,1,FALSE)),"NOT FOUND!!!", "OK"))</f>
        <v/>
      </c>
    </row>
    <row r="263" spans="1:13" x14ac:dyDescent="0.25">
      <c r="A263" t="str">
        <f t="shared" si="25"/>
        <v/>
      </c>
      <c r="B263" t="str">
        <f t="shared" si="26"/>
        <v/>
      </c>
      <c r="C263" s="55" t="str">
        <f>IF(LEN(TRIM(A263))=0,"",get_string_val(RIGHT(B263,4)))</f>
        <v/>
      </c>
      <c r="D263" t="str">
        <f>IF(LEN(TRIM(A263))=0,"",GetItemValueFromSpecimenHeader("timepoint"))</f>
        <v/>
      </c>
      <c r="E263" t="str">
        <f t="shared" si="27"/>
        <v/>
      </c>
      <c r="F263" t="str">
        <f t="shared" si="28"/>
        <v/>
      </c>
      <c r="G263" t="str">
        <f t="shared" si="24"/>
        <v/>
      </c>
      <c r="H263" t="str">
        <f>IF(LEN(TRIM(A263))=0,"",GetConfigParameterValue("Collection Site"))</f>
        <v/>
      </c>
      <c r="I263" t="str">
        <f t="shared" si="29"/>
        <v/>
      </c>
      <c r="M263" t="str">
        <f>IF(LEN(TRIM(B263))=0,"",IF(ISERROR(VLOOKUP(RIGHT(B263,4),study_demographic!A:A,1,FALSE)),"NOT FOUND!!!", "OK"))</f>
        <v/>
      </c>
    </row>
    <row r="264" spans="1:13" x14ac:dyDescent="0.25">
      <c r="A264" t="str">
        <f t="shared" si="25"/>
        <v/>
      </c>
      <c r="B264" t="str">
        <f t="shared" si="26"/>
        <v/>
      </c>
      <c r="C264" s="55" t="str">
        <f>IF(LEN(TRIM(A264))=0,"",get_string_val(RIGHT(B264,4)))</f>
        <v/>
      </c>
      <c r="D264" t="str">
        <f>IF(LEN(TRIM(A264))=0,"",GetItemValueFromSpecimenHeader("timepoint"))</f>
        <v/>
      </c>
      <c r="E264" t="str">
        <f t="shared" si="27"/>
        <v/>
      </c>
      <c r="F264" t="str">
        <f t="shared" si="28"/>
        <v/>
      </c>
      <c r="G264" t="str">
        <f t="shared" si="24"/>
        <v/>
      </c>
      <c r="H264" t="str">
        <f>IF(LEN(TRIM(A264))=0,"",GetConfigParameterValue("Collection Site"))</f>
        <v/>
      </c>
      <c r="I264" t="str">
        <f t="shared" si="29"/>
        <v/>
      </c>
      <c r="M264" t="str">
        <f>IF(LEN(TRIM(B264))=0,"",IF(ISERROR(VLOOKUP(RIGHT(B264,4),study_demographic!A:A,1,FALSE)),"NOT FOUND!!!", "OK"))</f>
        <v/>
      </c>
    </row>
    <row r="265" spans="1:13" x14ac:dyDescent="0.25">
      <c r="A265" t="str">
        <f t="shared" si="25"/>
        <v/>
      </c>
      <c r="B265" t="str">
        <f t="shared" si="26"/>
        <v/>
      </c>
      <c r="C265" s="55" t="str">
        <f>IF(LEN(TRIM(A265))=0,"",get_string_val(RIGHT(B265,4)))</f>
        <v/>
      </c>
      <c r="D265" t="str">
        <f>IF(LEN(TRIM(A265))=0,"",GetItemValueFromSpecimenHeader("timepoint"))</f>
        <v/>
      </c>
      <c r="E265" t="str">
        <f t="shared" si="27"/>
        <v/>
      </c>
      <c r="F265" t="str">
        <f t="shared" si="28"/>
        <v/>
      </c>
      <c r="G265" t="str">
        <f t="shared" si="24"/>
        <v/>
      </c>
      <c r="H265" t="str">
        <f>IF(LEN(TRIM(A265))=0,"",GetConfigParameterValue("Collection Site"))</f>
        <v/>
      </c>
      <c r="I265" t="str">
        <f t="shared" si="29"/>
        <v/>
      </c>
      <c r="M265" t="str">
        <f>IF(LEN(TRIM(B265))=0,"",IF(ISERROR(VLOOKUP(RIGHT(B265,4),study_demographic!A:A,1,FALSE)),"NOT FOUND!!!", "OK"))</f>
        <v/>
      </c>
    </row>
    <row r="266" spans="1:13" x14ac:dyDescent="0.25">
      <c r="A266" t="str">
        <f t="shared" si="25"/>
        <v/>
      </c>
      <c r="B266" t="str">
        <f t="shared" si="26"/>
        <v/>
      </c>
      <c r="C266" s="55" t="str">
        <f>IF(LEN(TRIM(A266))=0,"",get_string_val(RIGHT(B266,4)))</f>
        <v/>
      </c>
      <c r="D266" t="str">
        <f>IF(LEN(TRIM(A266))=0,"",GetItemValueFromSpecimenHeader("timepoint"))</f>
        <v/>
      </c>
      <c r="E266" t="str">
        <f t="shared" si="27"/>
        <v/>
      </c>
      <c r="F266" t="str">
        <f t="shared" si="28"/>
        <v/>
      </c>
      <c r="G266" t="str">
        <f t="shared" si="24"/>
        <v/>
      </c>
      <c r="H266" t="str">
        <f>IF(LEN(TRIM(A266))=0,"",GetConfigParameterValue("Collection Site"))</f>
        <v/>
      </c>
      <c r="I266" t="str">
        <f t="shared" si="29"/>
        <v/>
      </c>
      <c r="M266" t="str">
        <f>IF(LEN(TRIM(B266))=0,"",IF(ISERROR(VLOOKUP(RIGHT(B266,4),study_demographic!A:A,1,FALSE)),"NOT FOUND!!!", "OK"))</f>
        <v/>
      </c>
    </row>
    <row r="267" spans="1:13" x14ac:dyDescent="0.25">
      <c r="A267" t="str">
        <f t="shared" si="25"/>
        <v/>
      </c>
      <c r="B267" t="str">
        <f t="shared" si="26"/>
        <v/>
      </c>
      <c r="C267" s="55" t="str">
        <f>IF(LEN(TRIM(A267))=0,"",get_string_val(RIGHT(B267,4)))</f>
        <v/>
      </c>
      <c r="D267" t="str">
        <f>IF(LEN(TRIM(A267))=0,"",GetItemValueFromSpecimenHeader("timepoint"))</f>
        <v/>
      </c>
      <c r="E267" t="str">
        <f t="shared" si="27"/>
        <v/>
      </c>
      <c r="F267" t="str">
        <f t="shared" si="28"/>
        <v/>
      </c>
      <c r="G267" t="str">
        <f t="shared" si="24"/>
        <v/>
      </c>
      <c r="H267" t="str">
        <f>IF(LEN(TRIM(A267))=0,"",GetConfigParameterValue("Collection Site"))</f>
        <v/>
      </c>
      <c r="I267" t="str">
        <f t="shared" si="29"/>
        <v/>
      </c>
      <c r="M267" t="str">
        <f>IF(LEN(TRIM(B267))=0,"",IF(ISERROR(VLOOKUP(RIGHT(B267,4),study_demographic!A:A,1,FALSE)),"NOT FOUND!!!", "OK"))</f>
        <v/>
      </c>
    </row>
    <row r="268" spans="1:13" x14ac:dyDescent="0.25">
      <c r="A268" t="str">
        <f t="shared" si="25"/>
        <v/>
      </c>
      <c r="B268" t="str">
        <f t="shared" si="26"/>
        <v/>
      </c>
      <c r="C268" s="55" t="str">
        <f>IF(LEN(TRIM(A268))=0,"",get_string_val(RIGHT(B268,4)))</f>
        <v/>
      </c>
      <c r="D268" t="str">
        <f>IF(LEN(TRIM(A268))=0,"",GetItemValueFromSpecimenHeader("timepoint"))</f>
        <v/>
      </c>
      <c r="E268" t="str">
        <f t="shared" si="27"/>
        <v/>
      </c>
      <c r="F268" t="str">
        <f t="shared" si="28"/>
        <v/>
      </c>
      <c r="G268" t="str">
        <f t="shared" si="24"/>
        <v/>
      </c>
      <c r="H268" t="str">
        <f>IF(LEN(TRIM(A268))=0,"",GetConfigParameterValue("Collection Site"))</f>
        <v/>
      </c>
      <c r="I268" t="str">
        <f t="shared" si="29"/>
        <v/>
      </c>
      <c r="M268" t="str">
        <f>IF(LEN(TRIM(B268))=0,"",IF(ISERROR(VLOOKUP(RIGHT(B268,4),study_demographic!A:A,1,FALSE)),"NOT FOUND!!!", "OK"))</f>
        <v/>
      </c>
    </row>
    <row r="269" spans="1:13" x14ac:dyDescent="0.25">
      <c r="A269" t="str">
        <f t="shared" si="25"/>
        <v/>
      </c>
      <c r="B269" t="str">
        <f t="shared" si="26"/>
        <v/>
      </c>
      <c r="C269" s="55" t="str">
        <f>IF(LEN(TRIM(A269))=0,"",get_string_val(RIGHT(B269,4)))</f>
        <v/>
      </c>
      <c r="D269" t="str">
        <f>IF(LEN(TRIM(A269))=0,"",GetItemValueFromSpecimenHeader("timepoint"))</f>
        <v/>
      </c>
      <c r="E269" t="str">
        <f t="shared" si="27"/>
        <v/>
      </c>
      <c r="F269" t="str">
        <f t="shared" si="28"/>
        <v/>
      </c>
      <c r="G269" t="str">
        <f t="shared" si="24"/>
        <v/>
      </c>
      <c r="H269" t="str">
        <f>IF(LEN(TRIM(A269))=0,"",GetConfigParameterValue("Collection Site"))</f>
        <v/>
      </c>
      <c r="I269" t="str">
        <f t="shared" si="29"/>
        <v/>
      </c>
      <c r="M269" t="str">
        <f>IF(LEN(TRIM(B269))=0,"",IF(ISERROR(VLOOKUP(RIGHT(B269,4),study_demographic!A:A,1,FALSE)),"NOT FOUND!!!", "OK"))</f>
        <v/>
      </c>
    </row>
    <row r="270" spans="1:13" x14ac:dyDescent="0.25">
      <c r="A270" t="str">
        <f t="shared" si="25"/>
        <v/>
      </c>
      <c r="B270" t="str">
        <f t="shared" si="26"/>
        <v/>
      </c>
      <c r="C270" s="55" t="str">
        <f>IF(LEN(TRIM(A270))=0,"",get_string_val(RIGHT(B270,4)))</f>
        <v/>
      </c>
      <c r="D270" t="str">
        <f>IF(LEN(TRIM(A270))=0,"",GetItemValueFromSpecimenHeader("timepoint"))</f>
        <v/>
      </c>
      <c r="E270" t="str">
        <f t="shared" si="27"/>
        <v/>
      </c>
      <c r="F270" t="str">
        <f t="shared" si="28"/>
        <v/>
      </c>
      <c r="G270" t="str">
        <f t="shared" si="24"/>
        <v/>
      </c>
      <c r="H270" t="str">
        <f>IF(LEN(TRIM(A270))=0,"",GetConfigParameterValue("Collection Site"))</f>
        <v/>
      </c>
      <c r="I270" t="str">
        <f t="shared" si="29"/>
        <v/>
      </c>
      <c r="M270" t="str">
        <f>IF(LEN(TRIM(B270))=0,"",IF(ISERROR(VLOOKUP(RIGHT(B270,4),study_demographic!A:A,1,FALSE)),"NOT FOUND!!!", "OK"))</f>
        <v/>
      </c>
    </row>
    <row r="271" spans="1:13" x14ac:dyDescent="0.25">
      <c r="A271" t="str">
        <f t="shared" si="25"/>
        <v/>
      </c>
      <c r="B271" t="str">
        <f t="shared" si="26"/>
        <v/>
      </c>
      <c r="C271" s="55" t="str">
        <f>IF(LEN(TRIM(A271))=0,"",get_string_val(RIGHT(B271,4)))</f>
        <v/>
      </c>
      <c r="D271" t="str">
        <f>IF(LEN(TRIM(A271))=0,"",GetItemValueFromSpecimenHeader("timepoint"))</f>
        <v/>
      </c>
      <c r="E271" t="str">
        <f t="shared" si="27"/>
        <v/>
      </c>
      <c r="F271" t="str">
        <f t="shared" si="28"/>
        <v/>
      </c>
      <c r="G271" t="str">
        <f t="shared" si="24"/>
        <v/>
      </c>
      <c r="H271" t="str">
        <f>IF(LEN(TRIM(A271))=0,"",GetConfigParameterValue("Collection Site"))</f>
        <v/>
      </c>
      <c r="I271" t="str">
        <f t="shared" si="29"/>
        <v/>
      </c>
      <c r="M271" t="str">
        <f>IF(LEN(TRIM(B271))=0,"",IF(ISERROR(VLOOKUP(RIGHT(B271,4),study_demographic!A:A,1,FALSE)),"NOT FOUND!!!", "OK"))</f>
        <v/>
      </c>
    </row>
    <row r="272" spans="1:13" x14ac:dyDescent="0.25">
      <c r="A272" t="str">
        <f t="shared" si="25"/>
        <v/>
      </c>
      <c r="B272" t="str">
        <f t="shared" si="26"/>
        <v/>
      </c>
      <c r="C272" s="55" t="str">
        <f>IF(LEN(TRIM(A272))=0,"",get_string_val(RIGHT(B272,4)))</f>
        <v/>
      </c>
      <c r="D272" t="str">
        <f>IF(LEN(TRIM(A272))=0,"",GetItemValueFromSpecimenHeader("timepoint"))</f>
        <v/>
      </c>
      <c r="E272" t="str">
        <f t="shared" si="27"/>
        <v/>
      </c>
      <c r="F272" t="str">
        <f t="shared" si="28"/>
        <v/>
      </c>
      <c r="G272" t="str">
        <f t="shared" si="24"/>
        <v/>
      </c>
      <c r="H272" t="str">
        <f>IF(LEN(TRIM(A272))=0,"",GetConfigParameterValue("Collection Site"))</f>
        <v/>
      </c>
      <c r="I272" t="str">
        <f t="shared" si="29"/>
        <v/>
      </c>
      <c r="M272" t="str">
        <f>IF(LEN(TRIM(B272))=0,"",IF(ISERROR(VLOOKUP(RIGHT(B272,4),study_demographic!A:A,1,FALSE)),"NOT FOUND!!!", "OK"))</f>
        <v/>
      </c>
    </row>
    <row r="273" spans="1:13" x14ac:dyDescent="0.25">
      <c r="A273" t="str">
        <f t="shared" si="25"/>
        <v/>
      </c>
      <c r="B273" t="str">
        <f t="shared" si="26"/>
        <v/>
      </c>
      <c r="C273" s="55" t="str">
        <f>IF(LEN(TRIM(A273))=0,"",get_string_val(RIGHT(B273,4)))</f>
        <v/>
      </c>
      <c r="D273" t="str">
        <f>IF(LEN(TRIM(A273))=0,"",GetItemValueFromSpecimenHeader("timepoint"))</f>
        <v/>
      </c>
      <c r="E273" t="str">
        <f t="shared" si="27"/>
        <v/>
      </c>
      <c r="F273" t="str">
        <f t="shared" si="28"/>
        <v/>
      </c>
      <c r="G273" t="str">
        <f t="shared" si="24"/>
        <v/>
      </c>
      <c r="H273" t="str">
        <f>IF(LEN(TRIM(A273))=0,"",GetConfigParameterValue("Collection Site"))</f>
        <v/>
      </c>
      <c r="I273" t="str">
        <f t="shared" si="29"/>
        <v/>
      </c>
      <c r="M273" t="str">
        <f>IF(LEN(TRIM(B273))=0,"",IF(ISERROR(VLOOKUP(RIGHT(B273,4),study_demographic!A:A,1,FALSE)),"NOT FOUND!!!", "OK"))</f>
        <v/>
      </c>
    </row>
    <row r="274" spans="1:13" x14ac:dyDescent="0.25">
      <c r="A274" t="str">
        <f t="shared" si="25"/>
        <v/>
      </c>
      <c r="B274" t="str">
        <f t="shared" si="26"/>
        <v/>
      </c>
      <c r="C274" s="55" t="str">
        <f>IF(LEN(TRIM(A274))=0,"",get_string_val(RIGHT(B274,4)))</f>
        <v/>
      </c>
      <c r="D274" t="str">
        <f>IF(LEN(TRIM(A274))=0,"",GetItemValueFromSpecimenHeader("timepoint"))</f>
        <v/>
      </c>
      <c r="E274" t="str">
        <f t="shared" si="27"/>
        <v/>
      </c>
      <c r="F274" t="str">
        <f t="shared" si="28"/>
        <v/>
      </c>
      <c r="G274" t="str">
        <f t="shared" si="24"/>
        <v/>
      </c>
      <c r="H274" t="str">
        <f>IF(LEN(TRIM(A274))=0,"",GetConfigParameterValue("Collection Site"))</f>
        <v/>
      </c>
      <c r="I274" t="str">
        <f t="shared" si="29"/>
        <v/>
      </c>
      <c r="M274" t="str">
        <f>IF(LEN(TRIM(B274))=0,"",IF(ISERROR(VLOOKUP(RIGHT(B274,4),study_demographic!A:A,1,FALSE)),"NOT FOUND!!!", "OK"))</f>
        <v/>
      </c>
    </row>
    <row r="275" spans="1:13" x14ac:dyDescent="0.25">
      <c r="A275" t="str">
        <f t="shared" si="25"/>
        <v/>
      </c>
      <c r="B275" t="str">
        <f t="shared" si="26"/>
        <v/>
      </c>
      <c r="C275" s="55" t="str">
        <f>IF(LEN(TRIM(A275))=0,"",get_string_val(RIGHT(B275,4)))</f>
        <v/>
      </c>
      <c r="D275" t="str">
        <f>IF(LEN(TRIM(A275))=0,"",GetItemValueFromSpecimenHeader("timepoint"))</f>
        <v/>
      </c>
      <c r="E275" t="str">
        <f t="shared" si="27"/>
        <v/>
      </c>
      <c r="F275" t="str">
        <f t="shared" si="28"/>
        <v/>
      </c>
      <c r="G275" t="str">
        <f t="shared" si="24"/>
        <v/>
      </c>
      <c r="H275" t="str">
        <f>IF(LEN(TRIM(A275))=0,"",GetConfigParameterValue("Collection Site"))</f>
        <v/>
      </c>
      <c r="I275" t="str">
        <f t="shared" si="29"/>
        <v/>
      </c>
      <c r="M275" t="str">
        <f>IF(LEN(TRIM(B275))=0,"",IF(ISERROR(VLOOKUP(RIGHT(B275,4),study_demographic!A:A,1,FALSE)),"NOT FOUND!!!", "OK"))</f>
        <v/>
      </c>
    </row>
    <row r="276" spans="1:13" x14ac:dyDescent="0.25">
      <c r="A276" t="str">
        <f t="shared" si="25"/>
        <v/>
      </c>
      <c r="B276" t="str">
        <f t="shared" si="26"/>
        <v/>
      </c>
      <c r="C276" s="55" t="str">
        <f>IF(LEN(TRIM(A276))=0,"",get_string_val(RIGHT(B276,4)))</f>
        <v/>
      </c>
      <c r="D276" t="str">
        <f>IF(LEN(TRIM(A276))=0,"",GetItemValueFromSpecimenHeader("timepoint"))</f>
        <v/>
      </c>
      <c r="E276" t="str">
        <f t="shared" si="27"/>
        <v/>
      </c>
      <c r="F276" t="str">
        <f t="shared" si="28"/>
        <v/>
      </c>
      <c r="G276" t="str">
        <f t="shared" si="24"/>
        <v/>
      </c>
      <c r="H276" t="str">
        <f>IF(LEN(TRIM(A276))=0,"",GetConfigParameterValue("Collection Site"))</f>
        <v/>
      </c>
      <c r="I276" t="str">
        <f t="shared" si="29"/>
        <v/>
      </c>
      <c r="M276" t="str">
        <f>IF(LEN(TRIM(B276))=0,"",IF(ISERROR(VLOOKUP(RIGHT(B276,4),study_demographic!A:A,1,FALSE)),"NOT FOUND!!!", "OK"))</f>
        <v/>
      </c>
    </row>
    <row r="277" spans="1:13" x14ac:dyDescent="0.25">
      <c r="A277" t="str">
        <f t="shared" si="25"/>
        <v/>
      </c>
      <c r="B277" t="str">
        <f t="shared" si="26"/>
        <v/>
      </c>
      <c r="C277" s="55" t="str">
        <f>IF(LEN(TRIM(A277))=0,"",get_string_val(RIGHT(B277,4)))</f>
        <v/>
      </c>
      <c r="D277" t="str">
        <f>IF(LEN(TRIM(A277))=0,"",GetItemValueFromSpecimenHeader("timepoint"))</f>
        <v/>
      </c>
      <c r="E277" t="str">
        <f t="shared" si="27"/>
        <v/>
      </c>
      <c r="F277" t="str">
        <f t="shared" si="28"/>
        <v/>
      </c>
      <c r="G277" t="str">
        <f t="shared" si="24"/>
        <v/>
      </c>
      <c r="H277" t="str">
        <f>IF(LEN(TRIM(A277))=0,"",GetConfigParameterValue("Collection Site"))</f>
        <v/>
      </c>
      <c r="I277" t="str">
        <f t="shared" si="29"/>
        <v/>
      </c>
      <c r="M277" t="str">
        <f>IF(LEN(TRIM(B277))=0,"",IF(ISERROR(VLOOKUP(RIGHT(B277,4),study_demographic!A:A,1,FALSE)),"NOT FOUND!!!", "OK"))</f>
        <v/>
      </c>
    </row>
    <row r="278" spans="1:13" x14ac:dyDescent="0.25">
      <c r="A278" t="str">
        <f t="shared" si="25"/>
        <v/>
      </c>
      <c r="B278" t="str">
        <f t="shared" si="26"/>
        <v/>
      </c>
      <c r="C278" s="55" t="str">
        <f>IF(LEN(TRIM(A278))=0,"",get_string_val(RIGHT(B278,4)))</f>
        <v/>
      </c>
      <c r="D278" t="str">
        <f>IF(LEN(TRIM(A278))=0,"",GetItemValueFromSpecimenHeader("timepoint"))</f>
        <v/>
      </c>
      <c r="E278" t="str">
        <f t="shared" si="27"/>
        <v/>
      </c>
      <c r="F278" t="str">
        <f t="shared" si="28"/>
        <v/>
      </c>
      <c r="G278" t="str">
        <f t="shared" si="24"/>
        <v/>
      </c>
      <c r="H278" t="str">
        <f>IF(LEN(TRIM(A278))=0,"",GetConfigParameterValue("Collection Site"))</f>
        <v/>
      </c>
      <c r="I278" t="str">
        <f t="shared" si="29"/>
        <v/>
      </c>
      <c r="M278" t="str">
        <f>IF(LEN(TRIM(B278))=0,"",IF(ISERROR(VLOOKUP(RIGHT(B278,4),study_demographic!A:A,1,FALSE)),"NOT FOUND!!!", "OK"))</f>
        <v/>
      </c>
    </row>
    <row r="279" spans="1:13" x14ac:dyDescent="0.25">
      <c r="A279" t="str">
        <f t="shared" si="25"/>
        <v/>
      </c>
      <c r="B279" t="str">
        <f t="shared" si="26"/>
        <v/>
      </c>
      <c r="C279" s="55" t="str">
        <f>IF(LEN(TRIM(A279))=0,"",get_string_val(RIGHT(B279,4)))</f>
        <v/>
      </c>
      <c r="D279" t="str">
        <f>IF(LEN(TRIM(A279))=0,"",GetItemValueFromSpecimenHeader("timepoint"))</f>
        <v/>
      </c>
      <c r="E279" t="str">
        <f t="shared" si="27"/>
        <v/>
      </c>
      <c r="F279" t="str">
        <f t="shared" si="28"/>
        <v/>
      </c>
      <c r="G279" t="str">
        <f t="shared" si="24"/>
        <v/>
      </c>
      <c r="H279" t="str">
        <f>IF(LEN(TRIM(A279))=0,"",GetConfigParameterValue("Collection Site"))</f>
        <v/>
      </c>
      <c r="I279" t="str">
        <f t="shared" si="29"/>
        <v/>
      </c>
      <c r="M279" t="str">
        <f>IF(LEN(TRIM(B279))=0,"",IF(ISERROR(VLOOKUP(RIGHT(B279,4),study_demographic!A:A,1,FALSE)),"NOT FOUND!!!", "OK"))</f>
        <v/>
      </c>
    </row>
    <row r="280" spans="1:13" x14ac:dyDescent="0.25">
      <c r="A280" t="str">
        <f t="shared" si="25"/>
        <v/>
      </c>
      <c r="B280" t="str">
        <f t="shared" si="26"/>
        <v/>
      </c>
      <c r="C280" s="55" t="str">
        <f>IF(LEN(TRIM(A280))=0,"",get_string_val(RIGHT(B280,4)))</f>
        <v/>
      </c>
      <c r="D280" t="str">
        <f>IF(LEN(TRIM(A280))=0,"",GetItemValueFromSpecimenHeader("timepoint"))</f>
        <v/>
      </c>
      <c r="E280" t="str">
        <f t="shared" si="27"/>
        <v/>
      </c>
      <c r="F280" t="str">
        <f t="shared" si="28"/>
        <v/>
      </c>
      <c r="G280" t="str">
        <f t="shared" si="24"/>
        <v/>
      </c>
      <c r="H280" t="str">
        <f>IF(LEN(TRIM(A280))=0,"",GetConfigParameterValue("Collection Site"))</f>
        <v/>
      </c>
      <c r="I280" t="str">
        <f t="shared" si="29"/>
        <v/>
      </c>
      <c r="M280" t="str">
        <f>IF(LEN(TRIM(B280))=0,"",IF(ISERROR(VLOOKUP(RIGHT(B280,4),study_demographic!A:A,1,FALSE)),"NOT FOUND!!!", "OK"))</f>
        <v/>
      </c>
    </row>
    <row r="281" spans="1:13" x14ac:dyDescent="0.25">
      <c r="A281" t="str">
        <f t="shared" si="25"/>
        <v/>
      </c>
      <c r="B281" t="str">
        <f t="shared" si="26"/>
        <v/>
      </c>
      <c r="C281" s="55" t="str">
        <f>IF(LEN(TRIM(A281))=0,"",get_string_val(RIGHT(B281,4)))</f>
        <v/>
      </c>
      <c r="D281" t="str">
        <f>IF(LEN(TRIM(A281))=0,"",GetItemValueFromSpecimenHeader("timepoint"))</f>
        <v/>
      </c>
      <c r="E281" t="str">
        <f t="shared" si="27"/>
        <v/>
      </c>
      <c r="F281" t="str">
        <f t="shared" si="28"/>
        <v/>
      </c>
      <c r="G281" t="str">
        <f t="shared" si="24"/>
        <v/>
      </c>
      <c r="H281" t="str">
        <f>IF(LEN(TRIM(A281))=0,"",GetConfigParameterValue("Collection Site"))</f>
        <v/>
      </c>
      <c r="I281" t="str">
        <f t="shared" si="29"/>
        <v/>
      </c>
      <c r="M281" t="str">
        <f>IF(LEN(TRIM(B281))=0,"",IF(ISERROR(VLOOKUP(RIGHT(B281,4),study_demographic!A:A,1,FALSE)),"NOT FOUND!!!", "OK"))</f>
        <v/>
      </c>
    </row>
    <row r="282" spans="1:13" x14ac:dyDescent="0.25">
      <c r="A282" t="str">
        <f t="shared" si="25"/>
        <v/>
      </c>
      <c r="B282" t="str">
        <f t="shared" si="26"/>
        <v/>
      </c>
      <c r="C282" s="55" t="str">
        <f>IF(LEN(TRIM(A282))=0,"",get_string_val(RIGHT(B282,4)))</f>
        <v/>
      </c>
      <c r="D282" t="str">
        <f>IF(LEN(TRIM(A282))=0,"",GetItemValueFromSpecimenHeader("timepoint"))</f>
        <v/>
      </c>
      <c r="E282" t="str">
        <f t="shared" si="27"/>
        <v/>
      </c>
      <c r="F282" t="str">
        <f t="shared" si="28"/>
        <v/>
      </c>
      <c r="G282" t="str">
        <f t="shared" si="24"/>
        <v/>
      </c>
      <c r="H282" t="str">
        <f>IF(LEN(TRIM(A282))=0,"",GetConfigParameterValue("Collection Site"))</f>
        <v/>
      </c>
      <c r="I282" t="str">
        <f t="shared" si="29"/>
        <v/>
      </c>
      <c r="M282" t="str">
        <f>IF(LEN(TRIM(B282))=0,"",IF(ISERROR(VLOOKUP(RIGHT(B282,4),study_demographic!A:A,1,FALSE)),"NOT FOUND!!!", "OK"))</f>
        <v/>
      </c>
    </row>
    <row r="283" spans="1:13" x14ac:dyDescent="0.25">
      <c r="A283" t="str">
        <f t="shared" si="25"/>
        <v/>
      </c>
      <c r="B283" t="str">
        <f t="shared" si="26"/>
        <v/>
      </c>
      <c r="C283" s="55" t="str">
        <f>IF(LEN(TRIM(A283))=0,"",get_string_val(RIGHT(B283,4)))</f>
        <v/>
      </c>
      <c r="D283" t="str">
        <f>IF(LEN(TRIM(A283))=0,"",GetItemValueFromSpecimenHeader("timepoint"))</f>
        <v/>
      </c>
      <c r="E283" t="str">
        <f t="shared" si="27"/>
        <v/>
      </c>
      <c r="F283" t="str">
        <f t="shared" si="28"/>
        <v/>
      </c>
      <c r="G283" t="str">
        <f t="shared" si="24"/>
        <v/>
      </c>
      <c r="H283" t="str">
        <f>IF(LEN(TRIM(A283))=0,"",GetConfigParameterValue("Collection Site"))</f>
        <v/>
      </c>
      <c r="I283" t="str">
        <f t="shared" si="29"/>
        <v/>
      </c>
      <c r="M283" t="str">
        <f>IF(LEN(TRIM(B283))=0,"",IF(ISERROR(VLOOKUP(RIGHT(B283,4),study_demographic!A:A,1,FALSE)),"NOT FOUND!!!", "OK"))</f>
        <v/>
      </c>
    </row>
    <row r="284" spans="1:13" x14ac:dyDescent="0.25">
      <c r="A284" t="str">
        <f t="shared" si="25"/>
        <v/>
      </c>
      <c r="B284" t="str">
        <f t="shared" si="26"/>
        <v/>
      </c>
      <c r="C284" s="55" t="str">
        <f>IF(LEN(TRIM(A284))=0,"",get_string_val(RIGHT(B284,4)))</f>
        <v/>
      </c>
      <c r="D284" t="str">
        <f>IF(LEN(TRIM(A284))=0,"",GetItemValueFromSpecimenHeader("timepoint"))</f>
        <v/>
      </c>
      <c r="E284" t="str">
        <f t="shared" si="27"/>
        <v/>
      </c>
      <c r="F284" t="str">
        <f t="shared" si="28"/>
        <v/>
      </c>
      <c r="G284" t="str">
        <f t="shared" si="24"/>
        <v/>
      </c>
      <c r="H284" t="str">
        <f>IF(LEN(TRIM(A284))=0,"",GetConfigParameterValue("Collection Site"))</f>
        <v/>
      </c>
      <c r="I284" t="str">
        <f t="shared" si="29"/>
        <v/>
      </c>
      <c r="M284" t="str">
        <f>IF(LEN(TRIM(B284))=0,"",IF(ISERROR(VLOOKUP(RIGHT(B284,4),study_demographic!A:A,1,FALSE)),"NOT FOUND!!!", "OK"))</f>
        <v/>
      </c>
    </row>
    <row r="285" spans="1:13" x14ac:dyDescent="0.25">
      <c r="A285" t="str">
        <f t="shared" si="25"/>
        <v/>
      </c>
      <c r="B285" t="str">
        <f t="shared" si="26"/>
        <v/>
      </c>
      <c r="C285" s="55" t="str">
        <f>IF(LEN(TRIM(A285))=0,"",get_string_val(RIGHT(B285,4)))</f>
        <v/>
      </c>
      <c r="D285" t="str">
        <f>IF(LEN(TRIM(A285))=0,"",GetItemValueFromSpecimenHeader("timepoint"))</f>
        <v/>
      </c>
      <c r="E285" t="str">
        <f t="shared" si="27"/>
        <v/>
      </c>
      <c r="F285" t="str">
        <f t="shared" si="28"/>
        <v/>
      </c>
      <c r="G285" t="str">
        <f t="shared" si="24"/>
        <v/>
      </c>
      <c r="H285" t="str">
        <f>IF(LEN(TRIM(A285))=0,"",GetConfigParameterValue("Collection Site"))</f>
        <v/>
      </c>
      <c r="I285" t="str">
        <f t="shared" si="29"/>
        <v/>
      </c>
      <c r="M285" t="str">
        <f>IF(LEN(TRIM(B285))=0,"",IF(ISERROR(VLOOKUP(RIGHT(B285,4),study_demographic!A:A,1,FALSE)),"NOT FOUND!!!", "OK"))</f>
        <v/>
      </c>
    </row>
    <row r="286" spans="1:13" x14ac:dyDescent="0.25">
      <c r="A286" t="str">
        <f t="shared" si="25"/>
        <v/>
      </c>
      <c r="B286" t="str">
        <f t="shared" si="26"/>
        <v/>
      </c>
      <c r="C286" s="55" t="str">
        <f>IF(LEN(TRIM(A286))=0,"",get_string_val(RIGHT(B286,4)))</f>
        <v/>
      </c>
      <c r="D286" t="str">
        <f>IF(LEN(TRIM(A286))=0,"",GetItemValueFromSpecimenHeader("timepoint"))</f>
        <v/>
      </c>
      <c r="E286" t="str">
        <f t="shared" si="27"/>
        <v/>
      </c>
      <c r="F286" t="str">
        <f t="shared" si="28"/>
        <v/>
      </c>
      <c r="G286" t="str">
        <f t="shared" si="24"/>
        <v/>
      </c>
      <c r="H286" t="str">
        <f>IF(LEN(TRIM(A286))=0,"",GetConfigParameterValue("Collection Site"))</f>
        <v/>
      </c>
      <c r="I286" t="str">
        <f t="shared" si="29"/>
        <v/>
      </c>
      <c r="M286" t="str">
        <f>IF(LEN(TRIM(B286))=0,"",IF(ISERROR(VLOOKUP(RIGHT(B286,4),study_demographic!A:A,1,FALSE)),"NOT FOUND!!!", "OK"))</f>
        <v/>
      </c>
    </row>
    <row r="287" spans="1:13" x14ac:dyDescent="0.25">
      <c r="A287" t="str">
        <f t="shared" si="25"/>
        <v/>
      </c>
      <c r="B287" t="str">
        <f t="shared" si="26"/>
        <v/>
      </c>
      <c r="C287" s="55" t="str">
        <f>IF(LEN(TRIM(A287))=0,"",get_string_val(RIGHT(B287,4)))</f>
        <v/>
      </c>
      <c r="D287" t="str">
        <f>IF(LEN(TRIM(A287))=0,"",GetItemValueFromSpecimenHeader("timepoint"))</f>
        <v/>
      </c>
      <c r="E287" t="str">
        <f t="shared" si="27"/>
        <v/>
      </c>
      <c r="F287" t="str">
        <f t="shared" si="28"/>
        <v/>
      </c>
      <c r="G287" t="str">
        <f t="shared" si="24"/>
        <v/>
      </c>
      <c r="H287" t="str">
        <f>IF(LEN(TRIM(A287))=0,"",GetConfigParameterValue("Collection Site"))</f>
        <v/>
      </c>
      <c r="I287" t="str">
        <f t="shared" si="29"/>
        <v/>
      </c>
      <c r="M287" t="str">
        <f>IF(LEN(TRIM(B287))=0,"",IF(ISERROR(VLOOKUP(RIGHT(B287,4),study_demographic!A:A,1,FALSE)),"NOT FOUND!!!", "OK"))</f>
        <v/>
      </c>
    </row>
    <row r="288" spans="1:13" x14ac:dyDescent="0.25">
      <c r="A288" t="str">
        <f t="shared" si="25"/>
        <v/>
      </c>
      <c r="B288" t="str">
        <f t="shared" si="26"/>
        <v/>
      </c>
      <c r="C288" s="55" t="str">
        <f>IF(LEN(TRIM(A288))=0,"",get_string_val(RIGHT(B288,4)))</f>
        <v/>
      </c>
      <c r="D288" t="str">
        <f>IF(LEN(TRIM(A288))=0,"",GetItemValueFromSpecimenHeader("timepoint"))</f>
        <v/>
      </c>
      <c r="E288" t="str">
        <f t="shared" si="27"/>
        <v/>
      </c>
      <c r="F288" t="str">
        <f t="shared" si="28"/>
        <v/>
      </c>
      <c r="G288" t="str">
        <f t="shared" si="24"/>
        <v/>
      </c>
      <c r="H288" t="str">
        <f>IF(LEN(TRIM(A288))=0,"",GetConfigParameterValue("Collection Site"))</f>
        <v/>
      </c>
      <c r="I288" t="str">
        <f t="shared" si="29"/>
        <v/>
      </c>
      <c r="M288" t="str">
        <f>IF(LEN(TRIM(B288))=0,"",IF(ISERROR(VLOOKUP(RIGHT(B288,4),study_demographic!A:A,1,FALSE)),"NOT FOUND!!!", "OK"))</f>
        <v/>
      </c>
    </row>
    <row r="289" spans="1:13" x14ac:dyDescent="0.25">
      <c r="A289" t="str">
        <f t="shared" si="25"/>
        <v/>
      </c>
      <c r="B289" t="str">
        <f t="shared" si="26"/>
        <v/>
      </c>
      <c r="C289" s="55" t="str">
        <f>IF(LEN(TRIM(A289))=0,"",get_string_val(RIGHT(B289,4)))</f>
        <v/>
      </c>
      <c r="D289" t="str">
        <f>IF(LEN(TRIM(A289))=0,"",GetItemValueFromSpecimenHeader("timepoint"))</f>
        <v/>
      </c>
      <c r="E289" t="str">
        <f t="shared" si="27"/>
        <v/>
      </c>
      <c r="F289" t="str">
        <f t="shared" si="28"/>
        <v/>
      </c>
      <c r="G289" t="str">
        <f t="shared" si="24"/>
        <v/>
      </c>
      <c r="H289" t="str">
        <f>IF(LEN(TRIM(A289))=0,"",GetConfigParameterValue("Collection Site"))</f>
        <v/>
      </c>
      <c r="I289" t="str">
        <f t="shared" si="29"/>
        <v/>
      </c>
      <c r="M289" t="str">
        <f>IF(LEN(TRIM(B289))=0,"",IF(ISERROR(VLOOKUP(RIGHT(B289,4),study_demographic!A:A,1,FALSE)),"NOT FOUND!!!", "OK"))</f>
        <v/>
      </c>
    </row>
    <row r="290" spans="1:13" x14ac:dyDescent="0.25">
      <c r="A290" t="str">
        <f t="shared" si="25"/>
        <v/>
      </c>
      <c r="B290" t="str">
        <f t="shared" si="26"/>
        <v/>
      </c>
      <c r="C290" s="55" t="str">
        <f>IF(LEN(TRIM(A290))=0,"",get_string_val(RIGHT(B290,4)))</f>
        <v/>
      </c>
      <c r="D290" t="str">
        <f>IF(LEN(TRIM(A290))=0,"",GetItemValueFromSpecimenHeader("timepoint"))</f>
        <v/>
      </c>
      <c r="E290" t="str">
        <f t="shared" si="27"/>
        <v/>
      </c>
      <c r="F290" t="str">
        <f t="shared" si="28"/>
        <v/>
      </c>
      <c r="G290" t="str">
        <f t="shared" si="24"/>
        <v/>
      </c>
      <c r="H290" t="str">
        <f>IF(LEN(TRIM(A290))=0,"",GetConfigParameterValue("Collection Site"))</f>
        <v/>
      </c>
      <c r="I290" t="str">
        <f t="shared" si="29"/>
        <v/>
      </c>
      <c r="M290" t="str">
        <f>IF(LEN(TRIM(B290))=0,"",IF(ISERROR(VLOOKUP(RIGHT(B290,4),study_demographic!A:A,1,FALSE)),"NOT FOUND!!!", "OK"))</f>
        <v/>
      </c>
    </row>
    <row r="291" spans="1:13" x14ac:dyDescent="0.25">
      <c r="A291" t="str">
        <f t="shared" si="25"/>
        <v/>
      </c>
      <c r="B291" t="str">
        <f t="shared" si="26"/>
        <v/>
      </c>
      <c r="C291" s="55" t="str">
        <f>IF(LEN(TRIM(A291))=0,"",get_string_val(RIGHT(B291,4)))</f>
        <v/>
      </c>
      <c r="D291" t="str">
        <f>IF(LEN(TRIM(A291))=0,"",GetItemValueFromSpecimenHeader("timepoint"))</f>
        <v/>
      </c>
      <c r="E291" t="str">
        <f t="shared" si="27"/>
        <v/>
      </c>
      <c r="F291" t="str">
        <f t="shared" si="28"/>
        <v/>
      </c>
      <c r="G291" t="str">
        <f t="shared" si="24"/>
        <v/>
      </c>
      <c r="H291" t="str">
        <f>IF(LEN(TRIM(A291))=0,"",GetConfigParameterValue("Collection Site"))</f>
        <v/>
      </c>
      <c r="I291" t="str">
        <f t="shared" si="29"/>
        <v/>
      </c>
      <c r="M291" t="str">
        <f>IF(LEN(TRIM(B291))=0,"",IF(ISERROR(VLOOKUP(RIGHT(B291,4),study_demographic!A:A,1,FALSE)),"NOT FOUND!!!", "OK"))</f>
        <v/>
      </c>
    </row>
    <row r="292" spans="1:13" x14ac:dyDescent="0.25">
      <c r="A292" t="str">
        <f t="shared" si="25"/>
        <v/>
      </c>
      <c r="B292" t="str">
        <f t="shared" si="26"/>
        <v/>
      </c>
      <c r="C292" s="55" t="str">
        <f>IF(LEN(TRIM(A292))=0,"",get_string_val(RIGHT(B292,4)))</f>
        <v/>
      </c>
      <c r="D292" t="str">
        <f>IF(LEN(TRIM(A292))=0,"",GetItemValueFromSpecimenHeader("timepoint"))</f>
        <v/>
      </c>
      <c r="E292" t="str">
        <f t="shared" si="27"/>
        <v/>
      </c>
      <c r="F292" t="str">
        <f t="shared" si="28"/>
        <v/>
      </c>
      <c r="G292" t="str">
        <f t="shared" si="24"/>
        <v/>
      </c>
      <c r="H292" t="str">
        <f>IF(LEN(TRIM(A292))=0,"",GetConfigParameterValue("Collection Site"))</f>
        <v/>
      </c>
      <c r="I292" t="str">
        <f t="shared" si="29"/>
        <v/>
      </c>
      <c r="M292" t="str">
        <f>IF(LEN(TRIM(B292))=0,"",IF(ISERROR(VLOOKUP(RIGHT(B292,4),study_demographic!A:A,1,FALSE)),"NOT FOUND!!!", "OK"))</f>
        <v/>
      </c>
    </row>
    <row r="293" spans="1:13" x14ac:dyDescent="0.25">
      <c r="A293" t="str">
        <f t="shared" si="25"/>
        <v/>
      </c>
      <c r="B293" t="str">
        <f t="shared" si="26"/>
        <v/>
      </c>
      <c r="C293" s="55" t="str">
        <f>IF(LEN(TRIM(A293))=0,"",get_string_val(RIGHT(B293,4)))</f>
        <v/>
      </c>
      <c r="D293" t="str">
        <f>IF(LEN(TRIM(A293))=0,"",GetItemValueFromSpecimenHeader("timepoint"))</f>
        <v/>
      </c>
      <c r="E293" t="str">
        <f t="shared" si="27"/>
        <v/>
      </c>
      <c r="F293" t="str">
        <f t="shared" si="28"/>
        <v/>
      </c>
      <c r="G293" t="str">
        <f t="shared" si="24"/>
        <v/>
      </c>
      <c r="H293" t="str">
        <f>IF(LEN(TRIM(A293))=0,"",GetConfigParameterValue("Collection Site"))</f>
        <v/>
      </c>
      <c r="I293" t="str">
        <f t="shared" si="29"/>
        <v/>
      </c>
      <c r="M293" t="str">
        <f>IF(LEN(TRIM(B293))=0,"",IF(ISERROR(VLOOKUP(RIGHT(B293,4),study_demographic!A:A,1,FALSE)),"NOT FOUND!!!", "OK"))</f>
        <v/>
      </c>
    </row>
    <row r="294" spans="1:13" x14ac:dyDescent="0.25">
      <c r="A294" t="str">
        <f t="shared" si="25"/>
        <v/>
      </c>
      <c r="B294" t="str">
        <f t="shared" si="26"/>
        <v/>
      </c>
      <c r="C294" s="55" t="str">
        <f>IF(LEN(TRIM(A294))=0,"",get_string_val(RIGHT(B294,4)))</f>
        <v/>
      </c>
      <c r="D294" t="str">
        <f>IF(LEN(TRIM(A294))=0,"",GetItemValueFromSpecimenHeader("timepoint"))</f>
        <v/>
      </c>
      <c r="E294" t="str">
        <f t="shared" si="27"/>
        <v/>
      </c>
      <c r="F294" t="str">
        <f t="shared" si="28"/>
        <v/>
      </c>
      <c r="G294" t="str">
        <f t="shared" si="24"/>
        <v/>
      </c>
      <c r="H294" t="str">
        <f>IF(LEN(TRIM(A294))=0,"",GetConfigParameterValue("Collection Site"))</f>
        <v/>
      </c>
      <c r="I294" t="str">
        <f t="shared" si="29"/>
        <v/>
      </c>
      <c r="M294" t="str">
        <f>IF(LEN(TRIM(B294))=0,"",IF(ISERROR(VLOOKUP(RIGHT(B294,4),study_demographic!A:A,1,FALSE)),"NOT FOUND!!!", "OK"))</f>
        <v/>
      </c>
    </row>
    <row r="295" spans="1:13" x14ac:dyDescent="0.25">
      <c r="A295" t="str">
        <f t="shared" si="25"/>
        <v/>
      </c>
      <c r="B295" t="str">
        <f t="shared" si="26"/>
        <v/>
      </c>
      <c r="C295" s="55" t="str">
        <f>IF(LEN(TRIM(A295))=0,"",get_string_val(RIGHT(B295,4)))</f>
        <v/>
      </c>
      <c r="D295" t="str">
        <f>IF(LEN(TRIM(A295))=0,"",GetItemValueFromSpecimenHeader("timepoint"))</f>
        <v/>
      </c>
      <c r="E295" t="str">
        <f t="shared" si="27"/>
        <v/>
      </c>
      <c r="F295" t="str">
        <f t="shared" si="28"/>
        <v/>
      </c>
      <c r="G295" t="str">
        <f t="shared" si="24"/>
        <v/>
      </c>
      <c r="H295" t="str">
        <f>IF(LEN(TRIM(A295))=0,"",GetConfigParameterValue("Collection Site"))</f>
        <v/>
      </c>
      <c r="I295" t="str">
        <f t="shared" si="29"/>
        <v/>
      </c>
      <c r="M295" t="str">
        <f>IF(LEN(TRIM(B295))=0,"",IF(ISERROR(VLOOKUP(RIGHT(B295,4),study_demographic!A:A,1,FALSE)),"NOT FOUND!!!", "OK"))</f>
        <v/>
      </c>
    </row>
    <row r="296" spans="1:13" x14ac:dyDescent="0.25">
      <c r="A296" t="str">
        <f t="shared" si="25"/>
        <v/>
      </c>
      <c r="B296" t="str">
        <f t="shared" si="26"/>
        <v/>
      </c>
      <c r="C296" s="55" t="str">
        <f>IF(LEN(TRIM(A296))=0,"",get_string_val(RIGHT(B296,4)))</f>
        <v/>
      </c>
      <c r="D296" t="str">
        <f>IF(LEN(TRIM(A296))=0,"",GetItemValueFromSpecimenHeader("timepoint"))</f>
        <v/>
      </c>
      <c r="E296" t="str">
        <f t="shared" si="27"/>
        <v/>
      </c>
      <c r="F296" t="str">
        <f t="shared" si="28"/>
        <v/>
      </c>
      <c r="G296" t="str">
        <f t="shared" si="24"/>
        <v/>
      </c>
      <c r="H296" t="str">
        <f>IF(LEN(TRIM(A296))=0,"",GetConfigParameterValue("Collection Site"))</f>
        <v/>
      </c>
      <c r="I296" t="str">
        <f t="shared" si="29"/>
        <v/>
      </c>
      <c r="M296" t="str">
        <f>IF(LEN(TRIM(B296))=0,"",IF(ISERROR(VLOOKUP(RIGHT(B296,4),study_demographic!A:A,1,FALSE)),"NOT FOUND!!!", "OK"))</f>
        <v/>
      </c>
    </row>
    <row r="297" spans="1:13" x14ac:dyDescent="0.25">
      <c r="A297" t="str">
        <f t="shared" si="25"/>
        <v/>
      </c>
      <c r="B297" t="str">
        <f t="shared" si="26"/>
        <v/>
      </c>
      <c r="C297" s="55" t="str">
        <f>IF(LEN(TRIM(A297))=0,"",get_string_val(RIGHT(B297,4)))</f>
        <v/>
      </c>
      <c r="D297" t="str">
        <f>IF(LEN(TRIM(A297))=0,"",GetItemValueFromSpecimenHeader("timepoint"))</f>
        <v/>
      </c>
      <c r="E297" t="str">
        <f t="shared" si="27"/>
        <v/>
      </c>
      <c r="F297" t="str">
        <f t="shared" si="28"/>
        <v/>
      </c>
      <c r="G297" t="str">
        <f t="shared" si="24"/>
        <v/>
      </c>
      <c r="H297" t="str">
        <f>IF(LEN(TRIM(A297))=0,"",GetConfigParameterValue("Collection Site"))</f>
        <v/>
      </c>
      <c r="I297" t="str">
        <f t="shared" si="29"/>
        <v/>
      </c>
      <c r="M297" t="str">
        <f>IF(LEN(TRIM(B297))=0,"",IF(ISERROR(VLOOKUP(RIGHT(B297,4),study_demographic!A:A,1,FALSE)),"NOT FOUND!!!", "OK"))</f>
        <v/>
      </c>
    </row>
    <row r="298" spans="1:13" x14ac:dyDescent="0.25">
      <c r="A298" t="str">
        <f t="shared" si="25"/>
        <v/>
      </c>
      <c r="B298" t="str">
        <f t="shared" si="26"/>
        <v/>
      </c>
      <c r="C298" s="55" t="str">
        <f>IF(LEN(TRIM(A298))=0,"",get_string_val(RIGHT(B298,4)))</f>
        <v/>
      </c>
      <c r="D298" t="str">
        <f>IF(LEN(TRIM(A298))=0,"",GetItemValueFromSpecimenHeader("timepoint"))</f>
        <v/>
      </c>
      <c r="E298" t="str">
        <f t="shared" si="27"/>
        <v/>
      </c>
      <c r="F298" t="str">
        <f t="shared" si="28"/>
        <v/>
      </c>
      <c r="G298" t="str">
        <f t="shared" si="24"/>
        <v/>
      </c>
      <c r="H298" t="str">
        <f>IF(LEN(TRIM(A298))=0,"",GetConfigParameterValue("Collection Site"))</f>
        <v/>
      </c>
      <c r="I298" t="str">
        <f t="shared" si="29"/>
        <v/>
      </c>
      <c r="M298" t="str">
        <f>IF(LEN(TRIM(B298))=0,"",IF(ISERROR(VLOOKUP(RIGHT(B298,4),study_demographic!A:A,1,FALSE)),"NOT FOUND!!!", "OK"))</f>
        <v/>
      </c>
    </row>
    <row r="299" spans="1:13" x14ac:dyDescent="0.25">
      <c r="A299" t="str">
        <f t="shared" si="25"/>
        <v/>
      </c>
      <c r="B299" t="str">
        <f t="shared" si="26"/>
        <v/>
      </c>
      <c r="C299" s="55" t="str">
        <f>IF(LEN(TRIM(A299))=0,"",get_string_val(RIGHT(B299,4)))</f>
        <v/>
      </c>
      <c r="D299" t="str">
        <f>IF(LEN(TRIM(A299))=0,"",GetItemValueFromSpecimenHeader("timepoint"))</f>
        <v/>
      </c>
      <c r="E299" t="str">
        <f t="shared" si="27"/>
        <v/>
      </c>
      <c r="F299" t="str">
        <f t="shared" si="28"/>
        <v/>
      </c>
      <c r="G299" t="str">
        <f t="shared" si="24"/>
        <v/>
      </c>
      <c r="H299" t="str">
        <f>IF(LEN(TRIM(A299))=0,"",GetConfigParameterValue("Collection Site"))</f>
        <v/>
      </c>
      <c r="I299" t="str">
        <f t="shared" si="29"/>
        <v/>
      </c>
      <c r="M299" t="str">
        <f>IF(LEN(TRIM(B299))=0,"",IF(ISERROR(VLOOKUP(RIGHT(B299,4),study_demographic!A:A,1,FALSE)),"NOT FOUND!!!", "OK"))</f>
        <v/>
      </c>
    </row>
    <row r="300" spans="1:13" x14ac:dyDescent="0.25">
      <c r="A300" t="str">
        <f t="shared" si="25"/>
        <v/>
      </c>
      <c r="B300" t="str">
        <f t="shared" si="26"/>
        <v/>
      </c>
      <c r="C300" s="55" t="str">
        <f>IF(LEN(TRIM(A300))=0,"",get_string_val(RIGHT(B300,4)))</f>
        <v/>
      </c>
      <c r="D300" t="str">
        <f>IF(LEN(TRIM(A300))=0,"",GetItemValueFromSpecimenHeader("timepoint"))</f>
        <v/>
      </c>
      <c r="E300" t="str">
        <f t="shared" si="27"/>
        <v/>
      </c>
      <c r="F300" t="str">
        <f t="shared" si="28"/>
        <v/>
      </c>
      <c r="G300" t="str">
        <f t="shared" si="24"/>
        <v/>
      </c>
      <c r="H300" t="str">
        <f>IF(LEN(TRIM(A300))=0,"",GetConfigParameterValue("Collection Site"))</f>
        <v/>
      </c>
      <c r="I300" t="str">
        <f t="shared" si="29"/>
        <v/>
      </c>
      <c r="M300" t="str">
        <f>IF(LEN(TRIM(B300))=0,"",IF(ISERROR(VLOOKUP(RIGHT(B300,4),study_demographic!A:A,1,FALSE)),"NOT FOUND!!!", "OK"))</f>
        <v/>
      </c>
    </row>
    <row r="301" spans="1:13" x14ac:dyDescent="0.25">
      <c r="A301" t="str">
        <f t="shared" si="25"/>
        <v/>
      </c>
      <c r="B301" t="str">
        <f t="shared" si="26"/>
        <v/>
      </c>
      <c r="C301" s="55" t="str">
        <f>IF(LEN(TRIM(A301))=0,"",get_string_val(RIGHT(B301,4)))</f>
        <v/>
      </c>
      <c r="D301" t="str">
        <f>IF(LEN(TRIM(A301))=0,"",GetItemValueFromSpecimenHeader("timepoint"))</f>
        <v/>
      </c>
      <c r="E301" t="str">
        <f t="shared" si="27"/>
        <v/>
      </c>
      <c r="F301" t="str">
        <f t="shared" si="28"/>
        <v/>
      </c>
      <c r="G301" t="str">
        <f t="shared" si="24"/>
        <v/>
      </c>
      <c r="H301" t="str">
        <f>IF(LEN(TRIM(A301))=0,"",GetConfigParameterValue("Collection Site"))</f>
        <v/>
      </c>
      <c r="I301" t="str">
        <f t="shared" si="29"/>
        <v/>
      </c>
      <c r="M301" t="str">
        <f>IF(LEN(TRIM(B301))=0,"",IF(ISERROR(VLOOKUP(RIGHT(B301,4),study_demographic!A:A,1,FALSE)),"NOT FOUND!!!", "OK"))</f>
        <v/>
      </c>
    </row>
    <row r="302" spans="1:13" x14ac:dyDescent="0.25">
      <c r="A302" t="str">
        <f t="shared" si="25"/>
        <v/>
      </c>
      <c r="B302" t="str">
        <f t="shared" si="26"/>
        <v/>
      </c>
      <c r="C302" s="55" t="str">
        <f>IF(LEN(TRIM(A302))=0,"",get_string_val(RIGHT(B302,4)))</f>
        <v/>
      </c>
      <c r="D302" t="str">
        <f>IF(LEN(TRIM(A302))=0,"",GetItemValueFromSpecimenHeader("timepoint"))</f>
        <v/>
      </c>
      <c r="E302" t="str">
        <f t="shared" si="27"/>
        <v/>
      </c>
      <c r="F302" t="str">
        <f t="shared" si="28"/>
        <v/>
      </c>
      <c r="G302" t="str">
        <f t="shared" si="24"/>
        <v/>
      </c>
      <c r="H302" t="str">
        <f>IF(LEN(TRIM(A302))=0,"",GetConfigParameterValue("Collection Site"))</f>
        <v/>
      </c>
      <c r="I302" t="str">
        <f t="shared" si="29"/>
        <v/>
      </c>
      <c r="M302" t="str">
        <f>IF(LEN(TRIM(B302))=0,"",IF(ISERROR(VLOOKUP(RIGHT(B302,4),study_demographic!A:A,1,FALSE)),"NOT FOUND!!!", "OK"))</f>
        <v/>
      </c>
    </row>
    <row r="303" spans="1:13" x14ac:dyDescent="0.25">
      <c r="A303" t="str">
        <f t="shared" si="25"/>
        <v/>
      </c>
      <c r="B303" t="str">
        <f t="shared" si="26"/>
        <v/>
      </c>
      <c r="C303" s="55" t="str">
        <f>IF(LEN(TRIM(A303))=0,"",get_string_val(RIGHT(B303,4)))</f>
        <v/>
      </c>
      <c r="D303" t="str">
        <f>IF(LEN(TRIM(A303))=0,"",GetItemValueFromSpecimenHeader("timepoint"))</f>
        <v/>
      </c>
      <c r="E303" t="str">
        <f t="shared" si="27"/>
        <v/>
      </c>
      <c r="F303" t="str">
        <f t="shared" si="28"/>
        <v/>
      </c>
      <c r="G303" t="str">
        <f t="shared" si="24"/>
        <v/>
      </c>
      <c r="H303" t="str">
        <f>IF(LEN(TRIM(A303))=0,"",GetConfigParameterValue("Collection Site"))</f>
        <v/>
      </c>
      <c r="I303" t="str">
        <f t="shared" si="29"/>
        <v/>
      </c>
      <c r="M303" t="str">
        <f>IF(LEN(TRIM(B303))=0,"",IF(ISERROR(VLOOKUP(RIGHT(B303,4),study_demographic!A:A,1,FALSE)),"NOT FOUND!!!", "OK"))</f>
        <v/>
      </c>
    </row>
    <row r="304" spans="1:13" x14ac:dyDescent="0.25">
      <c r="A304" t="str">
        <f t="shared" si="25"/>
        <v/>
      </c>
      <c r="B304" t="str">
        <f t="shared" si="26"/>
        <v/>
      </c>
      <c r="C304" s="55" t="str">
        <f>IF(LEN(TRIM(A304))=0,"",get_string_val(RIGHT(B304,4)))</f>
        <v/>
      </c>
      <c r="D304" t="str">
        <f>IF(LEN(TRIM(A304))=0,"",GetItemValueFromSpecimenHeader("timepoint"))</f>
        <v/>
      </c>
      <c r="E304" t="str">
        <f t="shared" si="27"/>
        <v/>
      </c>
      <c r="F304" t="str">
        <f t="shared" si="28"/>
        <v/>
      </c>
      <c r="G304" t="str">
        <f t="shared" si="24"/>
        <v/>
      </c>
      <c r="H304" t="str">
        <f>IF(LEN(TRIM(A304))=0,"",GetConfigParameterValue("Collection Site"))</f>
        <v/>
      </c>
      <c r="I304" t="str">
        <f t="shared" si="29"/>
        <v/>
      </c>
      <c r="M304" t="str">
        <f>IF(LEN(TRIM(B304))=0,"",IF(ISERROR(VLOOKUP(RIGHT(B304,4),study_demographic!A:A,1,FALSE)),"NOT FOUND!!!", "OK"))</f>
        <v/>
      </c>
    </row>
    <row r="305" spans="1:13" x14ac:dyDescent="0.25">
      <c r="A305" t="str">
        <f t="shared" si="25"/>
        <v/>
      </c>
      <c r="B305" t="str">
        <f t="shared" si="26"/>
        <v/>
      </c>
      <c r="C305" s="55" t="str">
        <f>IF(LEN(TRIM(A305))=0,"",get_string_val(RIGHT(B305,4)))</f>
        <v/>
      </c>
      <c r="D305" t="str">
        <f>IF(LEN(TRIM(A305))=0,"",GetItemValueFromSpecimenHeader("timepoint"))</f>
        <v/>
      </c>
      <c r="E305" t="str">
        <f t="shared" si="27"/>
        <v/>
      </c>
      <c r="F305" t="str">
        <f t="shared" si="28"/>
        <v/>
      </c>
      <c r="G305" t="str">
        <f t="shared" si="24"/>
        <v/>
      </c>
      <c r="H305" t="str">
        <f>IF(LEN(TRIM(A305))=0,"",GetConfigParameterValue("Collection Site"))</f>
        <v/>
      </c>
      <c r="I305" t="str">
        <f t="shared" si="29"/>
        <v/>
      </c>
      <c r="M305" t="str">
        <f>IF(LEN(TRIM(B305))=0,"",IF(ISERROR(VLOOKUP(RIGHT(B305,4),study_demographic!A:A,1,FALSE)),"NOT FOUND!!!", "OK"))</f>
        <v/>
      </c>
    </row>
    <row r="306" spans="1:13" x14ac:dyDescent="0.25">
      <c r="A306" t="str">
        <f t="shared" si="25"/>
        <v/>
      </c>
      <c r="B306" t="str">
        <f t="shared" si="26"/>
        <v/>
      </c>
      <c r="C306" s="55" t="str">
        <f>IF(LEN(TRIM(A306))=0,"",get_string_val(RIGHT(B306,4)))</f>
        <v/>
      </c>
      <c r="D306" t="str">
        <f>IF(LEN(TRIM(A306))=0,"",GetItemValueFromSpecimenHeader("timepoint"))</f>
        <v/>
      </c>
      <c r="E306" t="str">
        <f t="shared" si="27"/>
        <v/>
      </c>
      <c r="F306" t="str">
        <f t="shared" si="28"/>
        <v/>
      </c>
      <c r="G306" t="str">
        <f t="shared" si="24"/>
        <v/>
      </c>
      <c r="H306" t="str">
        <f>IF(LEN(TRIM(A306))=0,"",GetConfigParameterValue("Collection Site"))</f>
        <v/>
      </c>
      <c r="I306" t="str">
        <f t="shared" si="29"/>
        <v/>
      </c>
      <c r="M306" t="str">
        <f>IF(LEN(TRIM(B306))=0,"",IF(ISERROR(VLOOKUP(RIGHT(B306,4),study_demographic!A:A,1,FALSE)),"NOT FOUND!!!", "OK"))</f>
        <v/>
      </c>
    </row>
    <row r="307" spans="1:13" x14ac:dyDescent="0.25">
      <c r="A307" t="str">
        <f t="shared" si="25"/>
        <v/>
      </c>
      <c r="B307" t="str">
        <f t="shared" si="26"/>
        <v/>
      </c>
      <c r="C307" s="55" t="str">
        <f>IF(LEN(TRIM(A307))=0,"",get_string_val(RIGHT(B307,4)))</f>
        <v/>
      </c>
      <c r="D307" t="str">
        <f>IF(LEN(TRIM(A307))=0,"",GetItemValueFromSpecimenHeader("timepoint"))</f>
        <v/>
      </c>
      <c r="E307" t="str">
        <f t="shared" si="27"/>
        <v/>
      </c>
      <c r="F307" t="str">
        <f t="shared" si="28"/>
        <v/>
      </c>
      <c r="G307" t="str">
        <f t="shared" si="24"/>
        <v/>
      </c>
      <c r="H307" t="str">
        <f>IF(LEN(TRIM(A307))=0,"",GetConfigParameterValue("Collection Site"))</f>
        <v/>
      </c>
      <c r="I307" t="str">
        <f t="shared" si="29"/>
        <v/>
      </c>
      <c r="M307" t="str">
        <f>IF(LEN(TRIM(B307))=0,"",IF(ISERROR(VLOOKUP(RIGHT(B307,4),study_demographic!A:A,1,FALSE)),"NOT FOUND!!!", "OK"))</f>
        <v/>
      </c>
    </row>
    <row r="308" spans="1:13" x14ac:dyDescent="0.25">
      <c r="A308" t="str">
        <f t="shared" si="25"/>
        <v/>
      </c>
      <c r="B308" t="str">
        <f t="shared" si="26"/>
        <v/>
      </c>
      <c r="C308" s="55" t="str">
        <f>IF(LEN(TRIM(A308))=0,"",get_string_val(RIGHT(B308,4)))</f>
        <v/>
      </c>
      <c r="D308" t="str">
        <f>IF(LEN(TRIM(A308))=0,"",GetItemValueFromSpecimenHeader("timepoint"))</f>
        <v/>
      </c>
      <c r="E308" t="str">
        <f t="shared" si="27"/>
        <v/>
      </c>
      <c r="F308" t="str">
        <f t="shared" si="28"/>
        <v/>
      </c>
      <c r="G308" t="str">
        <f t="shared" si="24"/>
        <v/>
      </c>
      <c r="H308" t="str">
        <f>IF(LEN(TRIM(A308))=0,"",GetConfigParameterValue("Collection Site"))</f>
        <v/>
      </c>
      <c r="I308" t="str">
        <f t="shared" si="29"/>
        <v/>
      </c>
      <c r="M308" t="str">
        <f>IF(LEN(TRIM(B308))=0,"",IF(ISERROR(VLOOKUP(RIGHT(B308,4),study_demographic!A:A,1,FALSE)),"NOT FOUND!!!", "OK"))</f>
        <v/>
      </c>
    </row>
    <row r="309" spans="1:13" x14ac:dyDescent="0.25">
      <c r="A309" t="str">
        <f t="shared" si="25"/>
        <v/>
      </c>
      <c r="B309" t="str">
        <f t="shared" si="26"/>
        <v/>
      </c>
      <c r="C309" s="55" t="str">
        <f>IF(LEN(TRIM(A309))=0,"",get_string_val(RIGHT(B309,4)))</f>
        <v/>
      </c>
      <c r="D309" t="str">
        <f>IF(LEN(TRIM(A309))=0,"",GetItemValueFromSpecimenHeader("timepoint"))</f>
        <v/>
      </c>
      <c r="E309" t="str">
        <f t="shared" si="27"/>
        <v/>
      </c>
      <c r="F309" t="str">
        <f t="shared" si="28"/>
        <v/>
      </c>
      <c r="G309" t="str">
        <f t="shared" si="24"/>
        <v/>
      </c>
      <c r="H309" t="str">
        <f>IF(LEN(TRIM(A309))=0,"",GetConfigParameterValue("Collection Site"))</f>
        <v/>
      </c>
      <c r="I309" t="str">
        <f t="shared" si="29"/>
        <v/>
      </c>
      <c r="M309" t="str">
        <f>IF(LEN(TRIM(B309))=0,"",IF(ISERROR(VLOOKUP(RIGHT(B309,4),study_demographic!A:A,1,FALSE)),"NOT FOUND!!!", "OK"))</f>
        <v/>
      </c>
    </row>
    <row r="310" spans="1:13" x14ac:dyDescent="0.25">
      <c r="A310" t="str">
        <f t="shared" si="25"/>
        <v/>
      </c>
      <c r="B310" t="str">
        <f t="shared" si="26"/>
        <v/>
      </c>
      <c r="C310" s="55" t="str">
        <f>IF(LEN(TRIM(A310))=0,"",get_string_val(RIGHT(B310,4)))</f>
        <v/>
      </c>
      <c r="D310" t="str">
        <f>IF(LEN(TRIM(A310))=0,"",GetItemValueFromSpecimenHeader("timepoint"))</f>
        <v/>
      </c>
      <c r="E310" t="str">
        <f t="shared" si="27"/>
        <v/>
      </c>
      <c r="F310" t="str">
        <f t="shared" si="28"/>
        <v/>
      </c>
      <c r="G310" t="str">
        <f t="shared" si="24"/>
        <v/>
      </c>
      <c r="H310" t="str">
        <f>IF(LEN(TRIM(A310))=0,"",GetConfigParameterValue("Collection Site"))</f>
        <v/>
      </c>
      <c r="I310" t="str">
        <f t="shared" si="29"/>
        <v/>
      </c>
      <c r="M310" t="str">
        <f>IF(LEN(TRIM(B310))=0,"",IF(ISERROR(VLOOKUP(RIGHT(B310,4),study_demographic!A:A,1,FALSE)),"NOT FOUND!!!", "OK"))</f>
        <v/>
      </c>
    </row>
    <row r="311" spans="1:13" x14ac:dyDescent="0.25">
      <c r="A311" t="str">
        <f t="shared" si="25"/>
        <v/>
      </c>
      <c r="B311" t="str">
        <f t="shared" si="26"/>
        <v/>
      </c>
      <c r="C311" s="55" t="str">
        <f>IF(LEN(TRIM(A311))=0,"",get_string_val(RIGHT(B311,4)))</f>
        <v/>
      </c>
      <c r="D311" t="str">
        <f>IF(LEN(TRIM(A311))=0,"",GetItemValueFromSpecimenHeader("timepoint"))</f>
        <v/>
      </c>
      <c r="E311" t="str">
        <f t="shared" si="27"/>
        <v/>
      </c>
      <c r="F311" t="str">
        <f t="shared" si="28"/>
        <v/>
      </c>
      <c r="G311" t="str">
        <f t="shared" si="24"/>
        <v/>
      </c>
      <c r="H311" t="str">
        <f>IF(LEN(TRIM(A311))=0,"",GetConfigParameterValue("Collection Site"))</f>
        <v/>
      </c>
      <c r="I311" t="str">
        <f t="shared" si="29"/>
        <v/>
      </c>
      <c r="M311" t="str">
        <f>IF(LEN(TRIM(B311))=0,"",IF(ISERROR(VLOOKUP(RIGHT(B311,4),study_demographic!A:A,1,FALSE)),"NOT FOUND!!!", "OK"))</f>
        <v/>
      </c>
    </row>
    <row r="312" spans="1:13" x14ac:dyDescent="0.25">
      <c r="A312" t="str">
        <f t="shared" si="25"/>
        <v/>
      </c>
      <c r="B312" t="str">
        <f t="shared" si="26"/>
        <v/>
      </c>
      <c r="C312" s="55" t="str">
        <f>IF(LEN(TRIM(A312))=0,"",get_string_val(RIGHT(B312,4)))</f>
        <v/>
      </c>
      <c r="D312" t="str">
        <f>IF(LEN(TRIM(A312))=0,"",GetItemValueFromSpecimenHeader("timepoint"))</f>
        <v/>
      </c>
      <c r="E312" t="str">
        <f t="shared" si="27"/>
        <v/>
      </c>
      <c r="F312" t="str">
        <f t="shared" si="28"/>
        <v/>
      </c>
      <c r="G312" t="str">
        <f t="shared" si="24"/>
        <v/>
      </c>
      <c r="H312" t="str">
        <f>IF(LEN(TRIM(A312))=0,"",GetConfigParameterValue("Collection Site"))</f>
        <v/>
      </c>
      <c r="I312" t="str">
        <f t="shared" si="29"/>
        <v/>
      </c>
      <c r="M312" t="str">
        <f>IF(LEN(TRIM(B312))=0,"",IF(ISERROR(VLOOKUP(RIGHT(B312,4),study_demographic!A:A,1,FALSE)),"NOT FOUND!!!", "OK"))</f>
        <v/>
      </c>
    </row>
    <row r="313" spans="1:13" x14ac:dyDescent="0.25">
      <c r="A313" t="str">
        <f t="shared" si="25"/>
        <v/>
      </c>
      <c r="B313" t="str">
        <f t="shared" si="26"/>
        <v/>
      </c>
      <c r="C313" s="55" t="str">
        <f>IF(LEN(TRIM(A313))=0,"",get_string_val(RIGHT(B313,4)))</f>
        <v/>
      </c>
      <c r="D313" t="str">
        <f>IF(LEN(TRIM(A313))=0,"",GetItemValueFromSpecimenHeader("timepoint"))</f>
        <v/>
      </c>
      <c r="E313" t="str">
        <f t="shared" si="27"/>
        <v/>
      </c>
      <c r="F313" t="str">
        <f t="shared" si="28"/>
        <v/>
      </c>
      <c r="G313" t="str">
        <f t="shared" si="24"/>
        <v/>
      </c>
      <c r="H313" t="str">
        <f>IF(LEN(TRIM(A313))=0,"",GetConfigParameterValue("Collection Site"))</f>
        <v/>
      </c>
      <c r="I313" t="str">
        <f t="shared" si="29"/>
        <v/>
      </c>
      <c r="M313" t="str">
        <f>IF(LEN(TRIM(B313))=0,"",IF(ISERROR(VLOOKUP(RIGHT(B313,4),study_demographic!A:A,1,FALSE)),"NOT FOUND!!!", "OK"))</f>
        <v/>
      </c>
    </row>
    <row r="314" spans="1:13" x14ac:dyDescent="0.25">
      <c r="A314" t="str">
        <f t="shared" si="25"/>
        <v/>
      </c>
      <c r="B314" t="str">
        <f t="shared" si="26"/>
        <v/>
      </c>
      <c r="C314" s="55" t="str">
        <f>IF(LEN(TRIM(A314))=0,"",get_string_val(RIGHT(B314,4)))</f>
        <v/>
      </c>
      <c r="D314" t="str">
        <f>IF(LEN(TRIM(A314))=0,"",GetItemValueFromSpecimenHeader("timepoint"))</f>
        <v/>
      </c>
      <c r="E314" t="str">
        <f t="shared" si="27"/>
        <v/>
      </c>
      <c r="F314" t="str">
        <f t="shared" si="28"/>
        <v/>
      </c>
      <c r="G314" t="str">
        <f t="shared" si="24"/>
        <v/>
      </c>
      <c r="H314" t="str">
        <f>IF(LEN(TRIM(A314))=0,"",GetConfigParameterValue("Collection Site"))</f>
        <v/>
      </c>
      <c r="I314" t="str">
        <f t="shared" si="29"/>
        <v/>
      </c>
      <c r="M314" t="str">
        <f>IF(LEN(TRIM(B314))=0,"",IF(ISERROR(VLOOKUP(RIGHT(B314,4),study_demographic!A:A,1,FALSE)),"NOT FOUND!!!", "OK"))</f>
        <v/>
      </c>
    </row>
    <row r="315" spans="1:13" x14ac:dyDescent="0.25">
      <c r="A315" t="str">
        <f t="shared" si="25"/>
        <v/>
      </c>
      <c r="B315" t="str">
        <f t="shared" si="26"/>
        <v/>
      </c>
      <c r="C315" s="55" t="str">
        <f>IF(LEN(TRIM(A315))=0,"",get_string_val(RIGHT(B315,4)))</f>
        <v/>
      </c>
      <c r="D315" t="str">
        <f>IF(LEN(TRIM(A315))=0,"",GetItemValueFromSpecimenHeader("timepoint"))</f>
        <v/>
      </c>
      <c r="E315" t="str">
        <f t="shared" si="27"/>
        <v/>
      </c>
      <c r="F315" t="str">
        <f t="shared" si="28"/>
        <v/>
      </c>
      <c r="G315" t="str">
        <f t="shared" si="24"/>
        <v/>
      </c>
      <c r="H315" t="str">
        <f>IF(LEN(TRIM(A315))=0,"",GetConfigParameterValue("Collection Site"))</f>
        <v/>
      </c>
      <c r="I315" t="str">
        <f t="shared" si="29"/>
        <v/>
      </c>
      <c r="M315" t="str">
        <f>IF(LEN(TRIM(B315))=0,"",IF(ISERROR(VLOOKUP(RIGHT(B315,4),study_demographic!A:A,1,FALSE)),"NOT FOUND!!!", "OK"))</f>
        <v/>
      </c>
    </row>
    <row r="316" spans="1:13" x14ac:dyDescent="0.25">
      <c r="A316" t="str">
        <f t="shared" si="25"/>
        <v/>
      </c>
      <c r="B316" t="str">
        <f t="shared" si="26"/>
        <v/>
      </c>
      <c r="C316" s="55" t="str">
        <f>IF(LEN(TRIM(A316))=0,"",get_string_val(RIGHT(B316,4)))</f>
        <v/>
      </c>
      <c r="D316" t="str">
        <f>IF(LEN(TRIM(A316))=0,"",GetItemValueFromSpecimenHeader("timepoint"))</f>
        <v/>
      </c>
      <c r="E316" t="str">
        <f t="shared" si="27"/>
        <v/>
      </c>
      <c r="F316" t="str">
        <f t="shared" si="28"/>
        <v/>
      </c>
      <c r="G316" t="str">
        <f t="shared" si="24"/>
        <v/>
      </c>
      <c r="H316" t="str">
        <f>IF(LEN(TRIM(A316))=0,"",GetConfigParameterValue("Collection Site"))</f>
        <v/>
      </c>
      <c r="I316" t="str">
        <f t="shared" si="29"/>
        <v/>
      </c>
      <c r="M316" t="str">
        <f>IF(LEN(TRIM(B316))=0,"",IF(ISERROR(VLOOKUP(RIGHT(B316,4),study_demographic!A:A,1,FALSE)),"NOT FOUND!!!", "OK"))</f>
        <v/>
      </c>
    </row>
    <row r="317" spans="1:13" x14ac:dyDescent="0.25">
      <c r="A317" t="str">
        <f t="shared" si="25"/>
        <v/>
      </c>
      <c r="B317" t="str">
        <f t="shared" si="26"/>
        <v/>
      </c>
      <c r="C317" s="55" t="str">
        <f>IF(LEN(TRIM(A317))=0,"",get_string_val(RIGHT(B317,4)))</f>
        <v/>
      </c>
      <c r="D317" t="str">
        <f>IF(LEN(TRIM(A317))=0,"",GetItemValueFromSpecimenHeader("timepoint"))</f>
        <v/>
      </c>
      <c r="E317" t="str">
        <f t="shared" si="27"/>
        <v/>
      </c>
      <c r="F317" t="str">
        <f t="shared" si="28"/>
        <v/>
      </c>
      <c r="G317" t="str">
        <f t="shared" si="24"/>
        <v/>
      </c>
      <c r="H317" t="str">
        <f>IF(LEN(TRIM(A317))=0,"",GetConfigParameterValue("Collection Site"))</f>
        <v/>
      </c>
      <c r="I317" t="str">
        <f t="shared" si="29"/>
        <v/>
      </c>
      <c r="M317" t="str">
        <f>IF(LEN(TRIM(B317))=0,"",IF(ISERROR(VLOOKUP(RIGHT(B317,4),study_demographic!A:A,1,FALSE)),"NOT FOUND!!!", "OK"))</f>
        <v/>
      </c>
    </row>
    <row r="318" spans="1:13" x14ac:dyDescent="0.25">
      <c r="A318" t="str">
        <f t="shared" si="25"/>
        <v/>
      </c>
      <c r="B318" t="str">
        <f t="shared" si="26"/>
        <v/>
      </c>
      <c r="C318" s="55" t="str">
        <f>IF(LEN(TRIM(A318))=0,"",get_string_val(RIGHT(B318,4)))</f>
        <v/>
      </c>
      <c r="D318" t="str">
        <f>IF(LEN(TRIM(A318))=0,"",GetItemValueFromSpecimenHeader("timepoint"))</f>
        <v/>
      </c>
      <c r="E318" t="str">
        <f t="shared" si="27"/>
        <v/>
      </c>
      <c r="F318" t="str">
        <f t="shared" si="28"/>
        <v/>
      </c>
      <c r="G318" t="str">
        <f t="shared" si="24"/>
        <v/>
      </c>
      <c r="H318" t="str">
        <f>IF(LEN(TRIM(A318))=0,"",GetConfigParameterValue("Collection Site"))</f>
        <v/>
      </c>
      <c r="I318" t="str">
        <f t="shared" si="29"/>
        <v/>
      </c>
      <c r="M318" t="str">
        <f>IF(LEN(TRIM(B318))=0,"",IF(ISERROR(VLOOKUP(RIGHT(B318,4),study_demographic!A:A,1,FALSE)),"NOT FOUND!!!", "OK"))</f>
        <v/>
      </c>
    </row>
    <row r="319" spans="1:13" x14ac:dyDescent="0.25">
      <c r="A319" t="str">
        <f t="shared" si="25"/>
        <v/>
      </c>
      <c r="B319" t="str">
        <f t="shared" si="26"/>
        <v/>
      </c>
      <c r="C319" s="55" t="str">
        <f>IF(LEN(TRIM(A319))=0,"",get_string_val(RIGHT(B319,4)))</f>
        <v/>
      </c>
      <c r="D319" t="str">
        <f>IF(LEN(TRIM(A319))=0,"",GetItemValueFromSpecimenHeader("timepoint"))</f>
        <v/>
      </c>
      <c r="E319" t="str">
        <f t="shared" si="27"/>
        <v/>
      </c>
      <c r="F319" t="str">
        <f t="shared" si="28"/>
        <v/>
      </c>
      <c r="G319" t="str">
        <f t="shared" si="24"/>
        <v/>
      </c>
      <c r="H319" t="str">
        <f>IF(LEN(TRIM(A319))=0,"",GetConfigParameterValue("Collection Site"))</f>
        <v/>
      </c>
      <c r="I319" t="str">
        <f t="shared" si="29"/>
        <v/>
      </c>
      <c r="M319" t="str">
        <f>IF(LEN(TRIM(B319))=0,"",IF(ISERROR(VLOOKUP(RIGHT(B319,4),study_demographic!A:A,1,FALSE)),"NOT FOUND!!!", "OK"))</f>
        <v/>
      </c>
    </row>
    <row r="320" spans="1:13" x14ac:dyDescent="0.25">
      <c r="A320" t="str">
        <f t="shared" si="25"/>
        <v/>
      </c>
      <c r="B320" t="str">
        <f t="shared" si="26"/>
        <v/>
      </c>
      <c r="C320" s="55" t="str">
        <f>IF(LEN(TRIM(A320))=0,"",get_string_val(RIGHT(B320,4)))</f>
        <v/>
      </c>
      <c r="D320" t="str">
        <f>IF(LEN(TRIM(A320))=0,"",GetItemValueFromSpecimenHeader("timepoint"))</f>
        <v/>
      </c>
      <c r="E320" t="str">
        <f t="shared" si="27"/>
        <v/>
      </c>
      <c r="F320" t="str">
        <f t="shared" si="28"/>
        <v/>
      </c>
      <c r="G320" t="str">
        <f t="shared" si="24"/>
        <v/>
      </c>
      <c r="H320" t="str">
        <f>IF(LEN(TRIM(A320))=0,"",GetConfigParameterValue("Collection Site"))</f>
        <v/>
      </c>
      <c r="I320" t="str">
        <f t="shared" si="29"/>
        <v/>
      </c>
      <c r="M320" t="str">
        <f>IF(LEN(TRIM(B320))=0,"",IF(ISERROR(VLOOKUP(RIGHT(B320,4),study_demographic!A:A,1,FALSE)),"NOT FOUND!!!", "OK"))</f>
        <v/>
      </c>
    </row>
    <row r="321" spans="1:13" x14ac:dyDescent="0.25">
      <c r="A321" t="str">
        <f t="shared" si="25"/>
        <v/>
      </c>
      <c r="B321" t="str">
        <f t="shared" si="26"/>
        <v/>
      </c>
      <c r="C321" s="55" t="str">
        <f>IF(LEN(TRIM(A321))=0,"",get_string_val(RIGHT(B321,4)))</f>
        <v/>
      </c>
      <c r="D321" t="str">
        <f>IF(LEN(TRIM(A321))=0,"",GetItemValueFromSpecimenHeader("timepoint"))</f>
        <v/>
      </c>
      <c r="E321" t="str">
        <f t="shared" si="27"/>
        <v/>
      </c>
      <c r="F321" t="str">
        <f t="shared" si="28"/>
        <v/>
      </c>
      <c r="G321" t="str">
        <f t="shared" si="24"/>
        <v/>
      </c>
      <c r="H321" t="str">
        <f>IF(LEN(TRIM(A321))=0,"",GetConfigParameterValue("Collection Site"))</f>
        <v/>
      </c>
      <c r="I321" t="str">
        <f t="shared" si="29"/>
        <v/>
      </c>
      <c r="M321" t="str">
        <f>IF(LEN(TRIM(B321))=0,"",IF(ISERROR(VLOOKUP(RIGHT(B321,4),study_demographic!A:A,1,FALSE)),"NOT FOUND!!!", "OK"))</f>
        <v/>
      </c>
    </row>
    <row r="322" spans="1:13" x14ac:dyDescent="0.25">
      <c r="A322" t="str">
        <f t="shared" si="25"/>
        <v/>
      </c>
      <c r="B322" t="str">
        <f t="shared" si="26"/>
        <v/>
      </c>
      <c r="C322" s="55" t="str">
        <f>IF(LEN(TRIM(A322))=0,"",get_string_val(RIGHT(B322,4)))</f>
        <v/>
      </c>
      <c r="D322" t="str">
        <f>IF(LEN(TRIM(A322))=0,"",GetItemValueFromSpecimenHeader("timepoint"))</f>
        <v/>
      </c>
      <c r="E322" t="str">
        <f t="shared" si="27"/>
        <v/>
      </c>
      <c r="F322" t="str">
        <f t="shared" si="28"/>
        <v/>
      </c>
      <c r="G322" t="str">
        <f t="shared" ref="G322:G385" si="30">IF(LEN(TRIM(A322))=0,"",IF(TRIM(F322)="1","Male", IF(TRIM(F322)="2","Female", "NA")))</f>
        <v/>
      </c>
      <c r="H322" t="str">
        <f>IF(LEN(TRIM(A322))=0,"",GetConfigParameterValue("Collection Site"))</f>
        <v/>
      </c>
      <c r="I322" t="str">
        <f t="shared" si="29"/>
        <v/>
      </c>
      <c r="M322" t="str">
        <f>IF(LEN(TRIM(B322))=0,"",IF(ISERROR(VLOOKUP(RIGHT(B322,4),study_demographic!A:A,1,FALSE)),"NOT FOUND!!!", "OK"))</f>
        <v/>
      </c>
    </row>
    <row r="323" spans="1:13" x14ac:dyDescent="0.25">
      <c r="A323" t="str">
        <f t="shared" ref="A323:A386" si="31">GetSampleId((ROW()))</f>
        <v/>
      </c>
      <c r="B323" t="str">
        <f t="shared" ref="B323:B386" si="32">IF(LEN(TRIM(A323))=0,"",LEFT(A323,7))</f>
        <v/>
      </c>
      <c r="C323" s="55" t="str">
        <f>IF(LEN(TRIM(A323))=0,"",get_string_val(RIGHT(B323,4)))</f>
        <v/>
      </c>
      <c r="D323" t="str">
        <f>IF(LEN(TRIM(A323))=0,"",GetItemValueFromSpecimenHeader("timepoint"))</f>
        <v/>
      </c>
      <c r="E323" t="str">
        <f t="shared" ref="E323:E386" si="33">getColumnValueBySubjectID("Age",RIGHT(B323,4))</f>
        <v/>
      </c>
      <c r="F323" t="str">
        <f t="shared" ref="F323:F386" si="34">getColumnValueBySubjectID("Sex",RIGHT(B323,4))</f>
        <v/>
      </c>
      <c r="G323" t="str">
        <f t="shared" si="30"/>
        <v/>
      </c>
      <c r="H323" t="str">
        <f>IF(LEN(TRIM(A323))=0,"",GetConfigParameterValue("Collection Site"))</f>
        <v/>
      </c>
      <c r="I323" t="str">
        <f t="shared" ref="I323:I386" si="35">getColumnValueBySubjectID("Comments",B323)</f>
        <v/>
      </c>
      <c r="M323" t="str">
        <f>IF(LEN(TRIM(B323))=0,"",IF(ISERROR(VLOOKUP(RIGHT(B323,4),study_demographic!A:A,1,FALSE)),"NOT FOUND!!!", "OK"))</f>
        <v/>
      </c>
    </row>
    <row r="324" spans="1:13" x14ac:dyDescent="0.25">
      <c r="A324" t="str">
        <f t="shared" si="31"/>
        <v/>
      </c>
      <c r="B324" t="str">
        <f t="shared" si="32"/>
        <v/>
      </c>
      <c r="C324" s="55" t="str">
        <f>IF(LEN(TRIM(A324))=0,"",get_string_val(RIGHT(B324,4)))</f>
        <v/>
      </c>
      <c r="D324" t="str">
        <f>IF(LEN(TRIM(A324))=0,"",GetItemValueFromSpecimenHeader("timepoint"))</f>
        <v/>
      </c>
      <c r="E324" t="str">
        <f t="shared" si="33"/>
        <v/>
      </c>
      <c r="F324" t="str">
        <f t="shared" si="34"/>
        <v/>
      </c>
      <c r="G324" t="str">
        <f t="shared" si="30"/>
        <v/>
      </c>
      <c r="H324" t="str">
        <f>IF(LEN(TRIM(A324))=0,"",GetConfigParameterValue("Collection Site"))</f>
        <v/>
      </c>
      <c r="I324" t="str">
        <f t="shared" si="35"/>
        <v/>
      </c>
      <c r="M324" t="str">
        <f>IF(LEN(TRIM(B324))=0,"",IF(ISERROR(VLOOKUP(RIGHT(B324,4),study_demographic!A:A,1,FALSE)),"NOT FOUND!!!", "OK"))</f>
        <v/>
      </c>
    </row>
    <row r="325" spans="1:13" x14ac:dyDescent="0.25">
      <c r="A325" t="str">
        <f t="shared" si="31"/>
        <v/>
      </c>
      <c r="B325" t="str">
        <f t="shared" si="32"/>
        <v/>
      </c>
      <c r="C325" s="55" t="str">
        <f>IF(LEN(TRIM(A325))=0,"",get_string_val(RIGHT(B325,4)))</f>
        <v/>
      </c>
      <c r="D325" t="str">
        <f>IF(LEN(TRIM(A325))=0,"",GetItemValueFromSpecimenHeader("timepoint"))</f>
        <v/>
      </c>
      <c r="E325" t="str">
        <f t="shared" si="33"/>
        <v/>
      </c>
      <c r="F325" t="str">
        <f t="shared" si="34"/>
        <v/>
      </c>
      <c r="G325" t="str">
        <f t="shared" si="30"/>
        <v/>
      </c>
      <c r="H325" t="str">
        <f>IF(LEN(TRIM(A325))=0,"",GetConfigParameterValue("Collection Site"))</f>
        <v/>
      </c>
      <c r="I325" t="str">
        <f t="shared" si="35"/>
        <v/>
      </c>
      <c r="M325" t="str">
        <f>IF(LEN(TRIM(B325))=0,"",IF(ISERROR(VLOOKUP(RIGHT(B325,4),study_demographic!A:A,1,FALSE)),"NOT FOUND!!!", "OK"))</f>
        <v/>
      </c>
    </row>
    <row r="326" spans="1:13" x14ac:dyDescent="0.25">
      <c r="A326" t="str">
        <f t="shared" si="31"/>
        <v/>
      </c>
      <c r="B326" t="str">
        <f t="shared" si="32"/>
        <v/>
      </c>
      <c r="C326" s="55" t="str">
        <f>IF(LEN(TRIM(A326))=0,"",get_string_val(RIGHT(B326,4)))</f>
        <v/>
      </c>
      <c r="D326" t="str">
        <f>IF(LEN(TRIM(A326))=0,"",GetItemValueFromSpecimenHeader("timepoint"))</f>
        <v/>
      </c>
      <c r="E326" t="str">
        <f t="shared" si="33"/>
        <v/>
      </c>
      <c r="F326" t="str">
        <f t="shared" si="34"/>
        <v/>
      </c>
      <c r="G326" t="str">
        <f t="shared" si="30"/>
        <v/>
      </c>
      <c r="H326" t="str">
        <f>IF(LEN(TRIM(A326))=0,"",GetConfigParameterValue("Collection Site"))</f>
        <v/>
      </c>
      <c r="I326" t="str">
        <f t="shared" si="35"/>
        <v/>
      </c>
      <c r="M326" t="str">
        <f>IF(LEN(TRIM(B326))=0,"",IF(ISERROR(VLOOKUP(RIGHT(B326,4),study_demographic!A:A,1,FALSE)),"NOT FOUND!!!", "OK"))</f>
        <v/>
      </c>
    </row>
    <row r="327" spans="1:13" x14ac:dyDescent="0.25">
      <c r="A327" t="str">
        <f t="shared" si="31"/>
        <v/>
      </c>
      <c r="B327" t="str">
        <f t="shared" si="32"/>
        <v/>
      </c>
      <c r="C327" s="55" t="str">
        <f>IF(LEN(TRIM(A327))=0,"",get_string_val(RIGHT(B327,4)))</f>
        <v/>
      </c>
      <c r="D327" t="str">
        <f>IF(LEN(TRIM(A327))=0,"",GetItemValueFromSpecimenHeader("timepoint"))</f>
        <v/>
      </c>
      <c r="E327" t="str">
        <f t="shared" si="33"/>
        <v/>
      </c>
      <c r="F327" t="str">
        <f t="shared" si="34"/>
        <v/>
      </c>
      <c r="G327" t="str">
        <f t="shared" si="30"/>
        <v/>
      </c>
      <c r="H327" t="str">
        <f>IF(LEN(TRIM(A327))=0,"",GetConfigParameterValue("Collection Site"))</f>
        <v/>
      </c>
      <c r="I327" t="str">
        <f t="shared" si="35"/>
        <v/>
      </c>
      <c r="M327" t="str">
        <f>IF(LEN(TRIM(B327))=0,"",IF(ISERROR(VLOOKUP(RIGHT(B327,4),study_demographic!A:A,1,FALSE)),"NOT FOUND!!!", "OK"))</f>
        <v/>
      </c>
    </row>
    <row r="328" spans="1:13" x14ac:dyDescent="0.25">
      <c r="A328" t="str">
        <f t="shared" si="31"/>
        <v/>
      </c>
      <c r="B328" t="str">
        <f t="shared" si="32"/>
        <v/>
      </c>
      <c r="C328" s="55" t="str">
        <f>IF(LEN(TRIM(A328))=0,"",get_string_val(RIGHT(B328,4)))</f>
        <v/>
      </c>
      <c r="D328" t="str">
        <f>IF(LEN(TRIM(A328))=0,"",GetItemValueFromSpecimenHeader("timepoint"))</f>
        <v/>
      </c>
      <c r="E328" t="str">
        <f t="shared" si="33"/>
        <v/>
      </c>
      <c r="F328" t="str">
        <f t="shared" si="34"/>
        <v/>
      </c>
      <c r="G328" t="str">
        <f t="shared" si="30"/>
        <v/>
      </c>
      <c r="H328" t="str">
        <f>IF(LEN(TRIM(A328))=0,"",GetConfigParameterValue("Collection Site"))</f>
        <v/>
      </c>
      <c r="I328" t="str">
        <f t="shared" si="35"/>
        <v/>
      </c>
      <c r="M328" t="str">
        <f>IF(LEN(TRIM(B328))=0,"",IF(ISERROR(VLOOKUP(RIGHT(B328,4),study_demographic!A:A,1,FALSE)),"NOT FOUND!!!", "OK"))</f>
        <v/>
      </c>
    </row>
    <row r="329" spans="1:13" x14ac:dyDescent="0.25">
      <c r="A329" t="str">
        <f t="shared" si="31"/>
        <v/>
      </c>
      <c r="B329" t="str">
        <f t="shared" si="32"/>
        <v/>
      </c>
      <c r="C329" s="55" t="str">
        <f>IF(LEN(TRIM(A329))=0,"",get_string_val(RIGHT(B329,4)))</f>
        <v/>
      </c>
      <c r="D329" t="str">
        <f>IF(LEN(TRIM(A329))=0,"",GetItemValueFromSpecimenHeader("timepoint"))</f>
        <v/>
      </c>
      <c r="E329" t="str">
        <f t="shared" si="33"/>
        <v/>
      </c>
      <c r="F329" t="str">
        <f t="shared" si="34"/>
        <v/>
      </c>
      <c r="G329" t="str">
        <f t="shared" si="30"/>
        <v/>
      </c>
      <c r="H329" t="str">
        <f>IF(LEN(TRIM(A329))=0,"",GetConfigParameterValue("Collection Site"))</f>
        <v/>
      </c>
      <c r="I329" t="str">
        <f t="shared" si="35"/>
        <v/>
      </c>
      <c r="M329" t="str">
        <f>IF(LEN(TRIM(B329))=0,"",IF(ISERROR(VLOOKUP(RIGHT(B329,4),study_demographic!A:A,1,FALSE)),"NOT FOUND!!!", "OK"))</f>
        <v/>
      </c>
    </row>
    <row r="330" spans="1:13" x14ac:dyDescent="0.25">
      <c r="A330" t="str">
        <f t="shared" si="31"/>
        <v/>
      </c>
      <c r="B330" t="str">
        <f t="shared" si="32"/>
        <v/>
      </c>
      <c r="C330" s="55" t="str">
        <f>IF(LEN(TRIM(A330))=0,"",get_string_val(RIGHT(B330,4)))</f>
        <v/>
      </c>
      <c r="D330" t="str">
        <f>IF(LEN(TRIM(A330))=0,"",GetItemValueFromSpecimenHeader("timepoint"))</f>
        <v/>
      </c>
      <c r="E330" t="str">
        <f t="shared" si="33"/>
        <v/>
      </c>
      <c r="F330" t="str">
        <f t="shared" si="34"/>
        <v/>
      </c>
      <c r="G330" t="str">
        <f t="shared" si="30"/>
        <v/>
      </c>
      <c r="H330" t="str">
        <f>IF(LEN(TRIM(A330))=0,"",GetConfigParameterValue("Collection Site"))</f>
        <v/>
      </c>
      <c r="I330" t="str">
        <f t="shared" si="35"/>
        <v/>
      </c>
      <c r="M330" t="str">
        <f>IF(LEN(TRIM(B330))=0,"",IF(ISERROR(VLOOKUP(RIGHT(B330,4),study_demographic!A:A,1,FALSE)),"NOT FOUND!!!", "OK"))</f>
        <v/>
      </c>
    </row>
    <row r="331" spans="1:13" x14ac:dyDescent="0.25">
      <c r="A331" t="str">
        <f t="shared" si="31"/>
        <v/>
      </c>
      <c r="B331" t="str">
        <f t="shared" si="32"/>
        <v/>
      </c>
      <c r="C331" s="55" t="str">
        <f>IF(LEN(TRIM(A331))=0,"",get_string_val(RIGHT(B331,4)))</f>
        <v/>
      </c>
      <c r="D331" t="str">
        <f>IF(LEN(TRIM(A331))=0,"",GetItemValueFromSpecimenHeader("timepoint"))</f>
        <v/>
      </c>
      <c r="E331" t="str">
        <f t="shared" si="33"/>
        <v/>
      </c>
      <c r="F331" t="str">
        <f t="shared" si="34"/>
        <v/>
      </c>
      <c r="G331" t="str">
        <f t="shared" si="30"/>
        <v/>
      </c>
      <c r="H331" t="str">
        <f>IF(LEN(TRIM(A331))=0,"",GetConfigParameterValue("Collection Site"))</f>
        <v/>
      </c>
      <c r="I331" t="str">
        <f t="shared" si="35"/>
        <v/>
      </c>
      <c r="M331" t="str">
        <f>IF(LEN(TRIM(B331))=0,"",IF(ISERROR(VLOOKUP(RIGHT(B331,4),study_demographic!A:A,1,FALSE)),"NOT FOUND!!!", "OK"))</f>
        <v/>
      </c>
    </row>
    <row r="332" spans="1:13" x14ac:dyDescent="0.25">
      <c r="A332" t="str">
        <f t="shared" si="31"/>
        <v/>
      </c>
      <c r="B332" t="str">
        <f t="shared" si="32"/>
        <v/>
      </c>
      <c r="C332" s="55" t="str">
        <f>IF(LEN(TRIM(A332))=0,"",get_string_val(RIGHT(B332,4)))</f>
        <v/>
      </c>
      <c r="D332" t="str">
        <f>IF(LEN(TRIM(A332))=0,"",GetItemValueFromSpecimenHeader("timepoint"))</f>
        <v/>
      </c>
      <c r="E332" t="str">
        <f t="shared" si="33"/>
        <v/>
      </c>
      <c r="F332" t="str">
        <f t="shared" si="34"/>
        <v/>
      </c>
      <c r="G332" t="str">
        <f t="shared" si="30"/>
        <v/>
      </c>
      <c r="H332" t="str">
        <f>IF(LEN(TRIM(A332))=0,"",GetConfigParameterValue("Collection Site"))</f>
        <v/>
      </c>
      <c r="I332" t="str">
        <f t="shared" si="35"/>
        <v/>
      </c>
      <c r="M332" t="str">
        <f>IF(LEN(TRIM(B332))=0,"",IF(ISERROR(VLOOKUP(RIGHT(B332,4),study_demographic!A:A,1,FALSE)),"NOT FOUND!!!", "OK"))</f>
        <v/>
      </c>
    </row>
    <row r="333" spans="1:13" x14ac:dyDescent="0.25">
      <c r="A333" t="str">
        <f t="shared" si="31"/>
        <v/>
      </c>
      <c r="B333" t="str">
        <f t="shared" si="32"/>
        <v/>
      </c>
      <c r="C333" s="55" t="str">
        <f>IF(LEN(TRIM(A333))=0,"",get_string_val(RIGHT(B333,4)))</f>
        <v/>
      </c>
      <c r="D333" t="str">
        <f>IF(LEN(TRIM(A333))=0,"",GetItemValueFromSpecimenHeader("timepoint"))</f>
        <v/>
      </c>
      <c r="E333" t="str">
        <f t="shared" si="33"/>
        <v/>
      </c>
      <c r="F333" t="str">
        <f t="shared" si="34"/>
        <v/>
      </c>
      <c r="G333" t="str">
        <f t="shared" si="30"/>
        <v/>
      </c>
      <c r="H333" t="str">
        <f>IF(LEN(TRIM(A333))=0,"",GetConfigParameterValue("Collection Site"))</f>
        <v/>
      </c>
      <c r="I333" t="str">
        <f t="shared" si="35"/>
        <v/>
      </c>
      <c r="M333" t="str">
        <f>IF(LEN(TRIM(B333))=0,"",IF(ISERROR(VLOOKUP(RIGHT(B333,4),study_demographic!A:A,1,FALSE)),"NOT FOUND!!!", "OK"))</f>
        <v/>
      </c>
    </row>
    <row r="334" spans="1:13" x14ac:dyDescent="0.25">
      <c r="A334" t="str">
        <f t="shared" si="31"/>
        <v/>
      </c>
      <c r="B334" t="str">
        <f t="shared" si="32"/>
        <v/>
      </c>
      <c r="C334" s="55" t="str">
        <f>IF(LEN(TRIM(A334))=0,"",get_string_val(RIGHT(B334,4)))</f>
        <v/>
      </c>
      <c r="D334" t="str">
        <f>IF(LEN(TRIM(A334))=0,"",GetItemValueFromSpecimenHeader("timepoint"))</f>
        <v/>
      </c>
      <c r="E334" t="str">
        <f t="shared" si="33"/>
        <v/>
      </c>
      <c r="F334" t="str">
        <f t="shared" si="34"/>
        <v/>
      </c>
      <c r="G334" t="str">
        <f t="shared" si="30"/>
        <v/>
      </c>
      <c r="H334" t="str">
        <f>IF(LEN(TRIM(A334))=0,"",GetConfigParameterValue("Collection Site"))</f>
        <v/>
      </c>
      <c r="I334" t="str">
        <f t="shared" si="35"/>
        <v/>
      </c>
      <c r="M334" t="str">
        <f>IF(LEN(TRIM(B334))=0,"",IF(ISERROR(VLOOKUP(RIGHT(B334,4),study_demographic!A:A,1,FALSE)),"NOT FOUND!!!", "OK"))</f>
        <v/>
      </c>
    </row>
    <row r="335" spans="1:13" x14ac:dyDescent="0.25">
      <c r="A335" t="str">
        <f t="shared" si="31"/>
        <v/>
      </c>
      <c r="B335" t="str">
        <f t="shared" si="32"/>
        <v/>
      </c>
      <c r="C335" s="55" t="str">
        <f>IF(LEN(TRIM(A335))=0,"",get_string_val(RIGHT(B335,4)))</f>
        <v/>
      </c>
      <c r="D335" t="str">
        <f>IF(LEN(TRIM(A335))=0,"",GetItemValueFromSpecimenHeader("timepoint"))</f>
        <v/>
      </c>
      <c r="E335" t="str">
        <f t="shared" si="33"/>
        <v/>
      </c>
      <c r="F335" t="str">
        <f t="shared" si="34"/>
        <v/>
      </c>
      <c r="G335" t="str">
        <f t="shared" si="30"/>
        <v/>
      </c>
      <c r="H335" t="str">
        <f>IF(LEN(TRIM(A335))=0,"",GetConfigParameterValue("Collection Site"))</f>
        <v/>
      </c>
      <c r="I335" t="str">
        <f t="shared" si="35"/>
        <v/>
      </c>
      <c r="M335" t="str">
        <f>IF(LEN(TRIM(B335))=0,"",IF(ISERROR(VLOOKUP(RIGHT(B335,4),study_demographic!A:A,1,FALSE)),"NOT FOUND!!!", "OK"))</f>
        <v/>
      </c>
    </row>
    <row r="336" spans="1:13" x14ac:dyDescent="0.25">
      <c r="A336" t="str">
        <f t="shared" si="31"/>
        <v/>
      </c>
      <c r="B336" t="str">
        <f t="shared" si="32"/>
        <v/>
      </c>
      <c r="C336" s="55" t="str">
        <f>IF(LEN(TRIM(A336))=0,"",get_string_val(RIGHT(B336,4)))</f>
        <v/>
      </c>
      <c r="D336" t="str">
        <f>IF(LEN(TRIM(A336))=0,"",GetItemValueFromSpecimenHeader("timepoint"))</f>
        <v/>
      </c>
      <c r="E336" t="str">
        <f t="shared" si="33"/>
        <v/>
      </c>
      <c r="F336" t="str">
        <f t="shared" si="34"/>
        <v/>
      </c>
      <c r="G336" t="str">
        <f t="shared" si="30"/>
        <v/>
      </c>
      <c r="H336" t="str">
        <f>IF(LEN(TRIM(A336))=0,"",GetConfigParameterValue("Collection Site"))</f>
        <v/>
      </c>
      <c r="I336" t="str">
        <f t="shared" si="35"/>
        <v/>
      </c>
      <c r="M336" t="str">
        <f>IF(LEN(TRIM(B336))=0,"",IF(ISERROR(VLOOKUP(RIGHT(B336,4),study_demographic!A:A,1,FALSE)),"NOT FOUND!!!", "OK"))</f>
        <v/>
      </c>
    </row>
    <row r="337" spans="1:13" x14ac:dyDescent="0.25">
      <c r="A337" t="str">
        <f t="shared" si="31"/>
        <v/>
      </c>
      <c r="B337" t="str">
        <f t="shared" si="32"/>
        <v/>
      </c>
      <c r="C337" s="55" t="str">
        <f>IF(LEN(TRIM(A337))=0,"",get_string_val(RIGHT(B337,4)))</f>
        <v/>
      </c>
      <c r="D337" t="str">
        <f>IF(LEN(TRIM(A337))=0,"",GetItemValueFromSpecimenHeader("timepoint"))</f>
        <v/>
      </c>
      <c r="E337" t="str">
        <f t="shared" si="33"/>
        <v/>
      </c>
      <c r="F337" t="str">
        <f t="shared" si="34"/>
        <v/>
      </c>
      <c r="G337" t="str">
        <f t="shared" si="30"/>
        <v/>
      </c>
      <c r="H337" t="str">
        <f>IF(LEN(TRIM(A337))=0,"",GetConfigParameterValue("Collection Site"))</f>
        <v/>
      </c>
      <c r="I337" t="str">
        <f t="shared" si="35"/>
        <v/>
      </c>
      <c r="M337" t="str">
        <f>IF(LEN(TRIM(B337))=0,"",IF(ISERROR(VLOOKUP(RIGHT(B337,4),study_demographic!A:A,1,FALSE)),"NOT FOUND!!!", "OK"))</f>
        <v/>
      </c>
    </row>
    <row r="338" spans="1:13" x14ac:dyDescent="0.25">
      <c r="A338" t="str">
        <f t="shared" si="31"/>
        <v/>
      </c>
      <c r="B338" t="str">
        <f t="shared" si="32"/>
        <v/>
      </c>
      <c r="C338" s="55" t="str">
        <f>IF(LEN(TRIM(A338))=0,"",get_string_val(RIGHT(B338,4)))</f>
        <v/>
      </c>
      <c r="D338" t="str">
        <f>IF(LEN(TRIM(A338))=0,"",GetItemValueFromSpecimenHeader("timepoint"))</f>
        <v/>
      </c>
      <c r="E338" t="str">
        <f t="shared" si="33"/>
        <v/>
      </c>
      <c r="F338" t="str">
        <f t="shared" si="34"/>
        <v/>
      </c>
      <c r="G338" t="str">
        <f t="shared" si="30"/>
        <v/>
      </c>
      <c r="H338" t="str">
        <f>IF(LEN(TRIM(A338))=0,"",GetConfigParameterValue("Collection Site"))</f>
        <v/>
      </c>
      <c r="I338" t="str">
        <f t="shared" si="35"/>
        <v/>
      </c>
      <c r="M338" t="str">
        <f>IF(LEN(TRIM(B338))=0,"",IF(ISERROR(VLOOKUP(RIGHT(B338,4),study_demographic!A:A,1,FALSE)),"NOT FOUND!!!", "OK"))</f>
        <v/>
      </c>
    </row>
    <row r="339" spans="1:13" x14ac:dyDescent="0.25">
      <c r="A339" t="str">
        <f t="shared" si="31"/>
        <v/>
      </c>
      <c r="B339" t="str">
        <f t="shared" si="32"/>
        <v/>
      </c>
      <c r="C339" s="55" t="str">
        <f>IF(LEN(TRIM(A339))=0,"",get_string_val(RIGHT(B339,4)))</f>
        <v/>
      </c>
      <c r="D339" t="str">
        <f>IF(LEN(TRIM(A339))=0,"",GetItemValueFromSpecimenHeader("timepoint"))</f>
        <v/>
      </c>
      <c r="E339" t="str">
        <f t="shared" si="33"/>
        <v/>
      </c>
      <c r="F339" t="str">
        <f t="shared" si="34"/>
        <v/>
      </c>
      <c r="G339" t="str">
        <f t="shared" si="30"/>
        <v/>
      </c>
      <c r="H339" t="str">
        <f>IF(LEN(TRIM(A339))=0,"",GetConfigParameterValue("Collection Site"))</f>
        <v/>
      </c>
      <c r="I339" t="str">
        <f t="shared" si="35"/>
        <v/>
      </c>
      <c r="M339" t="str">
        <f>IF(LEN(TRIM(B339))=0,"",IF(ISERROR(VLOOKUP(RIGHT(B339,4),study_demographic!A:A,1,FALSE)),"NOT FOUND!!!", "OK"))</f>
        <v/>
      </c>
    </row>
    <row r="340" spans="1:13" x14ac:dyDescent="0.25">
      <c r="A340" t="str">
        <f t="shared" si="31"/>
        <v/>
      </c>
      <c r="B340" t="str">
        <f t="shared" si="32"/>
        <v/>
      </c>
      <c r="C340" s="55" t="str">
        <f>IF(LEN(TRIM(A340))=0,"",get_string_val(RIGHT(B340,4)))</f>
        <v/>
      </c>
      <c r="D340" t="str">
        <f>IF(LEN(TRIM(A340))=0,"",GetItemValueFromSpecimenHeader("timepoint"))</f>
        <v/>
      </c>
      <c r="E340" t="str">
        <f t="shared" si="33"/>
        <v/>
      </c>
      <c r="F340" t="str">
        <f t="shared" si="34"/>
        <v/>
      </c>
      <c r="G340" t="str">
        <f t="shared" si="30"/>
        <v/>
      </c>
      <c r="H340" t="str">
        <f>IF(LEN(TRIM(A340))=0,"",GetConfigParameterValue("Collection Site"))</f>
        <v/>
      </c>
      <c r="I340" t="str">
        <f t="shared" si="35"/>
        <v/>
      </c>
      <c r="M340" t="str">
        <f>IF(LEN(TRIM(B340))=0,"",IF(ISERROR(VLOOKUP(RIGHT(B340,4),study_demographic!A:A,1,FALSE)),"NOT FOUND!!!", "OK"))</f>
        <v/>
      </c>
    </row>
    <row r="341" spans="1:13" x14ac:dyDescent="0.25">
      <c r="A341" t="str">
        <f t="shared" si="31"/>
        <v/>
      </c>
      <c r="B341" t="str">
        <f t="shared" si="32"/>
        <v/>
      </c>
      <c r="C341" s="55" t="str">
        <f>IF(LEN(TRIM(A341))=0,"",get_string_val(RIGHT(B341,4)))</f>
        <v/>
      </c>
      <c r="D341" t="str">
        <f>IF(LEN(TRIM(A341))=0,"",GetItemValueFromSpecimenHeader("timepoint"))</f>
        <v/>
      </c>
      <c r="E341" t="str">
        <f t="shared" si="33"/>
        <v/>
      </c>
      <c r="F341" t="str">
        <f t="shared" si="34"/>
        <v/>
      </c>
      <c r="G341" t="str">
        <f t="shared" si="30"/>
        <v/>
      </c>
      <c r="H341" t="str">
        <f>IF(LEN(TRIM(A341))=0,"",GetConfigParameterValue("Collection Site"))</f>
        <v/>
      </c>
      <c r="I341" t="str">
        <f t="shared" si="35"/>
        <v/>
      </c>
      <c r="M341" t="str">
        <f>IF(LEN(TRIM(B341))=0,"",IF(ISERROR(VLOOKUP(RIGHT(B341,4),study_demographic!A:A,1,FALSE)),"NOT FOUND!!!", "OK"))</f>
        <v/>
      </c>
    </row>
    <row r="342" spans="1:13" x14ac:dyDescent="0.25">
      <c r="A342" t="str">
        <f t="shared" si="31"/>
        <v/>
      </c>
      <c r="B342" t="str">
        <f t="shared" si="32"/>
        <v/>
      </c>
      <c r="C342" s="55" t="str">
        <f>IF(LEN(TRIM(A342))=0,"",get_string_val(RIGHT(B342,4)))</f>
        <v/>
      </c>
      <c r="D342" t="str">
        <f>IF(LEN(TRIM(A342))=0,"",GetItemValueFromSpecimenHeader("timepoint"))</f>
        <v/>
      </c>
      <c r="E342" t="str">
        <f t="shared" si="33"/>
        <v/>
      </c>
      <c r="F342" t="str">
        <f t="shared" si="34"/>
        <v/>
      </c>
      <c r="G342" t="str">
        <f t="shared" si="30"/>
        <v/>
      </c>
      <c r="H342" t="str">
        <f>IF(LEN(TRIM(A342))=0,"",GetConfigParameterValue("Collection Site"))</f>
        <v/>
      </c>
      <c r="I342" t="str">
        <f t="shared" si="35"/>
        <v/>
      </c>
      <c r="M342" t="str">
        <f>IF(LEN(TRIM(B342))=0,"",IF(ISERROR(VLOOKUP(RIGHT(B342,4),study_demographic!A:A,1,FALSE)),"NOT FOUND!!!", "OK"))</f>
        <v/>
      </c>
    </row>
    <row r="343" spans="1:13" x14ac:dyDescent="0.25">
      <c r="A343" t="str">
        <f t="shared" si="31"/>
        <v/>
      </c>
      <c r="B343" t="str">
        <f t="shared" si="32"/>
        <v/>
      </c>
      <c r="C343" s="55" t="str">
        <f>IF(LEN(TRIM(A343))=0,"",get_string_val(RIGHT(B343,4)))</f>
        <v/>
      </c>
      <c r="D343" t="str">
        <f>IF(LEN(TRIM(A343))=0,"",GetItemValueFromSpecimenHeader("timepoint"))</f>
        <v/>
      </c>
      <c r="E343" t="str">
        <f t="shared" si="33"/>
        <v/>
      </c>
      <c r="F343" t="str">
        <f t="shared" si="34"/>
        <v/>
      </c>
      <c r="G343" t="str">
        <f t="shared" si="30"/>
        <v/>
      </c>
      <c r="H343" t="str">
        <f>IF(LEN(TRIM(A343))=0,"",GetConfigParameterValue("Collection Site"))</f>
        <v/>
      </c>
      <c r="I343" t="str">
        <f t="shared" si="35"/>
        <v/>
      </c>
      <c r="M343" t="str">
        <f>IF(LEN(TRIM(B343))=0,"",IF(ISERROR(VLOOKUP(RIGHT(B343,4),study_demographic!A:A,1,FALSE)),"NOT FOUND!!!", "OK"))</f>
        <v/>
      </c>
    </row>
    <row r="344" spans="1:13" x14ac:dyDescent="0.25">
      <c r="A344" t="str">
        <f t="shared" si="31"/>
        <v/>
      </c>
      <c r="B344" t="str">
        <f t="shared" si="32"/>
        <v/>
      </c>
      <c r="C344" s="55" t="str">
        <f>IF(LEN(TRIM(A344))=0,"",get_string_val(RIGHT(B344,4)))</f>
        <v/>
      </c>
      <c r="D344" t="str">
        <f>IF(LEN(TRIM(A344))=0,"",GetItemValueFromSpecimenHeader("timepoint"))</f>
        <v/>
      </c>
      <c r="E344" t="str">
        <f t="shared" si="33"/>
        <v/>
      </c>
      <c r="F344" t="str">
        <f t="shared" si="34"/>
        <v/>
      </c>
      <c r="G344" t="str">
        <f t="shared" si="30"/>
        <v/>
      </c>
      <c r="H344" t="str">
        <f>IF(LEN(TRIM(A344))=0,"",GetConfigParameterValue("Collection Site"))</f>
        <v/>
      </c>
      <c r="I344" t="str">
        <f t="shared" si="35"/>
        <v/>
      </c>
      <c r="M344" t="str">
        <f>IF(LEN(TRIM(B344))=0,"",IF(ISERROR(VLOOKUP(RIGHT(B344,4),study_demographic!A:A,1,FALSE)),"NOT FOUND!!!", "OK"))</f>
        <v/>
      </c>
    </row>
    <row r="345" spans="1:13" x14ac:dyDescent="0.25">
      <c r="A345" t="str">
        <f t="shared" si="31"/>
        <v/>
      </c>
      <c r="B345" t="str">
        <f t="shared" si="32"/>
        <v/>
      </c>
      <c r="C345" s="55" t="str">
        <f>IF(LEN(TRIM(A345))=0,"",get_string_val(RIGHT(B345,4)))</f>
        <v/>
      </c>
      <c r="D345" t="str">
        <f>IF(LEN(TRIM(A345))=0,"",GetItemValueFromSpecimenHeader("timepoint"))</f>
        <v/>
      </c>
      <c r="E345" t="str">
        <f t="shared" si="33"/>
        <v/>
      </c>
      <c r="F345" t="str">
        <f t="shared" si="34"/>
        <v/>
      </c>
      <c r="G345" t="str">
        <f t="shared" si="30"/>
        <v/>
      </c>
      <c r="H345" t="str">
        <f>IF(LEN(TRIM(A345))=0,"",GetConfigParameterValue("Collection Site"))</f>
        <v/>
      </c>
      <c r="I345" t="str">
        <f t="shared" si="35"/>
        <v/>
      </c>
      <c r="M345" t="str">
        <f>IF(LEN(TRIM(B345))=0,"",IF(ISERROR(VLOOKUP(RIGHT(B345,4),study_demographic!A:A,1,FALSE)),"NOT FOUND!!!", "OK"))</f>
        <v/>
      </c>
    </row>
    <row r="346" spans="1:13" x14ac:dyDescent="0.25">
      <c r="A346" t="str">
        <f t="shared" si="31"/>
        <v/>
      </c>
      <c r="B346" t="str">
        <f t="shared" si="32"/>
        <v/>
      </c>
      <c r="C346" s="55" t="str">
        <f>IF(LEN(TRIM(A346))=0,"",get_string_val(RIGHT(B346,4)))</f>
        <v/>
      </c>
      <c r="D346" t="str">
        <f>IF(LEN(TRIM(A346))=0,"",GetItemValueFromSpecimenHeader("timepoint"))</f>
        <v/>
      </c>
      <c r="E346" t="str">
        <f t="shared" si="33"/>
        <v/>
      </c>
      <c r="F346" t="str">
        <f t="shared" si="34"/>
        <v/>
      </c>
      <c r="G346" t="str">
        <f t="shared" si="30"/>
        <v/>
      </c>
      <c r="H346" t="str">
        <f>IF(LEN(TRIM(A346))=0,"",GetConfigParameterValue("Collection Site"))</f>
        <v/>
      </c>
      <c r="I346" t="str">
        <f t="shared" si="35"/>
        <v/>
      </c>
      <c r="M346" t="str">
        <f>IF(LEN(TRIM(B346))=0,"",IF(ISERROR(VLOOKUP(RIGHT(B346,4),study_demographic!A:A,1,FALSE)),"NOT FOUND!!!", "OK"))</f>
        <v/>
      </c>
    </row>
    <row r="347" spans="1:13" x14ac:dyDescent="0.25">
      <c r="A347" t="str">
        <f t="shared" si="31"/>
        <v/>
      </c>
      <c r="B347" t="str">
        <f t="shared" si="32"/>
        <v/>
      </c>
      <c r="C347" s="55" t="str">
        <f>IF(LEN(TRIM(A347))=0,"",get_string_val(RIGHT(B347,4)))</f>
        <v/>
      </c>
      <c r="D347" t="str">
        <f>IF(LEN(TRIM(A347))=0,"",GetItemValueFromSpecimenHeader("timepoint"))</f>
        <v/>
      </c>
      <c r="E347" t="str">
        <f t="shared" si="33"/>
        <v/>
      </c>
      <c r="F347" t="str">
        <f t="shared" si="34"/>
        <v/>
      </c>
      <c r="G347" t="str">
        <f t="shared" si="30"/>
        <v/>
      </c>
      <c r="H347" t="str">
        <f>IF(LEN(TRIM(A347))=0,"",GetConfigParameterValue("Collection Site"))</f>
        <v/>
      </c>
      <c r="I347" t="str">
        <f t="shared" si="35"/>
        <v/>
      </c>
      <c r="M347" t="str">
        <f>IF(LEN(TRIM(B347))=0,"",IF(ISERROR(VLOOKUP(RIGHT(B347,4),study_demographic!A:A,1,FALSE)),"NOT FOUND!!!", "OK"))</f>
        <v/>
      </c>
    </row>
    <row r="348" spans="1:13" x14ac:dyDescent="0.25">
      <c r="A348" t="str">
        <f t="shared" si="31"/>
        <v/>
      </c>
      <c r="B348" t="str">
        <f t="shared" si="32"/>
        <v/>
      </c>
      <c r="C348" s="55" t="str">
        <f>IF(LEN(TRIM(A348))=0,"",get_string_val(RIGHT(B348,4)))</f>
        <v/>
      </c>
      <c r="D348" t="str">
        <f>IF(LEN(TRIM(A348))=0,"",GetItemValueFromSpecimenHeader("timepoint"))</f>
        <v/>
      </c>
      <c r="E348" t="str">
        <f t="shared" si="33"/>
        <v/>
      </c>
      <c r="F348" t="str">
        <f t="shared" si="34"/>
        <v/>
      </c>
      <c r="G348" t="str">
        <f t="shared" si="30"/>
        <v/>
      </c>
      <c r="H348" t="str">
        <f>IF(LEN(TRIM(A348))=0,"",GetConfigParameterValue("Collection Site"))</f>
        <v/>
      </c>
      <c r="I348" t="str">
        <f t="shared" si="35"/>
        <v/>
      </c>
      <c r="M348" t="str">
        <f>IF(LEN(TRIM(B348))=0,"",IF(ISERROR(VLOOKUP(RIGHT(B348,4),study_demographic!A:A,1,FALSE)),"NOT FOUND!!!", "OK"))</f>
        <v/>
      </c>
    </row>
    <row r="349" spans="1:13" x14ac:dyDescent="0.25">
      <c r="A349" t="str">
        <f t="shared" si="31"/>
        <v/>
      </c>
      <c r="B349" t="str">
        <f t="shared" si="32"/>
        <v/>
      </c>
      <c r="C349" s="55" t="str">
        <f>IF(LEN(TRIM(A349))=0,"",get_string_val(RIGHT(B349,4)))</f>
        <v/>
      </c>
      <c r="D349" t="str">
        <f>IF(LEN(TRIM(A349))=0,"",GetItemValueFromSpecimenHeader("timepoint"))</f>
        <v/>
      </c>
      <c r="E349" t="str">
        <f t="shared" si="33"/>
        <v/>
      </c>
      <c r="F349" t="str">
        <f t="shared" si="34"/>
        <v/>
      </c>
      <c r="G349" t="str">
        <f t="shared" si="30"/>
        <v/>
      </c>
      <c r="H349" t="str">
        <f>IF(LEN(TRIM(A349))=0,"",GetConfigParameterValue("Collection Site"))</f>
        <v/>
      </c>
      <c r="I349" t="str">
        <f t="shared" si="35"/>
        <v/>
      </c>
      <c r="M349" t="str">
        <f>IF(LEN(TRIM(B349))=0,"",IF(ISERROR(VLOOKUP(RIGHT(B349,4),study_demographic!A:A,1,FALSE)),"NOT FOUND!!!", "OK"))</f>
        <v/>
      </c>
    </row>
    <row r="350" spans="1:13" x14ac:dyDescent="0.25">
      <c r="A350" t="str">
        <f t="shared" si="31"/>
        <v/>
      </c>
      <c r="B350" t="str">
        <f t="shared" si="32"/>
        <v/>
      </c>
      <c r="C350" s="55" t="str">
        <f>IF(LEN(TRIM(A350))=0,"",get_string_val(RIGHT(B350,4)))</f>
        <v/>
      </c>
      <c r="D350" t="str">
        <f>IF(LEN(TRIM(A350))=0,"",GetItemValueFromSpecimenHeader("timepoint"))</f>
        <v/>
      </c>
      <c r="E350" t="str">
        <f t="shared" si="33"/>
        <v/>
      </c>
      <c r="F350" t="str">
        <f t="shared" si="34"/>
        <v/>
      </c>
      <c r="G350" t="str">
        <f t="shared" si="30"/>
        <v/>
      </c>
      <c r="H350" t="str">
        <f>IF(LEN(TRIM(A350))=0,"",GetConfigParameterValue("Collection Site"))</f>
        <v/>
      </c>
      <c r="I350" t="str">
        <f t="shared" si="35"/>
        <v/>
      </c>
      <c r="M350" t="str">
        <f>IF(LEN(TRIM(B350))=0,"",IF(ISERROR(VLOOKUP(RIGHT(B350,4),study_demographic!A:A,1,FALSE)),"NOT FOUND!!!", "OK"))</f>
        <v/>
      </c>
    </row>
    <row r="351" spans="1:13" x14ac:dyDescent="0.25">
      <c r="A351" t="str">
        <f t="shared" si="31"/>
        <v/>
      </c>
      <c r="B351" t="str">
        <f t="shared" si="32"/>
        <v/>
      </c>
      <c r="C351" s="55" t="str">
        <f>IF(LEN(TRIM(A351))=0,"",get_string_val(RIGHT(B351,4)))</f>
        <v/>
      </c>
      <c r="D351" t="str">
        <f>IF(LEN(TRIM(A351))=0,"",GetItemValueFromSpecimenHeader("timepoint"))</f>
        <v/>
      </c>
      <c r="E351" t="str">
        <f t="shared" si="33"/>
        <v/>
      </c>
      <c r="F351" t="str">
        <f t="shared" si="34"/>
        <v/>
      </c>
      <c r="G351" t="str">
        <f t="shared" si="30"/>
        <v/>
      </c>
      <c r="H351" t="str">
        <f>IF(LEN(TRIM(A351))=0,"",GetConfigParameterValue("Collection Site"))</f>
        <v/>
      </c>
      <c r="I351" t="str">
        <f t="shared" si="35"/>
        <v/>
      </c>
      <c r="M351" t="str">
        <f>IF(LEN(TRIM(B351))=0,"",IF(ISERROR(VLOOKUP(RIGHT(B351,4),study_demographic!A:A,1,FALSE)),"NOT FOUND!!!", "OK"))</f>
        <v/>
      </c>
    </row>
    <row r="352" spans="1:13" x14ac:dyDescent="0.25">
      <c r="A352" t="str">
        <f t="shared" si="31"/>
        <v/>
      </c>
      <c r="B352" t="str">
        <f t="shared" si="32"/>
        <v/>
      </c>
      <c r="C352" s="55" t="str">
        <f>IF(LEN(TRIM(A352))=0,"",get_string_val(RIGHT(B352,4)))</f>
        <v/>
      </c>
      <c r="D352" t="str">
        <f>IF(LEN(TRIM(A352))=0,"",GetItemValueFromSpecimenHeader("timepoint"))</f>
        <v/>
      </c>
      <c r="E352" t="str">
        <f t="shared" si="33"/>
        <v/>
      </c>
      <c r="F352" t="str">
        <f t="shared" si="34"/>
        <v/>
      </c>
      <c r="G352" t="str">
        <f t="shared" si="30"/>
        <v/>
      </c>
      <c r="H352" t="str">
        <f>IF(LEN(TRIM(A352))=0,"",GetConfigParameterValue("Collection Site"))</f>
        <v/>
      </c>
      <c r="I352" t="str">
        <f t="shared" si="35"/>
        <v/>
      </c>
      <c r="M352" t="str">
        <f>IF(LEN(TRIM(B352))=0,"",IF(ISERROR(VLOOKUP(RIGHT(B352,4),study_demographic!A:A,1,FALSE)),"NOT FOUND!!!", "OK"))</f>
        <v/>
      </c>
    </row>
    <row r="353" spans="1:13" x14ac:dyDescent="0.25">
      <c r="A353" t="str">
        <f t="shared" si="31"/>
        <v/>
      </c>
      <c r="B353" t="str">
        <f t="shared" si="32"/>
        <v/>
      </c>
      <c r="C353" s="55" t="str">
        <f>IF(LEN(TRIM(A353))=0,"",get_string_val(RIGHT(B353,4)))</f>
        <v/>
      </c>
      <c r="D353" t="str">
        <f>IF(LEN(TRIM(A353))=0,"",GetItemValueFromSpecimenHeader("timepoint"))</f>
        <v/>
      </c>
      <c r="E353" t="str">
        <f t="shared" si="33"/>
        <v/>
      </c>
      <c r="F353" t="str">
        <f t="shared" si="34"/>
        <v/>
      </c>
      <c r="G353" t="str">
        <f t="shared" si="30"/>
        <v/>
      </c>
      <c r="H353" t="str">
        <f>IF(LEN(TRIM(A353))=0,"",GetConfigParameterValue("Collection Site"))</f>
        <v/>
      </c>
      <c r="I353" t="str">
        <f t="shared" si="35"/>
        <v/>
      </c>
      <c r="M353" t="str">
        <f>IF(LEN(TRIM(B353))=0,"",IF(ISERROR(VLOOKUP(RIGHT(B353,4),study_demographic!A:A,1,FALSE)),"NOT FOUND!!!", "OK"))</f>
        <v/>
      </c>
    </row>
    <row r="354" spans="1:13" x14ac:dyDescent="0.25">
      <c r="A354" t="str">
        <f t="shared" si="31"/>
        <v/>
      </c>
      <c r="B354" t="str">
        <f t="shared" si="32"/>
        <v/>
      </c>
      <c r="C354" s="55" t="str">
        <f>IF(LEN(TRIM(A354))=0,"",get_string_val(RIGHT(B354,4)))</f>
        <v/>
      </c>
      <c r="D354" t="str">
        <f>IF(LEN(TRIM(A354))=0,"",GetItemValueFromSpecimenHeader("timepoint"))</f>
        <v/>
      </c>
      <c r="E354" t="str">
        <f t="shared" si="33"/>
        <v/>
      </c>
      <c r="F354" t="str">
        <f t="shared" si="34"/>
        <v/>
      </c>
      <c r="G354" t="str">
        <f t="shared" si="30"/>
        <v/>
      </c>
      <c r="H354" t="str">
        <f>IF(LEN(TRIM(A354))=0,"",GetConfigParameterValue("Collection Site"))</f>
        <v/>
      </c>
      <c r="I354" t="str">
        <f t="shared" si="35"/>
        <v/>
      </c>
      <c r="M354" t="str">
        <f>IF(LEN(TRIM(B354))=0,"",IF(ISERROR(VLOOKUP(RIGHT(B354,4),study_demographic!A:A,1,FALSE)),"NOT FOUND!!!", "OK"))</f>
        <v/>
      </c>
    </row>
    <row r="355" spans="1:13" x14ac:dyDescent="0.25">
      <c r="A355" t="str">
        <f t="shared" si="31"/>
        <v/>
      </c>
      <c r="B355" t="str">
        <f t="shared" si="32"/>
        <v/>
      </c>
      <c r="C355" s="55" t="str">
        <f>IF(LEN(TRIM(A355))=0,"",get_string_val(RIGHT(B355,4)))</f>
        <v/>
      </c>
      <c r="D355" t="str">
        <f>IF(LEN(TRIM(A355))=0,"",GetItemValueFromSpecimenHeader("timepoint"))</f>
        <v/>
      </c>
      <c r="E355" t="str">
        <f t="shared" si="33"/>
        <v/>
      </c>
      <c r="F355" t="str">
        <f t="shared" si="34"/>
        <v/>
      </c>
      <c r="G355" t="str">
        <f t="shared" si="30"/>
        <v/>
      </c>
      <c r="H355" t="str">
        <f>IF(LEN(TRIM(A355))=0,"",GetConfigParameterValue("Collection Site"))</f>
        <v/>
      </c>
      <c r="I355" t="str">
        <f t="shared" si="35"/>
        <v/>
      </c>
      <c r="M355" t="str">
        <f>IF(LEN(TRIM(B355))=0,"",IF(ISERROR(VLOOKUP(RIGHT(B355,4),study_demographic!A:A,1,FALSE)),"NOT FOUND!!!", "OK"))</f>
        <v/>
      </c>
    </row>
    <row r="356" spans="1:13" x14ac:dyDescent="0.25">
      <c r="A356" t="str">
        <f t="shared" si="31"/>
        <v/>
      </c>
      <c r="B356" t="str">
        <f t="shared" si="32"/>
        <v/>
      </c>
      <c r="C356" s="55" t="str">
        <f>IF(LEN(TRIM(A356))=0,"",get_string_val(RIGHT(B356,4)))</f>
        <v/>
      </c>
      <c r="D356" t="str">
        <f>IF(LEN(TRIM(A356))=0,"",GetItemValueFromSpecimenHeader("timepoint"))</f>
        <v/>
      </c>
      <c r="E356" t="str">
        <f t="shared" si="33"/>
        <v/>
      </c>
      <c r="F356" t="str">
        <f t="shared" si="34"/>
        <v/>
      </c>
      <c r="G356" t="str">
        <f t="shared" si="30"/>
        <v/>
      </c>
      <c r="H356" t="str">
        <f>IF(LEN(TRIM(A356))=0,"",GetConfigParameterValue("Collection Site"))</f>
        <v/>
      </c>
      <c r="I356" t="str">
        <f t="shared" si="35"/>
        <v/>
      </c>
      <c r="M356" t="str">
        <f>IF(LEN(TRIM(B356))=0,"",IF(ISERROR(VLOOKUP(RIGHT(B356,4),study_demographic!A:A,1,FALSE)),"NOT FOUND!!!", "OK"))</f>
        <v/>
      </c>
    </row>
    <row r="357" spans="1:13" x14ac:dyDescent="0.25">
      <c r="A357" t="str">
        <f t="shared" si="31"/>
        <v/>
      </c>
      <c r="B357" t="str">
        <f t="shared" si="32"/>
        <v/>
      </c>
      <c r="C357" s="55" t="str">
        <f>IF(LEN(TRIM(A357))=0,"",get_string_val(RIGHT(B357,4)))</f>
        <v/>
      </c>
      <c r="D357" t="str">
        <f>IF(LEN(TRIM(A357))=0,"",GetItemValueFromSpecimenHeader("timepoint"))</f>
        <v/>
      </c>
      <c r="E357" t="str">
        <f t="shared" si="33"/>
        <v/>
      </c>
      <c r="F357" t="str">
        <f t="shared" si="34"/>
        <v/>
      </c>
      <c r="G357" t="str">
        <f t="shared" si="30"/>
        <v/>
      </c>
      <c r="H357" t="str">
        <f>IF(LEN(TRIM(A357))=0,"",GetConfigParameterValue("Collection Site"))</f>
        <v/>
      </c>
      <c r="I357" t="str">
        <f t="shared" si="35"/>
        <v/>
      </c>
      <c r="M357" t="str">
        <f>IF(LEN(TRIM(B357))=0,"",IF(ISERROR(VLOOKUP(RIGHT(B357,4),study_demographic!A:A,1,FALSE)),"NOT FOUND!!!", "OK"))</f>
        <v/>
      </c>
    </row>
    <row r="358" spans="1:13" x14ac:dyDescent="0.25">
      <c r="A358" t="str">
        <f t="shared" si="31"/>
        <v/>
      </c>
      <c r="B358" t="str">
        <f t="shared" si="32"/>
        <v/>
      </c>
      <c r="C358" s="55" t="str">
        <f>IF(LEN(TRIM(A358))=0,"",get_string_val(RIGHT(B358,4)))</f>
        <v/>
      </c>
      <c r="D358" t="str">
        <f>IF(LEN(TRIM(A358))=0,"",GetItemValueFromSpecimenHeader("timepoint"))</f>
        <v/>
      </c>
      <c r="E358" t="str">
        <f t="shared" si="33"/>
        <v/>
      </c>
      <c r="F358" t="str">
        <f t="shared" si="34"/>
        <v/>
      </c>
      <c r="G358" t="str">
        <f t="shared" si="30"/>
        <v/>
      </c>
      <c r="H358" t="str">
        <f>IF(LEN(TRIM(A358))=0,"",GetConfigParameterValue("Collection Site"))</f>
        <v/>
      </c>
      <c r="I358" t="str">
        <f t="shared" si="35"/>
        <v/>
      </c>
      <c r="M358" t="str">
        <f>IF(LEN(TRIM(B358))=0,"",IF(ISERROR(VLOOKUP(RIGHT(B358,4),study_demographic!A:A,1,FALSE)),"NOT FOUND!!!", "OK"))</f>
        <v/>
      </c>
    </row>
    <row r="359" spans="1:13" x14ac:dyDescent="0.25">
      <c r="A359" t="str">
        <f t="shared" si="31"/>
        <v/>
      </c>
      <c r="B359" t="str">
        <f t="shared" si="32"/>
        <v/>
      </c>
      <c r="C359" s="55" t="str">
        <f>IF(LEN(TRIM(A359))=0,"",get_string_val(RIGHT(B359,4)))</f>
        <v/>
      </c>
      <c r="D359" t="str">
        <f>IF(LEN(TRIM(A359))=0,"",GetItemValueFromSpecimenHeader("timepoint"))</f>
        <v/>
      </c>
      <c r="E359" t="str">
        <f t="shared" si="33"/>
        <v/>
      </c>
      <c r="F359" t="str">
        <f t="shared" si="34"/>
        <v/>
      </c>
      <c r="G359" t="str">
        <f t="shared" si="30"/>
        <v/>
      </c>
      <c r="H359" t="str">
        <f>IF(LEN(TRIM(A359))=0,"",GetConfigParameterValue("Collection Site"))</f>
        <v/>
      </c>
      <c r="I359" t="str">
        <f t="shared" si="35"/>
        <v/>
      </c>
      <c r="M359" t="str">
        <f>IF(LEN(TRIM(B359))=0,"",IF(ISERROR(VLOOKUP(RIGHT(B359,4),study_demographic!A:A,1,FALSE)),"NOT FOUND!!!", "OK"))</f>
        <v/>
      </c>
    </row>
    <row r="360" spans="1:13" x14ac:dyDescent="0.25">
      <c r="A360" t="str">
        <f t="shared" si="31"/>
        <v/>
      </c>
      <c r="B360" t="str">
        <f t="shared" si="32"/>
        <v/>
      </c>
      <c r="C360" s="55" t="str">
        <f>IF(LEN(TRIM(A360))=0,"",get_string_val(RIGHT(B360,4)))</f>
        <v/>
      </c>
      <c r="D360" t="str">
        <f>IF(LEN(TRIM(A360))=0,"",GetItemValueFromSpecimenHeader("timepoint"))</f>
        <v/>
      </c>
      <c r="E360" t="str">
        <f t="shared" si="33"/>
        <v/>
      </c>
      <c r="F360" t="str">
        <f t="shared" si="34"/>
        <v/>
      </c>
      <c r="G360" t="str">
        <f t="shared" si="30"/>
        <v/>
      </c>
      <c r="H360" t="str">
        <f>IF(LEN(TRIM(A360))=0,"",GetConfigParameterValue("Collection Site"))</f>
        <v/>
      </c>
      <c r="I360" t="str">
        <f t="shared" si="35"/>
        <v/>
      </c>
      <c r="M360" t="str">
        <f>IF(LEN(TRIM(B360))=0,"",IF(ISERROR(VLOOKUP(RIGHT(B360,4),study_demographic!A:A,1,FALSE)),"NOT FOUND!!!", "OK"))</f>
        <v/>
      </c>
    </row>
    <row r="361" spans="1:13" x14ac:dyDescent="0.25">
      <c r="A361" t="str">
        <f t="shared" si="31"/>
        <v/>
      </c>
      <c r="B361" t="str">
        <f t="shared" si="32"/>
        <v/>
      </c>
      <c r="C361" s="55" t="str">
        <f>IF(LEN(TRIM(A361))=0,"",get_string_val(RIGHT(B361,4)))</f>
        <v/>
      </c>
      <c r="D361" t="str">
        <f>IF(LEN(TRIM(A361))=0,"",GetItemValueFromSpecimenHeader("timepoint"))</f>
        <v/>
      </c>
      <c r="E361" t="str">
        <f t="shared" si="33"/>
        <v/>
      </c>
      <c r="F361" t="str">
        <f t="shared" si="34"/>
        <v/>
      </c>
      <c r="G361" t="str">
        <f t="shared" si="30"/>
        <v/>
      </c>
      <c r="H361" t="str">
        <f>IF(LEN(TRIM(A361))=0,"",GetConfigParameterValue("Collection Site"))</f>
        <v/>
      </c>
      <c r="I361" t="str">
        <f t="shared" si="35"/>
        <v/>
      </c>
      <c r="M361" t="str">
        <f>IF(LEN(TRIM(B361))=0,"",IF(ISERROR(VLOOKUP(RIGHT(B361,4),study_demographic!A:A,1,FALSE)),"NOT FOUND!!!", "OK"))</f>
        <v/>
      </c>
    </row>
    <row r="362" spans="1:13" x14ac:dyDescent="0.25">
      <c r="A362" t="str">
        <f t="shared" si="31"/>
        <v/>
      </c>
      <c r="B362" t="str">
        <f t="shared" si="32"/>
        <v/>
      </c>
      <c r="C362" s="55" t="str">
        <f>IF(LEN(TRIM(A362))=0,"",get_string_val(RIGHT(B362,4)))</f>
        <v/>
      </c>
      <c r="D362" t="str">
        <f>IF(LEN(TRIM(A362))=0,"",GetItemValueFromSpecimenHeader("timepoint"))</f>
        <v/>
      </c>
      <c r="E362" t="str">
        <f t="shared" si="33"/>
        <v/>
      </c>
      <c r="F362" t="str">
        <f t="shared" si="34"/>
        <v/>
      </c>
      <c r="G362" t="str">
        <f t="shared" si="30"/>
        <v/>
      </c>
      <c r="H362" t="str">
        <f>IF(LEN(TRIM(A362))=0,"",GetConfigParameterValue("Collection Site"))</f>
        <v/>
      </c>
      <c r="I362" t="str">
        <f t="shared" si="35"/>
        <v/>
      </c>
      <c r="M362" t="str">
        <f>IF(LEN(TRIM(B362))=0,"",IF(ISERROR(VLOOKUP(RIGHT(B362,4),study_demographic!A:A,1,FALSE)),"NOT FOUND!!!", "OK"))</f>
        <v/>
      </c>
    </row>
    <row r="363" spans="1:13" x14ac:dyDescent="0.25">
      <c r="A363" t="str">
        <f t="shared" si="31"/>
        <v/>
      </c>
      <c r="B363" t="str">
        <f t="shared" si="32"/>
        <v/>
      </c>
      <c r="C363" s="55" t="str">
        <f>IF(LEN(TRIM(A363))=0,"",get_string_val(RIGHT(B363,4)))</f>
        <v/>
      </c>
      <c r="D363" t="str">
        <f>IF(LEN(TRIM(A363))=0,"",GetItemValueFromSpecimenHeader("timepoint"))</f>
        <v/>
      </c>
      <c r="E363" t="str">
        <f t="shared" si="33"/>
        <v/>
      </c>
      <c r="F363" t="str">
        <f t="shared" si="34"/>
        <v/>
      </c>
      <c r="G363" t="str">
        <f t="shared" si="30"/>
        <v/>
      </c>
      <c r="H363" t="str">
        <f>IF(LEN(TRIM(A363))=0,"",GetConfigParameterValue("Collection Site"))</f>
        <v/>
      </c>
      <c r="I363" t="str">
        <f t="shared" si="35"/>
        <v/>
      </c>
      <c r="M363" t="str">
        <f>IF(LEN(TRIM(B363))=0,"",IF(ISERROR(VLOOKUP(RIGHT(B363,4),study_demographic!A:A,1,FALSE)),"NOT FOUND!!!", "OK"))</f>
        <v/>
      </c>
    </row>
    <row r="364" spans="1:13" x14ac:dyDescent="0.25">
      <c r="A364" t="str">
        <f t="shared" si="31"/>
        <v/>
      </c>
      <c r="B364" t="str">
        <f t="shared" si="32"/>
        <v/>
      </c>
      <c r="C364" s="55" t="str">
        <f>IF(LEN(TRIM(A364))=0,"",get_string_val(RIGHT(B364,4)))</f>
        <v/>
      </c>
      <c r="D364" t="str">
        <f>IF(LEN(TRIM(A364))=0,"",GetItemValueFromSpecimenHeader("timepoint"))</f>
        <v/>
      </c>
      <c r="E364" t="str">
        <f t="shared" si="33"/>
        <v/>
      </c>
      <c r="F364" t="str">
        <f t="shared" si="34"/>
        <v/>
      </c>
      <c r="G364" t="str">
        <f t="shared" si="30"/>
        <v/>
      </c>
      <c r="H364" t="str">
        <f>IF(LEN(TRIM(A364))=0,"",GetConfigParameterValue("Collection Site"))</f>
        <v/>
      </c>
      <c r="I364" t="str">
        <f t="shared" si="35"/>
        <v/>
      </c>
      <c r="M364" t="str">
        <f>IF(LEN(TRIM(B364))=0,"",IF(ISERROR(VLOOKUP(RIGHT(B364,4),study_demographic!A:A,1,FALSE)),"NOT FOUND!!!", "OK"))</f>
        <v/>
      </c>
    </row>
    <row r="365" spans="1:13" x14ac:dyDescent="0.25">
      <c r="A365" t="str">
        <f t="shared" si="31"/>
        <v/>
      </c>
      <c r="B365" t="str">
        <f t="shared" si="32"/>
        <v/>
      </c>
      <c r="C365" s="55" t="str">
        <f>IF(LEN(TRIM(A365))=0,"",get_string_val(RIGHT(B365,4)))</f>
        <v/>
      </c>
      <c r="D365" t="str">
        <f>IF(LEN(TRIM(A365))=0,"",GetItemValueFromSpecimenHeader("timepoint"))</f>
        <v/>
      </c>
      <c r="E365" t="str">
        <f t="shared" si="33"/>
        <v/>
      </c>
      <c r="F365" t="str">
        <f t="shared" si="34"/>
        <v/>
      </c>
      <c r="G365" t="str">
        <f t="shared" si="30"/>
        <v/>
      </c>
      <c r="H365" t="str">
        <f>IF(LEN(TRIM(A365))=0,"",GetConfigParameterValue("Collection Site"))</f>
        <v/>
      </c>
      <c r="I365" t="str">
        <f t="shared" si="35"/>
        <v/>
      </c>
      <c r="M365" t="str">
        <f>IF(LEN(TRIM(B365))=0,"",IF(ISERROR(VLOOKUP(RIGHT(B365,4),study_demographic!A:A,1,FALSE)),"NOT FOUND!!!", "OK"))</f>
        <v/>
      </c>
    </row>
    <row r="366" spans="1:13" x14ac:dyDescent="0.25">
      <c r="A366" t="str">
        <f t="shared" si="31"/>
        <v/>
      </c>
      <c r="B366" t="str">
        <f t="shared" si="32"/>
        <v/>
      </c>
      <c r="C366" s="55" t="str">
        <f>IF(LEN(TRIM(A366))=0,"",get_string_val(RIGHT(B366,4)))</f>
        <v/>
      </c>
      <c r="D366" t="str">
        <f>IF(LEN(TRIM(A366))=0,"",GetItemValueFromSpecimenHeader("timepoint"))</f>
        <v/>
      </c>
      <c r="E366" t="str">
        <f t="shared" si="33"/>
        <v/>
      </c>
      <c r="F366" t="str">
        <f t="shared" si="34"/>
        <v/>
      </c>
      <c r="G366" t="str">
        <f t="shared" si="30"/>
        <v/>
      </c>
      <c r="H366" t="str">
        <f>IF(LEN(TRIM(A366))=0,"",GetConfigParameterValue("Collection Site"))</f>
        <v/>
      </c>
      <c r="I366" t="str">
        <f t="shared" si="35"/>
        <v/>
      </c>
      <c r="M366" t="str">
        <f>IF(LEN(TRIM(B366))=0,"",IF(ISERROR(VLOOKUP(RIGHT(B366,4),study_demographic!A:A,1,FALSE)),"NOT FOUND!!!", "OK"))</f>
        <v/>
      </c>
    </row>
    <row r="367" spans="1:13" x14ac:dyDescent="0.25">
      <c r="A367" t="str">
        <f t="shared" si="31"/>
        <v/>
      </c>
      <c r="B367" t="str">
        <f t="shared" si="32"/>
        <v/>
      </c>
      <c r="C367" s="55" t="str">
        <f>IF(LEN(TRIM(A367))=0,"",get_string_val(RIGHT(B367,4)))</f>
        <v/>
      </c>
      <c r="D367" t="str">
        <f>IF(LEN(TRIM(A367))=0,"",GetItemValueFromSpecimenHeader("timepoint"))</f>
        <v/>
      </c>
      <c r="E367" t="str">
        <f t="shared" si="33"/>
        <v/>
      </c>
      <c r="F367" t="str">
        <f t="shared" si="34"/>
        <v/>
      </c>
      <c r="G367" t="str">
        <f t="shared" si="30"/>
        <v/>
      </c>
      <c r="H367" t="str">
        <f>IF(LEN(TRIM(A367))=0,"",GetConfigParameterValue("Collection Site"))</f>
        <v/>
      </c>
      <c r="I367" t="str">
        <f t="shared" si="35"/>
        <v/>
      </c>
      <c r="M367" t="str">
        <f>IF(LEN(TRIM(B367))=0,"",IF(ISERROR(VLOOKUP(RIGHT(B367,4),study_demographic!A:A,1,FALSE)),"NOT FOUND!!!", "OK"))</f>
        <v/>
      </c>
    </row>
    <row r="368" spans="1:13" x14ac:dyDescent="0.25">
      <c r="A368" t="str">
        <f t="shared" si="31"/>
        <v/>
      </c>
      <c r="B368" t="str">
        <f t="shared" si="32"/>
        <v/>
      </c>
      <c r="C368" s="55" t="str">
        <f>IF(LEN(TRIM(A368))=0,"",get_string_val(RIGHT(B368,4)))</f>
        <v/>
      </c>
      <c r="D368" t="str">
        <f>IF(LEN(TRIM(A368))=0,"",GetItemValueFromSpecimenHeader("timepoint"))</f>
        <v/>
      </c>
      <c r="E368" t="str">
        <f t="shared" si="33"/>
        <v/>
      </c>
      <c r="F368" t="str">
        <f t="shared" si="34"/>
        <v/>
      </c>
      <c r="G368" t="str">
        <f t="shared" si="30"/>
        <v/>
      </c>
      <c r="H368" t="str">
        <f>IF(LEN(TRIM(A368))=0,"",GetConfigParameterValue("Collection Site"))</f>
        <v/>
      </c>
      <c r="I368" t="str">
        <f t="shared" si="35"/>
        <v/>
      </c>
      <c r="M368" t="str">
        <f>IF(LEN(TRIM(B368))=0,"",IF(ISERROR(VLOOKUP(RIGHT(B368,4),study_demographic!A:A,1,FALSE)),"NOT FOUND!!!", "OK"))</f>
        <v/>
      </c>
    </row>
    <row r="369" spans="1:13" x14ac:dyDescent="0.25">
      <c r="A369" t="str">
        <f t="shared" si="31"/>
        <v/>
      </c>
      <c r="B369" t="str">
        <f t="shared" si="32"/>
        <v/>
      </c>
      <c r="C369" s="55" t="str">
        <f>IF(LEN(TRIM(A369))=0,"",get_string_val(RIGHT(B369,4)))</f>
        <v/>
      </c>
      <c r="D369" t="str">
        <f>IF(LEN(TRIM(A369))=0,"",GetItemValueFromSpecimenHeader("timepoint"))</f>
        <v/>
      </c>
      <c r="E369" t="str">
        <f t="shared" si="33"/>
        <v/>
      </c>
      <c r="F369" t="str">
        <f t="shared" si="34"/>
        <v/>
      </c>
      <c r="G369" t="str">
        <f t="shared" si="30"/>
        <v/>
      </c>
      <c r="H369" t="str">
        <f>IF(LEN(TRIM(A369))=0,"",GetConfigParameterValue("Collection Site"))</f>
        <v/>
      </c>
      <c r="I369" t="str">
        <f t="shared" si="35"/>
        <v/>
      </c>
      <c r="M369" t="str">
        <f>IF(LEN(TRIM(B369))=0,"",IF(ISERROR(VLOOKUP(RIGHT(B369,4),study_demographic!A:A,1,FALSE)),"NOT FOUND!!!", "OK"))</f>
        <v/>
      </c>
    </row>
    <row r="370" spans="1:13" x14ac:dyDescent="0.25">
      <c r="A370" t="str">
        <f t="shared" si="31"/>
        <v/>
      </c>
      <c r="B370" t="str">
        <f t="shared" si="32"/>
        <v/>
      </c>
      <c r="C370" s="55" t="str">
        <f>IF(LEN(TRIM(A370))=0,"",get_string_val(RIGHT(B370,4)))</f>
        <v/>
      </c>
      <c r="D370" t="str">
        <f>IF(LEN(TRIM(A370))=0,"",GetItemValueFromSpecimenHeader("timepoint"))</f>
        <v/>
      </c>
      <c r="E370" t="str">
        <f t="shared" si="33"/>
        <v/>
      </c>
      <c r="F370" t="str">
        <f t="shared" si="34"/>
        <v/>
      </c>
      <c r="G370" t="str">
        <f t="shared" si="30"/>
        <v/>
      </c>
      <c r="H370" t="str">
        <f>IF(LEN(TRIM(A370))=0,"",GetConfigParameterValue("Collection Site"))</f>
        <v/>
      </c>
      <c r="I370" t="str">
        <f t="shared" si="35"/>
        <v/>
      </c>
      <c r="M370" t="str">
        <f>IF(LEN(TRIM(B370))=0,"",IF(ISERROR(VLOOKUP(RIGHT(B370,4),study_demographic!A:A,1,FALSE)),"NOT FOUND!!!", "OK"))</f>
        <v/>
      </c>
    </row>
    <row r="371" spans="1:13" x14ac:dyDescent="0.25">
      <c r="A371" t="str">
        <f t="shared" si="31"/>
        <v/>
      </c>
      <c r="B371" t="str">
        <f t="shared" si="32"/>
        <v/>
      </c>
      <c r="C371" s="55" t="str">
        <f>IF(LEN(TRIM(A371))=0,"",get_string_val(RIGHT(B371,4)))</f>
        <v/>
      </c>
      <c r="D371" t="str">
        <f>IF(LEN(TRIM(A371))=0,"",GetItemValueFromSpecimenHeader("timepoint"))</f>
        <v/>
      </c>
      <c r="E371" t="str">
        <f t="shared" si="33"/>
        <v/>
      </c>
      <c r="F371" t="str">
        <f t="shared" si="34"/>
        <v/>
      </c>
      <c r="G371" t="str">
        <f t="shared" si="30"/>
        <v/>
      </c>
      <c r="H371" t="str">
        <f>IF(LEN(TRIM(A371))=0,"",GetConfigParameterValue("Collection Site"))</f>
        <v/>
      </c>
      <c r="I371" t="str">
        <f t="shared" si="35"/>
        <v/>
      </c>
      <c r="M371" t="str">
        <f>IF(LEN(TRIM(B371))=0,"",IF(ISERROR(VLOOKUP(RIGHT(B371,4),study_demographic!A:A,1,FALSE)),"NOT FOUND!!!", "OK"))</f>
        <v/>
      </c>
    </row>
    <row r="372" spans="1:13" x14ac:dyDescent="0.25">
      <c r="A372" t="str">
        <f t="shared" si="31"/>
        <v/>
      </c>
      <c r="B372" t="str">
        <f t="shared" si="32"/>
        <v/>
      </c>
      <c r="C372" s="55" t="str">
        <f>IF(LEN(TRIM(A372))=0,"",get_string_val(RIGHT(B372,4)))</f>
        <v/>
      </c>
      <c r="D372" t="str">
        <f>IF(LEN(TRIM(A372))=0,"",GetItemValueFromSpecimenHeader("timepoint"))</f>
        <v/>
      </c>
      <c r="E372" t="str">
        <f t="shared" si="33"/>
        <v/>
      </c>
      <c r="F372" t="str">
        <f t="shared" si="34"/>
        <v/>
      </c>
      <c r="G372" t="str">
        <f t="shared" si="30"/>
        <v/>
      </c>
      <c r="H372" t="str">
        <f>IF(LEN(TRIM(A372))=0,"",GetConfigParameterValue("Collection Site"))</f>
        <v/>
      </c>
      <c r="I372" t="str">
        <f t="shared" si="35"/>
        <v/>
      </c>
      <c r="M372" t="str">
        <f>IF(LEN(TRIM(B372))=0,"",IF(ISERROR(VLOOKUP(RIGHT(B372,4),study_demographic!A:A,1,FALSE)),"NOT FOUND!!!", "OK"))</f>
        <v/>
      </c>
    </row>
    <row r="373" spans="1:13" x14ac:dyDescent="0.25">
      <c r="A373" t="str">
        <f t="shared" si="31"/>
        <v/>
      </c>
      <c r="B373" t="str">
        <f t="shared" si="32"/>
        <v/>
      </c>
      <c r="C373" s="55" t="str">
        <f>IF(LEN(TRIM(A373))=0,"",get_string_val(RIGHT(B373,4)))</f>
        <v/>
      </c>
      <c r="D373" t="str">
        <f>IF(LEN(TRIM(A373))=0,"",GetItemValueFromSpecimenHeader("timepoint"))</f>
        <v/>
      </c>
      <c r="E373" t="str">
        <f t="shared" si="33"/>
        <v/>
      </c>
      <c r="F373" t="str">
        <f t="shared" si="34"/>
        <v/>
      </c>
      <c r="G373" t="str">
        <f t="shared" si="30"/>
        <v/>
      </c>
      <c r="H373" t="str">
        <f>IF(LEN(TRIM(A373))=0,"",GetConfigParameterValue("Collection Site"))</f>
        <v/>
      </c>
      <c r="I373" t="str">
        <f t="shared" si="35"/>
        <v/>
      </c>
      <c r="M373" t="str">
        <f>IF(LEN(TRIM(B373))=0,"",IF(ISERROR(VLOOKUP(RIGHT(B373,4),study_demographic!A:A,1,FALSE)),"NOT FOUND!!!", "OK"))</f>
        <v/>
      </c>
    </row>
    <row r="374" spans="1:13" x14ac:dyDescent="0.25">
      <c r="A374" t="str">
        <f t="shared" si="31"/>
        <v/>
      </c>
      <c r="B374" t="str">
        <f t="shared" si="32"/>
        <v/>
      </c>
      <c r="C374" s="55" t="str">
        <f>IF(LEN(TRIM(A374))=0,"",get_string_val(RIGHT(B374,4)))</f>
        <v/>
      </c>
      <c r="D374" t="str">
        <f>IF(LEN(TRIM(A374))=0,"",GetItemValueFromSpecimenHeader("timepoint"))</f>
        <v/>
      </c>
      <c r="E374" t="str">
        <f t="shared" si="33"/>
        <v/>
      </c>
      <c r="F374" t="str">
        <f t="shared" si="34"/>
        <v/>
      </c>
      <c r="G374" t="str">
        <f t="shared" si="30"/>
        <v/>
      </c>
      <c r="H374" t="str">
        <f>IF(LEN(TRIM(A374))=0,"",GetConfigParameterValue("Collection Site"))</f>
        <v/>
      </c>
      <c r="I374" t="str">
        <f t="shared" si="35"/>
        <v/>
      </c>
      <c r="M374" t="str">
        <f>IF(LEN(TRIM(B374))=0,"",IF(ISERROR(VLOOKUP(RIGHT(B374,4),study_demographic!A:A,1,FALSE)),"NOT FOUND!!!", "OK"))</f>
        <v/>
      </c>
    </row>
    <row r="375" spans="1:13" x14ac:dyDescent="0.25">
      <c r="A375" t="str">
        <f t="shared" si="31"/>
        <v/>
      </c>
      <c r="B375" t="str">
        <f t="shared" si="32"/>
        <v/>
      </c>
      <c r="C375" s="55" t="str">
        <f>IF(LEN(TRIM(A375))=0,"",get_string_val(RIGHT(B375,4)))</f>
        <v/>
      </c>
      <c r="D375" t="str">
        <f>IF(LEN(TRIM(A375))=0,"",GetItemValueFromSpecimenHeader("timepoint"))</f>
        <v/>
      </c>
      <c r="E375" t="str">
        <f t="shared" si="33"/>
        <v/>
      </c>
      <c r="F375" t="str">
        <f t="shared" si="34"/>
        <v/>
      </c>
      <c r="G375" t="str">
        <f t="shared" si="30"/>
        <v/>
      </c>
      <c r="H375" t="str">
        <f>IF(LEN(TRIM(A375))=0,"",GetConfigParameterValue("Collection Site"))</f>
        <v/>
      </c>
      <c r="I375" t="str">
        <f t="shared" si="35"/>
        <v/>
      </c>
      <c r="M375" t="str">
        <f>IF(LEN(TRIM(B375))=0,"",IF(ISERROR(VLOOKUP(RIGHT(B375,4),study_demographic!A:A,1,FALSE)),"NOT FOUND!!!", "OK"))</f>
        <v/>
      </c>
    </row>
    <row r="376" spans="1:13" x14ac:dyDescent="0.25">
      <c r="A376" t="str">
        <f t="shared" si="31"/>
        <v/>
      </c>
      <c r="B376" t="str">
        <f t="shared" si="32"/>
        <v/>
      </c>
      <c r="C376" s="55" t="str">
        <f>IF(LEN(TRIM(A376))=0,"",get_string_val(RIGHT(B376,4)))</f>
        <v/>
      </c>
      <c r="D376" t="str">
        <f>IF(LEN(TRIM(A376))=0,"",GetItemValueFromSpecimenHeader("timepoint"))</f>
        <v/>
      </c>
      <c r="E376" t="str">
        <f t="shared" si="33"/>
        <v/>
      </c>
      <c r="F376" t="str">
        <f t="shared" si="34"/>
        <v/>
      </c>
      <c r="G376" t="str">
        <f t="shared" si="30"/>
        <v/>
      </c>
      <c r="H376" t="str">
        <f>IF(LEN(TRIM(A376))=0,"",GetConfigParameterValue("Collection Site"))</f>
        <v/>
      </c>
      <c r="I376" t="str">
        <f t="shared" si="35"/>
        <v/>
      </c>
      <c r="M376" t="str">
        <f>IF(LEN(TRIM(B376))=0,"",IF(ISERROR(VLOOKUP(RIGHT(B376,4),study_demographic!A:A,1,FALSE)),"NOT FOUND!!!", "OK"))</f>
        <v/>
      </c>
    </row>
    <row r="377" spans="1:13" x14ac:dyDescent="0.25">
      <c r="A377" t="str">
        <f t="shared" si="31"/>
        <v/>
      </c>
      <c r="B377" t="str">
        <f t="shared" si="32"/>
        <v/>
      </c>
      <c r="C377" s="55" t="str">
        <f>IF(LEN(TRIM(A377))=0,"",get_string_val(RIGHT(B377,4)))</f>
        <v/>
      </c>
      <c r="D377" t="str">
        <f>IF(LEN(TRIM(A377))=0,"",GetItemValueFromSpecimenHeader("timepoint"))</f>
        <v/>
      </c>
      <c r="E377" t="str">
        <f t="shared" si="33"/>
        <v/>
      </c>
      <c r="F377" t="str">
        <f t="shared" si="34"/>
        <v/>
      </c>
      <c r="G377" t="str">
        <f t="shared" si="30"/>
        <v/>
      </c>
      <c r="H377" t="str">
        <f>IF(LEN(TRIM(A377))=0,"",GetConfigParameterValue("Collection Site"))</f>
        <v/>
      </c>
      <c r="I377" t="str">
        <f t="shared" si="35"/>
        <v/>
      </c>
      <c r="M377" t="str">
        <f>IF(LEN(TRIM(B377))=0,"",IF(ISERROR(VLOOKUP(RIGHT(B377,4),study_demographic!A:A,1,FALSE)),"NOT FOUND!!!", "OK"))</f>
        <v/>
      </c>
    </row>
    <row r="378" spans="1:13" x14ac:dyDescent="0.25">
      <c r="A378" t="str">
        <f t="shared" si="31"/>
        <v/>
      </c>
      <c r="B378" t="str">
        <f t="shared" si="32"/>
        <v/>
      </c>
      <c r="C378" s="55" t="str">
        <f>IF(LEN(TRIM(A378))=0,"",get_string_val(RIGHT(B378,4)))</f>
        <v/>
      </c>
      <c r="D378" t="str">
        <f>IF(LEN(TRIM(A378))=0,"",GetItemValueFromSpecimenHeader("timepoint"))</f>
        <v/>
      </c>
      <c r="E378" t="str">
        <f t="shared" si="33"/>
        <v/>
      </c>
      <c r="F378" t="str">
        <f t="shared" si="34"/>
        <v/>
      </c>
      <c r="G378" t="str">
        <f t="shared" si="30"/>
        <v/>
      </c>
      <c r="H378" t="str">
        <f>IF(LEN(TRIM(A378))=0,"",GetConfigParameterValue("Collection Site"))</f>
        <v/>
      </c>
      <c r="I378" t="str">
        <f t="shared" si="35"/>
        <v/>
      </c>
      <c r="M378" t="str">
        <f>IF(LEN(TRIM(B378))=0,"",IF(ISERROR(VLOOKUP(RIGHT(B378,4),study_demographic!A:A,1,FALSE)),"NOT FOUND!!!", "OK"))</f>
        <v/>
      </c>
    </row>
    <row r="379" spans="1:13" x14ac:dyDescent="0.25">
      <c r="A379" t="str">
        <f t="shared" si="31"/>
        <v/>
      </c>
      <c r="B379" t="str">
        <f t="shared" si="32"/>
        <v/>
      </c>
      <c r="C379" s="55" t="str">
        <f>IF(LEN(TRIM(A379))=0,"",get_string_val(RIGHT(B379,4)))</f>
        <v/>
      </c>
      <c r="D379" t="str">
        <f>IF(LEN(TRIM(A379))=0,"",GetItemValueFromSpecimenHeader("timepoint"))</f>
        <v/>
      </c>
      <c r="E379" t="str">
        <f t="shared" si="33"/>
        <v/>
      </c>
      <c r="F379" t="str">
        <f t="shared" si="34"/>
        <v/>
      </c>
      <c r="G379" t="str">
        <f t="shared" si="30"/>
        <v/>
      </c>
      <c r="H379" t="str">
        <f>IF(LEN(TRIM(A379))=0,"",GetConfigParameterValue("Collection Site"))</f>
        <v/>
      </c>
      <c r="I379" t="str">
        <f t="shared" si="35"/>
        <v/>
      </c>
      <c r="M379" t="str">
        <f>IF(LEN(TRIM(B379))=0,"",IF(ISERROR(VLOOKUP(RIGHT(B379,4),study_demographic!A:A,1,FALSE)),"NOT FOUND!!!", "OK"))</f>
        <v/>
      </c>
    </row>
    <row r="380" spans="1:13" x14ac:dyDescent="0.25">
      <c r="A380" t="str">
        <f t="shared" si="31"/>
        <v/>
      </c>
      <c r="B380" t="str">
        <f t="shared" si="32"/>
        <v/>
      </c>
      <c r="C380" s="55" t="str">
        <f>IF(LEN(TRIM(A380))=0,"",get_string_val(RIGHT(B380,4)))</f>
        <v/>
      </c>
      <c r="D380" t="str">
        <f>IF(LEN(TRIM(A380))=0,"",GetItemValueFromSpecimenHeader("timepoint"))</f>
        <v/>
      </c>
      <c r="E380" t="str">
        <f t="shared" si="33"/>
        <v/>
      </c>
      <c r="F380" t="str">
        <f t="shared" si="34"/>
        <v/>
      </c>
      <c r="G380" t="str">
        <f t="shared" si="30"/>
        <v/>
      </c>
      <c r="H380" t="str">
        <f>IF(LEN(TRIM(A380))=0,"",GetConfigParameterValue("Collection Site"))</f>
        <v/>
      </c>
      <c r="I380" t="str">
        <f t="shared" si="35"/>
        <v/>
      </c>
      <c r="M380" t="str">
        <f>IF(LEN(TRIM(B380))=0,"",IF(ISERROR(VLOOKUP(RIGHT(B380,4),study_demographic!A:A,1,FALSE)),"NOT FOUND!!!", "OK"))</f>
        <v/>
      </c>
    </row>
    <row r="381" spans="1:13" x14ac:dyDescent="0.25">
      <c r="A381" t="str">
        <f t="shared" si="31"/>
        <v/>
      </c>
      <c r="B381" t="str">
        <f t="shared" si="32"/>
        <v/>
      </c>
      <c r="C381" s="55" t="str">
        <f>IF(LEN(TRIM(A381))=0,"",get_string_val(RIGHT(B381,4)))</f>
        <v/>
      </c>
      <c r="D381" t="str">
        <f>IF(LEN(TRIM(A381))=0,"",GetItemValueFromSpecimenHeader("timepoint"))</f>
        <v/>
      </c>
      <c r="E381" t="str">
        <f t="shared" si="33"/>
        <v/>
      </c>
      <c r="F381" t="str">
        <f t="shared" si="34"/>
        <v/>
      </c>
      <c r="G381" t="str">
        <f t="shared" si="30"/>
        <v/>
      </c>
      <c r="H381" t="str">
        <f>IF(LEN(TRIM(A381))=0,"",GetConfigParameterValue("Collection Site"))</f>
        <v/>
      </c>
      <c r="I381" t="str">
        <f t="shared" si="35"/>
        <v/>
      </c>
      <c r="M381" t="str">
        <f>IF(LEN(TRIM(B381))=0,"",IF(ISERROR(VLOOKUP(RIGHT(B381,4),study_demographic!A:A,1,FALSE)),"NOT FOUND!!!", "OK"))</f>
        <v/>
      </c>
    </row>
    <row r="382" spans="1:13" x14ac:dyDescent="0.25">
      <c r="A382" t="str">
        <f t="shared" si="31"/>
        <v/>
      </c>
      <c r="B382" t="str">
        <f t="shared" si="32"/>
        <v/>
      </c>
      <c r="C382" s="55" t="str">
        <f>IF(LEN(TRIM(A382))=0,"",get_string_val(RIGHT(B382,4)))</f>
        <v/>
      </c>
      <c r="D382" t="str">
        <f>IF(LEN(TRIM(A382))=0,"",GetItemValueFromSpecimenHeader("timepoint"))</f>
        <v/>
      </c>
      <c r="E382" t="str">
        <f t="shared" si="33"/>
        <v/>
      </c>
      <c r="F382" t="str">
        <f t="shared" si="34"/>
        <v/>
      </c>
      <c r="G382" t="str">
        <f t="shared" si="30"/>
        <v/>
      </c>
      <c r="H382" t="str">
        <f>IF(LEN(TRIM(A382))=0,"",GetConfigParameterValue("Collection Site"))</f>
        <v/>
      </c>
      <c r="I382" t="str">
        <f t="shared" si="35"/>
        <v/>
      </c>
      <c r="M382" t="str">
        <f>IF(LEN(TRIM(B382))=0,"",IF(ISERROR(VLOOKUP(RIGHT(B382,4),study_demographic!A:A,1,FALSE)),"NOT FOUND!!!", "OK"))</f>
        <v/>
      </c>
    </row>
    <row r="383" spans="1:13" x14ac:dyDescent="0.25">
      <c r="A383" t="str">
        <f t="shared" si="31"/>
        <v/>
      </c>
      <c r="B383" t="str">
        <f t="shared" si="32"/>
        <v/>
      </c>
      <c r="C383" s="55" t="str">
        <f>IF(LEN(TRIM(A383))=0,"",get_string_val(RIGHT(B383,4)))</f>
        <v/>
      </c>
      <c r="D383" t="str">
        <f>IF(LEN(TRIM(A383))=0,"",GetItemValueFromSpecimenHeader("timepoint"))</f>
        <v/>
      </c>
      <c r="E383" t="str">
        <f t="shared" si="33"/>
        <v/>
      </c>
      <c r="F383" t="str">
        <f t="shared" si="34"/>
        <v/>
      </c>
      <c r="G383" t="str">
        <f t="shared" si="30"/>
        <v/>
      </c>
      <c r="H383" t="str">
        <f>IF(LEN(TRIM(A383))=0,"",GetConfigParameterValue("Collection Site"))</f>
        <v/>
      </c>
      <c r="I383" t="str">
        <f t="shared" si="35"/>
        <v/>
      </c>
      <c r="M383" t="str">
        <f>IF(LEN(TRIM(B383))=0,"",IF(ISERROR(VLOOKUP(RIGHT(B383,4),study_demographic!A:A,1,FALSE)),"NOT FOUND!!!", "OK"))</f>
        <v/>
      </c>
    </row>
    <row r="384" spans="1:13" x14ac:dyDescent="0.25">
      <c r="A384" t="str">
        <f t="shared" si="31"/>
        <v/>
      </c>
      <c r="B384" t="str">
        <f t="shared" si="32"/>
        <v/>
      </c>
      <c r="C384" s="55" t="str">
        <f>IF(LEN(TRIM(A384))=0,"",get_string_val(RIGHT(B384,4)))</f>
        <v/>
      </c>
      <c r="D384" t="str">
        <f>IF(LEN(TRIM(A384))=0,"",GetItemValueFromSpecimenHeader("timepoint"))</f>
        <v/>
      </c>
      <c r="E384" t="str">
        <f t="shared" si="33"/>
        <v/>
      </c>
      <c r="F384" t="str">
        <f t="shared" si="34"/>
        <v/>
      </c>
      <c r="G384" t="str">
        <f t="shared" si="30"/>
        <v/>
      </c>
      <c r="H384" t="str">
        <f>IF(LEN(TRIM(A384))=0,"",GetConfigParameterValue("Collection Site"))</f>
        <v/>
      </c>
      <c r="I384" t="str">
        <f t="shared" si="35"/>
        <v/>
      </c>
      <c r="M384" t="str">
        <f>IF(LEN(TRIM(B384))=0,"",IF(ISERROR(VLOOKUP(RIGHT(B384,4),study_demographic!A:A,1,FALSE)),"NOT FOUND!!!", "OK"))</f>
        <v/>
      </c>
    </row>
    <row r="385" spans="1:13" x14ac:dyDescent="0.25">
      <c r="A385" t="str">
        <f t="shared" si="31"/>
        <v/>
      </c>
      <c r="B385" t="str">
        <f t="shared" si="32"/>
        <v/>
      </c>
      <c r="C385" s="55" t="str">
        <f>IF(LEN(TRIM(A385))=0,"",get_string_val(RIGHT(B385,4)))</f>
        <v/>
      </c>
      <c r="D385" t="str">
        <f>IF(LEN(TRIM(A385))=0,"",GetItemValueFromSpecimenHeader("timepoint"))</f>
        <v/>
      </c>
      <c r="E385" t="str">
        <f t="shared" si="33"/>
        <v/>
      </c>
      <c r="F385" t="str">
        <f t="shared" si="34"/>
        <v/>
      </c>
      <c r="G385" t="str">
        <f t="shared" si="30"/>
        <v/>
      </c>
      <c r="H385" t="str">
        <f>IF(LEN(TRIM(A385))=0,"",GetConfigParameterValue("Collection Site"))</f>
        <v/>
      </c>
      <c r="I385" t="str">
        <f t="shared" si="35"/>
        <v/>
      </c>
      <c r="M385" t="str">
        <f>IF(LEN(TRIM(B385))=0,"",IF(ISERROR(VLOOKUP(RIGHT(B385,4),study_demographic!A:A,1,FALSE)),"NOT FOUND!!!", "OK"))</f>
        <v/>
      </c>
    </row>
    <row r="386" spans="1:13" x14ac:dyDescent="0.25">
      <c r="A386" t="str">
        <f t="shared" si="31"/>
        <v/>
      </c>
      <c r="B386" t="str">
        <f t="shared" si="32"/>
        <v/>
      </c>
      <c r="C386" s="55" t="str">
        <f>IF(LEN(TRIM(A386))=0,"",get_string_val(RIGHT(B386,4)))</f>
        <v/>
      </c>
      <c r="D386" t="str">
        <f>IF(LEN(TRIM(A386))=0,"",GetItemValueFromSpecimenHeader("timepoint"))</f>
        <v/>
      </c>
      <c r="E386" t="str">
        <f t="shared" si="33"/>
        <v/>
      </c>
      <c r="F386" t="str">
        <f t="shared" si="34"/>
        <v/>
      </c>
      <c r="G386" t="str">
        <f t="shared" ref="G386:G449" si="36">IF(LEN(TRIM(A386))=0,"",IF(TRIM(F386)="1","Male", IF(TRIM(F386)="2","Female", "NA")))</f>
        <v/>
      </c>
      <c r="H386" t="str">
        <f>IF(LEN(TRIM(A386))=0,"",GetConfigParameterValue("Collection Site"))</f>
        <v/>
      </c>
      <c r="I386" t="str">
        <f t="shared" si="35"/>
        <v/>
      </c>
      <c r="M386" t="str">
        <f>IF(LEN(TRIM(B386))=0,"",IF(ISERROR(VLOOKUP(RIGHT(B386,4),study_demographic!A:A,1,FALSE)),"NOT FOUND!!!", "OK"))</f>
        <v/>
      </c>
    </row>
    <row r="387" spans="1:13" x14ac:dyDescent="0.25">
      <c r="A387" t="str">
        <f t="shared" ref="A387:A450" si="37">GetSampleId((ROW()))</f>
        <v/>
      </c>
      <c r="B387" t="str">
        <f t="shared" ref="B387:B450" si="38">IF(LEN(TRIM(A387))=0,"",LEFT(A387,7))</f>
        <v/>
      </c>
      <c r="C387" s="55" t="str">
        <f>IF(LEN(TRIM(A387))=0,"",get_string_val(RIGHT(B387,4)))</f>
        <v/>
      </c>
      <c r="D387" t="str">
        <f>IF(LEN(TRIM(A387))=0,"",GetItemValueFromSpecimenHeader("timepoint"))</f>
        <v/>
      </c>
      <c r="E387" t="str">
        <f t="shared" ref="E387:E450" si="39">getColumnValueBySubjectID("Age",RIGHT(B387,4))</f>
        <v/>
      </c>
      <c r="F387" t="str">
        <f t="shared" ref="F387:F450" si="40">getColumnValueBySubjectID("Sex",RIGHT(B387,4))</f>
        <v/>
      </c>
      <c r="G387" t="str">
        <f t="shared" si="36"/>
        <v/>
      </c>
      <c r="H387" t="str">
        <f>IF(LEN(TRIM(A387))=0,"",GetConfigParameterValue("Collection Site"))</f>
        <v/>
      </c>
      <c r="I387" t="str">
        <f t="shared" ref="I387:I450" si="41">getColumnValueBySubjectID("Comments",B387)</f>
        <v/>
      </c>
      <c r="M387" t="str">
        <f>IF(LEN(TRIM(B387))=0,"",IF(ISERROR(VLOOKUP(RIGHT(B387,4),study_demographic!A:A,1,FALSE)),"NOT FOUND!!!", "OK"))</f>
        <v/>
      </c>
    </row>
    <row r="388" spans="1:13" x14ac:dyDescent="0.25">
      <c r="A388" t="str">
        <f t="shared" si="37"/>
        <v/>
      </c>
      <c r="B388" t="str">
        <f t="shared" si="38"/>
        <v/>
      </c>
      <c r="C388" s="55" t="str">
        <f>IF(LEN(TRIM(A388))=0,"",get_string_val(RIGHT(B388,4)))</f>
        <v/>
      </c>
      <c r="D388" t="str">
        <f>IF(LEN(TRIM(A388))=0,"",GetItemValueFromSpecimenHeader("timepoint"))</f>
        <v/>
      </c>
      <c r="E388" t="str">
        <f t="shared" si="39"/>
        <v/>
      </c>
      <c r="F388" t="str">
        <f t="shared" si="40"/>
        <v/>
      </c>
      <c r="G388" t="str">
        <f t="shared" si="36"/>
        <v/>
      </c>
      <c r="H388" t="str">
        <f>IF(LEN(TRIM(A388))=0,"",GetConfigParameterValue("Collection Site"))</f>
        <v/>
      </c>
      <c r="I388" t="str">
        <f t="shared" si="41"/>
        <v/>
      </c>
      <c r="M388" t="str">
        <f>IF(LEN(TRIM(B388))=0,"",IF(ISERROR(VLOOKUP(RIGHT(B388,4),study_demographic!A:A,1,FALSE)),"NOT FOUND!!!", "OK"))</f>
        <v/>
      </c>
    </row>
    <row r="389" spans="1:13" x14ac:dyDescent="0.25">
      <c r="A389" t="str">
        <f t="shared" si="37"/>
        <v/>
      </c>
      <c r="B389" t="str">
        <f t="shared" si="38"/>
        <v/>
      </c>
      <c r="C389" s="55" t="str">
        <f>IF(LEN(TRIM(A389))=0,"",get_string_val(RIGHT(B389,4)))</f>
        <v/>
      </c>
      <c r="D389" t="str">
        <f>IF(LEN(TRIM(A389))=0,"",GetItemValueFromSpecimenHeader("timepoint"))</f>
        <v/>
      </c>
      <c r="E389" t="str">
        <f t="shared" si="39"/>
        <v/>
      </c>
      <c r="F389" t="str">
        <f t="shared" si="40"/>
        <v/>
      </c>
      <c r="G389" t="str">
        <f t="shared" si="36"/>
        <v/>
      </c>
      <c r="H389" t="str">
        <f>IF(LEN(TRIM(A389))=0,"",GetConfigParameterValue("Collection Site"))</f>
        <v/>
      </c>
      <c r="I389" t="str">
        <f t="shared" si="41"/>
        <v/>
      </c>
      <c r="M389" t="str">
        <f>IF(LEN(TRIM(B389))=0,"",IF(ISERROR(VLOOKUP(RIGHT(B389,4),study_demographic!A:A,1,FALSE)),"NOT FOUND!!!", "OK"))</f>
        <v/>
      </c>
    </row>
    <row r="390" spans="1:13" x14ac:dyDescent="0.25">
      <c r="A390" t="str">
        <f t="shared" si="37"/>
        <v/>
      </c>
      <c r="B390" t="str">
        <f t="shared" si="38"/>
        <v/>
      </c>
      <c r="C390" s="55" t="str">
        <f>IF(LEN(TRIM(A390))=0,"",get_string_val(RIGHT(B390,4)))</f>
        <v/>
      </c>
      <c r="D390" t="str">
        <f>IF(LEN(TRIM(A390))=0,"",GetItemValueFromSpecimenHeader("timepoint"))</f>
        <v/>
      </c>
      <c r="E390" t="str">
        <f t="shared" si="39"/>
        <v/>
      </c>
      <c r="F390" t="str">
        <f t="shared" si="40"/>
        <v/>
      </c>
      <c r="G390" t="str">
        <f t="shared" si="36"/>
        <v/>
      </c>
      <c r="H390" t="str">
        <f>IF(LEN(TRIM(A390))=0,"",GetConfigParameterValue("Collection Site"))</f>
        <v/>
      </c>
      <c r="I390" t="str">
        <f t="shared" si="41"/>
        <v/>
      </c>
      <c r="M390" t="str">
        <f>IF(LEN(TRIM(B390))=0,"",IF(ISERROR(VLOOKUP(RIGHT(B390,4),study_demographic!A:A,1,FALSE)),"NOT FOUND!!!", "OK"))</f>
        <v/>
      </c>
    </row>
    <row r="391" spans="1:13" x14ac:dyDescent="0.25">
      <c r="A391" t="str">
        <f t="shared" si="37"/>
        <v/>
      </c>
      <c r="B391" t="str">
        <f t="shared" si="38"/>
        <v/>
      </c>
      <c r="C391" s="55" t="str">
        <f>IF(LEN(TRIM(A391))=0,"",get_string_val(RIGHT(B391,4)))</f>
        <v/>
      </c>
      <c r="D391" t="str">
        <f>IF(LEN(TRIM(A391))=0,"",GetItemValueFromSpecimenHeader("timepoint"))</f>
        <v/>
      </c>
      <c r="E391" t="str">
        <f t="shared" si="39"/>
        <v/>
      </c>
      <c r="F391" t="str">
        <f t="shared" si="40"/>
        <v/>
      </c>
      <c r="G391" t="str">
        <f t="shared" si="36"/>
        <v/>
      </c>
      <c r="H391" t="str">
        <f>IF(LEN(TRIM(A391))=0,"",GetConfigParameterValue("Collection Site"))</f>
        <v/>
      </c>
      <c r="I391" t="str">
        <f t="shared" si="41"/>
        <v/>
      </c>
      <c r="M391" t="str">
        <f>IF(LEN(TRIM(B391))=0,"",IF(ISERROR(VLOOKUP(RIGHT(B391,4),study_demographic!A:A,1,FALSE)),"NOT FOUND!!!", "OK"))</f>
        <v/>
      </c>
    </row>
    <row r="392" spans="1:13" x14ac:dyDescent="0.25">
      <c r="A392" t="str">
        <f t="shared" si="37"/>
        <v/>
      </c>
      <c r="B392" t="str">
        <f t="shared" si="38"/>
        <v/>
      </c>
      <c r="C392" s="55" t="str">
        <f>IF(LEN(TRIM(A392))=0,"",get_string_val(RIGHT(B392,4)))</f>
        <v/>
      </c>
      <c r="D392" t="str">
        <f>IF(LEN(TRIM(A392))=0,"",GetItemValueFromSpecimenHeader("timepoint"))</f>
        <v/>
      </c>
      <c r="E392" t="str">
        <f t="shared" si="39"/>
        <v/>
      </c>
      <c r="F392" t="str">
        <f t="shared" si="40"/>
        <v/>
      </c>
      <c r="G392" t="str">
        <f t="shared" si="36"/>
        <v/>
      </c>
      <c r="H392" t="str">
        <f>IF(LEN(TRIM(A392))=0,"",GetConfigParameterValue("Collection Site"))</f>
        <v/>
      </c>
      <c r="I392" t="str">
        <f t="shared" si="41"/>
        <v/>
      </c>
      <c r="M392" t="str">
        <f>IF(LEN(TRIM(B392))=0,"",IF(ISERROR(VLOOKUP(RIGHT(B392,4),study_demographic!A:A,1,FALSE)),"NOT FOUND!!!", "OK"))</f>
        <v/>
      </c>
    </row>
    <row r="393" spans="1:13" x14ac:dyDescent="0.25">
      <c r="A393" t="str">
        <f t="shared" si="37"/>
        <v/>
      </c>
      <c r="B393" t="str">
        <f t="shared" si="38"/>
        <v/>
      </c>
      <c r="C393" s="55" t="str">
        <f>IF(LEN(TRIM(A393))=0,"",get_string_val(RIGHT(B393,4)))</f>
        <v/>
      </c>
      <c r="D393" t="str">
        <f>IF(LEN(TRIM(A393))=0,"",GetItemValueFromSpecimenHeader("timepoint"))</f>
        <v/>
      </c>
      <c r="E393" t="str">
        <f t="shared" si="39"/>
        <v/>
      </c>
      <c r="F393" t="str">
        <f t="shared" si="40"/>
        <v/>
      </c>
      <c r="G393" t="str">
        <f t="shared" si="36"/>
        <v/>
      </c>
      <c r="H393" t="str">
        <f>IF(LEN(TRIM(A393))=0,"",GetConfigParameterValue("Collection Site"))</f>
        <v/>
      </c>
      <c r="I393" t="str">
        <f t="shared" si="41"/>
        <v/>
      </c>
      <c r="M393" t="str">
        <f>IF(LEN(TRIM(B393))=0,"",IF(ISERROR(VLOOKUP(RIGHT(B393,4),study_demographic!A:A,1,FALSE)),"NOT FOUND!!!", "OK"))</f>
        <v/>
      </c>
    </row>
    <row r="394" spans="1:13" x14ac:dyDescent="0.25">
      <c r="A394" t="str">
        <f t="shared" si="37"/>
        <v/>
      </c>
      <c r="B394" t="str">
        <f t="shared" si="38"/>
        <v/>
      </c>
      <c r="C394" s="55" t="str">
        <f>IF(LEN(TRIM(A394))=0,"",get_string_val(RIGHT(B394,4)))</f>
        <v/>
      </c>
      <c r="D394" t="str">
        <f>IF(LEN(TRIM(A394))=0,"",GetItemValueFromSpecimenHeader("timepoint"))</f>
        <v/>
      </c>
      <c r="E394" t="str">
        <f t="shared" si="39"/>
        <v/>
      </c>
      <c r="F394" t="str">
        <f t="shared" si="40"/>
        <v/>
      </c>
      <c r="G394" t="str">
        <f t="shared" si="36"/>
        <v/>
      </c>
      <c r="H394" t="str">
        <f>IF(LEN(TRIM(A394))=0,"",GetConfigParameterValue("Collection Site"))</f>
        <v/>
      </c>
      <c r="I394" t="str">
        <f t="shared" si="41"/>
        <v/>
      </c>
      <c r="M394" t="str">
        <f>IF(LEN(TRIM(B394))=0,"",IF(ISERROR(VLOOKUP(RIGHT(B394,4),study_demographic!A:A,1,FALSE)),"NOT FOUND!!!", "OK"))</f>
        <v/>
      </c>
    </row>
    <row r="395" spans="1:13" x14ac:dyDescent="0.25">
      <c r="A395" t="str">
        <f t="shared" si="37"/>
        <v/>
      </c>
      <c r="B395" t="str">
        <f t="shared" si="38"/>
        <v/>
      </c>
      <c r="C395" s="55" t="str">
        <f>IF(LEN(TRIM(A395))=0,"",get_string_val(RIGHT(B395,4)))</f>
        <v/>
      </c>
      <c r="D395" t="str">
        <f>IF(LEN(TRIM(A395))=0,"",GetItemValueFromSpecimenHeader("timepoint"))</f>
        <v/>
      </c>
      <c r="E395" t="str">
        <f t="shared" si="39"/>
        <v/>
      </c>
      <c r="F395" t="str">
        <f t="shared" si="40"/>
        <v/>
      </c>
      <c r="G395" t="str">
        <f t="shared" si="36"/>
        <v/>
      </c>
      <c r="H395" t="str">
        <f>IF(LEN(TRIM(A395))=0,"",GetConfigParameterValue("Collection Site"))</f>
        <v/>
      </c>
      <c r="I395" t="str">
        <f t="shared" si="41"/>
        <v/>
      </c>
      <c r="M395" t="str">
        <f>IF(LEN(TRIM(B395))=0,"",IF(ISERROR(VLOOKUP(RIGHT(B395,4),study_demographic!A:A,1,FALSE)),"NOT FOUND!!!", "OK"))</f>
        <v/>
      </c>
    </row>
    <row r="396" spans="1:13" x14ac:dyDescent="0.25">
      <c r="A396" t="str">
        <f t="shared" si="37"/>
        <v/>
      </c>
      <c r="B396" t="str">
        <f t="shared" si="38"/>
        <v/>
      </c>
      <c r="C396" s="55" t="str">
        <f>IF(LEN(TRIM(A396))=0,"",get_string_val(RIGHT(B396,4)))</f>
        <v/>
      </c>
      <c r="D396" t="str">
        <f>IF(LEN(TRIM(A396))=0,"",GetItemValueFromSpecimenHeader("timepoint"))</f>
        <v/>
      </c>
      <c r="E396" t="str">
        <f t="shared" si="39"/>
        <v/>
      </c>
      <c r="F396" t="str">
        <f t="shared" si="40"/>
        <v/>
      </c>
      <c r="G396" t="str">
        <f t="shared" si="36"/>
        <v/>
      </c>
      <c r="H396" t="str">
        <f>IF(LEN(TRIM(A396))=0,"",GetConfigParameterValue("Collection Site"))</f>
        <v/>
      </c>
      <c r="I396" t="str">
        <f t="shared" si="41"/>
        <v/>
      </c>
      <c r="M396" t="str">
        <f>IF(LEN(TRIM(B396))=0,"",IF(ISERROR(VLOOKUP(RIGHT(B396,4),study_demographic!A:A,1,FALSE)),"NOT FOUND!!!", "OK"))</f>
        <v/>
      </c>
    </row>
    <row r="397" spans="1:13" x14ac:dyDescent="0.25">
      <c r="A397" t="str">
        <f t="shared" si="37"/>
        <v/>
      </c>
      <c r="B397" t="str">
        <f t="shared" si="38"/>
        <v/>
      </c>
      <c r="C397" s="55" t="str">
        <f>IF(LEN(TRIM(A397))=0,"",get_string_val(RIGHT(B397,4)))</f>
        <v/>
      </c>
      <c r="D397" t="str">
        <f>IF(LEN(TRIM(A397))=0,"",GetItemValueFromSpecimenHeader("timepoint"))</f>
        <v/>
      </c>
      <c r="E397" t="str">
        <f t="shared" si="39"/>
        <v/>
      </c>
      <c r="F397" t="str">
        <f t="shared" si="40"/>
        <v/>
      </c>
      <c r="G397" t="str">
        <f t="shared" si="36"/>
        <v/>
      </c>
      <c r="H397" t="str">
        <f>IF(LEN(TRIM(A397))=0,"",GetConfigParameterValue("Collection Site"))</f>
        <v/>
      </c>
      <c r="I397" t="str">
        <f t="shared" si="41"/>
        <v/>
      </c>
      <c r="M397" t="str">
        <f>IF(LEN(TRIM(B397))=0,"",IF(ISERROR(VLOOKUP(RIGHT(B397,4),study_demographic!A:A,1,FALSE)),"NOT FOUND!!!", "OK"))</f>
        <v/>
      </c>
    </row>
    <row r="398" spans="1:13" x14ac:dyDescent="0.25">
      <c r="A398" t="str">
        <f t="shared" si="37"/>
        <v/>
      </c>
      <c r="B398" t="str">
        <f t="shared" si="38"/>
        <v/>
      </c>
      <c r="C398" s="55" t="str">
        <f>IF(LEN(TRIM(A398))=0,"",get_string_val(RIGHT(B398,4)))</f>
        <v/>
      </c>
      <c r="D398" t="str">
        <f>IF(LEN(TRIM(A398))=0,"",GetItemValueFromSpecimenHeader("timepoint"))</f>
        <v/>
      </c>
      <c r="E398" t="str">
        <f t="shared" si="39"/>
        <v/>
      </c>
      <c r="F398" t="str">
        <f t="shared" si="40"/>
        <v/>
      </c>
      <c r="G398" t="str">
        <f t="shared" si="36"/>
        <v/>
      </c>
      <c r="H398" t="str">
        <f>IF(LEN(TRIM(A398))=0,"",GetConfigParameterValue("Collection Site"))</f>
        <v/>
      </c>
      <c r="I398" t="str">
        <f t="shared" si="41"/>
        <v/>
      </c>
      <c r="M398" t="str">
        <f>IF(LEN(TRIM(B398))=0,"",IF(ISERROR(VLOOKUP(RIGHT(B398,4),study_demographic!A:A,1,FALSE)),"NOT FOUND!!!", "OK"))</f>
        <v/>
      </c>
    </row>
    <row r="399" spans="1:13" x14ac:dyDescent="0.25">
      <c r="A399" t="str">
        <f t="shared" si="37"/>
        <v/>
      </c>
      <c r="B399" t="str">
        <f t="shared" si="38"/>
        <v/>
      </c>
      <c r="C399" s="55" t="str">
        <f>IF(LEN(TRIM(A399))=0,"",get_string_val(RIGHT(B399,4)))</f>
        <v/>
      </c>
      <c r="D399" t="str">
        <f>IF(LEN(TRIM(A399))=0,"",GetItemValueFromSpecimenHeader("timepoint"))</f>
        <v/>
      </c>
      <c r="E399" t="str">
        <f t="shared" si="39"/>
        <v/>
      </c>
      <c r="F399" t="str">
        <f t="shared" si="40"/>
        <v/>
      </c>
      <c r="G399" t="str">
        <f t="shared" si="36"/>
        <v/>
      </c>
      <c r="H399" t="str">
        <f>IF(LEN(TRIM(A399))=0,"",GetConfigParameterValue("Collection Site"))</f>
        <v/>
      </c>
      <c r="I399" t="str">
        <f t="shared" si="41"/>
        <v/>
      </c>
      <c r="M399" t="str">
        <f>IF(LEN(TRIM(B399))=0,"",IF(ISERROR(VLOOKUP(RIGHT(B399,4),study_demographic!A:A,1,FALSE)),"NOT FOUND!!!", "OK"))</f>
        <v/>
      </c>
    </row>
    <row r="400" spans="1:13" x14ac:dyDescent="0.25">
      <c r="A400" t="str">
        <f t="shared" si="37"/>
        <v/>
      </c>
      <c r="B400" t="str">
        <f t="shared" si="38"/>
        <v/>
      </c>
      <c r="C400" s="55" t="str">
        <f>IF(LEN(TRIM(A400))=0,"",get_string_val(RIGHT(B400,4)))</f>
        <v/>
      </c>
      <c r="D400" t="str">
        <f>IF(LEN(TRIM(A400))=0,"",GetItemValueFromSpecimenHeader("timepoint"))</f>
        <v/>
      </c>
      <c r="E400" t="str">
        <f t="shared" si="39"/>
        <v/>
      </c>
      <c r="F400" t="str">
        <f t="shared" si="40"/>
        <v/>
      </c>
      <c r="G400" t="str">
        <f t="shared" si="36"/>
        <v/>
      </c>
      <c r="H400" t="str">
        <f>IF(LEN(TRIM(A400))=0,"",GetConfigParameterValue("Collection Site"))</f>
        <v/>
      </c>
      <c r="I400" t="str">
        <f t="shared" si="41"/>
        <v/>
      </c>
      <c r="M400" t="str">
        <f>IF(LEN(TRIM(B400))=0,"",IF(ISERROR(VLOOKUP(RIGHT(B400,4),study_demographic!A:A,1,FALSE)),"NOT FOUND!!!", "OK"))</f>
        <v/>
      </c>
    </row>
    <row r="401" spans="1:13" x14ac:dyDescent="0.25">
      <c r="A401" t="str">
        <f t="shared" si="37"/>
        <v/>
      </c>
      <c r="B401" t="str">
        <f t="shared" si="38"/>
        <v/>
      </c>
      <c r="C401" s="55" t="str">
        <f>IF(LEN(TRIM(A401))=0,"",get_string_val(RIGHT(B401,4)))</f>
        <v/>
      </c>
      <c r="D401" t="str">
        <f>IF(LEN(TRIM(A401))=0,"",GetItemValueFromSpecimenHeader("timepoint"))</f>
        <v/>
      </c>
      <c r="E401" t="str">
        <f t="shared" si="39"/>
        <v/>
      </c>
      <c r="F401" t="str">
        <f t="shared" si="40"/>
        <v/>
      </c>
      <c r="G401" t="str">
        <f t="shared" si="36"/>
        <v/>
      </c>
      <c r="H401" t="str">
        <f>IF(LEN(TRIM(A401))=0,"",GetConfigParameterValue("Collection Site"))</f>
        <v/>
      </c>
      <c r="I401" t="str">
        <f t="shared" si="41"/>
        <v/>
      </c>
      <c r="M401" t="str">
        <f>IF(LEN(TRIM(B401))=0,"",IF(ISERROR(VLOOKUP(RIGHT(B401,4),study_demographic!A:A,1,FALSE)),"NOT FOUND!!!", "OK"))</f>
        <v/>
      </c>
    </row>
    <row r="402" spans="1:13" x14ac:dyDescent="0.25">
      <c r="A402" t="str">
        <f t="shared" si="37"/>
        <v/>
      </c>
      <c r="B402" t="str">
        <f t="shared" si="38"/>
        <v/>
      </c>
      <c r="C402" s="55" t="str">
        <f>IF(LEN(TRIM(A402))=0,"",get_string_val(RIGHT(B402,4)))</f>
        <v/>
      </c>
      <c r="D402" t="str">
        <f>IF(LEN(TRIM(A402))=0,"",GetItemValueFromSpecimenHeader("timepoint"))</f>
        <v/>
      </c>
      <c r="E402" t="str">
        <f t="shared" si="39"/>
        <v/>
      </c>
      <c r="F402" t="str">
        <f t="shared" si="40"/>
        <v/>
      </c>
      <c r="G402" t="str">
        <f t="shared" si="36"/>
        <v/>
      </c>
      <c r="H402" t="str">
        <f>IF(LEN(TRIM(A402))=0,"",GetConfigParameterValue("Collection Site"))</f>
        <v/>
      </c>
      <c r="I402" t="str">
        <f t="shared" si="41"/>
        <v/>
      </c>
      <c r="M402" t="str">
        <f>IF(LEN(TRIM(B402))=0,"",IF(ISERROR(VLOOKUP(RIGHT(B402,4),study_demographic!A:A,1,FALSE)),"NOT FOUND!!!", "OK"))</f>
        <v/>
      </c>
    </row>
    <row r="403" spans="1:13" x14ac:dyDescent="0.25">
      <c r="A403" t="str">
        <f t="shared" si="37"/>
        <v/>
      </c>
      <c r="B403" t="str">
        <f t="shared" si="38"/>
        <v/>
      </c>
      <c r="C403" s="55" t="str">
        <f>IF(LEN(TRIM(A403))=0,"",get_string_val(RIGHT(B403,4)))</f>
        <v/>
      </c>
      <c r="D403" t="str">
        <f>IF(LEN(TRIM(A403))=0,"",GetItemValueFromSpecimenHeader("timepoint"))</f>
        <v/>
      </c>
      <c r="E403" t="str">
        <f t="shared" si="39"/>
        <v/>
      </c>
      <c r="F403" t="str">
        <f t="shared" si="40"/>
        <v/>
      </c>
      <c r="G403" t="str">
        <f t="shared" si="36"/>
        <v/>
      </c>
      <c r="H403" t="str">
        <f>IF(LEN(TRIM(A403))=0,"",GetConfigParameterValue("Collection Site"))</f>
        <v/>
      </c>
      <c r="I403" t="str">
        <f t="shared" si="41"/>
        <v/>
      </c>
      <c r="M403" t="str">
        <f>IF(LEN(TRIM(B403))=0,"",IF(ISERROR(VLOOKUP(RIGHT(B403,4),study_demographic!A:A,1,FALSE)),"NOT FOUND!!!", "OK"))</f>
        <v/>
      </c>
    </row>
    <row r="404" spans="1:13" x14ac:dyDescent="0.25">
      <c r="A404" t="str">
        <f t="shared" si="37"/>
        <v/>
      </c>
      <c r="B404" t="str">
        <f t="shared" si="38"/>
        <v/>
      </c>
      <c r="C404" s="55" t="str">
        <f>IF(LEN(TRIM(A404))=0,"",get_string_val(RIGHT(B404,4)))</f>
        <v/>
      </c>
      <c r="D404" t="str">
        <f>IF(LEN(TRIM(A404))=0,"",GetItemValueFromSpecimenHeader("timepoint"))</f>
        <v/>
      </c>
      <c r="E404" t="str">
        <f t="shared" si="39"/>
        <v/>
      </c>
      <c r="F404" t="str">
        <f t="shared" si="40"/>
        <v/>
      </c>
      <c r="G404" t="str">
        <f t="shared" si="36"/>
        <v/>
      </c>
      <c r="H404" t="str">
        <f>IF(LEN(TRIM(A404))=0,"",GetConfigParameterValue("Collection Site"))</f>
        <v/>
      </c>
      <c r="I404" t="str">
        <f t="shared" si="41"/>
        <v/>
      </c>
      <c r="M404" t="str">
        <f>IF(LEN(TRIM(B404))=0,"",IF(ISERROR(VLOOKUP(RIGHT(B404,4),study_demographic!A:A,1,FALSE)),"NOT FOUND!!!", "OK"))</f>
        <v/>
      </c>
    </row>
    <row r="405" spans="1:13" x14ac:dyDescent="0.25">
      <c r="A405" t="str">
        <f t="shared" si="37"/>
        <v/>
      </c>
      <c r="B405" t="str">
        <f t="shared" si="38"/>
        <v/>
      </c>
      <c r="C405" s="55" t="str">
        <f>IF(LEN(TRIM(A405))=0,"",get_string_val(RIGHT(B405,4)))</f>
        <v/>
      </c>
      <c r="D405" t="str">
        <f>IF(LEN(TRIM(A405))=0,"",GetItemValueFromSpecimenHeader("timepoint"))</f>
        <v/>
      </c>
      <c r="E405" t="str">
        <f t="shared" si="39"/>
        <v/>
      </c>
      <c r="F405" t="str">
        <f t="shared" si="40"/>
        <v/>
      </c>
      <c r="G405" t="str">
        <f t="shared" si="36"/>
        <v/>
      </c>
      <c r="H405" t="str">
        <f>IF(LEN(TRIM(A405))=0,"",GetConfigParameterValue("Collection Site"))</f>
        <v/>
      </c>
      <c r="I405" t="str">
        <f t="shared" si="41"/>
        <v/>
      </c>
      <c r="M405" t="str">
        <f>IF(LEN(TRIM(B405))=0,"",IF(ISERROR(VLOOKUP(RIGHT(B405,4),study_demographic!A:A,1,FALSE)),"NOT FOUND!!!", "OK"))</f>
        <v/>
      </c>
    </row>
    <row r="406" spans="1:13" x14ac:dyDescent="0.25">
      <c r="A406" t="str">
        <f t="shared" si="37"/>
        <v/>
      </c>
      <c r="B406" t="str">
        <f t="shared" si="38"/>
        <v/>
      </c>
      <c r="C406" s="55" t="str">
        <f>IF(LEN(TRIM(A406))=0,"",get_string_val(RIGHT(B406,4)))</f>
        <v/>
      </c>
      <c r="D406" t="str">
        <f>IF(LEN(TRIM(A406))=0,"",GetItemValueFromSpecimenHeader("timepoint"))</f>
        <v/>
      </c>
      <c r="E406" t="str">
        <f t="shared" si="39"/>
        <v/>
      </c>
      <c r="F406" t="str">
        <f t="shared" si="40"/>
        <v/>
      </c>
      <c r="G406" t="str">
        <f t="shared" si="36"/>
        <v/>
      </c>
      <c r="H406" t="str">
        <f>IF(LEN(TRIM(A406))=0,"",GetConfigParameterValue("Collection Site"))</f>
        <v/>
      </c>
      <c r="I406" t="str">
        <f t="shared" si="41"/>
        <v/>
      </c>
      <c r="M406" t="str">
        <f>IF(LEN(TRIM(B406))=0,"",IF(ISERROR(VLOOKUP(RIGHT(B406,4),study_demographic!A:A,1,FALSE)),"NOT FOUND!!!", "OK"))</f>
        <v/>
      </c>
    </row>
    <row r="407" spans="1:13" x14ac:dyDescent="0.25">
      <c r="A407" t="str">
        <f t="shared" si="37"/>
        <v/>
      </c>
      <c r="B407" t="str">
        <f t="shared" si="38"/>
        <v/>
      </c>
      <c r="C407" s="55" t="str">
        <f>IF(LEN(TRIM(A407))=0,"",get_string_val(RIGHT(B407,4)))</f>
        <v/>
      </c>
      <c r="D407" t="str">
        <f>IF(LEN(TRIM(A407))=0,"",GetItemValueFromSpecimenHeader("timepoint"))</f>
        <v/>
      </c>
      <c r="E407" t="str">
        <f t="shared" si="39"/>
        <v/>
      </c>
      <c r="F407" t="str">
        <f t="shared" si="40"/>
        <v/>
      </c>
      <c r="G407" t="str">
        <f t="shared" si="36"/>
        <v/>
      </c>
      <c r="H407" t="str">
        <f>IF(LEN(TRIM(A407))=0,"",GetConfigParameterValue("Collection Site"))</f>
        <v/>
      </c>
      <c r="I407" t="str">
        <f t="shared" si="41"/>
        <v/>
      </c>
      <c r="M407" t="str">
        <f>IF(LEN(TRIM(B407))=0,"",IF(ISERROR(VLOOKUP(RIGHT(B407,4),study_demographic!A:A,1,FALSE)),"NOT FOUND!!!", "OK"))</f>
        <v/>
      </c>
    </row>
    <row r="408" spans="1:13" x14ac:dyDescent="0.25">
      <c r="A408" t="str">
        <f t="shared" si="37"/>
        <v/>
      </c>
      <c r="B408" t="str">
        <f t="shared" si="38"/>
        <v/>
      </c>
      <c r="C408" s="55" t="str">
        <f>IF(LEN(TRIM(A408))=0,"",get_string_val(RIGHT(B408,4)))</f>
        <v/>
      </c>
      <c r="D408" t="str">
        <f>IF(LEN(TRIM(A408))=0,"",GetItemValueFromSpecimenHeader("timepoint"))</f>
        <v/>
      </c>
      <c r="E408" t="str">
        <f t="shared" si="39"/>
        <v/>
      </c>
      <c r="F408" t="str">
        <f t="shared" si="40"/>
        <v/>
      </c>
      <c r="G408" t="str">
        <f t="shared" si="36"/>
        <v/>
      </c>
      <c r="H408" t="str">
        <f>IF(LEN(TRIM(A408))=0,"",GetConfigParameterValue("Collection Site"))</f>
        <v/>
      </c>
      <c r="I408" t="str">
        <f t="shared" si="41"/>
        <v/>
      </c>
      <c r="M408" t="str">
        <f>IF(LEN(TRIM(B408))=0,"",IF(ISERROR(VLOOKUP(RIGHT(B408,4),study_demographic!A:A,1,FALSE)),"NOT FOUND!!!", "OK"))</f>
        <v/>
      </c>
    </row>
    <row r="409" spans="1:13" x14ac:dyDescent="0.25">
      <c r="A409" t="str">
        <f t="shared" si="37"/>
        <v/>
      </c>
      <c r="B409" t="str">
        <f t="shared" si="38"/>
        <v/>
      </c>
      <c r="C409" s="55" t="str">
        <f>IF(LEN(TRIM(A409))=0,"",get_string_val(RIGHT(B409,4)))</f>
        <v/>
      </c>
      <c r="D409" t="str">
        <f>IF(LEN(TRIM(A409))=0,"",GetItemValueFromSpecimenHeader("timepoint"))</f>
        <v/>
      </c>
      <c r="E409" t="str">
        <f t="shared" si="39"/>
        <v/>
      </c>
      <c r="F409" t="str">
        <f t="shared" si="40"/>
        <v/>
      </c>
      <c r="G409" t="str">
        <f t="shared" si="36"/>
        <v/>
      </c>
      <c r="H409" t="str">
        <f>IF(LEN(TRIM(A409))=0,"",GetConfigParameterValue("Collection Site"))</f>
        <v/>
      </c>
      <c r="I409" t="str">
        <f t="shared" si="41"/>
        <v/>
      </c>
      <c r="M409" t="str">
        <f>IF(LEN(TRIM(B409))=0,"",IF(ISERROR(VLOOKUP(RIGHT(B409,4),study_demographic!A:A,1,FALSE)),"NOT FOUND!!!", "OK"))</f>
        <v/>
      </c>
    </row>
    <row r="410" spans="1:13" x14ac:dyDescent="0.25">
      <c r="A410" t="str">
        <f t="shared" si="37"/>
        <v/>
      </c>
      <c r="B410" t="str">
        <f t="shared" si="38"/>
        <v/>
      </c>
      <c r="C410" s="55" t="str">
        <f>IF(LEN(TRIM(A410))=0,"",get_string_val(RIGHT(B410,4)))</f>
        <v/>
      </c>
      <c r="D410" t="str">
        <f>IF(LEN(TRIM(A410))=0,"",GetItemValueFromSpecimenHeader("timepoint"))</f>
        <v/>
      </c>
      <c r="E410" t="str">
        <f t="shared" si="39"/>
        <v/>
      </c>
      <c r="F410" t="str">
        <f t="shared" si="40"/>
        <v/>
      </c>
      <c r="G410" t="str">
        <f t="shared" si="36"/>
        <v/>
      </c>
      <c r="H410" t="str">
        <f>IF(LEN(TRIM(A410))=0,"",GetConfigParameterValue("Collection Site"))</f>
        <v/>
      </c>
      <c r="I410" t="str">
        <f t="shared" si="41"/>
        <v/>
      </c>
      <c r="M410" t="str">
        <f>IF(LEN(TRIM(B410))=0,"",IF(ISERROR(VLOOKUP(RIGHT(B410,4),study_demographic!A:A,1,FALSE)),"NOT FOUND!!!", "OK"))</f>
        <v/>
      </c>
    </row>
    <row r="411" spans="1:13" x14ac:dyDescent="0.25">
      <c r="A411" t="str">
        <f t="shared" si="37"/>
        <v/>
      </c>
      <c r="B411" t="str">
        <f t="shared" si="38"/>
        <v/>
      </c>
      <c r="C411" s="55" t="str">
        <f>IF(LEN(TRIM(A411))=0,"",get_string_val(RIGHT(B411,4)))</f>
        <v/>
      </c>
      <c r="D411" t="str">
        <f>IF(LEN(TRIM(A411))=0,"",GetItemValueFromSpecimenHeader("timepoint"))</f>
        <v/>
      </c>
      <c r="E411" t="str">
        <f t="shared" si="39"/>
        <v/>
      </c>
      <c r="F411" t="str">
        <f t="shared" si="40"/>
        <v/>
      </c>
      <c r="G411" t="str">
        <f t="shared" si="36"/>
        <v/>
      </c>
      <c r="H411" t="str">
        <f>IF(LEN(TRIM(A411))=0,"",GetConfigParameterValue("Collection Site"))</f>
        <v/>
      </c>
      <c r="I411" t="str">
        <f t="shared" si="41"/>
        <v/>
      </c>
      <c r="M411" t="str">
        <f>IF(LEN(TRIM(B411))=0,"",IF(ISERROR(VLOOKUP(RIGHT(B411,4),study_demographic!A:A,1,FALSE)),"NOT FOUND!!!", "OK"))</f>
        <v/>
      </c>
    </row>
    <row r="412" spans="1:13" x14ac:dyDescent="0.25">
      <c r="A412" t="str">
        <f t="shared" si="37"/>
        <v/>
      </c>
      <c r="B412" t="str">
        <f t="shared" si="38"/>
        <v/>
      </c>
      <c r="C412" s="55" t="str">
        <f>IF(LEN(TRIM(A412))=0,"",get_string_val(RIGHT(B412,4)))</f>
        <v/>
      </c>
      <c r="D412" t="str">
        <f>IF(LEN(TRIM(A412))=0,"",GetItemValueFromSpecimenHeader("timepoint"))</f>
        <v/>
      </c>
      <c r="E412" t="str">
        <f t="shared" si="39"/>
        <v/>
      </c>
      <c r="F412" t="str">
        <f t="shared" si="40"/>
        <v/>
      </c>
      <c r="G412" t="str">
        <f t="shared" si="36"/>
        <v/>
      </c>
      <c r="H412" t="str">
        <f>IF(LEN(TRIM(A412))=0,"",GetConfigParameterValue("Collection Site"))</f>
        <v/>
      </c>
      <c r="I412" t="str">
        <f t="shared" si="41"/>
        <v/>
      </c>
      <c r="M412" t="str">
        <f>IF(LEN(TRIM(B412))=0,"",IF(ISERROR(VLOOKUP(RIGHT(B412,4),study_demographic!A:A,1,FALSE)),"NOT FOUND!!!", "OK"))</f>
        <v/>
      </c>
    </row>
    <row r="413" spans="1:13" x14ac:dyDescent="0.25">
      <c r="A413" t="str">
        <f t="shared" si="37"/>
        <v/>
      </c>
      <c r="B413" t="str">
        <f t="shared" si="38"/>
        <v/>
      </c>
      <c r="C413" s="55" t="str">
        <f>IF(LEN(TRIM(A413))=0,"",get_string_val(RIGHT(B413,4)))</f>
        <v/>
      </c>
      <c r="D413" t="str">
        <f>IF(LEN(TRIM(A413))=0,"",GetItemValueFromSpecimenHeader("timepoint"))</f>
        <v/>
      </c>
      <c r="E413" t="str">
        <f t="shared" si="39"/>
        <v/>
      </c>
      <c r="F413" t="str">
        <f t="shared" si="40"/>
        <v/>
      </c>
      <c r="G413" t="str">
        <f t="shared" si="36"/>
        <v/>
      </c>
      <c r="H413" t="str">
        <f>IF(LEN(TRIM(A413))=0,"",GetConfigParameterValue("Collection Site"))</f>
        <v/>
      </c>
      <c r="I413" t="str">
        <f t="shared" si="41"/>
        <v/>
      </c>
      <c r="M413" t="str">
        <f>IF(LEN(TRIM(B413))=0,"",IF(ISERROR(VLOOKUP(RIGHT(B413,4),study_demographic!A:A,1,FALSE)),"NOT FOUND!!!", "OK"))</f>
        <v/>
      </c>
    </row>
    <row r="414" spans="1:13" x14ac:dyDescent="0.25">
      <c r="A414" t="str">
        <f t="shared" si="37"/>
        <v/>
      </c>
      <c r="B414" t="str">
        <f t="shared" si="38"/>
        <v/>
      </c>
      <c r="C414" s="55" t="str">
        <f>IF(LEN(TRIM(A414))=0,"",get_string_val(RIGHT(B414,4)))</f>
        <v/>
      </c>
      <c r="D414" t="str">
        <f>IF(LEN(TRIM(A414))=0,"",GetItemValueFromSpecimenHeader("timepoint"))</f>
        <v/>
      </c>
      <c r="E414" t="str">
        <f t="shared" si="39"/>
        <v/>
      </c>
      <c r="F414" t="str">
        <f t="shared" si="40"/>
        <v/>
      </c>
      <c r="G414" t="str">
        <f t="shared" si="36"/>
        <v/>
      </c>
      <c r="H414" t="str">
        <f>IF(LEN(TRIM(A414))=0,"",GetConfigParameterValue("Collection Site"))</f>
        <v/>
      </c>
      <c r="I414" t="str">
        <f t="shared" si="41"/>
        <v/>
      </c>
      <c r="M414" t="str">
        <f>IF(LEN(TRIM(B414))=0,"",IF(ISERROR(VLOOKUP(RIGHT(B414,4),study_demographic!A:A,1,FALSE)),"NOT FOUND!!!", "OK"))</f>
        <v/>
      </c>
    </row>
    <row r="415" spans="1:13" x14ac:dyDescent="0.25">
      <c r="A415" t="str">
        <f t="shared" si="37"/>
        <v/>
      </c>
      <c r="B415" t="str">
        <f t="shared" si="38"/>
        <v/>
      </c>
      <c r="C415" s="55" t="str">
        <f>IF(LEN(TRIM(A415))=0,"",get_string_val(RIGHT(B415,4)))</f>
        <v/>
      </c>
      <c r="D415" t="str">
        <f>IF(LEN(TRIM(A415))=0,"",GetItemValueFromSpecimenHeader("timepoint"))</f>
        <v/>
      </c>
      <c r="E415" t="str">
        <f t="shared" si="39"/>
        <v/>
      </c>
      <c r="F415" t="str">
        <f t="shared" si="40"/>
        <v/>
      </c>
      <c r="G415" t="str">
        <f t="shared" si="36"/>
        <v/>
      </c>
      <c r="H415" t="str">
        <f>IF(LEN(TRIM(A415))=0,"",GetConfigParameterValue("Collection Site"))</f>
        <v/>
      </c>
      <c r="I415" t="str">
        <f t="shared" si="41"/>
        <v/>
      </c>
      <c r="M415" t="str">
        <f>IF(LEN(TRIM(B415))=0,"",IF(ISERROR(VLOOKUP(RIGHT(B415,4),study_demographic!A:A,1,FALSE)),"NOT FOUND!!!", "OK"))</f>
        <v/>
      </c>
    </row>
    <row r="416" spans="1:13" x14ac:dyDescent="0.25">
      <c r="A416" t="str">
        <f t="shared" si="37"/>
        <v/>
      </c>
      <c r="B416" t="str">
        <f t="shared" si="38"/>
        <v/>
      </c>
      <c r="C416" s="55" t="str">
        <f>IF(LEN(TRIM(A416))=0,"",get_string_val(RIGHT(B416,4)))</f>
        <v/>
      </c>
      <c r="D416" t="str">
        <f>IF(LEN(TRIM(A416))=0,"",GetItemValueFromSpecimenHeader("timepoint"))</f>
        <v/>
      </c>
      <c r="E416" t="str">
        <f t="shared" si="39"/>
        <v/>
      </c>
      <c r="F416" t="str">
        <f t="shared" si="40"/>
        <v/>
      </c>
      <c r="G416" t="str">
        <f t="shared" si="36"/>
        <v/>
      </c>
      <c r="H416" t="str">
        <f>IF(LEN(TRIM(A416))=0,"",GetConfigParameterValue("Collection Site"))</f>
        <v/>
      </c>
      <c r="I416" t="str">
        <f t="shared" si="41"/>
        <v/>
      </c>
      <c r="M416" t="str">
        <f>IF(LEN(TRIM(B416))=0,"",IF(ISERROR(VLOOKUP(RIGHT(B416,4),study_demographic!A:A,1,FALSE)),"NOT FOUND!!!", "OK"))</f>
        <v/>
      </c>
    </row>
    <row r="417" spans="1:13" x14ac:dyDescent="0.25">
      <c r="A417" t="str">
        <f t="shared" si="37"/>
        <v/>
      </c>
      <c r="B417" t="str">
        <f t="shared" si="38"/>
        <v/>
      </c>
      <c r="C417" s="55" t="str">
        <f>IF(LEN(TRIM(A417))=0,"",get_string_val(RIGHT(B417,4)))</f>
        <v/>
      </c>
      <c r="D417" t="str">
        <f>IF(LEN(TRIM(A417))=0,"",GetItemValueFromSpecimenHeader("timepoint"))</f>
        <v/>
      </c>
      <c r="E417" t="str">
        <f t="shared" si="39"/>
        <v/>
      </c>
      <c r="F417" t="str">
        <f t="shared" si="40"/>
        <v/>
      </c>
      <c r="G417" t="str">
        <f t="shared" si="36"/>
        <v/>
      </c>
      <c r="H417" t="str">
        <f>IF(LEN(TRIM(A417))=0,"",GetConfigParameterValue("Collection Site"))</f>
        <v/>
      </c>
      <c r="I417" t="str">
        <f t="shared" si="41"/>
        <v/>
      </c>
      <c r="M417" t="str">
        <f>IF(LEN(TRIM(B417))=0,"",IF(ISERROR(VLOOKUP(RIGHT(B417,4),study_demographic!A:A,1,FALSE)),"NOT FOUND!!!", "OK"))</f>
        <v/>
      </c>
    </row>
    <row r="418" spans="1:13" x14ac:dyDescent="0.25">
      <c r="A418" t="str">
        <f t="shared" si="37"/>
        <v/>
      </c>
      <c r="B418" t="str">
        <f t="shared" si="38"/>
        <v/>
      </c>
      <c r="C418" s="55" t="str">
        <f>IF(LEN(TRIM(A418))=0,"",get_string_val(RIGHT(B418,4)))</f>
        <v/>
      </c>
      <c r="D418" t="str">
        <f>IF(LEN(TRIM(A418))=0,"",GetItemValueFromSpecimenHeader("timepoint"))</f>
        <v/>
      </c>
      <c r="E418" t="str">
        <f t="shared" si="39"/>
        <v/>
      </c>
      <c r="F418" t="str">
        <f t="shared" si="40"/>
        <v/>
      </c>
      <c r="G418" t="str">
        <f t="shared" si="36"/>
        <v/>
      </c>
      <c r="H418" t="str">
        <f>IF(LEN(TRIM(A418))=0,"",GetConfigParameterValue("Collection Site"))</f>
        <v/>
      </c>
      <c r="I418" t="str">
        <f t="shared" si="41"/>
        <v/>
      </c>
      <c r="M418" t="str">
        <f>IF(LEN(TRIM(B418))=0,"",IF(ISERROR(VLOOKUP(RIGHT(B418,4),study_demographic!A:A,1,FALSE)),"NOT FOUND!!!", "OK"))</f>
        <v/>
      </c>
    </row>
    <row r="419" spans="1:13" x14ac:dyDescent="0.25">
      <c r="A419" t="str">
        <f t="shared" si="37"/>
        <v/>
      </c>
      <c r="B419" t="str">
        <f t="shared" si="38"/>
        <v/>
      </c>
      <c r="C419" s="55" t="str">
        <f>IF(LEN(TRIM(A419))=0,"",get_string_val(RIGHT(B419,4)))</f>
        <v/>
      </c>
      <c r="D419" t="str">
        <f>IF(LEN(TRIM(A419))=0,"",GetItemValueFromSpecimenHeader("timepoint"))</f>
        <v/>
      </c>
      <c r="E419" t="str">
        <f t="shared" si="39"/>
        <v/>
      </c>
      <c r="F419" t="str">
        <f t="shared" si="40"/>
        <v/>
      </c>
      <c r="G419" t="str">
        <f t="shared" si="36"/>
        <v/>
      </c>
      <c r="H419" t="str">
        <f>IF(LEN(TRIM(A419))=0,"",GetConfigParameterValue("Collection Site"))</f>
        <v/>
      </c>
      <c r="I419" t="str">
        <f t="shared" si="41"/>
        <v/>
      </c>
      <c r="M419" t="str">
        <f>IF(LEN(TRIM(B419))=0,"",IF(ISERROR(VLOOKUP(RIGHT(B419,4),study_demographic!A:A,1,FALSE)),"NOT FOUND!!!", "OK"))</f>
        <v/>
      </c>
    </row>
    <row r="420" spans="1:13" x14ac:dyDescent="0.25">
      <c r="A420" t="str">
        <f t="shared" si="37"/>
        <v/>
      </c>
      <c r="B420" t="str">
        <f t="shared" si="38"/>
        <v/>
      </c>
      <c r="C420" s="55" t="str">
        <f>IF(LEN(TRIM(A420))=0,"",get_string_val(RIGHT(B420,4)))</f>
        <v/>
      </c>
      <c r="D420" t="str">
        <f>IF(LEN(TRIM(A420))=0,"",GetItemValueFromSpecimenHeader("timepoint"))</f>
        <v/>
      </c>
      <c r="E420" t="str">
        <f t="shared" si="39"/>
        <v/>
      </c>
      <c r="F420" t="str">
        <f t="shared" si="40"/>
        <v/>
      </c>
      <c r="G420" t="str">
        <f t="shared" si="36"/>
        <v/>
      </c>
      <c r="H420" t="str">
        <f>IF(LEN(TRIM(A420))=0,"",GetConfigParameterValue("Collection Site"))</f>
        <v/>
      </c>
      <c r="I420" t="str">
        <f t="shared" si="41"/>
        <v/>
      </c>
      <c r="M420" t="str">
        <f>IF(LEN(TRIM(B420))=0,"",IF(ISERROR(VLOOKUP(RIGHT(B420,4),study_demographic!A:A,1,FALSE)),"NOT FOUND!!!", "OK"))</f>
        <v/>
      </c>
    </row>
    <row r="421" spans="1:13" x14ac:dyDescent="0.25">
      <c r="A421" t="str">
        <f t="shared" si="37"/>
        <v/>
      </c>
      <c r="B421" t="str">
        <f t="shared" si="38"/>
        <v/>
      </c>
      <c r="C421" s="55" t="str">
        <f>IF(LEN(TRIM(A421))=0,"",get_string_val(RIGHT(B421,4)))</f>
        <v/>
      </c>
      <c r="D421" t="str">
        <f>IF(LEN(TRIM(A421))=0,"",GetItemValueFromSpecimenHeader("timepoint"))</f>
        <v/>
      </c>
      <c r="E421" t="str">
        <f t="shared" si="39"/>
        <v/>
      </c>
      <c r="F421" t="str">
        <f t="shared" si="40"/>
        <v/>
      </c>
      <c r="G421" t="str">
        <f t="shared" si="36"/>
        <v/>
      </c>
      <c r="H421" t="str">
        <f>IF(LEN(TRIM(A421))=0,"",GetConfigParameterValue("Collection Site"))</f>
        <v/>
      </c>
      <c r="I421" t="str">
        <f t="shared" si="41"/>
        <v/>
      </c>
      <c r="M421" t="str">
        <f>IF(LEN(TRIM(B421))=0,"",IF(ISERROR(VLOOKUP(RIGHT(B421,4),study_demographic!A:A,1,FALSE)),"NOT FOUND!!!", "OK"))</f>
        <v/>
      </c>
    </row>
    <row r="422" spans="1:13" x14ac:dyDescent="0.25">
      <c r="A422" t="str">
        <f t="shared" si="37"/>
        <v/>
      </c>
      <c r="B422" t="str">
        <f t="shared" si="38"/>
        <v/>
      </c>
      <c r="C422" s="55" t="str">
        <f>IF(LEN(TRIM(A422))=0,"",get_string_val(RIGHT(B422,4)))</f>
        <v/>
      </c>
      <c r="D422" t="str">
        <f>IF(LEN(TRIM(A422))=0,"",GetItemValueFromSpecimenHeader("timepoint"))</f>
        <v/>
      </c>
      <c r="E422" t="str">
        <f t="shared" si="39"/>
        <v/>
      </c>
      <c r="F422" t="str">
        <f t="shared" si="40"/>
        <v/>
      </c>
      <c r="G422" t="str">
        <f t="shared" si="36"/>
        <v/>
      </c>
      <c r="H422" t="str">
        <f>IF(LEN(TRIM(A422))=0,"",GetConfigParameterValue("Collection Site"))</f>
        <v/>
      </c>
      <c r="I422" t="str">
        <f t="shared" si="41"/>
        <v/>
      </c>
      <c r="M422" t="str">
        <f>IF(LEN(TRIM(B422))=0,"",IF(ISERROR(VLOOKUP(RIGHT(B422,4),study_demographic!A:A,1,FALSE)),"NOT FOUND!!!", "OK"))</f>
        <v/>
      </c>
    </row>
    <row r="423" spans="1:13" x14ac:dyDescent="0.25">
      <c r="A423" t="str">
        <f t="shared" si="37"/>
        <v/>
      </c>
      <c r="B423" t="str">
        <f t="shared" si="38"/>
        <v/>
      </c>
      <c r="C423" s="55" t="str">
        <f>IF(LEN(TRIM(A423))=0,"",get_string_val(RIGHT(B423,4)))</f>
        <v/>
      </c>
      <c r="D423" t="str">
        <f>IF(LEN(TRIM(A423))=0,"",GetItemValueFromSpecimenHeader("timepoint"))</f>
        <v/>
      </c>
      <c r="E423" t="str">
        <f t="shared" si="39"/>
        <v/>
      </c>
      <c r="F423" t="str">
        <f t="shared" si="40"/>
        <v/>
      </c>
      <c r="G423" t="str">
        <f t="shared" si="36"/>
        <v/>
      </c>
      <c r="H423" t="str">
        <f>IF(LEN(TRIM(A423))=0,"",GetConfigParameterValue("Collection Site"))</f>
        <v/>
      </c>
      <c r="I423" t="str">
        <f t="shared" si="41"/>
        <v/>
      </c>
      <c r="M423" t="str">
        <f>IF(LEN(TRIM(B423))=0,"",IF(ISERROR(VLOOKUP(RIGHT(B423,4),study_demographic!A:A,1,FALSE)),"NOT FOUND!!!", "OK"))</f>
        <v/>
      </c>
    </row>
    <row r="424" spans="1:13" x14ac:dyDescent="0.25">
      <c r="A424" t="str">
        <f t="shared" si="37"/>
        <v/>
      </c>
      <c r="B424" t="str">
        <f t="shared" si="38"/>
        <v/>
      </c>
      <c r="C424" s="55" t="str">
        <f>IF(LEN(TRIM(A424))=0,"",get_string_val(RIGHT(B424,4)))</f>
        <v/>
      </c>
      <c r="D424" t="str">
        <f>IF(LEN(TRIM(A424))=0,"",GetItemValueFromSpecimenHeader("timepoint"))</f>
        <v/>
      </c>
      <c r="E424" t="str">
        <f t="shared" si="39"/>
        <v/>
      </c>
      <c r="F424" t="str">
        <f t="shared" si="40"/>
        <v/>
      </c>
      <c r="G424" t="str">
        <f t="shared" si="36"/>
        <v/>
      </c>
      <c r="H424" t="str">
        <f>IF(LEN(TRIM(A424))=0,"",GetConfigParameterValue("Collection Site"))</f>
        <v/>
      </c>
      <c r="I424" t="str">
        <f t="shared" si="41"/>
        <v/>
      </c>
      <c r="M424" t="str">
        <f>IF(LEN(TRIM(B424))=0,"",IF(ISERROR(VLOOKUP(RIGHT(B424,4),study_demographic!A:A,1,FALSE)),"NOT FOUND!!!", "OK"))</f>
        <v/>
      </c>
    </row>
    <row r="425" spans="1:13" x14ac:dyDescent="0.25">
      <c r="A425" t="str">
        <f t="shared" si="37"/>
        <v/>
      </c>
      <c r="B425" t="str">
        <f t="shared" si="38"/>
        <v/>
      </c>
      <c r="C425" s="55" t="str">
        <f>IF(LEN(TRIM(A425))=0,"",get_string_val(RIGHT(B425,4)))</f>
        <v/>
      </c>
      <c r="D425" t="str">
        <f>IF(LEN(TRIM(A425))=0,"",GetItemValueFromSpecimenHeader("timepoint"))</f>
        <v/>
      </c>
      <c r="E425" t="str">
        <f t="shared" si="39"/>
        <v/>
      </c>
      <c r="F425" t="str">
        <f t="shared" si="40"/>
        <v/>
      </c>
      <c r="G425" t="str">
        <f t="shared" si="36"/>
        <v/>
      </c>
      <c r="H425" t="str">
        <f>IF(LEN(TRIM(A425))=0,"",GetConfigParameterValue("Collection Site"))</f>
        <v/>
      </c>
      <c r="I425" t="str">
        <f t="shared" si="41"/>
        <v/>
      </c>
      <c r="M425" t="str">
        <f>IF(LEN(TRIM(B425))=0,"",IF(ISERROR(VLOOKUP(RIGHT(B425,4),study_demographic!A:A,1,FALSE)),"NOT FOUND!!!", "OK"))</f>
        <v/>
      </c>
    </row>
    <row r="426" spans="1:13" x14ac:dyDescent="0.25">
      <c r="A426" t="str">
        <f t="shared" si="37"/>
        <v/>
      </c>
      <c r="B426" t="str">
        <f t="shared" si="38"/>
        <v/>
      </c>
      <c r="C426" s="55" t="str">
        <f>IF(LEN(TRIM(A426))=0,"",get_string_val(RIGHT(B426,4)))</f>
        <v/>
      </c>
      <c r="D426" t="str">
        <f>IF(LEN(TRIM(A426))=0,"",GetItemValueFromSpecimenHeader("timepoint"))</f>
        <v/>
      </c>
      <c r="E426" t="str">
        <f t="shared" si="39"/>
        <v/>
      </c>
      <c r="F426" t="str">
        <f t="shared" si="40"/>
        <v/>
      </c>
      <c r="G426" t="str">
        <f t="shared" si="36"/>
        <v/>
      </c>
      <c r="H426" t="str">
        <f>IF(LEN(TRIM(A426))=0,"",GetConfigParameterValue("Collection Site"))</f>
        <v/>
      </c>
      <c r="I426" t="str">
        <f t="shared" si="41"/>
        <v/>
      </c>
      <c r="M426" t="str">
        <f>IF(LEN(TRIM(B426))=0,"",IF(ISERROR(VLOOKUP(RIGHT(B426,4),study_demographic!A:A,1,FALSE)),"NOT FOUND!!!", "OK"))</f>
        <v/>
      </c>
    </row>
    <row r="427" spans="1:13" x14ac:dyDescent="0.25">
      <c r="A427" t="str">
        <f t="shared" si="37"/>
        <v/>
      </c>
      <c r="B427" t="str">
        <f t="shared" si="38"/>
        <v/>
      </c>
      <c r="C427" s="55" t="str">
        <f>IF(LEN(TRIM(A427))=0,"",get_string_val(RIGHT(B427,4)))</f>
        <v/>
      </c>
      <c r="D427" t="str">
        <f>IF(LEN(TRIM(A427))=0,"",GetItemValueFromSpecimenHeader("timepoint"))</f>
        <v/>
      </c>
      <c r="E427" t="str">
        <f t="shared" si="39"/>
        <v/>
      </c>
      <c r="F427" t="str">
        <f t="shared" si="40"/>
        <v/>
      </c>
      <c r="G427" t="str">
        <f t="shared" si="36"/>
        <v/>
      </c>
      <c r="H427" t="str">
        <f>IF(LEN(TRIM(A427))=0,"",GetConfigParameterValue("Collection Site"))</f>
        <v/>
      </c>
      <c r="I427" t="str">
        <f t="shared" si="41"/>
        <v/>
      </c>
      <c r="M427" t="str">
        <f>IF(LEN(TRIM(B427))=0,"",IF(ISERROR(VLOOKUP(RIGHT(B427,4),study_demographic!A:A,1,FALSE)),"NOT FOUND!!!", "OK"))</f>
        <v/>
      </c>
    </row>
    <row r="428" spans="1:13" x14ac:dyDescent="0.25">
      <c r="A428" t="str">
        <f t="shared" si="37"/>
        <v/>
      </c>
      <c r="B428" t="str">
        <f t="shared" si="38"/>
        <v/>
      </c>
      <c r="C428" s="55" t="str">
        <f>IF(LEN(TRIM(A428))=0,"",get_string_val(RIGHT(B428,4)))</f>
        <v/>
      </c>
      <c r="D428" t="str">
        <f>IF(LEN(TRIM(A428))=0,"",GetItemValueFromSpecimenHeader("timepoint"))</f>
        <v/>
      </c>
      <c r="E428" t="str">
        <f t="shared" si="39"/>
        <v/>
      </c>
      <c r="F428" t="str">
        <f t="shared" si="40"/>
        <v/>
      </c>
      <c r="G428" t="str">
        <f t="shared" si="36"/>
        <v/>
      </c>
      <c r="H428" t="str">
        <f>IF(LEN(TRIM(A428))=0,"",GetConfigParameterValue("Collection Site"))</f>
        <v/>
      </c>
      <c r="I428" t="str">
        <f t="shared" si="41"/>
        <v/>
      </c>
      <c r="M428" t="str">
        <f>IF(LEN(TRIM(B428))=0,"",IF(ISERROR(VLOOKUP(RIGHT(B428,4),study_demographic!A:A,1,FALSE)),"NOT FOUND!!!", "OK"))</f>
        <v/>
      </c>
    </row>
    <row r="429" spans="1:13" x14ac:dyDescent="0.25">
      <c r="A429" t="str">
        <f t="shared" si="37"/>
        <v/>
      </c>
      <c r="B429" t="str">
        <f t="shared" si="38"/>
        <v/>
      </c>
      <c r="C429" s="55" t="str">
        <f>IF(LEN(TRIM(A429))=0,"",get_string_val(RIGHT(B429,4)))</f>
        <v/>
      </c>
      <c r="D429" t="str">
        <f>IF(LEN(TRIM(A429))=0,"",GetItemValueFromSpecimenHeader("timepoint"))</f>
        <v/>
      </c>
      <c r="E429" t="str">
        <f t="shared" si="39"/>
        <v/>
      </c>
      <c r="F429" t="str">
        <f t="shared" si="40"/>
        <v/>
      </c>
      <c r="G429" t="str">
        <f t="shared" si="36"/>
        <v/>
      </c>
      <c r="H429" t="str">
        <f>IF(LEN(TRIM(A429))=0,"",GetConfigParameterValue("Collection Site"))</f>
        <v/>
      </c>
      <c r="I429" t="str">
        <f t="shared" si="41"/>
        <v/>
      </c>
      <c r="M429" t="str">
        <f>IF(LEN(TRIM(B429))=0,"",IF(ISERROR(VLOOKUP(RIGHT(B429,4),study_demographic!A:A,1,FALSE)),"NOT FOUND!!!", "OK"))</f>
        <v/>
      </c>
    </row>
    <row r="430" spans="1:13" x14ac:dyDescent="0.25">
      <c r="A430" t="str">
        <f t="shared" si="37"/>
        <v/>
      </c>
      <c r="B430" t="str">
        <f t="shared" si="38"/>
        <v/>
      </c>
      <c r="C430" s="55" t="str">
        <f>IF(LEN(TRIM(A430))=0,"",get_string_val(RIGHT(B430,4)))</f>
        <v/>
      </c>
      <c r="D430" t="str">
        <f>IF(LEN(TRIM(A430))=0,"",GetItemValueFromSpecimenHeader("timepoint"))</f>
        <v/>
      </c>
      <c r="E430" t="str">
        <f t="shared" si="39"/>
        <v/>
      </c>
      <c r="F430" t="str">
        <f t="shared" si="40"/>
        <v/>
      </c>
      <c r="G430" t="str">
        <f t="shared" si="36"/>
        <v/>
      </c>
      <c r="H430" t="str">
        <f>IF(LEN(TRIM(A430))=0,"",GetConfigParameterValue("Collection Site"))</f>
        <v/>
      </c>
      <c r="I430" t="str">
        <f t="shared" si="41"/>
        <v/>
      </c>
      <c r="M430" t="str">
        <f>IF(LEN(TRIM(B430))=0,"",IF(ISERROR(VLOOKUP(RIGHT(B430,4),study_demographic!A:A,1,FALSE)),"NOT FOUND!!!", "OK"))</f>
        <v/>
      </c>
    </row>
    <row r="431" spans="1:13" x14ac:dyDescent="0.25">
      <c r="A431" t="str">
        <f t="shared" si="37"/>
        <v/>
      </c>
      <c r="B431" t="str">
        <f t="shared" si="38"/>
        <v/>
      </c>
      <c r="C431" s="55" t="str">
        <f>IF(LEN(TRIM(A431))=0,"",get_string_val(RIGHT(B431,4)))</f>
        <v/>
      </c>
      <c r="D431" t="str">
        <f>IF(LEN(TRIM(A431))=0,"",GetItemValueFromSpecimenHeader("timepoint"))</f>
        <v/>
      </c>
      <c r="E431" t="str">
        <f t="shared" si="39"/>
        <v/>
      </c>
      <c r="F431" t="str">
        <f t="shared" si="40"/>
        <v/>
      </c>
      <c r="G431" t="str">
        <f t="shared" si="36"/>
        <v/>
      </c>
      <c r="H431" t="str">
        <f>IF(LEN(TRIM(A431))=0,"",GetConfigParameterValue("Collection Site"))</f>
        <v/>
      </c>
      <c r="I431" t="str">
        <f t="shared" si="41"/>
        <v/>
      </c>
      <c r="M431" t="str">
        <f>IF(LEN(TRIM(B431))=0,"",IF(ISERROR(VLOOKUP(RIGHT(B431,4),study_demographic!A:A,1,FALSE)),"NOT FOUND!!!", "OK"))</f>
        <v/>
      </c>
    </row>
    <row r="432" spans="1:13" x14ac:dyDescent="0.25">
      <c r="A432" t="str">
        <f t="shared" si="37"/>
        <v/>
      </c>
      <c r="B432" t="str">
        <f t="shared" si="38"/>
        <v/>
      </c>
      <c r="C432" s="55" t="str">
        <f>IF(LEN(TRIM(A432))=0,"",get_string_val(RIGHT(B432,4)))</f>
        <v/>
      </c>
      <c r="D432" t="str">
        <f>IF(LEN(TRIM(A432))=0,"",GetItemValueFromSpecimenHeader("timepoint"))</f>
        <v/>
      </c>
      <c r="E432" t="str">
        <f t="shared" si="39"/>
        <v/>
      </c>
      <c r="F432" t="str">
        <f t="shared" si="40"/>
        <v/>
      </c>
      <c r="G432" t="str">
        <f t="shared" si="36"/>
        <v/>
      </c>
      <c r="H432" t="str">
        <f>IF(LEN(TRIM(A432))=0,"",GetConfigParameterValue("Collection Site"))</f>
        <v/>
      </c>
      <c r="I432" t="str">
        <f t="shared" si="41"/>
        <v/>
      </c>
      <c r="M432" t="str">
        <f>IF(LEN(TRIM(B432))=0,"",IF(ISERROR(VLOOKUP(RIGHT(B432,4),study_demographic!A:A,1,FALSE)),"NOT FOUND!!!", "OK"))</f>
        <v/>
      </c>
    </row>
    <row r="433" spans="1:13" x14ac:dyDescent="0.25">
      <c r="A433" t="str">
        <f t="shared" si="37"/>
        <v/>
      </c>
      <c r="B433" t="str">
        <f t="shared" si="38"/>
        <v/>
      </c>
      <c r="C433" s="55" t="str">
        <f>IF(LEN(TRIM(A433))=0,"",get_string_val(RIGHT(B433,4)))</f>
        <v/>
      </c>
      <c r="D433" t="str">
        <f>IF(LEN(TRIM(A433))=0,"",GetItemValueFromSpecimenHeader("timepoint"))</f>
        <v/>
      </c>
      <c r="E433" t="str">
        <f t="shared" si="39"/>
        <v/>
      </c>
      <c r="F433" t="str">
        <f t="shared" si="40"/>
        <v/>
      </c>
      <c r="G433" t="str">
        <f t="shared" si="36"/>
        <v/>
      </c>
      <c r="H433" t="str">
        <f>IF(LEN(TRIM(A433))=0,"",GetConfigParameterValue("Collection Site"))</f>
        <v/>
      </c>
      <c r="I433" t="str">
        <f t="shared" si="41"/>
        <v/>
      </c>
      <c r="M433" t="str">
        <f>IF(LEN(TRIM(B433))=0,"",IF(ISERROR(VLOOKUP(RIGHT(B433,4),study_demographic!A:A,1,FALSE)),"NOT FOUND!!!", "OK"))</f>
        <v/>
      </c>
    </row>
    <row r="434" spans="1:13" x14ac:dyDescent="0.25">
      <c r="A434" t="str">
        <f t="shared" si="37"/>
        <v/>
      </c>
      <c r="B434" t="str">
        <f t="shared" si="38"/>
        <v/>
      </c>
      <c r="C434" s="55" t="str">
        <f>IF(LEN(TRIM(A434))=0,"",get_string_val(RIGHT(B434,4)))</f>
        <v/>
      </c>
      <c r="D434" t="str">
        <f>IF(LEN(TRIM(A434))=0,"",GetItemValueFromSpecimenHeader("timepoint"))</f>
        <v/>
      </c>
      <c r="E434" t="str">
        <f t="shared" si="39"/>
        <v/>
      </c>
      <c r="F434" t="str">
        <f t="shared" si="40"/>
        <v/>
      </c>
      <c r="G434" t="str">
        <f t="shared" si="36"/>
        <v/>
      </c>
      <c r="H434" t="str">
        <f>IF(LEN(TRIM(A434))=0,"",GetConfigParameterValue("Collection Site"))</f>
        <v/>
      </c>
      <c r="I434" t="str">
        <f t="shared" si="41"/>
        <v/>
      </c>
      <c r="M434" t="str">
        <f>IF(LEN(TRIM(B434))=0,"",IF(ISERROR(VLOOKUP(RIGHT(B434,4),study_demographic!A:A,1,FALSE)),"NOT FOUND!!!", "OK"))</f>
        <v/>
      </c>
    </row>
    <row r="435" spans="1:13" x14ac:dyDescent="0.25">
      <c r="A435" t="str">
        <f t="shared" si="37"/>
        <v/>
      </c>
      <c r="B435" t="str">
        <f t="shared" si="38"/>
        <v/>
      </c>
      <c r="C435" s="55" t="str">
        <f>IF(LEN(TRIM(A435))=0,"",get_string_val(RIGHT(B435,4)))</f>
        <v/>
      </c>
      <c r="D435" t="str">
        <f>IF(LEN(TRIM(A435))=0,"",GetItemValueFromSpecimenHeader("timepoint"))</f>
        <v/>
      </c>
      <c r="E435" t="str">
        <f t="shared" si="39"/>
        <v/>
      </c>
      <c r="F435" t="str">
        <f t="shared" si="40"/>
        <v/>
      </c>
      <c r="G435" t="str">
        <f t="shared" si="36"/>
        <v/>
      </c>
      <c r="H435" t="str">
        <f>IF(LEN(TRIM(A435))=0,"",GetConfigParameterValue("Collection Site"))</f>
        <v/>
      </c>
      <c r="I435" t="str">
        <f t="shared" si="41"/>
        <v/>
      </c>
      <c r="M435" t="str">
        <f>IF(LEN(TRIM(B435))=0,"",IF(ISERROR(VLOOKUP(RIGHT(B435,4),study_demographic!A:A,1,FALSE)),"NOT FOUND!!!", "OK"))</f>
        <v/>
      </c>
    </row>
    <row r="436" spans="1:13" x14ac:dyDescent="0.25">
      <c r="A436" t="str">
        <f t="shared" si="37"/>
        <v/>
      </c>
      <c r="B436" t="str">
        <f t="shared" si="38"/>
        <v/>
      </c>
      <c r="C436" s="55" t="str">
        <f>IF(LEN(TRIM(A436))=0,"",get_string_val(RIGHT(B436,4)))</f>
        <v/>
      </c>
      <c r="D436" t="str">
        <f>IF(LEN(TRIM(A436))=0,"",GetItemValueFromSpecimenHeader("timepoint"))</f>
        <v/>
      </c>
      <c r="E436" t="str">
        <f t="shared" si="39"/>
        <v/>
      </c>
      <c r="F436" t="str">
        <f t="shared" si="40"/>
        <v/>
      </c>
      <c r="G436" t="str">
        <f t="shared" si="36"/>
        <v/>
      </c>
      <c r="H436" t="str">
        <f>IF(LEN(TRIM(A436))=0,"",GetConfigParameterValue("Collection Site"))</f>
        <v/>
      </c>
      <c r="I436" t="str">
        <f t="shared" si="41"/>
        <v/>
      </c>
      <c r="M436" t="str">
        <f>IF(LEN(TRIM(B436))=0,"",IF(ISERROR(VLOOKUP(RIGHT(B436,4),study_demographic!A:A,1,FALSE)),"NOT FOUND!!!", "OK"))</f>
        <v/>
      </c>
    </row>
    <row r="437" spans="1:13" x14ac:dyDescent="0.25">
      <c r="A437" t="str">
        <f t="shared" si="37"/>
        <v/>
      </c>
      <c r="B437" t="str">
        <f t="shared" si="38"/>
        <v/>
      </c>
      <c r="C437" s="55" t="str">
        <f>IF(LEN(TRIM(A437))=0,"",get_string_val(RIGHT(B437,4)))</f>
        <v/>
      </c>
      <c r="D437" t="str">
        <f>IF(LEN(TRIM(A437))=0,"",GetItemValueFromSpecimenHeader("timepoint"))</f>
        <v/>
      </c>
      <c r="E437" t="str">
        <f t="shared" si="39"/>
        <v/>
      </c>
      <c r="F437" t="str">
        <f t="shared" si="40"/>
        <v/>
      </c>
      <c r="G437" t="str">
        <f t="shared" si="36"/>
        <v/>
      </c>
      <c r="H437" t="str">
        <f>IF(LEN(TRIM(A437))=0,"",GetConfigParameterValue("Collection Site"))</f>
        <v/>
      </c>
      <c r="I437" t="str">
        <f t="shared" si="41"/>
        <v/>
      </c>
      <c r="M437" t="str">
        <f>IF(LEN(TRIM(B437))=0,"",IF(ISERROR(VLOOKUP(RIGHT(B437,4),study_demographic!A:A,1,FALSE)),"NOT FOUND!!!", "OK"))</f>
        <v/>
      </c>
    </row>
    <row r="438" spans="1:13" x14ac:dyDescent="0.25">
      <c r="A438" t="str">
        <f t="shared" si="37"/>
        <v/>
      </c>
      <c r="B438" t="str">
        <f t="shared" si="38"/>
        <v/>
      </c>
      <c r="C438" s="55" t="str">
        <f>IF(LEN(TRIM(A438))=0,"",get_string_val(RIGHT(B438,4)))</f>
        <v/>
      </c>
      <c r="D438" t="str">
        <f>IF(LEN(TRIM(A438))=0,"",GetItemValueFromSpecimenHeader("timepoint"))</f>
        <v/>
      </c>
      <c r="E438" t="str">
        <f t="shared" si="39"/>
        <v/>
      </c>
      <c r="F438" t="str">
        <f t="shared" si="40"/>
        <v/>
      </c>
      <c r="G438" t="str">
        <f t="shared" si="36"/>
        <v/>
      </c>
      <c r="H438" t="str">
        <f>IF(LEN(TRIM(A438))=0,"",GetConfigParameterValue("Collection Site"))</f>
        <v/>
      </c>
      <c r="I438" t="str">
        <f t="shared" si="41"/>
        <v/>
      </c>
      <c r="M438" t="str">
        <f>IF(LEN(TRIM(B438))=0,"",IF(ISERROR(VLOOKUP(RIGHT(B438,4),study_demographic!A:A,1,FALSE)),"NOT FOUND!!!", "OK"))</f>
        <v/>
      </c>
    </row>
    <row r="439" spans="1:13" x14ac:dyDescent="0.25">
      <c r="A439" t="str">
        <f t="shared" si="37"/>
        <v/>
      </c>
      <c r="B439" t="str">
        <f t="shared" si="38"/>
        <v/>
      </c>
      <c r="C439" s="55" t="str">
        <f>IF(LEN(TRIM(A439))=0,"",get_string_val(RIGHT(B439,4)))</f>
        <v/>
      </c>
      <c r="D439" t="str">
        <f>IF(LEN(TRIM(A439))=0,"",GetItemValueFromSpecimenHeader("timepoint"))</f>
        <v/>
      </c>
      <c r="E439" t="str">
        <f t="shared" si="39"/>
        <v/>
      </c>
      <c r="F439" t="str">
        <f t="shared" si="40"/>
        <v/>
      </c>
      <c r="G439" t="str">
        <f t="shared" si="36"/>
        <v/>
      </c>
      <c r="H439" t="str">
        <f>IF(LEN(TRIM(A439))=0,"",GetConfigParameterValue("Collection Site"))</f>
        <v/>
      </c>
      <c r="I439" t="str">
        <f t="shared" si="41"/>
        <v/>
      </c>
      <c r="M439" t="str">
        <f>IF(LEN(TRIM(B439))=0,"",IF(ISERROR(VLOOKUP(RIGHT(B439,4),study_demographic!A:A,1,FALSE)),"NOT FOUND!!!", "OK"))</f>
        <v/>
      </c>
    </row>
    <row r="440" spans="1:13" x14ac:dyDescent="0.25">
      <c r="A440" t="str">
        <f t="shared" si="37"/>
        <v/>
      </c>
      <c r="B440" t="str">
        <f t="shared" si="38"/>
        <v/>
      </c>
      <c r="C440" s="55" t="str">
        <f>IF(LEN(TRIM(A440))=0,"",get_string_val(RIGHT(B440,4)))</f>
        <v/>
      </c>
      <c r="D440" t="str">
        <f>IF(LEN(TRIM(A440))=0,"",GetItemValueFromSpecimenHeader("timepoint"))</f>
        <v/>
      </c>
      <c r="E440" t="str">
        <f t="shared" si="39"/>
        <v/>
      </c>
      <c r="F440" t="str">
        <f t="shared" si="40"/>
        <v/>
      </c>
      <c r="G440" t="str">
        <f t="shared" si="36"/>
        <v/>
      </c>
      <c r="H440" t="str">
        <f>IF(LEN(TRIM(A440))=0,"",GetConfigParameterValue("Collection Site"))</f>
        <v/>
      </c>
      <c r="I440" t="str">
        <f t="shared" si="41"/>
        <v/>
      </c>
      <c r="M440" t="str">
        <f>IF(LEN(TRIM(B440))=0,"",IF(ISERROR(VLOOKUP(RIGHT(B440,4),study_demographic!A:A,1,FALSE)),"NOT FOUND!!!", "OK"))</f>
        <v/>
      </c>
    </row>
    <row r="441" spans="1:13" x14ac:dyDescent="0.25">
      <c r="A441" t="str">
        <f t="shared" si="37"/>
        <v/>
      </c>
      <c r="B441" t="str">
        <f t="shared" si="38"/>
        <v/>
      </c>
      <c r="C441" s="55" t="str">
        <f>IF(LEN(TRIM(A441))=0,"",get_string_val(RIGHT(B441,4)))</f>
        <v/>
      </c>
      <c r="D441" t="str">
        <f>IF(LEN(TRIM(A441))=0,"",GetItemValueFromSpecimenHeader("timepoint"))</f>
        <v/>
      </c>
      <c r="E441" t="str">
        <f t="shared" si="39"/>
        <v/>
      </c>
      <c r="F441" t="str">
        <f t="shared" si="40"/>
        <v/>
      </c>
      <c r="G441" t="str">
        <f t="shared" si="36"/>
        <v/>
      </c>
      <c r="H441" t="str">
        <f>IF(LEN(TRIM(A441))=0,"",GetConfigParameterValue("Collection Site"))</f>
        <v/>
      </c>
      <c r="I441" t="str">
        <f t="shared" si="41"/>
        <v/>
      </c>
      <c r="M441" t="str">
        <f>IF(LEN(TRIM(B441))=0,"",IF(ISERROR(VLOOKUP(RIGHT(B441,4),study_demographic!A:A,1,FALSE)),"NOT FOUND!!!", "OK"))</f>
        <v/>
      </c>
    </row>
    <row r="442" spans="1:13" x14ac:dyDescent="0.25">
      <c r="A442" t="str">
        <f t="shared" si="37"/>
        <v/>
      </c>
      <c r="B442" t="str">
        <f t="shared" si="38"/>
        <v/>
      </c>
      <c r="C442" s="55" t="str">
        <f>IF(LEN(TRIM(A442))=0,"",get_string_val(RIGHT(B442,4)))</f>
        <v/>
      </c>
      <c r="D442" t="str">
        <f>IF(LEN(TRIM(A442))=0,"",GetItemValueFromSpecimenHeader("timepoint"))</f>
        <v/>
      </c>
      <c r="E442" t="str">
        <f t="shared" si="39"/>
        <v/>
      </c>
      <c r="F442" t="str">
        <f t="shared" si="40"/>
        <v/>
      </c>
      <c r="G442" t="str">
        <f t="shared" si="36"/>
        <v/>
      </c>
      <c r="H442" t="str">
        <f>IF(LEN(TRIM(A442))=0,"",GetConfigParameterValue("Collection Site"))</f>
        <v/>
      </c>
      <c r="I442" t="str">
        <f t="shared" si="41"/>
        <v/>
      </c>
      <c r="M442" t="str">
        <f>IF(LEN(TRIM(B442))=0,"",IF(ISERROR(VLOOKUP(RIGHT(B442,4),study_demographic!A:A,1,FALSE)),"NOT FOUND!!!", "OK"))</f>
        <v/>
      </c>
    </row>
    <row r="443" spans="1:13" x14ac:dyDescent="0.25">
      <c r="A443" t="str">
        <f t="shared" si="37"/>
        <v/>
      </c>
      <c r="B443" t="str">
        <f t="shared" si="38"/>
        <v/>
      </c>
      <c r="C443" s="55" t="str">
        <f>IF(LEN(TRIM(A443))=0,"",get_string_val(RIGHT(B443,4)))</f>
        <v/>
      </c>
      <c r="D443" t="str">
        <f>IF(LEN(TRIM(A443))=0,"",GetItemValueFromSpecimenHeader("timepoint"))</f>
        <v/>
      </c>
      <c r="E443" t="str">
        <f t="shared" si="39"/>
        <v/>
      </c>
      <c r="F443" t="str">
        <f t="shared" si="40"/>
        <v/>
      </c>
      <c r="G443" t="str">
        <f t="shared" si="36"/>
        <v/>
      </c>
      <c r="H443" t="str">
        <f>IF(LEN(TRIM(A443))=0,"",GetConfigParameterValue("Collection Site"))</f>
        <v/>
      </c>
      <c r="I443" t="str">
        <f t="shared" si="41"/>
        <v/>
      </c>
      <c r="M443" t="str">
        <f>IF(LEN(TRIM(B443))=0,"",IF(ISERROR(VLOOKUP(RIGHT(B443,4),study_demographic!A:A,1,FALSE)),"NOT FOUND!!!", "OK"))</f>
        <v/>
      </c>
    </row>
    <row r="444" spans="1:13" x14ac:dyDescent="0.25">
      <c r="A444" t="str">
        <f t="shared" si="37"/>
        <v/>
      </c>
      <c r="B444" t="str">
        <f t="shared" si="38"/>
        <v/>
      </c>
      <c r="C444" s="55" t="str">
        <f>IF(LEN(TRIM(A444))=0,"",get_string_val(RIGHT(B444,4)))</f>
        <v/>
      </c>
      <c r="D444" t="str">
        <f>IF(LEN(TRIM(A444))=0,"",GetItemValueFromSpecimenHeader("timepoint"))</f>
        <v/>
      </c>
      <c r="E444" t="str">
        <f t="shared" si="39"/>
        <v/>
      </c>
      <c r="F444" t="str">
        <f t="shared" si="40"/>
        <v/>
      </c>
      <c r="G444" t="str">
        <f t="shared" si="36"/>
        <v/>
      </c>
      <c r="H444" t="str">
        <f>IF(LEN(TRIM(A444))=0,"",GetConfigParameterValue("Collection Site"))</f>
        <v/>
      </c>
      <c r="I444" t="str">
        <f t="shared" si="41"/>
        <v/>
      </c>
      <c r="M444" t="str">
        <f>IF(LEN(TRIM(B444))=0,"",IF(ISERROR(VLOOKUP(RIGHT(B444,4),study_demographic!A:A,1,FALSE)),"NOT FOUND!!!", "OK"))</f>
        <v/>
      </c>
    </row>
    <row r="445" spans="1:13" x14ac:dyDescent="0.25">
      <c r="A445" t="str">
        <f t="shared" si="37"/>
        <v/>
      </c>
      <c r="B445" t="str">
        <f t="shared" si="38"/>
        <v/>
      </c>
      <c r="C445" s="55" t="str">
        <f>IF(LEN(TRIM(A445))=0,"",get_string_val(RIGHT(B445,4)))</f>
        <v/>
      </c>
      <c r="D445" t="str">
        <f>IF(LEN(TRIM(A445))=0,"",GetItemValueFromSpecimenHeader("timepoint"))</f>
        <v/>
      </c>
      <c r="E445" t="str">
        <f t="shared" si="39"/>
        <v/>
      </c>
      <c r="F445" t="str">
        <f t="shared" si="40"/>
        <v/>
      </c>
      <c r="G445" t="str">
        <f t="shared" si="36"/>
        <v/>
      </c>
      <c r="H445" t="str">
        <f>IF(LEN(TRIM(A445))=0,"",GetConfigParameterValue("Collection Site"))</f>
        <v/>
      </c>
      <c r="I445" t="str">
        <f t="shared" si="41"/>
        <v/>
      </c>
      <c r="M445" t="str">
        <f>IF(LEN(TRIM(B445))=0,"",IF(ISERROR(VLOOKUP(RIGHT(B445,4),study_demographic!A:A,1,FALSE)),"NOT FOUND!!!", "OK"))</f>
        <v/>
      </c>
    </row>
    <row r="446" spans="1:13" x14ac:dyDescent="0.25">
      <c r="A446" t="str">
        <f t="shared" si="37"/>
        <v/>
      </c>
      <c r="B446" t="str">
        <f t="shared" si="38"/>
        <v/>
      </c>
      <c r="C446" s="55" t="str">
        <f>IF(LEN(TRIM(A446))=0,"",get_string_val(RIGHT(B446,4)))</f>
        <v/>
      </c>
      <c r="D446" t="str">
        <f>IF(LEN(TRIM(A446))=0,"",GetItemValueFromSpecimenHeader("timepoint"))</f>
        <v/>
      </c>
      <c r="E446" t="str">
        <f t="shared" si="39"/>
        <v/>
      </c>
      <c r="F446" t="str">
        <f t="shared" si="40"/>
        <v/>
      </c>
      <c r="G446" t="str">
        <f t="shared" si="36"/>
        <v/>
      </c>
      <c r="H446" t="str">
        <f>IF(LEN(TRIM(A446))=0,"",GetConfigParameterValue("Collection Site"))</f>
        <v/>
      </c>
      <c r="I446" t="str">
        <f t="shared" si="41"/>
        <v/>
      </c>
      <c r="M446" t="str">
        <f>IF(LEN(TRIM(B446))=0,"",IF(ISERROR(VLOOKUP(RIGHT(B446,4),study_demographic!A:A,1,FALSE)),"NOT FOUND!!!", "OK"))</f>
        <v/>
      </c>
    </row>
    <row r="447" spans="1:13" x14ac:dyDescent="0.25">
      <c r="A447" t="str">
        <f t="shared" si="37"/>
        <v/>
      </c>
      <c r="B447" t="str">
        <f t="shared" si="38"/>
        <v/>
      </c>
      <c r="C447" s="55" t="str">
        <f>IF(LEN(TRIM(A447))=0,"",get_string_val(RIGHT(B447,4)))</f>
        <v/>
      </c>
      <c r="D447" t="str">
        <f>IF(LEN(TRIM(A447))=0,"",GetItemValueFromSpecimenHeader("timepoint"))</f>
        <v/>
      </c>
      <c r="E447" t="str">
        <f t="shared" si="39"/>
        <v/>
      </c>
      <c r="F447" t="str">
        <f t="shared" si="40"/>
        <v/>
      </c>
      <c r="G447" t="str">
        <f t="shared" si="36"/>
        <v/>
      </c>
      <c r="H447" t="str">
        <f>IF(LEN(TRIM(A447))=0,"",GetConfigParameterValue("Collection Site"))</f>
        <v/>
      </c>
      <c r="I447" t="str">
        <f t="shared" si="41"/>
        <v/>
      </c>
      <c r="M447" t="str">
        <f>IF(LEN(TRIM(B447))=0,"",IF(ISERROR(VLOOKUP(RIGHT(B447,4),study_demographic!A:A,1,FALSE)),"NOT FOUND!!!", "OK"))</f>
        <v/>
      </c>
    </row>
    <row r="448" spans="1:13" x14ac:dyDescent="0.25">
      <c r="A448" t="str">
        <f t="shared" si="37"/>
        <v/>
      </c>
      <c r="B448" t="str">
        <f t="shared" si="38"/>
        <v/>
      </c>
      <c r="C448" s="55" t="str">
        <f>IF(LEN(TRIM(A448))=0,"",get_string_val(RIGHT(B448,4)))</f>
        <v/>
      </c>
      <c r="D448" t="str">
        <f>IF(LEN(TRIM(A448))=0,"",GetItemValueFromSpecimenHeader("timepoint"))</f>
        <v/>
      </c>
      <c r="E448" t="str">
        <f t="shared" si="39"/>
        <v/>
      </c>
      <c r="F448" t="str">
        <f t="shared" si="40"/>
        <v/>
      </c>
      <c r="G448" t="str">
        <f t="shared" si="36"/>
        <v/>
      </c>
      <c r="H448" t="str">
        <f>IF(LEN(TRIM(A448))=0,"",GetConfigParameterValue("Collection Site"))</f>
        <v/>
      </c>
      <c r="I448" t="str">
        <f t="shared" si="41"/>
        <v/>
      </c>
      <c r="M448" t="str">
        <f>IF(LEN(TRIM(B448))=0,"",IF(ISERROR(VLOOKUP(RIGHT(B448,4),study_demographic!A:A,1,FALSE)),"NOT FOUND!!!", "OK"))</f>
        <v/>
      </c>
    </row>
    <row r="449" spans="1:13" x14ac:dyDescent="0.25">
      <c r="A449" t="str">
        <f t="shared" si="37"/>
        <v/>
      </c>
      <c r="B449" t="str">
        <f t="shared" si="38"/>
        <v/>
      </c>
      <c r="C449" s="55" t="str">
        <f>IF(LEN(TRIM(A449))=0,"",get_string_val(RIGHT(B449,4)))</f>
        <v/>
      </c>
      <c r="D449" t="str">
        <f>IF(LEN(TRIM(A449))=0,"",GetItemValueFromSpecimenHeader("timepoint"))</f>
        <v/>
      </c>
      <c r="E449" t="str">
        <f t="shared" si="39"/>
        <v/>
      </c>
      <c r="F449" t="str">
        <f t="shared" si="40"/>
        <v/>
      </c>
      <c r="G449" t="str">
        <f t="shared" si="36"/>
        <v/>
      </c>
      <c r="H449" t="str">
        <f>IF(LEN(TRIM(A449))=0,"",GetConfigParameterValue("Collection Site"))</f>
        <v/>
      </c>
      <c r="I449" t="str">
        <f t="shared" si="41"/>
        <v/>
      </c>
      <c r="M449" t="str">
        <f>IF(LEN(TRIM(B449))=0,"",IF(ISERROR(VLOOKUP(RIGHT(B449,4),study_demographic!A:A,1,FALSE)),"NOT FOUND!!!", "OK"))</f>
        <v/>
      </c>
    </row>
    <row r="450" spans="1:13" x14ac:dyDescent="0.25">
      <c r="A450" t="str">
        <f t="shared" si="37"/>
        <v/>
      </c>
      <c r="B450" t="str">
        <f t="shared" si="38"/>
        <v/>
      </c>
      <c r="C450" s="55" t="str">
        <f>IF(LEN(TRIM(A450))=0,"",get_string_val(RIGHT(B450,4)))</f>
        <v/>
      </c>
      <c r="D450" t="str">
        <f>IF(LEN(TRIM(A450))=0,"",GetItemValueFromSpecimenHeader("timepoint"))</f>
        <v/>
      </c>
      <c r="E450" t="str">
        <f t="shared" si="39"/>
        <v/>
      </c>
      <c r="F450" t="str">
        <f t="shared" si="40"/>
        <v/>
      </c>
      <c r="G450" t="str">
        <f t="shared" ref="G450:G513" si="42">IF(LEN(TRIM(A450))=0,"",IF(TRIM(F450)="1","Male", IF(TRIM(F450)="2","Female", "NA")))</f>
        <v/>
      </c>
      <c r="H450" t="str">
        <f>IF(LEN(TRIM(A450))=0,"",GetConfigParameterValue("Collection Site"))</f>
        <v/>
      </c>
      <c r="I450" t="str">
        <f t="shared" si="41"/>
        <v/>
      </c>
      <c r="M450" t="str">
        <f>IF(LEN(TRIM(B450))=0,"",IF(ISERROR(VLOOKUP(RIGHT(B450,4),study_demographic!A:A,1,FALSE)),"NOT FOUND!!!", "OK"))</f>
        <v/>
      </c>
    </row>
    <row r="451" spans="1:13" x14ac:dyDescent="0.25">
      <c r="A451" t="str">
        <f t="shared" ref="A451:A514" si="43">GetSampleId((ROW()))</f>
        <v/>
      </c>
      <c r="B451" t="str">
        <f t="shared" ref="B451:B514" si="44">IF(LEN(TRIM(A451))=0,"",LEFT(A451,7))</f>
        <v/>
      </c>
      <c r="C451" s="55" t="str">
        <f>IF(LEN(TRIM(A451))=0,"",get_string_val(RIGHT(B451,4)))</f>
        <v/>
      </c>
      <c r="D451" t="str">
        <f>IF(LEN(TRIM(A451))=0,"",GetItemValueFromSpecimenHeader("timepoint"))</f>
        <v/>
      </c>
      <c r="E451" t="str">
        <f t="shared" ref="E451:E514" si="45">getColumnValueBySubjectID("Age",RIGHT(B451,4))</f>
        <v/>
      </c>
      <c r="F451" t="str">
        <f t="shared" ref="F451:F514" si="46">getColumnValueBySubjectID("Sex",RIGHT(B451,4))</f>
        <v/>
      </c>
      <c r="G451" t="str">
        <f t="shared" si="42"/>
        <v/>
      </c>
      <c r="H451" t="str">
        <f>IF(LEN(TRIM(A451))=0,"",GetConfigParameterValue("Collection Site"))</f>
        <v/>
      </c>
      <c r="I451" t="str">
        <f t="shared" ref="I451:I514" si="47">getColumnValueBySubjectID("Comments",B451)</f>
        <v/>
      </c>
      <c r="M451" t="str">
        <f>IF(LEN(TRIM(B451))=0,"",IF(ISERROR(VLOOKUP(RIGHT(B451,4),study_demographic!A:A,1,FALSE)),"NOT FOUND!!!", "OK"))</f>
        <v/>
      </c>
    </row>
    <row r="452" spans="1:13" x14ac:dyDescent="0.25">
      <c r="A452" t="str">
        <f t="shared" si="43"/>
        <v/>
      </c>
      <c r="B452" t="str">
        <f t="shared" si="44"/>
        <v/>
      </c>
      <c r="C452" s="55" t="str">
        <f>IF(LEN(TRIM(A452))=0,"",get_string_val(RIGHT(B452,4)))</f>
        <v/>
      </c>
      <c r="D452" t="str">
        <f>IF(LEN(TRIM(A452))=0,"",GetItemValueFromSpecimenHeader("timepoint"))</f>
        <v/>
      </c>
      <c r="E452" t="str">
        <f t="shared" si="45"/>
        <v/>
      </c>
      <c r="F452" t="str">
        <f t="shared" si="46"/>
        <v/>
      </c>
      <c r="G452" t="str">
        <f t="shared" si="42"/>
        <v/>
      </c>
      <c r="H452" t="str">
        <f>IF(LEN(TRIM(A452))=0,"",GetConfigParameterValue("Collection Site"))</f>
        <v/>
      </c>
      <c r="I452" t="str">
        <f t="shared" si="47"/>
        <v/>
      </c>
      <c r="M452" t="str">
        <f>IF(LEN(TRIM(B452))=0,"",IF(ISERROR(VLOOKUP(RIGHT(B452,4),study_demographic!A:A,1,FALSE)),"NOT FOUND!!!", "OK"))</f>
        <v/>
      </c>
    </row>
    <row r="453" spans="1:13" x14ac:dyDescent="0.25">
      <c r="A453" t="str">
        <f t="shared" si="43"/>
        <v/>
      </c>
      <c r="B453" t="str">
        <f t="shared" si="44"/>
        <v/>
      </c>
      <c r="C453" s="55" t="str">
        <f>IF(LEN(TRIM(A453))=0,"",get_string_val(RIGHT(B453,4)))</f>
        <v/>
      </c>
      <c r="D453" t="str">
        <f>IF(LEN(TRIM(A453))=0,"",GetItemValueFromSpecimenHeader("timepoint"))</f>
        <v/>
      </c>
      <c r="E453" t="str">
        <f t="shared" si="45"/>
        <v/>
      </c>
      <c r="F453" t="str">
        <f t="shared" si="46"/>
        <v/>
      </c>
      <c r="G453" t="str">
        <f t="shared" si="42"/>
        <v/>
      </c>
      <c r="H453" t="str">
        <f>IF(LEN(TRIM(A453))=0,"",GetConfigParameterValue("Collection Site"))</f>
        <v/>
      </c>
      <c r="I453" t="str">
        <f t="shared" si="47"/>
        <v/>
      </c>
      <c r="M453" t="str">
        <f>IF(LEN(TRIM(B453))=0,"",IF(ISERROR(VLOOKUP(RIGHT(B453,4),study_demographic!A:A,1,FALSE)),"NOT FOUND!!!", "OK"))</f>
        <v/>
      </c>
    </row>
    <row r="454" spans="1:13" x14ac:dyDescent="0.25">
      <c r="A454" t="str">
        <f t="shared" si="43"/>
        <v/>
      </c>
      <c r="B454" t="str">
        <f t="shared" si="44"/>
        <v/>
      </c>
      <c r="C454" s="55" t="str">
        <f>IF(LEN(TRIM(A454))=0,"",get_string_val(RIGHT(B454,4)))</f>
        <v/>
      </c>
      <c r="D454" t="str">
        <f>IF(LEN(TRIM(A454))=0,"",GetItemValueFromSpecimenHeader("timepoint"))</f>
        <v/>
      </c>
      <c r="E454" t="str">
        <f t="shared" si="45"/>
        <v/>
      </c>
      <c r="F454" t="str">
        <f t="shared" si="46"/>
        <v/>
      </c>
      <c r="G454" t="str">
        <f t="shared" si="42"/>
        <v/>
      </c>
      <c r="H454" t="str">
        <f>IF(LEN(TRIM(A454))=0,"",GetConfigParameterValue("Collection Site"))</f>
        <v/>
      </c>
      <c r="I454" t="str">
        <f t="shared" si="47"/>
        <v/>
      </c>
      <c r="M454" t="str">
        <f>IF(LEN(TRIM(B454))=0,"",IF(ISERROR(VLOOKUP(RIGHT(B454,4),study_demographic!A:A,1,FALSE)),"NOT FOUND!!!", "OK"))</f>
        <v/>
      </c>
    </row>
    <row r="455" spans="1:13" x14ac:dyDescent="0.25">
      <c r="A455" t="str">
        <f t="shared" si="43"/>
        <v/>
      </c>
      <c r="B455" t="str">
        <f t="shared" si="44"/>
        <v/>
      </c>
      <c r="C455" s="55" t="str">
        <f>IF(LEN(TRIM(A455))=0,"",get_string_val(RIGHT(B455,4)))</f>
        <v/>
      </c>
      <c r="D455" t="str">
        <f>IF(LEN(TRIM(A455))=0,"",GetItemValueFromSpecimenHeader("timepoint"))</f>
        <v/>
      </c>
      <c r="E455" t="str">
        <f t="shared" si="45"/>
        <v/>
      </c>
      <c r="F455" t="str">
        <f t="shared" si="46"/>
        <v/>
      </c>
      <c r="G455" t="str">
        <f t="shared" si="42"/>
        <v/>
      </c>
      <c r="H455" t="str">
        <f>IF(LEN(TRIM(A455))=0,"",GetConfigParameterValue("Collection Site"))</f>
        <v/>
      </c>
      <c r="I455" t="str">
        <f t="shared" si="47"/>
        <v/>
      </c>
      <c r="M455" t="str">
        <f>IF(LEN(TRIM(B455))=0,"",IF(ISERROR(VLOOKUP(RIGHT(B455,4),study_demographic!A:A,1,FALSE)),"NOT FOUND!!!", "OK"))</f>
        <v/>
      </c>
    </row>
    <row r="456" spans="1:13" x14ac:dyDescent="0.25">
      <c r="A456" t="str">
        <f t="shared" si="43"/>
        <v/>
      </c>
      <c r="B456" t="str">
        <f t="shared" si="44"/>
        <v/>
      </c>
      <c r="C456" s="55" t="str">
        <f>IF(LEN(TRIM(A456))=0,"",get_string_val(RIGHT(B456,4)))</f>
        <v/>
      </c>
      <c r="D456" t="str">
        <f>IF(LEN(TRIM(A456))=0,"",GetItemValueFromSpecimenHeader("timepoint"))</f>
        <v/>
      </c>
      <c r="E456" t="str">
        <f t="shared" si="45"/>
        <v/>
      </c>
      <c r="F456" t="str">
        <f t="shared" si="46"/>
        <v/>
      </c>
      <c r="G456" t="str">
        <f t="shared" si="42"/>
        <v/>
      </c>
      <c r="H456" t="str">
        <f>IF(LEN(TRIM(A456))=0,"",GetConfigParameterValue("Collection Site"))</f>
        <v/>
      </c>
      <c r="I456" t="str">
        <f t="shared" si="47"/>
        <v/>
      </c>
      <c r="M456" t="str">
        <f>IF(LEN(TRIM(B456))=0,"",IF(ISERROR(VLOOKUP(RIGHT(B456,4),study_demographic!A:A,1,FALSE)),"NOT FOUND!!!", "OK"))</f>
        <v/>
      </c>
    </row>
    <row r="457" spans="1:13" x14ac:dyDescent="0.25">
      <c r="A457" t="str">
        <f t="shared" si="43"/>
        <v/>
      </c>
      <c r="B457" t="str">
        <f t="shared" si="44"/>
        <v/>
      </c>
      <c r="C457" s="55" t="str">
        <f>IF(LEN(TRIM(A457))=0,"",get_string_val(RIGHT(B457,4)))</f>
        <v/>
      </c>
      <c r="D457" t="str">
        <f>IF(LEN(TRIM(A457))=0,"",GetItemValueFromSpecimenHeader("timepoint"))</f>
        <v/>
      </c>
      <c r="E457" t="str">
        <f t="shared" si="45"/>
        <v/>
      </c>
      <c r="F457" t="str">
        <f t="shared" si="46"/>
        <v/>
      </c>
      <c r="G457" t="str">
        <f t="shared" si="42"/>
        <v/>
      </c>
      <c r="H457" t="str">
        <f>IF(LEN(TRIM(A457))=0,"",GetConfigParameterValue("Collection Site"))</f>
        <v/>
      </c>
      <c r="I457" t="str">
        <f t="shared" si="47"/>
        <v/>
      </c>
      <c r="M457" t="str">
        <f>IF(LEN(TRIM(B457))=0,"",IF(ISERROR(VLOOKUP(RIGHT(B457,4),study_demographic!A:A,1,FALSE)),"NOT FOUND!!!", "OK"))</f>
        <v/>
      </c>
    </row>
    <row r="458" spans="1:13" x14ac:dyDescent="0.25">
      <c r="A458" t="str">
        <f t="shared" si="43"/>
        <v/>
      </c>
      <c r="B458" t="str">
        <f t="shared" si="44"/>
        <v/>
      </c>
      <c r="C458" s="55" t="str">
        <f>IF(LEN(TRIM(A458))=0,"",get_string_val(RIGHT(B458,4)))</f>
        <v/>
      </c>
      <c r="D458" t="str">
        <f>IF(LEN(TRIM(A458))=0,"",GetItemValueFromSpecimenHeader("timepoint"))</f>
        <v/>
      </c>
      <c r="E458" t="str">
        <f t="shared" si="45"/>
        <v/>
      </c>
      <c r="F458" t="str">
        <f t="shared" si="46"/>
        <v/>
      </c>
      <c r="G458" t="str">
        <f t="shared" si="42"/>
        <v/>
      </c>
      <c r="H458" t="str">
        <f>IF(LEN(TRIM(A458))=0,"",GetConfigParameterValue("Collection Site"))</f>
        <v/>
      </c>
      <c r="I458" t="str">
        <f t="shared" si="47"/>
        <v/>
      </c>
      <c r="M458" t="str">
        <f>IF(LEN(TRIM(B458))=0,"",IF(ISERROR(VLOOKUP(RIGHT(B458,4),study_demographic!A:A,1,FALSE)),"NOT FOUND!!!", "OK"))</f>
        <v/>
      </c>
    </row>
    <row r="459" spans="1:13" x14ac:dyDescent="0.25">
      <c r="A459" t="str">
        <f t="shared" si="43"/>
        <v/>
      </c>
      <c r="B459" t="str">
        <f t="shared" si="44"/>
        <v/>
      </c>
      <c r="C459" s="55" t="str">
        <f>IF(LEN(TRIM(A459))=0,"",get_string_val(RIGHT(B459,4)))</f>
        <v/>
      </c>
      <c r="D459" t="str">
        <f>IF(LEN(TRIM(A459))=0,"",GetItemValueFromSpecimenHeader("timepoint"))</f>
        <v/>
      </c>
      <c r="E459" t="str">
        <f t="shared" si="45"/>
        <v/>
      </c>
      <c r="F459" t="str">
        <f t="shared" si="46"/>
        <v/>
      </c>
      <c r="G459" t="str">
        <f t="shared" si="42"/>
        <v/>
      </c>
      <c r="H459" t="str">
        <f>IF(LEN(TRIM(A459))=0,"",GetConfigParameterValue("Collection Site"))</f>
        <v/>
      </c>
      <c r="I459" t="str">
        <f t="shared" si="47"/>
        <v/>
      </c>
      <c r="M459" t="str">
        <f>IF(LEN(TRIM(B459))=0,"",IF(ISERROR(VLOOKUP(RIGHT(B459,4),study_demographic!A:A,1,FALSE)),"NOT FOUND!!!", "OK"))</f>
        <v/>
      </c>
    </row>
    <row r="460" spans="1:13" x14ac:dyDescent="0.25">
      <c r="A460" t="str">
        <f t="shared" si="43"/>
        <v/>
      </c>
      <c r="B460" t="str">
        <f t="shared" si="44"/>
        <v/>
      </c>
      <c r="C460" s="55" t="str">
        <f>IF(LEN(TRIM(A460))=0,"",get_string_val(RIGHT(B460,4)))</f>
        <v/>
      </c>
      <c r="D460" t="str">
        <f>IF(LEN(TRIM(A460))=0,"",GetItemValueFromSpecimenHeader("timepoint"))</f>
        <v/>
      </c>
      <c r="E460" t="str">
        <f t="shared" si="45"/>
        <v/>
      </c>
      <c r="F460" t="str">
        <f t="shared" si="46"/>
        <v/>
      </c>
      <c r="G460" t="str">
        <f t="shared" si="42"/>
        <v/>
      </c>
      <c r="H460" t="str">
        <f>IF(LEN(TRIM(A460))=0,"",GetConfigParameterValue("Collection Site"))</f>
        <v/>
      </c>
      <c r="I460" t="str">
        <f t="shared" si="47"/>
        <v/>
      </c>
      <c r="M460" t="str">
        <f>IF(LEN(TRIM(B460))=0,"",IF(ISERROR(VLOOKUP(RIGHT(B460,4),study_demographic!A:A,1,FALSE)),"NOT FOUND!!!", "OK"))</f>
        <v/>
      </c>
    </row>
    <row r="461" spans="1:13" x14ac:dyDescent="0.25">
      <c r="A461" t="str">
        <f t="shared" si="43"/>
        <v/>
      </c>
      <c r="B461" t="str">
        <f t="shared" si="44"/>
        <v/>
      </c>
      <c r="C461" s="55" t="str">
        <f>IF(LEN(TRIM(A461))=0,"",get_string_val(RIGHT(B461,4)))</f>
        <v/>
      </c>
      <c r="D461" t="str">
        <f>IF(LEN(TRIM(A461))=0,"",GetItemValueFromSpecimenHeader("timepoint"))</f>
        <v/>
      </c>
      <c r="E461" t="str">
        <f t="shared" si="45"/>
        <v/>
      </c>
      <c r="F461" t="str">
        <f t="shared" si="46"/>
        <v/>
      </c>
      <c r="G461" t="str">
        <f t="shared" si="42"/>
        <v/>
      </c>
      <c r="H461" t="str">
        <f>IF(LEN(TRIM(A461))=0,"",GetConfigParameterValue("Collection Site"))</f>
        <v/>
      </c>
      <c r="I461" t="str">
        <f t="shared" si="47"/>
        <v/>
      </c>
      <c r="M461" t="str">
        <f>IF(LEN(TRIM(B461))=0,"",IF(ISERROR(VLOOKUP(RIGHT(B461,4),study_demographic!A:A,1,FALSE)),"NOT FOUND!!!", "OK"))</f>
        <v/>
      </c>
    </row>
    <row r="462" spans="1:13" x14ac:dyDescent="0.25">
      <c r="A462" t="str">
        <f t="shared" si="43"/>
        <v/>
      </c>
      <c r="B462" t="str">
        <f t="shared" si="44"/>
        <v/>
      </c>
      <c r="C462" s="55" t="str">
        <f>IF(LEN(TRIM(A462))=0,"",get_string_val(RIGHT(B462,4)))</f>
        <v/>
      </c>
      <c r="D462" t="str">
        <f>IF(LEN(TRIM(A462))=0,"",GetItemValueFromSpecimenHeader("timepoint"))</f>
        <v/>
      </c>
      <c r="E462" t="str">
        <f t="shared" si="45"/>
        <v/>
      </c>
      <c r="F462" t="str">
        <f t="shared" si="46"/>
        <v/>
      </c>
      <c r="G462" t="str">
        <f t="shared" si="42"/>
        <v/>
      </c>
      <c r="H462" t="str">
        <f>IF(LEN(TRIM(A462))=0,"",GetConfigParameterValue("Collection Site"))</f>
        <v/>
      </c>
      <c r="I462" t="str">
        <f t="shared" si="47"/>
        <v/>
      </c>
      <c r="M462" t="str">
        <f>IF(LEN(TRIM(B462))=0,"",IF(ISERROR(VLOOKUP(RIGHT(B462,4),study_demographic!A:A,1,FALSE)),"NOT FOUND!!!", "OK"))</f>
        <v/>
      </c>
    </row>
    <row r="463" spans="1:13" x14ac:dyDescent="0.25">
      <c r="A463" t="str">
        <f t="shared" si="43"/>
        <v/>
      </c>
      <c r="B463" t="str">
        <f t="shared" si="44"/>
        <v/>
      </c>
      <c r="C463" s="55" t="str">
        <f>IF(LEN(TRIM(A463))=0,"",get_string_val(RIGHT(B463,4)))</f>
        <v/>
      </c>
      <c r="D463" t="str">
        <f>IF(LEN(TRIM(A463))=0,"",GetItemValueFromSpecimenHeader("timepoint"))</f>
        <v/>
      </c>
      <c r="E463" t="str">
        <f t="shared" si="45"/>
        <v/>
      </c>
      <c r="F463" t="str">
        <f t="shared" si="46"/>
        <v/>
      </c>
      <c r="G463" t="str">
        <f t="shared" si="42"/>
        <v/>
      </c>
      <c r="H463" t="str">
        <f>IF(LEN(TRIM(A463))=0,"",GetConfigParameterValue("Collection Site"))</f>
        <v/>
      </c>
      <c r="I463" t="str">
        <f t="shared" si="47"/>
        <v/>
      </c>
      <c r="M463" t="str">
        <f>IF(LEN(TRIM(B463))=0,"",IF(ISERROR(VLOOKUP(RIGHT(B463,4),study_demographic!A:A,1,FALSE)),"NOT FOUND!!!", "OK"))</f>
        <v/>
      </c>
    </row>
    <row r="464" spans="1:13" x14ac:dyDescent="0.25">
      <c r="A464" t="str">
        <f t="shared" si="43"/>
        <v/>
      </c>
      <c r="B464" t="str">
        <f t="shared" si="44"/>
        <v/>
      </c>
      <c r="C464" s="55" t="str">
        <f>IF(LEN(TRIM(A464))=0,"",get_string_val(RIGHT(B464,4)))</f>
        <v/>
      </c>
      <c r="D464" t="str">
        <f>IF(LEN(TRIM(A464))=0,"",GetItemValueFromSpecimenHeader("timepoint"))</f>
        <v/>
      </c>
      <c r="E464" t="str">
        <f t="shared" si="45"/>
        <v/>
      </c>
      <c r="F464" t="str">
        <f t="shared" si="46"/>
        <v/>
      </c>
      <c r="G464" t="str">
        <f t="shared" si="42"/>
        <v/>
      </c>
      <c r="H464" t="str">
        <f>IF(LEN(TRIM(A464))=0,"",GetConfigParameterValue("Collection Site"))</f>
        <v/>
      </c>
      <c r="I464" t="str">
        <f t="shared" si="47"/>
        <v/>
      </c>
      <c r="M464" t="str">
        <f>IF(LEN(TRIM(B464))=0,"",IF(ISERROR(VLOOKUP(RIGHT(B464,4),study_demographic!A:A,1,FALSE)),"NOT FOUND!!!", "OK"))</f>
        <v/>
      </c>
    </row>
    <row r="465" spans="1:13" x14ac:dyDescent="0.25">
      <c r="A465" t="str">
        <f t="shared" si="43"/>
        <v/>
      </c>
      <c r="B465" t="str">
        <f t="shared" si="44"/>
        <v/>
      </c>
      <c r="C465" s="55" t="str">
        <f>IF(LEN(TRIM(A465))=0,"",get_string_val(RIGHT(B465,4)))</f>
        <v/>
      </c>
      <c r="D465" t="str">
        <f>IF(LEN(TRIM(A465))=0,"",GetItemValueFromSpecimenHeader("timepoint"))</f>
        <v/>
      </c>
      <c r="E465" t="str">
        <f t="shared" si="45"/>
        <v/>
      </c>
      <c r="F465" t="str">
        <f t="shared" si="46"/>
        <v/>
      </c>
      <c r="G465" t="str">
        <f t="shared" si="42"/>
        <v/>
      </c>
      <c r="H465" t="str">
        <f>IF(LEN(TRIM(A465))=0,"",GetConfigParameterValue("Collection Site"))</f>
        <v/>
      </c>
      <c r="I465" t="str">
        <f t="shared" si="47"/>
        <v/>
      </c>
      <c r="M465" t="str">
        <f>IF(LEN(TRIM(B465))=0,"",IF(ISERROR(VLOOKUP(RIGHT(B465,4),study_demographic!A:A,1,FALSE)),"NOT FOUND!!!", "OK"))</f>
        <v/>
      </c>
    </row>
    <row r="466" spans="1:13" x14ac:dyDescent="0.25">
      <c r="A466" t="str">
        <f t="shared" si="43"/>
        <v/>
      </c>
      <c r="B466" t="str">
        <f t="shared" si="44"/>
        <v/>
      </c>
      <c r="C466" s="55" t="str">
        <f>IF(LEN(TRIM(A466))=0,"",get_string_val(RIGHT(B466,4)))</f>
        <v/>
      </c>
      <c r="D466" t="str">
        <f>IF(LEN(TRIM(A466))=0,"",GetItemValueFromSpecimenHeader("timepoint"))</f>
        <v/>
      </c>
      <c r="E466" t="str">
        <f t="shared" si="45"/>
        <v/>
      </c>
      <c r="F466" t="str">
        <f t="shared" si="46"/>
        <v/>
      </c>
      <c r="G466" t="str">
        <f t="shared" si="42"/>
        <v/>
      </c>
      <c r="H466" t="str">
        <f>IF(LEN(TRIM(A466))=0,"",GetConfigParameterValue("Collection Site"))</f>
        <v/>
      </c>
      <c r="I466" t="str">
        <f t="shared" si="47"/>
        <v/>
      </c>
      <c r="M466" t="str">
        <f>IF(LEN(TRIM(B466))=0,"",IF(ISERROR(VLOOKUP(RIGHT(B466,4),study_demographic!A:A,1,FALSE)),"NOT FOUND!!!", "OK"))</f>
        <v/>
      </c>
    </row>
    <row r="467" spans="1:13" x14ac:dyDescent="0.25">
      <c r="A467" t="str">
        <f t="shared" si="43"/>
        <v/>
      </c>
      <c r="B467" t="str">
        <f t="shared" si="44"/>
        <v/>
      </c>
      <c r="C467" s="55" t="str">
        <f>IF(LEN(TRIM(A467))=0,"",get_string_val(RIGHT(B467,4)))</f>
        <v/>
      </c>
      <c r="D467" t="str">
        <f>IF(LEN(TRIM(A467))=0,"",GetItemValueFromSpecimenHeader("timepoint"))</f>
        <v/>
      </c>
      <c r="E467" t="str">
        <f t="shared" si="45"/>
        <v/>
      </c>
      <c r="F467" t="str">
        <f t="shared" si="46"/>
        <v/>
      </c>
      <c r="G467" t="str">
        <f t="shared" si="42"/>
        <v/>
      </c>
      <c r="H467" t="str">
        <f>IF(LEN(TRIM(A467))=0,"",GetConfigParameterValue("Collection Site"))</f>
        <v/>
      </c>
      <c r="I467" t="str">
        <f t="shared" si="47"/>
        <v/>
      </c>
      <c r="M467" t="str">
        <f>IF(LEN(TRIM(B467))=0,"",IF(ISERROR(VLOOKUP(RIGHT(B467,4),study_demographic!A:A,1,FALSE)),"NOT FOUND!!!", "OK"))</f>
        <v/>
      </c>
    </row>
    <row r="468" spans="1:13" x14ac:dyDescent="0.25">
      <c r="A468" t="str">
        <f t="shared" si="43"/>
        <v/>
      </c>
      <c r="B468" t="str">
        <f t="shared" si="44"/>
        <v/>
      </c>
      <c r="C468" s="55" t="str">
        <f>IF(LEN(TRIM(A468))=0,"",get_string_val(RIGHT(B468,4)))</f>
        <v/>
      </c>
      <c r="D468" t="str">
        <f>IF(LEN(TRIM(A468))=0,"",GetItemValueFromSpecimenHeader("timepoint"))</f>
        <v/>
      </c>
      <c r="E468" t="str">
        <f t="shared" si="45"/>
        <v/>
      </c>
      <c r="F468" t="str">
        <f t="shared" si="46"/>
        <v/>
      </c>
      <c r="G468" t="str">
        <f t="shared" si="42"/>
        <v/>
      </c>
      <c r="H468" t="str">
        <f>IF(LEN(TRIM(A468))=0,"",GetConfigParameterValue("Collection Site"))</f>
        <v/>
      </c>
      <c r="I468" t="str">
        <f t="shared" si="47"/>
        <v/>
      </c>
      <c r="M468" t="str">
        <f>IF(LEN(TRIM(B468))=0,"",IF(ISERROR(VLOOKUP(RIGHT(B468,4),study_demographic!A:A,1,FALSE)),"NOT FOUND!!!", "OK"))</f>
        <v/>
      </c>
    </row>
    <row r="469" spans="1:13" x14ac:dyDescent="0.25">
      <c r="A469" t="str">
        <f t="shared" si="43"/>
        <v/>
      </c>
      <c r="B469" t="str">
        <f t="shared" si="44"/>
        <v/>
      </c>
      <c r="C469" s="55" t="str">
        <f>IF(LEN(TRIM(A469))=0,"",get_string_val(RIGHT(B469,4)))</f>
        <v/>
      </c>
      <c r="D469" t="str">
        <f>IF(LEN(TRIM(A469))=0,"",GetItemValueFromSpecimenHeader("timepoint"))</f>
        <v/>
      </c>
      <c r="E469" t="str">
        <f t="shared" si="45"/>
        <v/>
      </c>
      <c r="F469" t="str">
        <f t="shared" si="46"/>
        <v/>
      </c>
      <c r="G469" t="str">
        <f t="shared" si="42"/>
        <v/>
      </c>
      <c r="H469" t="str">
        <f>IF(LEN(TRIM(A469))=0,"",GetConfigParameterValue("Collection Site"))</f>
        <v/>
      </c>
      <c r="I469" t="str">
        <f t="shared" si="47"/>
        <v/>
      </c>
      <c r="M469" t="str">
        <f>IF(LEN(TRIM(B469))=0,"",IF(ISERROR(VLOOKUP(RIGHT(B469,4),study_demographic!A:A,1,FALSE)),"NOT FOUND!!!", "OK"))</f>
        <v/>
      </c>
    </row>
    <row r="470" spans="1:13" x14ac:dyDescent="0.25">
      <c r="A470" t="str">
        <f t="shared" si="43"/>
        <v/>
      </c>
      <c r="B470" t="str">
        <f t="shared" si="44"/>
        <v/>
      </c>
      <c r="C470" s="55" t="str">
        <f>IF(LEN(TRIM(A470))=0,"",get_string_val(RIGHT(B470,4)))</f>
        <v/>
      </c>
      <c r="D470" t="str">
        <f>IF(LEN(TRIM(A470))=0,"",GetItemValueFromSpecimenHeader("timepoint"))</f>
        <v/>
      </c>
      <c r="E470" t="str">
        <f t="shared" si="45"/>
        <v/>
      </c>
      <c r="F470" t="str">
        <f t="shared" si="46"/>
        <v/>
      </c>
      <c r="G470" t="str">
        <f t="shared" si="42"/>
        <v/>
      </c>
      <c r="H470" t="str">
        <f>IF(LEN(TRIM(A470))=0,"",GetConfigParameterValue("Collection Site"))</f>
        <v/>
      </c>
      <c r="I470" t="str">
        <f t="shared" si="47"/>
        <v/>
      </c>
      <c r="M470" t="str">
        <f>IF(LEN(TRIM(B470))=0,"",IF(ISERROR(VLOOKUP(RIGHT(B470,4),study_demographic!A:A,1,FALSE)),"NOT FOUND!!!", "OK"))</f>
        <v/>
      </c>
    </row>
    <row r="471" spans="1:13" x14ac:dyDescent="0.25">
      <c r="A471" t="str">
        <f t="shared" si="43"/>
        <v/>
      </c>
      <c r="B471" t="str">
        <f t="shared" si="44"/>
        <v/>
      </c>
      <c r="C471" s="55" t="str">
        <f>IF(LEN(TRIM(A471))=0,"",get_string_val(RIGHT(B471,4)))</f>
        <v/>
      </c>
      <c r="D471" t="str">
        <f>IF(LEN(TRIM(A471))=0,"",GetItemValueFromSpecimenHeader("timepoint"))</f>
        <v/>
      </c>
      <c r="E471" t="str">
        <f t="shared" si="45"/>
        <v/>
      </c>
      <c r="F471" t="str">
        <f t="shared" si="46"/>
        <v/>
      </c>
      <c r="G471" t="str">
        <f t="shared" si="42"/>
        <v/>
      </c>
      <c r="H471" t="str">
        <f>IF(LEN(TRIM(A471))=0,"",GetConfigParameterValue("Collection Site"))</f>
        <v/>
      </c>
      <c r="I471" t="str">
        <f t="shared" si="47"/>
        <v/>
      </c>
      <c r="M471" t="str">
        <f>IF(LEN(TRIM(B471))=0,"",IF(ISERROR(VLOOKUP(RIGHT(B471,4),study_demographic!A:A,1,FALSE)),"NOT FOUND!!!", "OK"))</f>
        <v/>
      </c>
    </row>
    <row r="472" spans="1:13" x14ac:dyDescent="0.25">
      <c r="A472" t="str">
        <f t="shared" si="43"/>
        <v/>
      </c>
      <c r="B472" t="str">
        <f t="shared" si="44"/>
        <v/>
      </c>
      <c r="C472" s="55" t="str">
        <f>IF(LEN(TRIM(A472))=0,"",get_string_val(RIGHT(B472,4)))</f>
        <v/>
      </c>
      <c r="D472" t="str">
        <f>IF(LEN(TRIM(A472))=0,"",GetItemValueFromSpecimenHeader("timepoint"))</f>
        <v/>
      </c>
      <c r="E472" t="str">
        <f t="shared" si="45"/>
        <v/>
      </c>
      <c r="F472" t="str">
        <f t="shared" si="46"/>
        <v/>
      </c>
      <c r="G472" t="str">
        <f t="shared" si="42"/>
        <v/>
      </c>
      <c r="H472" t="str">
        <f>IF(LEN(TRIM(A472))=0,"",GetConfigParameterValue("Collection Site"))</f>
        <v/>
      </c>
      <c r="I472" t="str">
        <f t="shared" si="47"/>
        <v/>
      </c>
      <c r="M472" t="str">
        <f>IF(LEN(TRIM(B472))=0,"",IF(ISERROR(VLOOKUP(RIGHT(B472,4),study_demographic!A:A,1,FALSE)),"NOT FOUND!!!", "OK"))</f>
        <v/>
      </c>
    </row>
    <row r="473" spans="1:13" x14ac:dyDescent="0.25">
      <c r="A473" t="str">
        <f t="shared" si="43"/>
        <v/>
      </c>
      <c r="B473" t="str">
        <f t="shared" si="44"/>
        <v/>
      </c>
      <c r="C473" s="55" t="str">
        <f>IF(LEN(TRIM(A473))=0,"",get_string_val(RIGHT(B473,4)))</f>
        <v/>
      </c>
      <c r="D473" t="str">
        <f>IF(LEN(TRIM(A473))=0,"",GetItemValueFromSpecimenHeader("timepoint"))</f>
        <v/>
      </c>
      <c r="E473" t="str">
        <f t="shared" si="45"/>
        <v/>
      </c>
      <c r="F473" t="str">
        <f t="shared" si="46"/>
        <v/>
      </c>
      <c r="G473" t="str">
        <f t="shared" si="42"/>
        <v/>
      </c>
      <c r="H473" t="str">
        <f>IF(LEN(TRIM(A473))=0,"",GetConfigParameterValue("Collection Site"))</f>
        <v/>
      </c>
      <c r="I473" t="str">
        <f t="shared" si="47"/>
        <v/>
      </c>
      <c r="M473" t="str">
        <f>IF(LEN(TRIM(B473))=0,"",IF(ISERROR(VLOOKUP(RIGHT(B473,4),study_demographic!A:A,1,FALSE)),"NOT FOUND!!!", "OK"))</f>
        <v/>
      </c>
    </row>
    <row r="474" spans="1:13" x14ac:dyDescent="0.25">
      <c r="A474" t="str">
        <f t="shared" si="43"/>
        <v/>
      </c>
      <c r="B474" t="str">
        <f t="shared" si="44"/>
        <v/>
      </c>
      <c r="C474" s="55" t="str">
        <f>IF(LEN(TRIM(A474))=0,"",get_string_val(RIGHT(B474,4)))</f>
        <v/>
      </c>
      <c r="D474" t="str">
        <f>IF(LEN(TRIM(A474))=0,"",GetItemValueFromSpecimenHeader("timepoint"))</f>
        <v/>
      </c>
      <c r="E474" t="str">
        <f t="shared" si="45"/>
        <v/>
      </c>
      <c r="F474" t="str">
        <f t="shared" si="46"/>
        <v/>
      </c>
      <c r="G474" t="str">
        <f t="shared" si="42"/>
        <v/>
      </c>
      <c r="H474" t="str">
        <f>IF(LEN(TRIM(A474))=0,"",GetConfigParameterValue("Collection Site"))</f>
        <v/>
      </c>
      <c r="I474" t="str">
        <f t="shared" si="47"/>
        <v/>
      </c>
      <c r="M474" t="str">
        <f>IF(LEN(TRIM(B474))=0,"",IF(ISERROR(VLOOKUP(RIGHT(B474,4),study_demographic!A:A,1,FALSE)),"NOT FOUND!!!", "OK"))</f>
        <v/>
      </c>
    </row>
    <row r="475" spans="1:13" x14ac:dyDescent="0.25">
      <c r="A475" t="str">
        <f t="shared" si="43"/>
        <v/>
      </c>
      <c r="B475" t="str">
        <f t="shared" si="44"/>
        <v/>
      </c>
      <c r="C475" s="55" t="str">
        <f>IF(LEN(TRIM(A475))=0,"",get_string_val(RIGHT(B475,4)))</f>
        <v/>
      </c>
      <c r="D475" t="str">
        <f>IF(LEN(TRIM(A475))=0,"",GetItemValueFromSpecimenHeader("timepoint"))</f>
        <v/>
      </c>
      <c r="E475" t="str">
        <f t="shared" si="45"/>
        <v/>
      </c>
      <c r="F475" t="str">
        <f t="shared" si="46"/>
        <v/>
      </c>
      <c r="G475" t="str">
        <f t="shared" si="42"/>
        <v/>
      </c>
      <c r="H475" t="str">
        <f>IF(LEN(TRIM(A475))=0,"",GetConfigParameterValue("Collection Site"))</f>
        <v/>
      </c>
      <c r="I475" t="str">
        <f t="shared" si="47"/>
        <v/>
      </c>
      <c r="M475" t="str">
        <f>IF(LEN(TRIM(B475))=0,"",IF(ISERROR(VLOOKUP(RIGHT(B475,4),study_demographic!A:A,1,FALSE)),"NOT FOUND!!!", "OK"))</f>
        <v/>
      </c>
    </row>
    <row r="476" spans="1:13" x14ac:dyDescent="0.25">
      <c r="A476" t="str">
        <f t="shared" si="43"/>
        <v/>
      </c>
      <c r="B476" t="str">
        <f t="shared" si="44"/>
        <v/>
      </c>
      <c r="C476" s="55" t="str">
        <f>IF(LEN(TRIM(A476))=0,"",get_string_val(RIGHT(B476,4)))</f>
        <v/>
      </c>
      <c r="D476" t="str">
        <f>IF(LEN(TRIM(A476))=0,"",GetItemValueFromSpecimenHeader("timepoint"))</f>
        <v/>
      </c>
      <c r="E476" t="str">
        <f t="shared" si="45"/>
        <v/>
      </c>
      <c r="F476" t="str">
        <f t="shared" si="46"/>
        <v/>
      </c>
      <c r="G476" t="str">
        <f t="shared" si="42"/>
        <v/>
      </c>
      <c r="H476" t="str">
        <f>IF(LEN(TRIM(A476))=0,"",GetConfigParameterValue("Collection Site"))</f>
        <v/>
      </c>
      <c r="I476" t="str">
        <f t="shared" si="47"/>
        <v/>
      </c>
      <c r="M476" t="str">
        <f>IF(LEN(TRIM(B476))=0,"",IF(ISERROR(VLOOKUP(RIGHT(B476,4),study_demographic!A:A,1,FALSE)),"NOT FOUND!!!", "OK"))</f>
        <v/>
      </c>
    </row>
    <row r="477" spans="1:13" x14ac:dyDescent="0.25">
      <c r="A477" t="str">
        <f t="shared" si="43"/>
        <v/>
      </c>
      <c r="B477" t="str">
        <f t="shared" si="44"/>
        <v/>
      </c>
      <c r="C477" s="55" t="str">
        <f>IF(LEN(TRIM(A477))=0,"",get_string_val(RIGHT(B477,4)))</f>
        <v/>
      </c>
      <c r="D477" t="str">
        <f>IF(LEN(TRIM(A477))=0,"",GetItemValueFromSpecimenHeader("timepoint"))</f>
        <v/>
      </c>
      <c r="E477" t="str">
        <f t="shared" si="45"/>
        <v/>
      </c>
      <c r="F477" t="str">
        <f t="shared" si="46"/>
        <v/>
      </c>
      <c r="G477" t="str">
        <f t="shared" si="42"/>
        <v/>
      </c>
      <c r="H477" t="str">
        <f>IF(LEN(TRIM(A477))=0,"",GetConfigParameterValue("Collection Site"))</f>
        <v/>
      </c>
      <c r="I477" t="str">
        <f t="shared" si="47"/>
        <v/>
      </c>
      <c r="M477" t="str">
        <f>IF(LEN(TRIM(B477))=0,"",IF(ISERROR(VLOOKUP(RIGHT(B477,4),study_demographic!A:A,1,FALSE)),"NOT FOUND!!!", "OK"))</f>
        <v/>
      </c>
    </row>
    <row r="478" spans="1:13" x14ac:dyDescent="0.25">
      <c r="A478" t="str">
        <f t="shared" si="43"/>
        <v/>
      </c>
      <c r="B478" t="str">
        <f t="shared" si="44"/>
        <v/>
      </c>
      <c r="C478" s="55" t="str">
        <f>IF(LEN(TRIM(A478))=0,"",get_string_val(RIGHT(B478,4)))</f>
        <v/>
      </c>
      <c r="D478" t="str">
        <f>IF(LEN(TRIM(A478))=0,"",GetItemValueFromSpecimenHeader("timepoint"))</f>
        <v/>
      </c>
      <c r="E478" t="str">
        <f t="shared" si="45"/>
        <v/>
      </c>
      <c r="F478" t="str">
        <f t="shared" si="46"/>
        <v/>
      </c>
      <c r="G478" t="str">
        <f t="shared" si="42"/>
        <v/>
      </c>
      <c r="H478" t="str">
        <f>IF(LEN(TRIM(A478))=0,"",GetConfigParameterValue("Collection Site"))</f>
        <v/>
      </c>
      <c r="I478" t="str">
        <f t="shared" si="47"/>
        <v/>
      </c>
      <c r="M478" t="str">
        <f>IF(LEN(TRIM(B478))=0,"",IF(ISERROR(VLOOKUP(RIGHT(B478,4),study_demographic!A:A,1,FALSE)),"NOT FOUND!!!", "OK"))</f>
        <v/>
      </c>
    </row>
    <row r="479" spans="1:13" x14ac:dyDescent="0.25">
      <c r="A479" t="str">
        <f t="shared" si="43"/>
        <v/>
      </c>
      <c r="B479" t="str">
        <f t="shared" si="44"/>
        <v/>
      </c>
      <c r="C479" s="55" t="str">
        <f>IF(LEN(TRIM(A479))=0,"",get_string_val(RIGHT(B479,4)))</f>
        <v/>
      </c>
      <c r="D479" t="str">
        <f>IF(LEN(TRIM(A479))=0,"",GetItemValueFromSpecimenHeader("timepoint"))</f>
        <v/>
      </c>
      <c r="E479" t="str">
        <f t="shared" si="45"/>
        <v/>
      </c>
      <c r="F479" t="str">
        <f t="shared" si="46"/>
        <v/>
      </c>
      <c r="G479" t="str">
        <f t="shared" si="42"/>
        <v/>
      </c>
      <c r="H479" t="str">
        <f>IF(LEN(TRIM(A479))=0,"",GetConfigParameterValue("Collection Site"))</f>
        <v/>
      </c>
      <c r="I479" t="str">
        <f t="shared" si="47"/>
        <v/>
      </c>
      <c r="M479" t="str">
        <f>IF(LEN(TRIM(B479))=0,"",IF(ISERROR(VLOOKUP(RIGHT(B479,4),study_demographic!A:A,1,FALSE)),"NOT FOUND!!!", "OK"))</f>
        <v/>
      </c>
    </row>
    <row r="480" spans="1:13" x14ac:dyDescent="0.25">
      <c r="A480" t="str">
        <f t="shared" si="43"/>
        <v/>
      </c>
      <c r="B480" t="str">
        <f t="shared" si="44"/>
        <v/>
      </c>
      <c r="C480" s="55" t="str">
        <f>IF(LEN(TRIM(A480))=0,"",get_string_val(RIGHT(B480,4)))</f>
        <v/>
      </c>
      <c r="D480" t="str">
        <f>IF(LEN(TRIM(A480))=0,"",GetItemValueFromSpecimenHeader("timepoint"))</f>
        <v/>
      </c>
      <c r="E480" t="str">
        <f t="shared" si="45"/>
        <v/>
      </c>
      <c r="F480" t="str">
        <f t="shared" si="46"/>
        <v/>
      </c>
      <c r="G480" t="str">
        <f t="shared" si="42"/>
        <v/>
      </c>
      <c r="H480" t="str">
        <f>IF(LEN(TRIM(A480))=0,"",GetConfigParameterValue("Collection Site"))</f>
        <v/>
      </c>
      <c r="I480" t="str">
        <f t="shared" si="47"/>
        <v/>
      </c>
      <c r="M480" t="str">
        <f>IF(LEN(TRIM(B480))=0,"",IF(ISERROR(VLOOKUP(RIGHT(B480,4),study_demographic!A:A,1,FALSE)),"NOT FOUND!!!", "OK"))</f>
        <v/>
      </c>
    </row>
    <row r="481" spans="1:13" x14ac:dyDescent="0.25">
      <c r="A481" t="str">
        <f t="shared" si="43"/>
        <v/>
      </c>
      <c r="B481" t="str">
        <f t="shared" si="44"/>
        <v/>
      </c>
      <c r="C481" s="55" t="str">
        <f>IF(LEN(TRIM(A481))=0,"",get_string_val(RIGHT(B481,4)))</f>
        <v/>
      </c>
      <c r="D481" t="str">
        <f>IF(LEN(TRIM(A481))=0,"",GetItemValueFromSpecimenHeader("timepoint"))</f>
        <v/>
      </c>
      <c r="E481" t="str">
        <f t="shared" si="45"/>
        <v/>
      </c>
      <c r="F481" t="str">
        <f t="shared" si="46"/>
        <v/>
      </c>
      <c r="G481" t="str">
        <f t="shared" si="42"/>
        <v/>
      </c>
      <c r="H481" t="str">
        <f>IF(LEN(TRIM(A481))=0,"",GetConfigParameterValue("Collection Site"))</f>
        <v/>
      </c>
      <c r="I481" t="str">
        <f t="shared" si="47"/>
        <v/>
      </c>
      <c r="M481" t="str">
        <f>IF(LEN(TRIM(B481))=0,"",IF(ISERROR(VLOOKUP(RIGHT(B481,4),study_demographic!A:A,1,FALSE)),"NOT FOUND!!!", "OK"))</f>
        <v/>
      </c>
    </row>
    <row r="482" spans="1:13" x14ac:dyDescent="0.25">
      <c r="A482" t="str">
        <f t="shared" si="43"/>
        <v/>
      </c>
      <c r="B482" t="str">
        <f t="shared" si="44"/>
        <v/>
      </c>
      <c r="C482" s="55" t="str">
        <f>IF(LEN(TRIM(A482))=0,"",get_string_val(RIGHT(B482,4)))</f>
        <v/>
      </c>
      <c r="D482" t="str">
        <f>IF(LEN(TRIM(A482))=0,"",GetItemValueFromSpecimenHeader("timepoint"))</f>
        <v/>
      </c>
      <c r="E482" t="str">
        <f t="shared" si="45"/>
        <v/>
      </c>
      <c r="F482" t="str">
        <f t="shared" si="46"/>
        <v/>
      </c>
      <c r="G482" t="str">
        <f t="shared" si="42"/>
        <v/>
      </c>
      <c r="H482" t="str">
        <f>IF(LEN(TRIM(A482))=0,"",GetConfigParameterValue("Collection Site"))</f>
        <v/>
      </c>
      <c r="I482" t="str">
        <f t="shared" si="47"/>
        <v/>
      </c>
      <c r="M482" t="str">
        <f>IF(LEN(TRIM(B482))=0,"",IF(ISERROR(VLOOKUP(RIGHT(B482,4),study_demographic!A:A,1,FALSE)),"NOT FOUND!!!", "OK"))</f>
        <v/>
      </c>
    </row>
    <row r="483" spans="1:13" x14ac:dyDescent="0.25">
      <c r="A483" t="str">
        <f t="shared" si="43"/>
        <v/>
      </c>
      <c r="B483" t="str">
        <f t="shared" si="44"/>
        <v/>
      </c>
      <c r="C483" s="55" t="str">
        <f>IF(LEN(TRIM(A483))=0,"",get_string_val(RIGHT(B483,4)))</f>
        <v/>
      </c>
      <c r="D483" t="str">
        <f>IF(LEN(TRIM(A483))=0,"",GetItemValueFromSpecimenHeader("timepoint"))</f>
        <v/>
      </c>
      <c r="E483" t="str">
        <f t="shared" si="45"/>
        <v/>
      </c>
      <c r="F483" t="str">
        <f t="shared" si="46"/>
        <v/>
      </c>
      <c r="G483" t="str">
        <f t="shared" si="42"/>
        <v/>
      </c>
      <c r="H483" t="str">
        <f>IF(LEN(TRIM(A483))=0,"",GetConfigParameterValue("Collection Site"))</f>
        <v/>
      </c>
      <c r="I483" t="str">
        <f t="shared" si="47"/>
        <v/>
      </c>
      <c r="M483" t="str">
        <f>IF(LEN(TRIM(B483))=0,"",IF(ISERROR(VLOOKUP(RIGHT(B483,4),study_demographic!A:A,1,FALSE)),"NOT FOUND!!!", "OK"))</f>
        <v/>
      </c>
    </row>
    <row r="484" spans="1:13" x14ac:dyDescent="0.25">
      <c r="A484" t="str">
        <f t="shared" si="43"/>
        <v/>
      </c>
      <c r="B484" t="str">
        <f t="shared" si="44"/>
        <v/>
      </c>
      <c r="C484" s="55" t="str">
        <f>IF(LEN(TRIM(A484))=0,"",get_string_val(RIGHT(B484,4)))</f>
        <v/>
      </c>
      <c r="D484" t="str">
        <f>IF(LEN(TRIM(A484))=0,"",GetItemValueFromSpecimenHeader("timepoint"))</f>
        <v/>
      </c>
      <c r="E484" t="str">
        <f t="shared" si="45"/>
        <v/>
      </c>
      <c r="F484" t="str">
        <f t="shared" si="46"/>
        <v/>
      </c>
      <c r="G484" t="str">
        <f t="shared" si="42"/>
        <v/>
      </c>
      <c r="H484" t="str">
        <f>IF(LEN(TRIM(A484))=0,"",GetConfigParameterValue("Collection Site"))</f>
        <v/>
      </c>
      <c r="I484" t="str">
        <f t="shared" si="47"/>
        <v/>
      </c>
      <c r="M484" t="str">
        <f>IF(LEN(TRIM(B484))=0,"",IF(ISERROR(VLOOKUP(RIGHT(B484,4),study_demographic!A:A,1,FALSE)),"NOT FOUND!!!", "OK"))</f>
        <v/>
      </c>
    </row>
    <row r="485" spans="1:13" x14ac:dyDescent="0.25">
      <c r="A485" t="str">
        <f t="shared" si="43"/>
        <v/>
      </c>
      <c r="B485" t="str">
        <f t="shared" si="44"/>
        <v/>
      </c>
      <c r="C485" s="55" t="str">
        <f>IF(LEN(TRIM(A485))=0,"",get_string_val(RIGHT(B485,4)))</f>
        <v/>
      </c>
      <c r="D485" t="str">
        <f>IF(LEN(TRIM(A485))=0,"",GetItemValueFromSpecimenHeader("timepoint"))</f>
        <v/>
      </c>
      <c r="E485" t="str">
        <f t="shared" si="45"/>
        <v/>
      </c>
      <c r="F485" t="str">
        <f t="shared" si="46"/>
        <v/>
      </c>
      <c r="G485" t="str">
        <f t="shared" si="42"/>
        <v/>
      </c>
      <c r="H485" t="str">
        <f>IF(LEN(TRIM(A485))=0,"",GetConfigParameterValue("Collection Site"))</f>
        <v/>
      </c>
      <c r="I485" t="str">
        <f t="shared" si="47"/>
        <v/>
      </c>
      <c r="M485" t="str">
        <f>IF(LEN(TRIM(B485))=0,"",IF(ISERROR(VLOOKUP(RIGHT(B485,4),study_demographic!A:A,1,FALSE)),"NOT FOUND!!!", "OK"))</f>
        <v/>
      </c>
    </row>
    <row r="486" spans="1:13" x14ac:dyDescent="0.25">
      <c r="A486" t="str">
        <f t="shared" si="43"/>
        <v/>
      </c>
      <c r="B486" t="str">
        <f t="shared" si="44"/>
        <v/>
      </c>
      <c r="C486" s="55" t="str">
        <f>IF(LEN(TRIM(A486))=0,"",get_string_val(RIGHT(B486,4)))</f>
        <v/>
      </c>
      <c r="D486" t="str">
        <f>IF(LEN(TRIM(A486))=0,"",GetItemValueFromSpecimenHeader("timepoint"))</f>
        <v/>
      </c>
      <c r="E486" t="str">
        <f t="shared" si="45"/>
        <v/>
      </c>
      <c r="F486" t="str">
        <f t="shared" si="46"/>
        <v/>
      </c>
      <c r="G486" t="str">
        <f t="shared" si="42"/>
        <v/>
      </c>
      <c r="H486" t="str">
        <f>IF(LEN(TRIM(A486))=0,"",GetConfigParameterValue("Collection Site"))</f>
        <v/>
      </c>
      <c r="I486" t="str">
        <f t="shared" si="47"/>
        <v/>
      </c>
      <c r="M486" t="str">
        <f>IF(LEN(TRIM(B486))=0,"",IF(ISERROR(VLOOKUP(RIGHT(B486,4),study_demographic!A:A,1,FALSE)),"NOT FOUND!!!", "OK"))</f>
        <v/>
      </c>
    </row>
    <row r="487" spans="1:13" x14ac:dyDescent="0.25">
      <c r="A487" t="str">
        <f t="shared" si="43"/>
        <v/>
      </c>
      <c r="B487" t="str">
        <f t="shared" si="44"/>
        <v/>
      </c>
      <c r="C487" s="55" t="str">
        <f>IF(LEN(TRIM(A487))=0,"",get_string_val(RIGHT(B487,4)))</f>
        <v/>
      </c>
      <c r="D487" t="str">
        <f>IF(LEN(TRIM(A487))=0,"",GetItemValueFromSpecimenHeader("timepoint"))</f>
        <v/>
      </c>
      <c r="E487" t="str">
        <f t="shared" si="45"/>
        <v/>
      </c>
      <c r="F487" t="str">
        <f t="shared" si="46"/>
        <v/>
      </c>
      <c r="G487" t="str">
        <f t="shared" si="42"/>
        <v/>
      </c>
      <c r="H487" t="str">
        <f>IF(LEN(TRIM(A487))=0,"",GetConfigParameterValue("Collection Site"))</f>
        <v/>
      </c>
      <c r="I487" t="str">
        <f t="shared" si="47"/>
        <v/>
      </c>
      <c r="M487" t="str">
        <f>IF(LEN(TRIM(B487))=0,"",IF(ISERROR(VLOOKUP(RIGHT(B487,4),study_demographic!A:A,1,FALSE)),"NOT FOUND!!!", "OK"))</f>
        <v/>
      </c>
    </row>
    <row r="488" spans="1:13" x14ac:dyDescent="0.25">
      <c r="A488" t="str">
        <f t="shared" si="43"/>
        <v/>
      </c>
      <c r="B488" t="str">
        <f t="shared" si="44"/>
        <v/>
      </c>
      <c r="C488" s="55" t="str">
        <f>IF(LEN(TRIM(A488))=0,"",get_string_val(RIGHT(B488,4)))</f>
        <v/>
      </c>
      <c r="D488" t="str">
        <f>IF(LEN(TRIM(A488))=0,"",GetItemValueFromSpecimenHeader("timepoint"))</f>
        <v/>
      </c>
      <c r="E488" t="str">
        <f t="shared" si="45"/>
        <v/>
      </c>
      <c r="F488" t="str">
        <f t="shared" si="46"/>
        <v/>
      </c>
      <c r="G488" t="str">
        <f t="shared" si="42"/>
        <v/>
      </c>
      <c r="H488" t="str">
        <f>IF(LEN(TRIM(A488))=0,"",GetConfigParameterValue("Collection Site"))</f>
        <v/>
      </c>
      <c r="I488" t="str">
        <f t="shared" si="47"/>
        <v/>
      </c>
      <c r="M488" t="str">
        <f>IF(LEN(TRIM(B488))=0,"",IF(ISERROR(VLOOKUP(RIGHT(B488,4),study_demographic!A:A,1,FALSE)),"NOT FOUND!!!", "OK"))</f>
        <v/>
      </c>
    </row>
    <row r="489" spans="1:13" x14ac:dyDescent="0.25">
      <c r="A489" t="str">
        <f t="shared" si="43"/>
        <v/>
      </c>
      <c r="B489" t="str">
        <f t="shared" si="44"/>
        <v/>
      </c>
      <c r="C489" s="55" t="str">
        <f>IF(LEN(TRIM(A489))=0,"",get_string_val(RIGHT(B489,4)))</f>
        <v/>
      </c>
      <c r="D489" t="str">
        <f>IF(LEN(TRIM(A489))=0,"",GetItemValueFromSpecimenHeader("timepoint"))</f>
        <v/>
      </c>
      <c r="E489" t="str">
        <f t="shared" si="45"/>
        <v/>
      </c>
      <c r="F489" t="str">
        <f t="shared" si="46"/>
        <v/>
      </c>
      <c r="G489" t="str">
        <f t="shared" si="42"/>
        <v/>
      </c>
      <c r="H489" t="str">
        <f>IF(LEN(TRIM(A489))=0,"",GetConfigParameterValue("Collection Site"))</f>
        <v/>
      </c>
      <c r="I489" t="str">
        <f t="shared" si="47"/>
        <v/>
      </c>
      <c r="M489" t="str">
        <f>IF(LEN(TRIM(B489))=0,"",IF(ISERROR(VLOOKUP(RIGHT(B489,4),study_demographic!A:A,1,FALSE)),"NOT FOUND!!!", "OK"))</f>
        <v/>
      </c>
    </row>
    <row r="490" spans="1:13" x14ac:dyDescent="0.25">
      <c r="A490" t="str">
        <f t="shared" si="43"/>
        <v/>
      </c>
      <c r="B490" t="str">
        <f t="shared" si="44"/>
        <v/>
      </c>
      <c r="C490" s="55" t="str">
        <f>IF(LEN(TRIM(A490))=0,"",get_string_val(RIGHT(B490,4)))</f>
        <v/>
      </c>
      <c r="D490" t="str">
        <f>IF(LEN(TRIM(A490))=0,"",GetItemValueFromSpecimenHeader("timepoint"))</f>
        <v/>
      </c>
      <c r="E490" t="str">
        <f t="shared" si="45"/>
        <v/>
      </c>
      <c r="F490" t="str">
        <f t="shared" si="46"/>
        <v/>
      </c>
      <c r="G490" t="str">
        <f t="shared" si="42"/>
        <v/>
      </c>
      <c r="H490" t="str">
        <f>IF(LEN(TRIM(A490))=0,"",GetConfigParameterValue("Collection Site"))</f>
        <v/>
      </c>
      <c r="I490" t="str">
        <f t="shared" si="47"/>
        <v/>
      </c>
      <c r="M490" t="str">
        <f>IF(LEN(TRIM(B490))=0,"",IF(ISERROR(VLOOKUP(RIGHT(B490,4),study_demographic!A:A,1,FALSE)),"NOT FOUND!!!", "OK"))</f>
        <v/>
      </c>
    </row>
    <row r="491" spans="1:13" x14ac:dyDescent="0.25">
      <c r="A491" t="str">
        <f t="shared" si="43"/>
        <v/>
      </c>
      <c r="B491" t="str">
        <f t="shared" si="44"/>
        <v/>
      </c>
      <c r="C491" s="55" t="str">
        <f>IF(LEN(TRIM(A491))=0,"",get_string_val(RIGHT(B491,4)))</f>
        <v/>
      </c>
      <c r="D491" t="str">
        <f>IF(LEN(TRIM(A491))=0,"",GetItemValueFromSpecimenHeader("timepoint"))</f>
        <v/>
      </c>
      <c r="E491" t="str">
        <f t="shared" si="45"/>
        <v/>
      </c>
      <c r="F491" t="str">
        <f t="shared" si="46"/>
        <v/>
      </c>
      <c r="G491" t="str">
        <f t="shared" si="42"/>
        <v/>
      </c>
      <c r="H491" t="str">
        <f>IF(LEN(TRIM(A491))=0,"",GetConfigParameterValue("Collection Site"))</f>
        <v/>
      </c>
      <c r="I491" t="str">
        <f t="shared" si="47"/>
        <v/>
      </c>
      <c r="M491" t="str">
        <f>IF(LEN(TRIM(B491))=0,"",IF(ISERROR(VLOOKUP(RIGHT(B491,4),study_demographic!A:A,1,FALSE)),"NOT FOUND!!!", "OK"))</f>
        <v/>
      </c>
    </row>
    <row r="492" spans="1:13" x14ac:dyDescent="0.25">
      <c r="A492" t="str">
        <f t="shared" si="43"/>
        <v/>
      </c>
      <c r="B492" t="str">
        <f t="shared" si="44"/>
        <v/>
      </c>
      <c r="C492" s="55" t="str">
        <f>IF(LEN(TRIM(A492))=0,"",get_string_val(RIGHT(B492,4)))</f>
        <v/>
      </c>
      <c r="D492" t="str">
        <f>IF(LEN(TRIM(A492))=0,"",GetItemValueFromSpecimenHeader("timepoint"))</f>
        <v/>
      </c>
      <c r="E492" t="str">
        <f t="shared" si="45"/>
        <v/>
      </c>
      <c r="F492" t="str">
        <f t="shared" si="46"/>
        <v/>
      </c>
      <c r="G492" t="str">
        <f t="shared" si="42"/>
        <v/>
      </c>
      <c r="H492" t="str">
        <f>IF(LEN(TRIM(A492))=0,"",GetConfigParameterValue("Collection Site"))</f>
        <v/>
      </c>
      <c r="I492" t="str">
        <f t="shared" si="47"/>
        <v/>
      </c>
      <c r="M492" t="str">
        <f>IF(LEN(TRIM(B492))=0,"",IF(ISERROR(VLOOKUP(RIGHT(B492,4),study_demographic!A:A,1,FALSE)),"NOT FOUND!!!", "OK"))</f>
        <v/>
      </c>
    </row>
    <row r="493" spans="1:13" x14ac:dyDescent="0.25">
      <c r="A493" t="str">
        <f t="shared" si="43"/>
        <v/>
      </c>
      <c r="B493" t="str">
        <f t="shared" si="44"/>
        <v/>
      </c>
      <c r="C493" s="55" t="str">
        <f>IF(LEN(TRIM(A493))=0,"",get_string_val(RIGHT(B493,4)))</f>
        <v/>
      </c>
      <c r="D493" t="str">
        <f>IF(LEN(TRIM(A493))=0,"",GetItemValueFromSpecimenHeader("timepoint"))</f>
        <v/>
      </c>
      <c r="E493" t="str">
        <f t="shared" si="45"/>
        <v/>
      </c>
      <c r="F493" t="str">
        <f t="shared" si="46"/>
        <v/>
      </c>
      <c r="G493" t="str">
        <f t="shared" si="42"/>
        <v/>
      </c>
      <c r="H493" t="str">
        <f>IF(LEN(TRIM(A493))=0,"",GetConfigParameterValue("Collection Site"))</f>
        <v/>
      </c>
      <c r="I493" t="str">
        <f t="shared" si="47"/>
        <v/>
      </c>
      <c r="M493" t="str">
        <f>IF(LEN(TRIM(B493))=0,"",IF(ISERROR(VLOOKUP(RIGHT(B493,4),study_demographic!A:A,1,FALSE)),"NOT FOUND!!!", "OK"))</f>
        <v/>
      </c>
    </row>
    <row r="494" spans="1:13" x14ac:dyDescent="0.25">
      <c r="A494" t="str">
        <f t="shared" si="43"/>
        <v/>
      </c>
      <c r="B494" t="str">
        <f t="shared" si="44"/>
        <v/>
      </c>
      <c r="C494" s="55" t="str">
        <f>IF(LEN(TRIM(A494))=0,"",get_string_val(RIGHT(B494,4)))</f>
        <v/>
      </c>
      <c r="D494" t="str">
        <f>IF(LEN(TRIM(A494))=0,"",GetItemValueFromSpecimenHeader("timepoint"))</f>
        <v/>
      </c>
      <c r="E494" t="str">
        <f t="shared" si="45"/>
        <v/>
      </c>
      <c r="F494" t="str">
        <f t="shared" si="46"/>
        <v/>
      </c>
      <c r="G494" t="str">
        <f t="shared" si="42"/>
        <v/>
      </c>
      <c r="H494" t="str">
        <f>IF(LEN(TRIM(A494))=0,"",GetConfigParameterValue("Collection Site"))</f>
        <v/>
      </c>
      <c r="I494" t="str">
        <f t="shared" si="47"/>
        <v/>
      </c>
      <c r="M494" t="str">
        <f>IF(LEN(TRIM(B494))=0,"",IF(ISERROR(VLOOKUP(RIGHT(B494,4),study_demographic!A:A,1,FALSE)),"NOT FOUND!!!", "OK"))</f>
        <v/>
      </c>
    </row>
    <row r="495" spans="1:13" x14ac:dyDescent="0.25">
      <c r="A495" t="str">
        <f t="shared" si="43"/>
        <v/>
      </c>
      <c r="B495" t="str">
        <f t="shared" si="44"/>
        <v/>
      </c>
      <c r="C495" s="55" t="str">
        <f>IF(LEN(TRIM(A495))=0,"",get_string_val(RIGHT(B495,4)))</f>
        <v/>
      </c>
      <c r="D495" t="str">
        <f>IF(LEN(TRIM(A495))=0,"",GetItemValueFromSpecimenHeader("timepoint"))</f>
        <v/>
      </c>
      <c r="E495" t="str">
        <f t="shared" si="45"/>
        <v/>
      </c>
      <c r="F495" t="str">
        <f t="shared" si="46"/>
        <v/>
      </c>
      <c r="G495" t="str">
        <f t="shared" si="42"/>
        <v/>
      </c>
      <c r="H495" t="str">
        <f>IF(LEN(TRIM(A495))=0,"",GetConfigParameterValue("Collection Site"))</f>
        <v/>
      </c>
      <c r="I495" t="str">
        <f t="shared" si="47"/>
        <v/>
      </c>
      <c r="M495" t="str">
        <f>IF(LEN(TRIM(B495))=0,"",IF(ISERROR(VLOOKUP(RIGHT(B495,4),study_demographic!A:A,1,FALSE)),"NOT FOUND!!!", "OK"))</f>
        <v/>
      </c>
    </row>
    <row r="496" spans="1:13" x14ac:dyDescent="0.25">
      <c r="A496" t="str">
        <f t="shared" si="43"/>
        <v/>
      </c>
      <c r="B496" t="str">
        <f t="shared" si="44"/>
        <v/>
      </c>
      <c r="C496" s="55" t="str">
        <f>IF(LEN(TRIM(A496))=0,"",get_string_val(RIGHT(B496,4)))</f>
        <v/>
      </c>
      <c r="D496" t="str">
        <f>IF(LEN(TRIM(A496))=0,"",GetItemValueFromSpecimenHeader("timepoint"))</f>
        <v/>
      </c>
      <c r="E496" t="str">
        <f t="shared" si="45"/>
        <v/>
      </c>
      <c r="F496" t="str">
        <f t="shared" si="46"/>
        <v/>
      </c>
      <c r="G496" t="str">
        <f t="shared" si="42"/>
        <v/>
      </c>
      <c r="H496" t="str">
        <f>IF(LEN(TRIM(A496))=0,"",GetConfigParameterValue("Collection Site"))</f>
        <v/>
      </c>
      <c r="I496" t="str">
        <f t="shared" si="47"/>
        <v/>
      </c>
      <c r="M496" t="str">
        <f>IF(LEN(TRIM(B496))=0,"",IF(ISERROR(VLOOKUP(RIGHT(B496,4),study_demographic!A:A,1,FALSE)),"NOT FOUND!!!", "OK"))</f>
        <v/>
      </c>
    </row>
    <row r="497" spans="1:13" x14ac:dyDescent="0.25">
      <c r="A497" t="str">
        <f t="shared" si="43"/>
        <v/>
      </c>
      <c r="B497" t="str">
        <f t="shared" si="44"/>
        <v/>
      </c>
      <c r="C497" s="55" t="str">
        <f>IF(LEN(TRIM(A497))=0,"",get_string_val(RIGHT(B497,4)))</f>
        <v/>
      </c>
      <c r="D497" t="str">
        <f>IF(LEN(TRIM(A497))=0,"",GetItemValueFromSpecimenHeader("timepoint"))</f>
        <v/>
      </c>
      <c r="E497" t="str">
        <f t="shared" si="45"/>
        <v/>
      </c>
      <c r="F497" t="str">
        <f t="shared" si="46"/>
        <v/>
      </c>
      <c r="G497" t="str">
        <f t="shared" si="42"/>
        <v/>
      </c>
      <c r="H497" t="str">
        <f>IF(LEN(TRIM(A497))=0,"",GetConfigParameterValue("Collection Site"))</f>
        <v/>
      </c>
      <c r="I497" t="str">
        <f t="shared" si="47"/>
        <v/>
      </c>
      <c r="M497" t="str">
        <f>IF(LEN(TRIM(B497))=0,"",IF(ISERROR(VLOOKUP(RIGHT(B497,4),study_demographic!A:A,1,FALSE)),"NOT FOUND!!!", "OK"))</f>
        <v/>
      </c>
    </row>
    <row r="498" spans="1:13" x14ac:dyDescent="0.25">
      <c r="A498" t="str">
        <f t="shared" si="43"/>
        <v/>
      </c>
      <c r="B498" t="str">
        <f t="shared" si="44"/>
        <v/>
      </c>
      <c r="C498" s="55" t="str">
        <f>IF(LEN(TRIM(A498))=0,"",get_string_val(RIGHT(B498,4)))</f>
        <v/>
      </c>
      <c r="D498" t="str">
        <f>IF(LEN(TRIM(A498))=0,"",GetItemValueFromSpecimenHeader("timepoint"))</f>
        <v/>
      </c>
      <c r="E498" t="str">
        <f t="shared" si="45"/>
        <v/>
      </c>
      <c r="F498" t="str">
        <f t="shared" si="46"/>
        <v/>
      </c>
      <c r="G498" t="str">
        <f t="shared" si="42"/>
        <v/>
      </c>
      <c r="H498" t="str">
        <f>IF(LEN(TRIM(A498))=0,"",GetConfigParameterValue("Collection Site"))</f>
        <v/>
      </c>
      <c r="I498" t="str">
        <f t="shared" si="47"/>
        <v/>
      </c>
      <c r="M498" t="str">
        <f>IF(LEN(TRIM(B498))=0,"",IF(ISERROR(VLOOKUP(RIGHT(B498,4),study_demographic!A:A,1,FALSE)),"NOT FOUND!!!", "OK"))</f>
        <v/>
      </c>
    </row>
    <row r="499" spans="1:13" x14ac:dyDescent="0.25">
      <c r="A499" t="str">
        <f t="shared" si="43"/>
        <v/>
      </c>
      <c r="B499" t="str">
        <f t="shared" si="44"/>
        <v/>
      </c>
      <c r="C499" s="55" t="str">
        <f>IF(LEN(TRIM(A499))=0,"",get_string_val(RIGHT(B499,4)))</f>
        <v/>
      </c>
      <c r="D499" t="str">
        <f>IF(LEN(TRIM(A499))=0,"",GetItemValueFromSpecimenHeader("timepoint"))</f>
        <v/>
      </c>
      <c r="E499" t="str">
        <f t="shared" si="45"/>
        <v/>
      </c>
      <c r="F499" t="str">
        <f t="shared" si="46"/>
        <v/>
      </c>
      <c r="G499" t="str">
        <f t="shared" si="42"/>
        <v/>
      </c>
      <c r="H499" t="str">
        <f>IF(LEN(TRIM(A499))=0,"",GetConfigParameterValue("Collection Site"))</f>
        <v/>
      </c>
      <c r="I499" t="str">
        <f t="shared" si="47"/>
        <v/>
      </c>
      <c r="M499" t="str">
        <f>IF(LEN(TRIM(B499))=0,"",IF(ISERROR(VLOOKUP(RIGHT(B499,4),study_demographic!A:A,1,FALSE)),"NOT FOUND!!!", "OK"))</f>
        <v/>
      </c>
    </row>
    <row r="500" spans="1:13" x14ac:dyDescent="0.25">
      <c r="A500" t="str">
        <f t="shared" si="43"/>
        <v/>
      </c>
      <c r="B500" t="str">
        <f t="shared" si="44"/>
        <v/>
      </c>
      <c r="C500" s="55" t="str">
        <f>IF(LEN(TRIM(A500))=0,"",get_string_val(RIGHT(B500,4)))</f>
        <v/>
      </c>
      <c r="D500" t="str">
        <f>IF(LEN(TRIM(A500))=0,"",GetItemValueFromSpecimenHeader("timepoint"))</f>
        <v/>
      </c>
      <c r="E500" t="str">
        <f t="shared" si="45"/>
        <v/>
      </c>
      <c r="F500" t="str">
        <f t="shared" si="46"/>
        <v/>
      </c>
      <c r="G500" t="str">
        <f t="shared" si="42"/>
        <v/>
      </c>
      <c r="H500" t="str">
        <f>IF(LEN(TRIM(A500))=0,"",GetConfigParameterValue("Collection Site"))</f>
        <v/>
      </c>
      <c r="I500" t="str">
        <f t="shared" si="47"/>
        <v/>
      </c>
      <c r="M500" t="str">
        <f>IF(LEN(TRIM(B500))=0,"",IF(ISERROR(VLOOKUP(RIGHT(B500,4),study_demographic!A:A,1,FALSE)),"NOT FOUND!!!", "OK"))</f>
        <v/>
      </c>
    </row>
    <row r="501" spans="1:13" x14ac:dyDescent="0.25">
      <c r="A501" t="str">
        <f t="shared" si="43"/>
        <v/>
      </c>
      <c r="B501" t="str">
        <f t="shared" si="44"/>
        <v/>
      </c>
      <c r="C501" s="55" t="str">
        <f>IF(LEN(TRIM(A501))=0,"",get_string_val(RIGHT(B501,4)))</f>
        <v/>
      </c>
      <c r="D501" t="str">
        <f>IF(LEN(TRIM(A501))=0,"",GetItemValueFromSpecimenHeader("timepoint"))</f>
        <v/>
      </c>
      <c r="E501" t="str">
        <f t="shared" si="45"/>
        <v/>
      </c>
      <c r="F501" t="str">
        <f t="shared" si="46"/>
        <v/>
      </c>
      <c r="G501" t="str">
        <f t="shared" si="42"/>
        <v/>
      </c>
      <c r="H501" t="str">
        <f>IF(LEN(TRIM(A501))=0,"",GetConfigParameterValue("Collection Site"))</f>
        <v/>
      </c>
      <c r="I501" t="str">
        <f t="shared" si="47"/>
        <v/>
      </c>
      <c r="M501" t="str">
        <f>IF(LEN(TRIM(B501))=0,"",IF(ISERROR(VLOOKUP(RIGHT(B501,4),study_demographic!A:A,1,FALSE)),"NOT FOUND!!!", "OK"))</f>
        <v/>
      </c>
    </row>
    <row r="502" spans="1:13" x14ac:dyDescent="0.25">
      <c r="A502" t="str">
        <f t="shared" si="43"/>
        <v/>
      </c>
      <c r="B502" t="str">
        <f t="shared" si="44"/>
        <v/>
      </c>
      <c r="C502" s="55" t="str">
        <f>IF(LEN(TRIM(A502))=0,"",get_string_val(RIGHT(B502,4)))</f>
        <v/>
      </c>
      <c r="D502" t="str">
        <f>IF(LEN(TRIM(A502))=0,"",GetItemValueFromSpecimenHeader("timepoint"))</f>
        <v/>
      </c>
      <c r="E502" t="str">
        <f t="shared" si="45"/>
        <v/>
      </c>
      <c r="F502" t="str">
        <f t="shared" si="46"/>
        <v/>
      </c>
      <c r="G502" t="str">
        <f t="shared" si="42"/>
        <v/>
      </c>
      <c r="H502" t="str">
        <f>IF(LEN(TRIM(A502))=0,"",GetConfigParameterValue("Collection Site"))</f>
        <v/>
      </c>
      <c r="I502" t="str">
        <f t="shared" si="47"/>
        <v/>
      </c>
      <c r="M502" t="str">
        <f>IF(LEN(TRIM(B502))=0,"",IF(ISERROR(VLOOKUP(RIGHT(B502,4),study_demographic!A:A,1,FALSE)),"NOT FOUND!!!", "OK"))</f>
        <v/>
      </c>
    </row>
    <row r="503" spans="1:13" x14ac:dyDescent="0.25">
      <c r="A503" t="str">
        <f t="shared" si="43"/>
        <v/>
      </c>
      <c r="B503" t="str">
        <f t="shared" si="44"/>
        <v/>
      </c>
      <c r="C503" s="55" t="str">
        <f>IF(LEN(TRIM(A503))=0,"",get_string_val(RIGHT(B503,4)))</f>
        <v/>
      </c>
      <c r="D503" t="str">
        <f>IF(LEN(TRIM(A503))=0,"",GetItemValueFromSpecimenHeader("timepoint"))</f>
        <v/>
      </c>
      <c r="E503" t="str">
        <f t="shared" si="45"/>
        <v/>
      </c>
      <c r="F503" t="str">
        <f t="shared" si="46"/>
        <v/>
      </c>
      <c r="G503" t="str">
        <f t="shared" si="42"/>
        <v/>
      </c>
      <c r="H503" t="str">
        <f>IF(LEN(TRIM(A503))=0,"",GetConfigParameterValue("Collection Site"))</f>
        <v/>
      </c>
      <c r="I503" t="str">
        <f t="shared" si="47"/>
        <v/>
      </c>
      <c r="M503" t="str">
        <f>IF(LEN(TRIM(B503))=0,"",IF(ISERROR(VLOOKUP(RIGHT(B503,4),study_demographic!A:A,1,FALSE)),"NOT FOUND!!!", "OK"))</f>
        <v/>
      </c>
    </row>
    <row r="504" spans="1:13" x14ac:dyDescent="0.25">
      <c r="A504" t="str">
        <f t="shared" si="43"/>
        <v/>
      </c>
      <c r="B504" t="str">
        <f t="shared" si="44"/>
        <v/>
      </c>
      <c r="C504" s="55" t="str">
        <f>IF(LEN(TRIM(A504))=0,"",get_string_val(RIGHT(B504,4)))</f>
        <v/>
      </c>
      <c r="D504" t="str">
        <f>IF(LEN(TRIM(A504))=0,"",GetItemValueFromSpecimenHeader("timepoint"))</f>
        <v/>
      </c>
      <c r="E504" t="str">
        <f t="shared" si="45"/>
        <v/>
      </c>
      <c r="F504" t="str">
        <f t="shared" si="46"/>
        <v/>
      </c>
      <c r="G504" t="str">
        <f t="shared" si="42"/>
        <v/>
      </c>
      <c r="H504" t="str">
        <f>IF(LEN(TRIM(A504))=0,"",GetConfigParameterValue("Collection Site"))</f>
        <v/>
      </c>
      <c r="I504" t="str">
        <f t="shared" si="47"/>
        <v/>
      </c>
      <c r="M504" t="str">
        <f>IF(LEN(TRIM(B504))=0,"",IF(ISERROR(VLOOKUP(RIGHT(B504,4),study_demographic!A:A,1,FALSE)),"NOT FOUND!!!", "OK"))</f>
        <v/>
      </c>
    </row>
    <row r="505" spans="1:13" x14ac:dyDescent="0.25">
      <c r="A505" t="str">
        <f t="shared" si="43"/>
        <v/>
      </c>
      <c r="B505" t="str">
        <f t="shared" si="44"/>
        <v/>
      </c>
      <c r="C505" s="55" t="str">
        <f>IF(LEN(TRIM(A505))=0,"",get_string_val(RIGHT(B505,4)))</f>
        <v/>
      </c>
      <c r="D505" t="str">
        <f>IF(LEN(TRIM(A505))=0,"",GetItemValueFromSpecimenHeader("timepoint"))</f>
        <v/>
      </c>
      <c r="E505" t="str">
        <f t="shared" si="45"/>
        <v/>
      </c>
      <c r="F505" t="str">
        <f t="shared" si="46"/>
        <v/>
      </c>
      <c r="G505" t="str">
        <f t="shared" si="42"/>
        <v/>
      </c>
      <c r="H505" t="str">
        <f>IF(LEN(TRIM(A505))=0,"",GetConfigParameterValue("Collection Site"))</f>
        <v/>
      </c>
      <c r="I505" t="str">
        <f t="shared" si="47"/>
        <v/>
      </c>
      <c r="M505" t="str">
        <f>IF(LEN(TRIM(B505))=0,"",IF(ISERROR(VLOOKUP(RIGHT(B505,4),study_demographic!A:A,1,FALSE)),"NOT FOUND!!!", "OK"))</f>
        <v/>
      </c>
    </row>
    <row r="506" spans="1:13" x14ac:dyDescent="0.25">
      <c r="A506" t="str">
        <f t="shared" si="43"/>
        <v/>
      </c>
      <c r="B506" t="str">
        <f t="shared" si="44"/>
        <v/>
      </c>
      <c r="C506" s="55" t="str">
        <f>IF(LEN(TRIM(A506))=0,"",get_string_val(RIGHT(B506,4)))</f>
        <v/>
      </c>
      <c r="D506" t="str">
        <f>IF(LEN(TRIM(A506))=0,"",GetItemValueFromSpecimenHeader("timepoint"))</f>
        <v/>
      </c>
      <c r="E506" t="str">
        <f t="shared" si="45"/>
        <v/>
      </c>
      <c r="F506" t="str">
        <f t="shared" si="46"/>
        <v/>
      </c>
      <c r="G506" t="str">
        <f t="shared" si="42"/>
        <v/>
      </c>
      <c r="H506" t="str">
        <f>IF(LEN(TRIM(A506))=0,"",GetConfigParameterValue("Collection Site"))</f>
        <v/>
      </c>
      <c r="I506" t="str">
        <f t="shared" si="47"/>
        <v/>
      </c>
      <c r="M506" t="str">
        <f>IF(LEN(TRIM(B506))=0,"",IF(ISERROR(VLOOKUP(RIGHT(B506,4),study_demographic!A:A,1,FALSE)),"NOT FOUND!!!", "OK"))</f>
        <v/>
      </c>
    </row>
    <row r="507" spans="1:13" x14ac:dyDescent="0.25">
      <c r="A507" t="str">
        <f t="shared" si="43"/>
        <v/>
      </c>
      <c r="B507" t="str">
        <f t="shared" si="44"/>
        <v/>
      </c>
      <c r="C507" s="55" t="str">
        <f>IF(LEN(TRIM(A507))=0,"",get_string_val(RIGHT(B507,4)))</f>
        <v/>
      </c>
      <c r="D507" t="str">
        <f>IF(LEN(TRIM(A507))=0,"",GetItemValueFromSpecimenHeader("timepoint"))</f>
        <v/>
      </c>
      <c r="E507" t="str">
        <f t="shared" si="45"/>
        <v/>
      </c>
      <c r="F507" t="str">
        <f t="shared" si="46"/>
        <v/>
      </c>
      <c r="G507" t="str">
        <f t="shared" si="42"/>
        <v/>
      </c>
      <c r="H507" t="str">
        <f>IF(LEN(TRIM(A507))=0,"",GetConfigParameterValue("Collection Site"))</f>
        <v/>
      </c>
      <c r="I507" t="str">
        <f t="shared" si="47"/>
        <v/>
      </c>
      <c r="M507" t="str">
        <f>IF(LEN(TRIM(B507))=0,"",IF(ISERROR(VLOOKUP(RIGHT(B507,4),study_demographic!A:A,1,FALSE)),"NOT FOUND!!!", "OK"))</f>
        <v/>
      </c>
    </row>
    <row r="508" spans="1:13" x14ac:dyDescent="0.25">
      <c r="A508" t="str">
        <f t="shared" si="43"/>
        <v/>
      </c>
      <c r="B508" t="str">
        <f t="shared" si="44"/>
        <v/>
      </c>
      <c r="C508" s="55" t="str">
        <f>IF(LEN(TRIM(A508))=0,"",get_string_val(RIGHT(B508,4)))</f>
        <v/>
      </c>
      <c r="D508" t="str">
        <f>IF(LEN(TRIM(A508))=0,"",GetItemValueFromSpecimenHeader("timepoint"))</f>
        <v/>
      </c>
      <c r="E508" t="str">
        <f t="shared" si="45"/>
        <v/>
      </c>
      <c r="F508" t="str">
        <f t="shared" si="46"/>
        <v/>
      </c>
      <c r="G508" t="str">
        <f t="shared" si="42"/>
        <v/>
      </c>
      <c r="H508" t="str">
        <f>IF(LEN(TRIM(A508))=0,"",GetConfigParameterValue("Collection Site"))</f>
        <v/>
      </c>
      <c r="I508" t="str">
        <f t="shared" si="47"/>
        <v/>
      </c>
      <c r="M508" t="str">
        <f>IF(LEN(TRIM(B508))=0,"",IF(ISERROR(VLOOKUP(RIGHT(B508,4),study_demographic!A:A,1,FALSE)),"NOT FOUND!!!", "OK"))</f>
        <v/>
      </c>
    </row>
    <row r="509" spans="1:13" x14ac:dyDescent="0.25">
      <c r="A509" t="str">
        <f t="shared" si="43"/>
        <v/>
      </c>
      <c r="B509" t="str">
        <f t="shared" si="44"/>
        <v/>
      </c>
      <c r="C509" s="55" t="str">
        <f>IF(LEN(TRIM(A509))=0,"",get_string_val(RIGHT(B509,4)))</f>
        <v/>
      </c>
      <c r="D509" t="str">
        <f>IF(LEN(TRIM(A509))=0,"",GetItemValueFromSpecimenHeader("timepoint"))</f>
        <v/>
      </c>
      <c r="E509" t="str">
        <f t="shared" si="45"/>
        <v/>
      </c>
      <c r="F509" t="str">
        <f t="shared" si="46"/>
        <v/>
      </c>
      <c r="G509" t="str">
        <f t="shared" si="42"/>
        <v/>
      </c>
      <c r="H509" t="str">
        <f>IF(LEN(TRIM(A509))=0,"",GetConfigParameterValue("Collection Site"))</f>
        <v/>
      </c>
      <c r="I509" t="str">
        <f t="shared" si="47"/>
        <v/>
      </c>
      <c r="M509" t="str">
        <f>IF(LEN(TRIM(B509))=0,"",IF(ISERROR(VLOOKUP(RIGHT(B509,4),study_demographic!A:A,1,FALSE)),"NOT FOUND!!!", "OK"))</f>
        <v/>
      </c>
    </row>
    <row r="510" spans="1:13" x14ac:dyDescent="0.25">
      <c r="A510" t="str">
        <f t="shared" si="43"/>
        <v/>
      </c>
      <c r="B510" t="str">
        <f t="shared" si="44"/>
        <v/>
      </c>
      <c r="C510" s="55" t="str">
        <f>IF(LEN(TRIM(A510))=0,"",get_string_val(RIGHT(B510,4)))</f>
        <v/>
      </c>
      <c r="D510" t="str">
        <f>IF(LEN(TRIM(A510))=0,"",GetItemValueFromSpecimenHeader("timepoint"))</f>
        <v/>
      </c>
      <c r="E510" t="str">
        <f t="shared" si="45"/>
        <v/>
      </c>
      <c r="F510" t="str">
        <f t="shared" si="46"/>
        <v/>
      </c>
      <c r="G510" t="str">
        <f t="shared" si="42"/>
        <v/>
      </c>
      <c r="H510" t="str">
        <f>IF(LEN(TRIM(A510))=0,"",GetConfigParameterValue("Collection Site"))</f>
        <v/>
      </c>
      <c r="I510" t="str">
        <f t="shared" si="47"/>
        <v/>
      </c>
      <c r="M510" t="str">
        <f>IF(LEN(TRIM(B510))=0,"",IF(ISERROR(VLOOKUP(RIGHT(B510,4),study_demographic!A:A,1,FALSE)),"NOT FOUND!!!", "OK"))</f>
        <v/>
      </c>
    </row>
    <row r="511" spans="1:13" x14ac:dyDescent="0.25">
      <c r="A511" t="str">
        <f t="shared" si="43"/>
        <v/>
      </c>
      <c r="B511" t="str">
        <f t="shared" si="44"/>
        <v/>
      </c>
      <c r="C511" s="55" t="str">
        <f>IF(LEN(TRIM(A511))=0,"",get_string_val(RIGHT(B511,4)))</f>
        <v/>
      </c>
      <c r="D511" t="str">
        <f>IF(LEN(TRIM(A511))=0,"",GetItemValueFromSpecimenHeader("timepoint"))</f>
        <v/>
      </c>
      <c r="E511" t="str">
        <f t="shared" si="45"/>
        <v/>
      </c>
      <c r="F511" t="str">
        <f t="shared" si="46"/>
        <v/>
      </c>
      <c r="G511" t="str">
        <f t="shared" si="42"/>
        <v/>
      </c>
      <c r="H511" t="str">
        <f>IF(LEN(TRIM(A511))=0,"",GetConfigParameterValue("Collection Site"))</f>
        <v/>
      </c>
      <c r="I511" t="str">
        <f t="shared" si="47"/>
        <v/>
      </c>
      <c r="M511" t="str">
        <f>IF(LEN(TRIM(B511))=0,"",IF(ISERROR(VLOOKUP(RIGHT(B511,4),study_demographic!A:A,1,FALSE)),"NOT FOUND!!!", "OK"))</f>
        <v/>
      </c>
    </row>
    <row r="512" spans="1:13" x14ac:dyDescent="0.25">
      <c r="A512" t="str">
        <f t="shared" si="43"/>
        <v/>
      </c>
      <c r="B512" t="str">
        <f t="shared" si="44"/>
        <v/>
      </c>
      <c r="C512" s="55" t="str">
        <f>IF(LEN(TRIM(A512))=0,"",get_string_val(RIGHT(B512,4)))</f>
        <v/>
      </c>
      <c r="D512" t="str">
        <f>IF(LEN(TRIM(A512))=0,"",GetItemValueFromSpecimenHeader("timepoint"))</f>
        <v/>
      </c>
      <c r="E512" t="str">
        <f t="shared" si="45"/>
        <v/>
      </c>
      <c r="F512" t="str">
        <f t="shared" si="46"/>
        <v/>
      </c>
      <c r="G512" t="str">
        <f t="shared" si="42"/>
        <v/>
      </c>
      <c r="H512" t="str">
        <f>IF(LEN(TRIM(A512))=0,"",GetConfigParameterValue("Collection Site"))</f>
        <v/>
      </c>
      <c r="I512" t="str">
        <f t="shared" si="47"/>
        <v/>
      </c>
      <c r="M512" t="str">
        <f>IF(LEN(TRIM(B512))=0,"",IF(ISERROR(VLOOKUP(RIGHT(B512,4),study_demographic!A:A,1,FALSE)),"NOT FOUND!!!", "OK"))</f>
        <v/>
      </c>
    </row>
    <row r="513" spans="1:13" x14ac:dyDescent="0.25">
      <c r="A513" t="str">
        <f t="shared" si="43"/>
        <v/>
      </c>
      <c r="B513" t="str">
        <f t="shared" si="44"/>
        <v/>
      </c>
      <c r="C513" s="55" t="str">
        <f>IF(LEN(TRIM(A513))=0,"",get_string_val(RIGHT(B513,4)))</f>
        <v/>
      </c>
      <c r="D513" t="str">
        <f>IF(LEN(TRIM(A513))=0,"",GetItemValueFromSpecimenHeader("timepoint"))</f>
        <v/>
      </c>
      <c r="E513" t="str">
        <f t="shared" si="45"/>
        <v/>
      </c>
      <c r="F513" t="str">
        <f t="shared" si="46"/>
        <v/>
      </c>
      <c r="G513" t="str">
        <f t="shared" si="42"/>
        <v/>
      </c>
      <c r="H513" t="str">
        <f>IF(LEN(TRIM(A513))=0,"",GetConfigParameterValue("Collection Site"))</f>
        <v/>
      </c>
      <c r="I513" t="str">
        <f t="shared" si="47"/>
        <v/>
      </c>
      <c r="M513" t="str">
        <f>IF(LEN(TRIM(B513))=0,"",IF(ISERROR(VLOOKUP(RIGHT(B513,4),study_demographic!A:A,1,FALSE)),"NOT FOUND!!!", "OK"))</f>
        <v/>
      </c>
    </row>
    <row r="514" spans="1:13" x14ac:dyDescent="0.25">
      <c r="A514" t="str">
        <f t="shared" si="43"/>
        <v/>
      </c>
      <c r="B514" t="str">
        <f t="shared" si="44"/>
        <v/>
      </c>
      <c r="C514" s="55" t="str">
        <f>IF(LEN(TRIM(A514))=0,"",get_string_val(RIGHT(B514,4)))</f>
        <v/>
      </c>
      <c r="D514" t="str">
        <f>IF(LEN(TRIM(A514))=0,"",GetItemValueFromSpecimenHeader("timepoint"))</f>
        <v/>
      </c>
      <c r="E514" t="str">
        <f t="shared" si="45"/>
        <v/>
      </c>
      <c r="F514" t="str">
        <f t="shared" si="46"/>
        <v/>
      </c>
      <c r="G514" t="str">
        <f t="shared" ref="G514:G577" si="48">IF(LEN(TRIM(A514))=0,"",IF(TRIM(F514)="1","Male", IF(TRIM(F514)="2","Female", "NA")))</f>
        <v/>
      </c>
      <c r="H514" t="str">
        <f>IF(LEN(TRIM(A514))=0,"",GetConfigParameterValue("Collection Site"))</f>
        <v/>
      </c>
      <c r="I514" t="str">
        <f t="shared" si="47"/>
        <v/>
      </c>
      <c r="M514" t="str">
        <f>IF(LEN(TRIM(B514))=0,"",IF(ISERROR(VLOOKUP(RIGHT(B514,4),study_demographic!A:A,1,FALSE)),"NOT FOUND!!!", "OK"))</f>
        <v/>
      </c>
    </row>
    <row r="515" spans="1:13" x14ac:dyDescent="0.25">
      <c r="A515" t="str">
        <f t="shared" ref="A515:A578" si="49">GetSampleId((ROW()))</f>
        <v/>
      </c>
      <c r="B515" t="str">
        <f t="shared" ref="B515:B578" si="50">IF(LEN(TRIM(A515))=0,"",LEFT(A515,7))</f>
        <v/>
      </c>
      <c r="C515" s="55" t="str">
        <f>IF(LEN(TRIM(A515))=0,"",get_string_val(RIGHT(B515,4)))</f>
        <v/>
      </c>
      <c r="D515" t="str">
        <f>IF(LEN(TRIM(A515))=0,"",GetItemValueFromSpecimenHeader("timepoint"))</f>
        <v/>
      </c>
      <c r="E515" t="str">
        <f t="shared" ref="E515:E578" si="51">getColumnValueBySubjectID("Age",RIGHT(B515,4))</f>
        <v/>
      </c>
      <c r="F515" t="str">
        <f t="shared" ref="F515:F578" si="52">getColumnValueBySubjectID("Sex",RIGHT(B515,4))</f>
        <v/>
      </c>
      <c r="G515" t="str">
        <f t="shared" si="48"/>
        <v/>
      </c>
      <c r="H515" t="str">
        <f>IF(LEN(TRIM(A515))=0,"",GetConfigParameterValue("Collection Site"))</f>
        <v/>
      </c>
      <c r="I515" t="str">
        <f t="shared" ref="I515:I578" si="53">getColumnValueBySubjectID("Comments",B515)</f>
        <v/>
      </c>
      <c r="M515" t="str">
        <f>IF(LEN(TRIM(B515))=0,"",IF(ISERROR(VLOOKUP(RIGHT(B515,4),study_demographic!A:A,1,FALSE)),"NOT FOUND!!!", "OK"))</f>
        <v/>
      </c>
    </row>
    <row r="516" spans="1:13" x14ac:dyDescent="0.25">
      <c r="A516" t="str">
        <f t="shared" si="49"/>
        <v/>
      </c>
      <c r="B516" t="str">
        <f t="shared" si="50"/>
        <v/>
      </c>
      <c r="C516" s="55" t="str">
        <f>IF(LEN(TRIM(A516))=0,"",get_string_val(RIGHT(B516,4)))</f>
        <v/>
      </c>
      <c r="D516" t="str">
        <f>IF(LEN(TRIM(A516))=0,"",GetItemValueFromSpecimenHeader("timepoint"))</f>
        <v/>
      </c>
      <c r="E516" t="str">
        <f t="shared" si="51"/>
        <v/>
      </c>
      <c r="F516" t="str">
        <f t="shared" si="52"/>
        <v/>
      </c>
      <c r="G516" t="str">
        <f t="shared" si="48"/>
        <v/>
      </c>
      <c r="H516" t="str">
        <f>IF(LEN(TRIM(A516))=0,"",GetConfigParameterValue("Collection Site"))</f>
        <v/>
      </c>
      <c r="I516" t="str">
        <f t="shared" si="53"/>
        <v/>
      </c>
      <c r="M516" t="str">
        <f>IF(LEN(TRIM(B516))=0,"",IF(ISERROR(VLOOKUP(RIGHT(B516,4),study_demographic!A:A,1,FALSE)),"NOT FOUND!!!", "OK"))</f>
        <v/>
      </c>
    </row>
    <row r="517" spans="1:13" x14ac:dyDescent="0.25">
      <c r="A517" t="str">
        <f t="shared" si="49"/>
        <v/>
      </c>
      <c r="B517" t="str">
        <f t="shared" si="50"/>
        <v/>
      </c>
      <c r="C517" s="55" t="str">
        <f>IF(LEN(TRIM(A517))=0,"",get_string_val(RIGHT(B517,4)))</f>
        <v/>
      </c>
      <c r="D517" t="str">
        <f>IF(LEN(TRIM(A517))=0,"",GetItemValueFromSpecimenHeader("timepoint"))</f>
        <v/>
      </c>
      <c r="E517" t="str">
        <f t="shared" si="51"/>
        <v/>
      </c>
      <c r="F517" t="str">
        <f t="shared" si="52"/>
        <v/>
      </c>
      <c r="G517" t="str">
        <f t="shared" si="48"/>
        <v/>
      </c>
      <c r="H517" t="str">
        <f>IF(LEN(TRIM(A517))=0,"",GetConfigParameterValue("Collection Site"))</f>
        <v/>
      </c>
      <c r="I517" t="str">
        <f t="shared" si="53"/>
        <v/>
      </c>
      <c r="M517" t="str">
        <f>IF(LEN(TRIM(B517))=0,"",IF(ISERROR(VLOOKUP(RIGHT(B517,4),study_demographic!A:A,1,FALSE)),"NOT FOUND!!!", "OK"))</f>
        <v/>
      </c>
    </row>
    <row r="518" spans="1:13" x14ac:dyDescent="0.25">
      <c r="A518" t="str">
        <f t="shared" si="49"/>
        <v/>
      </c>
      <c r="B518" t="str">
        <f t="shared" si="50"/>
        <v/>
      </c>
      <c r="C518" s="55" t="str">
        <f>IF(LEN(TRIM(A518))=0,"",get_string_val(RIGHT(B518,4)))</f>
        <v/>
      </c>
      <c r="D518" t="str">
        <f>IF(LEN(TRIM(A518))=0,"",GetItemValueFromSpecimenHeader("timepoint"))</f>
        <v/>
      </c>
      <c r="E518" t="str">
        <f t="shared" si="51"/>
        <v/>
      </c>
      <c r="F518" t="str">
        <f t="shared" si="52"/>
        <v/>
      </c>
      <c r="G518" t="str">
        <f t="shared" si="48"/>
        <v/>
      </c>
      <c r="H518" t="str">
        <f>IF(LEN(TRIM(A518))=0,"",GetConfigParameterValue("Collection Site"))</f>
        <v/>
      </c>
      <c r="I518" t="str">
        <f t="shared" si="53"/>
        <v/>
      </c>
      <c r="M518" t="str">
        <f>IF(LEN(TRIM(B518))=0,"",IF(ISERROR(VLOOKUP(RIGHT(B518,4),study_demographic!A:A,1,FALSE)),"NOT FOUND!!!", "OK"))</f>
        <v/>
      </c>
    </row>
    <row r="519" spans="1:13" x14ac:dyDescent="0.25">
      <c r="A519" t="str">
        <f t="shared" si="49"/>
        <v/>
      </c>
      <c r="B519" t="str">
        <f t="shared" si="50"/>
        <v/>
      </c>
      <c r="C519" s="55" t="str">
        <f>IF(LEN(TRIM(A519))=0,"",get_string_val(RIGHT(B519,4)))</f>
        <v/>
      </c>
      <c r="D519" t="str">
        <f>IF(LEN(TRIM(A519))=0,"",GetItemValueFromSpecimenHeader("timepoint"))</f>
        <v/>
      </c>
      <c r="E519" t="str">
        <f t="shared" si="51"/>
        <v/>
      </c>
      <c r="F519" t="str">
        <f t="shared" si="52"/>
        <v/>
      </c>
      <c r="G519" t="str">
        <f t="shared" si="48"/>
        <v/>
      </c>
      <c r="H519" t="str">
        <f>IF(LEN(TRIM(A519))=0,"",GetConfigParameterValue("Collection Site"))</f>
        <v/>
      </c>
      <c r="I519" t="str">
        <f t="shared" si="53"/>
        <v/>
      </c>
      <c r="M519" t="str">
        <f>IF(LEN(TRIM(B519))=0,"",IF(ISERROR(VLOOKUP(RIGHT(B519,4),study_demographic!A:A,1,FALSE)),"NOT FOUND!!!", "OK"))</f>
        <v/>
      </c>
    </row>
    <row r="520" spans="1:13" x14ac:dyDescent="0.25">
      <c r="A520" t="str">
        <f t="shared" si="49"/>
        <v/>
      </c>
      <c r="B520" t="str">
        <f t="shared" si="50"/>
        <v/>
      </c>
      <c r="C520" s="55" t="str">
        <f>IF(LEN(TRIM(A520))=0,"",get_string_val(RIGHT(B520,4)))</f>
        <v/>
      </c>
      <c r="D520" t="str">
        <f>IF(LEN(TRIM(A520))=0,"",GetItemValueFromSpecimenHeader("timepoint"))</f>
        <v/>
      </c>
      <c r="E520" t="str">
        <f t="shared" si="51"/>
        <v/>
      </c>
      <c r="F520" t="str">
        <f t="shared" si="52"/>
        <v/>
      </c>
      <c r="G520" t="str">
        <f t="shared" si="48"/>
        <v/>
      </c>
      <c r="H520" t="str">
        <f>IF(LEN(TRIM(A520))=0,"",GetConfigParameterValue("Collection Site"))</f>
        <v/>
      </c>
      <c r="I520" t="str">
        <f t="shared" si="53"/>
        <v/>
      </c>
      <c r="M520" t="str">
        <f>IF(LEN(TRIM(B520))=0,"",IF(ISERROR(VLOOKUP(RIGHT(B520,4),study_demographic!A:A,1,FALSE)),"NOT FOUND!!!", "OK"))</f>
        <v/>
      </c>
    </row>
    <row r="521" spans="1:13" x14ac:dyDescent="0.25">
      <c r="A521" t="str">
        <f t="shared" si="49"/>
        <v/>
      </c>
      <c r="B521" t="str">
        <f t="shared" si="50"/>
        <v/>
      </c>
      <c r="C521" s="55" t="str">
        <f>IF(LEN(TRIM(A521))=0,"",get_string_val(RIGHT(B521,4)))</f>
        <v/>
      </c>
      <c r="D521" t="str">
        <f>IF(LEN(TRIM(A521))=0,"",GetItemValueFromSpecimenHeader("timepoint"))</f>
        <v/>
      </c>
      <c r="E521" t="str">
        <f t="shared" si="51"/>
        <v/>
      </c>
      <c r="F521" t="str">
        <f t="shared" si="52"/>
        <v/>
      </c>
      <c r="G521" t="str">
        <f t="shared" si="48"/>
        <v/>
      </c>
      <c r="H521" t="str">
        <f>IF(LEN(TRIM(A521))=0,"",GetConfigParameterValue("Collection Site"))</f>
        <v/>
      </c>
      <c r="I521" t="str">
        <f t="shared" si="53"/>
        <v/>
      </c>
      <c r="M521" t="str">
        <f>IF(LEN(TRIM(B521))=0,"",IF(ISERROR(VLOOKUP(RIGHT(B521,4),study_demographic!A:A,1,FALSE)),"NOT FOUND!!!", "OK"))</f>
        <v/>
      </c>
    </row>
    <row r="522" spans="1:13" x14ac:dyDescent="0.25">
      <c r="A522" t="str">
        <f t="shared" si="49"/>
        <v/>
      </c>
      <c r="B522" t="str">
        <f t="shared" si="50"/>
        <v/>
      </c>
      <c r="C522" s="55" t="str">
        <f>IF(LEN(TRIM(A522))=0,"",get_string_val(RIGHT(B522,4)))</f>
        <v/>
      </c>
      <c r="D522" t="str">
        <f>IF(LEN(TRIM(A522))=0,"",GetItemValueFromSpecimenHeader("timepoint"))</f>
        <v/>
      </c>
      <c r="E522" t="str">
        <f t="shared" si="51"/>
        <v/>
      </c>
      <c r="F522" t="str">
        <f t="shared" si="52"/>
        <v/>
      </c>
      <c r="G522" t="str">
        <f t="shared" si="48"/>
        <v/>
      </c>
      <c r="H522" t="str">
        <f>IF(LEN(TRIM(A522))=0,"",GetConfigParameterValue("Collection Site"))</f>
        <v/>
      </c>
      <c r="I522" t="str">
        <f t="shared" si="53"/>
        <v/>
      </c>
      <c r="M522" t="str">
        <f>IF(LEN(TRIM(B522))=0,"",IF(ISERROR(VLOOKUP(RIGHT(B522,4),study_demographic!A:A,1,FALSE)),"NOT FOUND!!!", "OK"))</f>
        <v/>
      </c>
    </row>
    <row r="523" spans="1:13" x14ac:dyDescent="0.25">
      <c r="A523" t="str">
        <f t="shared" si="49"/>
        <v/>
      </c>
      <c r="B523" t="str">
        <f t="shared" si="50"/>
        <v/>
      </c>
      <c r="C523" s="55" t="str">
        <f>IF(LEN(TRIM(A523))=0,"",get_string_val(RIGHT(B523,4)))</f>
        <v/>
      </c>
      <c r="D523" t="str">
        <f>IF(LEN(TRIM(A523))=0,"",GetItemValueFromSpecimenHeader("timepoint"))</f>
        <v/>
      </c>
      <c r="E523" t="str">
        <f t="shared" si="51"/>
        <v/>
      </c>
      <c r="F523" t="str">
        <f t="shared" si="52"/>
        <v/>
      </c>
      <c r="G523" t="str">
        <f t="shared" si="48"/>
        <v/>
      </c>
      <c r="H523" t="str">
        <f>IF(LEN(TRIM(A523))=0,"",GetConfigParameterValue("Collection Site"))</f>
        <v/>
      </c>
      <c r="I523" t="str">
        <f t="shared" si="53"/>
        <v/>
      </c>
      <c r="M523" t="str">
        <f>IF(LEN(TRIM(B523))=0,"",IF(ISERROR(VLOOKUP(RIGHT(B523,4),study_demographic!A:A,1,FALSE)),"NOT FOUND!!!", "OK"))</f>
        <v/>
      </c>
    </row>
    <row r="524" spans="1:13" x14ac:dyDescent="0.25">
      <c r="A524" t="str">
        <f t="shared" si="49"/>
        <v/>
      </c>
      <c r="B524" t="str">
        <f t="shared" si="50"/>
        <v/>
      </c>
      <c r="C524" s="55" t="str">
        <f>IF(LEN(TRIM(A524))=0,"",get_string_val(RIGHT(B524,4)))</f>
        <v/>
      </c>
      <c r="D524" t="str">
        <f>IF(LEN(TRIM(A524))=0,"",GetItemValueFromSpecimenHeader("timepoint"))</f>
        <v/>
      </c>
      <c r="E524" t="str">
        <f t="shared" si="51"/>
        <v/>
      </c>
      <c r="F524" t="str">
        <f t="shared" si="52"/>
        <v/>
      </c>
      <c r="G524" t="str">
        <f t="shared" si="48"/>
        <v/>
      </c>
      <c r="H524" t="str">
        <f>IF(LEN(TRIM(A524))=0,"",GetConfigParameterValue("Collection Site"))</f>
        <v/>
      </c>
      <c r="I524" t="str">
        <f t="shared" si="53"/>
        <v/>
      </c>
      <c r="M524" t="str">
        <f>IF(LEN(TRIM(B524))=0,"",IF(ISERROR(VLOOKUP(RIGHT(B524,4),study_demographic!A:A,1,FALSE)),"NOT FOUND!!!", "OK"))</f>
        <v/>
      </c>
    </row>
    <row r="525" spans="1:13" x14ac:dyDescent="0.25">
      <c r="A525" t="str">
        <f t="shared" si="49"/>
        <v/>
      </c>
      <c r="B525" t="str">
        <f t="shared" si="50"/>
        <v/>
      </c>
      <c r="C525" s="55" t="str">
        <f>IF(LEN(TRIM(A525))=0,"",get_string_val(RIGHT(B525,4)))</f>
        <v/>
      </c>
      <c r="D525" t="str">
        <f>IF(LEN(TRIM(A525))=0,"",GetItemValueFromSpecimenHeader("timepoint"))</f>
        <v/>
      </c>
      <c r="E525" t="str">
        <f t="shared" si="51"/>
        <v/>
      </c>
      <c r="F525" t="str">
        <f t="shared" si="52"/>
        <v/>
      </c>
      <c r="G525" t="str">
        <f t="shared" si="48"/>
        <v/>
      </c>
      <c r="H525" t="str">
        <f>IF(LEN(TRIM(A525))=0,"",GetConfigParameterValue("Collection Site"))</f>
        <v/>
      </c>
      <c r="I525" t="str">
        <f t="shared" si="53"/>
        <v/>
      </c>
      <c r="M525" t="str">
        <f>IF(LEN(TRIM(B525))=0,"",IF(ISERROR(VLOOKUP(RIGHT(B525,4),study_demographic!A:A,1,FALSE)),"NOT FOUND!!!", "OK"))</f>
        <v/>
      </c>
    </row>
    <row r="526" spans="1:13" x14ac:dyDescent="0.25">
      <c r="A526" t="str">
        <f t="shared" si="49"/>
        <v/>
      </c>
      <c r="B526" t="str">
        <f t="shared" si="50"/>
        <v/>
      </c>
      <c r="C526" s="55" t="str">
        <f>IF(LEN(TRIM(A526))=0,"",get_string_val(RIGHT(B526,4)))</f>
        <v/>
      </c>
      <c r="D526" t="str">
        <f>IF(LEN(TRIM(A526))=0,"",GetItemValueFromSpecimenHeader("timepoint"))</f>
        <v/>
      </c>
      <c r="E526" t="str">
        <f t="shared" si="51"/>
        <v/>
      </c>
      <c r="F526" t="str">
        <f t="shared" si="52"/>
        <v/>
      </c>
      <c r="G526" t="str">
        <f t="shared" si="48"/>
        <v/>
      </c>
      <c r="H526" t="str">
        <f>IF(LEN(TRIM(A526))=0,"",GetConfigParameterValue("Collection Site"))</f>
        <v/>
      </c>
      <c r="I526" t="str">
        <f t="shared" si="53"/>
        <v/>
      </c>
      <c r="M526" t="str">
        <f>IF(LEN(TRIM(B526))=0,"",IF(ISERROR(VLOOKUP(RIGHT(B526,4),study_demographic!A:A,1,FALSE)),"NOT FOUND!!!", "OK"))</f>
        <v/>
      </c>
    </row>
    <row r="527" spans="1:13" x14ac:dyDescent="0.25">
      <c r="A527" t="str">
        <f t="shared" si="49"/>
        <v/>
      </c>
      <c r="B527" t="str">
        <f t="shared" si="50"/>
        <v/>
      </c>
      <c r="C527" s="55" t="str">
        <f>IF(LEN(TRIM(A527))=0,"",get_string_val(RIGHT(B527,4)))</f>
        <v/>
      </c>
      <c r="D527" t="str">
        <f>IF(LEN(TRIM(A527))=0,"",GetItemValueFromSpecimenHeader("timepoint"))</f>
        <v/>
      </c>
      <c r="E527" t="str">
        <f t="shared" si="51"/>
        <v/>
      </c>
      <c r="F527" t="str">
        <f t="shared" si="52"/>
        <v/>
      </c>
      <c r="G527" t="str">
        <f t="shared" si="48"/>
        <v/>
      </c>
      <c r="H527" t="str">
        <f>IF(LEN(TRIM(A527))=0,"",GetConfigParameterValue("Collection Site"))</f>
        <v/>
      </c>
      <c r="I527" t="str">
        <f t="shared" si="53"/>
        <v/>
      </c>
      <c r="M527" t="str">
        <f>IF(LEN(TRIM(B527))=0,"",IF(ISERROR(VLOOKUP(RIGHT(B527,4),study_demographic!A:A,1,FALSE)),"NOT FOUND!!!", "OK"))</f>
        <v/>
      </c>
    </row>
    <row r="528" spans="1:13" x14ac:dyDescent="0.25">
      <c r="A528" t="str">
        <f t="shared" si="49"/>
        <v/>
      </c>
      <c r="B528" t="str">
        <f t="shared" si="50"/>
        <v/>
      </c>
      <c r="C528" s="55" t="str">
        <f>IF(LEN(TRIM(A528))=0,"",get_string_val(RIGHT(B528,4)))</f>
        <v/>
      </c>
      <c r="D528" t="str">
        <f>IF(LEN(TRIM(A528))=0,"",GetItemValueFromSpecimenHeader("timepoint"))</f>
        <v/>
      </c>
      <c r="E528" t="str">
        <f t="shared" si="51"/>
        <v/>
      </c>
      <c r="F528" t="str">
        <f t="shared" si="52"/>
        <v/>
      </c>
      <c r="G528" t="str">
        <f t="shared" si="48"/>
        <v/>
      </c>
      <c r="H528" t="str">
        <f>IF(LEN(TRIM(A528))=0,"",GetConfigParameterValue("Collection Site"))</f>
        <v/>
      </c>
      <c r="I528" t="str">
        <f t="shared" si="53"/>
        <v/>
      </c>
      <c r="M528" t="str">
        <f>IF(LEN(TRIM(B528))=0,"",IF(ISERROR(VLOOKUP(RIGHT(B528,4),study_demographic!A:A,1,FALSE)),"NOT FOUND!!!", "OK"))</f>
        <v/>
      </c>
    </row>
    <row r="529" spans="1:13" x14ac:dyDescent="0.25">
      <c r="A529" t="str">
        <f t="shared" si="49"/>
        <v/>
      </c>
      <c r="B529" t="str">
        <f t="shared" si="50"/>
        <v/>
      </c>
      <c r="C529" s="55" t="str">
        <f>IF(LEN(TRIM(A529))=0,"",get_string_val(RIGHT(B529,4)))</f>
        <v/>
      </c>
      <c r="D529" t="str">
        <f>IF(LEN(TRIM(A529))=0,"",GetItemValueFromSpecimenHeader("timepoint"))</f>
        <v/>
      </c>
      <c r="E529" t="str">
        <f t="shared" si="51"/>
        <v/>
      </c>
      <c r="F529" t="str">
        <f t="shared" si="52"/>
        <v/>
      </c>
      <c r="G529" t="str">
        <f t="shared" si="48"/>
        <v/>
      </c>
      <c r="H529" t="str">
        <f>IF(LEN(TRIM(A529))=0,"",GetConfigParameterValue("Collection Site"))</f>
        <v/>
      </c>
      <c r="I529" t="str">
        <f t="shared" si="53"/>
        <v/>
      </c>
      <c r="M529" t="str">
        <f>IF(LEN(TRIM(B529))=0,"",IF(ISERROR(VLOOKUP(RIGHT(B529,4),study_demographic!A:A,1,FALSE)),"NOT FOUND!!!", "OK"))</f>
        <v/>
      </c>
    </row>
    <row r="530" spans="1:13" x14ac:dyDescent="0.25">
      <c r="A530" t="str">
        <f t="shared" si="49"/>
        <v/>
      </c>
      <c r="B530" t="str">
        <f t="shared" si="50"/>
        <v/>
      </c>
      <c r="C530" s="55" t="str">
        <f>IF(LEN(TRIM(A530))=0,"",get_string_val(RIGHT(B530,4)))</f>
        <v/>
      </c>
      <c r="D530" t="str">
        <f>IF(LEN(TRIM(A530))=0,"",GetItemValueFromSpecimenHeader("timepoint"))</f>
        <v/>
      </c>
      <c r="E530" t="str">
        <f t="shared" si="51"/>
        <v/>
      </c>
      <c r="F530" t="str">
        <f t="shared" si="52"/>
        <v/>
      </c>
      <c r="G530" t="str">
        <f t="shared" si="48"/>
        <v/>
      </c>
      <c r="H530" t="str">
        <f>IF(LEN(TRIM(A530))=0,"",GetConfigParameterValue("Collection Site"))</f>
        <v/>
      </c>
      <c r="I530" t="str">
        <f t="shared" si="53"/>
        <v/>
      </c>
      <c r="M530" t="str">
        <f>IF(LEN(TRIM(B530))=0,"",IF(ISERROR(VLOOKUP(RIGHT(B530,4),study_demographic!A:A,1,FALSE)),"NOT FOUND!!!", "OK"))</f>
        <v/>
      </c>
    </row>
    <row r="531" spans="1:13" x14ac:dyDescent="0.25">
      <c r="A531" t="str">
        <f t="shared" si="49"/>
        <v/>
      </c>
      <c r="B531" t="str">
        <f t="shared" si="50"/>
        <v/>
      </c>
      <c r="C531" s="55" t="str">
        <f>IF(LEN(TRIM(A531))=0,"",get_string_val(RIGHT(B531,4)))</f>
        <v/>
      </c>
      <c r="D531" t="str">
        <f>IF(LEN(TRIM(A531))=0,"",GetItemValueFromSpecimenHeader("timepoint"))</f>
        <v/>
      </c>
      <c r="E531" t="str">
        <f t="shared" si="51"/>
        <v/>
      </c>
      <c r="F531" t="str">
        <f t="shared" si="52"/>
        <v/>
      </c>
      <c r="G531" t="str">
        <f t="shared" si="48"/>
        <v/>
      </c>
      <c r="H531" t="str">
        <f>IF(LEN(TRIM(A531))=0,"",GetConfigParameterValue("Collection Site"))</f>
        <v/>
      </c>
      <c r="I531" t="str">
        <f t="shared" si="53"/>
        <v/>
      </c>
      <c r="M531" t="str">
        <f>IF(LEN(TRIM(B531))=0,"",IF(ISERROR(VLOOKUP(RIGHT(B531,4),study_demographic!A:A,1,FALSE)),"NOT FOUND!!!", "OK"))</f>
        <v/>
      </c>
    </row>
    <row r="532" spans="1:13" x14ac:dyDescent="0.25">
      <c r="A532" t="str">
        <f t="shared" si="49"/>
        <v/>
      </c>
      <c r="B532" t="str">
        <f t="shared" si="50"/>
        <v/>
      </c>
      <c r="C532" s="55" t="str">
        <f>IF(LEN(TRIM(A532))=0,"",get_string_val(RIGHT(B532,4)))</f>
        <v/>
      </c>
      <c r="D532" t="str">
        <f>IF(LEN(TRIM(A532))=0,"",GetItemValueFromSpecimenHeader("timepoint"))</f>
        <v/>
      </c>
      <c r="E532" t="str">
        <f t="shared" si="51"/>
        <v/>
      </c>
      <c r="F532" t="str">
        <f t="shared" si="52"/>
        <v/>
      </c>
      <c r="G532" t="str">
        <f t="shared" si="48"/>
        <v/>
      </c>
      <c r="H532" t="str">
        <f>IF(LEN(TRIM(A532))=0,"",GetConfigParameterValue("Collection Site"))</f>
        <v/>
      </c>
      <c r="I532" t="str">
        <f t="shared" si="53"/>
        <v/>
      </c>
      <c r="M532" t="str">
        <f>IF(LEN(TRIM(B532))=0,"",IF(ISERROR(VLOOKUP(RIGHT(B532,4),study_demographic!A:A,1,FALSE)),"NOT FOUND!!!", "OK"))</f>
        <v/>
      </c>
    </row>
    <row r="533" spans="1:13" x14ac:dyDescent="0.25">
      <c r="A533" t="str">
        <f t="shared" si="49"/>
        <v/>
      </c>
      <c r="B533" t="str">
        <f t="shared" si="50"/>
        <v/>
      </c>
      <c r="C533" s="55" t="str">
        <f>IF(LEN(TRIM(A533))=0,"",get_string_val(RIGHT(B533,4)))</f>
        <v/>
      </c>
      <c r="D533" t="str">
        <f>IF(LEN(TRIM(A533))=0,"",GetItemValueFromSpecimenHeader("timepoint"))</f>
        <v/>
      </c>
      <c r="E533" t="str">
        <f t="shared" si="51"/>
        <v/>
      </c>
      <c r="F533" t="str">
        <f t="shared" si="52"/>
        <v/>
      </c>
      <c r="G533" t="str">
        <f t="shared" si="48"/>
        <v/>
      </c>
      <c r="H533" t="str">
        <f>IF(LEN(TRIM(A533))=0,"",GetConfigParameterValue("Collection Site"))</f>
        <v/>
      </c>
      <c r="I533" t="str">
        <f t="shared" si="53"/>
        <v/>
      </c>
      <c r="M533" t="str">
        <f>IF(LEN(TRIM(B533))=0,"",IF(ISERROR(VLOOKUP(RIGHT(B533,4),study_demographic!A:A,1,FALSE)),"NOT FOUND!!!", "OK"))</f>
        <v/>
      </c>
    </row>
    <row r="534" spans="1:13" x14ac:dyDescent="0.25">
      <c r="A534" t="str">
        <f t="shared" si="49"/>
        <v/>
      </c>
      <c r="B534" t="str">
        <f t="shared" si="50"/>
        <v/>
      </c>
      <c r="C534" s="55" t="str">
        <f>IF(LEN(TRIM(A534))=0,"",get_string_val(RIGHT(B534,4)))</f>
        <v/>
      </c>
      <c r="D534" t="str">
        <f>IF(LEN(TRIM(A534))=0,"",GetItemValueFromSpecimenHeader("timepoint"))</f>
        <v/>
      </c>
      <c r="E534" t="str">
        <f t="shared" si="51"/>
        <v/>
      </c>
      <c r="F534" t="str">
        <f t="shared" si="52"/>
        <v/>
      </c>
      <c r="G534" t="str">
        <f t="shared" si="48"/>
        <v/>
      </c>
      <c r="H534" t="str">
        <f>IF(LEN(TRIM(A534))=0,"",GetConfigParameterValue("Collection Site"))</f>
        <v/>
      </c>
      <c r="I534" t="str">
        <f t="shared" si="53"/>
        <v/>
      </c>
      <c r="M534" t="str">
        <f>IF(LEN(TRIM(B534))=0,"",IF(ISERROR(VLOOKUP(RIGHT(B534,4),study_demographic!A:A,1,FALSE)),"NOT FOUND!!!", "OK"))</f>
        <v/>
      </c>
    </row>
    <row r="535" spans="1:13" x14ac:dyDescent="0.25">
      <c r="A535" t="str">
        <f t="shared" si="49"/>
        <v/>
      </c>
      <c r="B535" t="str">
        <f t="shared" si="50"/>
        <v/>
      </c>
      <c r="C535" s="55" t="str">
        <f>IF(LEN(TRIM(A535))=0,"",get_string_val(RIGHT(B535,4)))</f>
        <v/>
      </c>
      <c r="D535" t="str">
        <f>IF(LEN(TRIM(A535))=0,"",GetItemValueFromSpecimenHeader("timepoint"))</f>
        <v/>
      </c>
      <c r="E535" t="str">
        <f t="shared" si="51"/>
        <v/>
      </c>
      <c r="F535" t="str">
        <f t="shared" si="52"/>
        <v/>
      </c>
      <c r="G535" t="str">
        <f t="shared" si="48"/>
        <v/>
      </c>
      <c r="H535" t="str">
        <f>IF(LEN(TRIM(A535))=0,"",GetConfigParameterValue("Collection Site"))</f>
        <v/>
      </c>
      <c r="I535" t="str">
        <f t="shared" si="53"/>
        <v/>
      </c>
      <c r="M535" t="str">
        <f>IF(LEN(TRIM(B535))=0,"",IF(ISERROR(VLOOKUP(RIGHT(B535,4),study_demographic!A:A,1,FALSE)),"NOT FOUND!!!", "OK"))</f>
        <v/>
      </c>
    </row>
    <row r="536" spans="1:13" x14ac:dyDescent="0.25">
      <c r="A536" t="str">
        <f t="shared" si="49"/>
        <v/>
      </c>
      <c r="B536" t="str">
        <f t="shared" si="50"/>
        <v/>
      </c>
      <c r="C536" s="55" t="str">
        <f>IF(LEN(TRIM(A536))=0,"",get_string_val(RIGHT(B536,4)))</f>
        <v/>
      </c>
      <c r="D536" t="str">
        <f>IF(LEN(TRIM(A536))=0,"",GetItemValueFromSpecimenHeader("timepoint"))</f>
        <v/>
      </c>
      <c r="E536" t="str">
        <f t="shared" si="51"/>
        <v/>
      </c>
      <c r="F536" t="str">
        <f t="shared" si="52"/>
        <v/>
      </c>
      <c r="G536" t="str">
        <f t="shared" si="48"/>
        <v/>
      </c>
      <c r="H536" t="str">
        <f>IF(LEN(TRIM(A536))=0,"",GetConfigParameterValue("Collection Site"))</f>
        <v/>
      </c>
      <c r="I536" t="str">
        <f t="shared" si="53"/>
        <v/>
      </c>
      <c r="M536" t="str">
        <f>IF(LEN(TRIM(B536))=0,"",IF(ISERROR(VLOOKUP(RIGHT(B536,4),study_demographic!A:A,1,FALSE)),"NOT FOUND!!!", "OK"))</f>
        <v/>
      </c>
    </row>
    <row r="537" spans="1:13" x14ac:dyDescent="0.25">
      <c r="A537" t="str">
        <f t="shared" si="49"/>
        <v/>
      </c>
      <c r="B537" t="str">
        <f t="shared" si="50"/>
        <v/>
      </c>
      <c r="C537" s="55" t="str">
        <f>IF(LEN(TRIM(A537))=0,"",get_string_val(RIGHT(B537,4)))</f>
        <v/>
      </c>
      <c r="D537" t="str">
        <f>IF(LEN(TRIM(A537))=0,"",GetItemValueFromSpecimenHeader("timepoint"))</f>
        <v/>
      </c>
      <c r="E537" t="str">
        <f t="shared" si="51"/>
        <v/>
      </c>
      <c r="F537" t="str">
        <f t="shared" si="52"/>
        <v/>
      </c>
      <c r="G537" t="str">
        <f t="shared" si="48"/>
        <v/>
      </c>
      <c r="H537" t="str">
        <f>IF(LEN(TRIM(A537))=0,"",GetConfigParameterValue("Collection Site"))</f>
        <v/>
      </c>
      <c r="I537" t="str">
        <f t="shared" si="53"/>
        <v/>
      </c>
      <c r="M537" t="str">
        <f>IF(LEN(TRIM(B537))=0,"",IF(ISERROR(VLOOKUP(RIGHT(B537,4),study_demographic!A:A,1,FALSE)),"NOT FOUND!!!", "OK"))</f>
        <v/>
      </c>
    </row>
    <row r="538" spans="1:13" x14ac:dyDescent="0.25">
      <c r="A538" t="str">
        <f t="shared" si="49"/>
        <v/>
      </c>
      <c r="B538" t="str">
        <f t="shared" si="50"/>
        <v/>
      </c>
      <c r="C538" s="55" t="str">
        <f>IF(LEN(TRIM(A538))=0,"",get_string_val(RIGHT(B538,4)))</f>
        <v/>
      </c>
      <c r="D538" t="str">
        <f>IF(LEN(TRIM(A538))=0,"",GetItemValueFromSpecimenHeader("timepoint"))</f>
        <v/>
      </c>
      <c r="E538" t="str">
        <f t="shared" si="51"/>
        <v/>
      </c>
      <c r="F538" t="str">
        <f t="shared" si="52"/>
        <v/>
      </c>
      <c r="G538" t="str">
        <f t="shared" si="48"/>
        <v/>
      </c>
      <c r="H538" t="str">
        <f>IF(LEN(TRIM(A538))=0,"",GetConfigParameterValue("Collection Site"))</f>
        <v/>
      </c>
      <c r="I538" t="str">
        <f t="shared" si="53"/>
        <v/>
      </c>
      <c r="M538" t="str">
        <f>IF(LEN(TRIM(B538))=0,"",IF(ISERROR(VLOOKUP(RIGHT(B538,4),study_demographic!A:A,1,FALSE)),"NOT FOUND!!!", "OK"))</f>
        <v/>
      </c>
    </row>
    <row r="539" spans="1:13" x14ac:dyDescent="0.25">
      <c r="A539" t="str">
        <f t="shared" si="49"/>
        <v/>
      </c>
      <c r="B539" t="str">
        <f t="shared" si="50"/>
        <v/>
      </c>
      <c r="C539" s="55" t="str">
        <f>IF(LEN(TRIM(A539))=0,"",get_string_val(RIGHT(B539,4)))</f>
        <v/>
      </c>
      <c r="D539" t="str">
        <f>IF(LEN(TRIM(A539))=0,"",GetItemValueFromSpecimenHeader("timepoint"))</f>
        <v/>
      </c>
      <c r="E539" t="str">
        <f t="shared" si="51"/>
        <v/>
      </c>
      <c r="F539" t="str">
        <f t="shared" si="52"/>
        <v/>
      </c>
      <c r="G539" t="str">
        <f t="shared" si="48"/>
        <v/>
      </c>
      <c r="H539" t="str">
        <f>IF(LEN(TRIM(A539))=0,"",GetConfigParameterValue("Collection Site"))</f>
        <v/>
      </c>
      <c r="I539" t="str">
        <f t="shared" si="53"/>
        <v/>
      </c>
      <c r="M539" t="str">
        <f>IF(LEN(TRIM(B539))=0,"",IF(ISERROR(VLOOKUP(RIGHT(B539,4),study_demographic!A:A,1,FALSE)),"NOT FOUND!!!", "OK"))</f>
        <v/>
      </c>
    </row>
    <row r="540" spans="1:13" x14ac:dyDescent="0.25">
      <c r="A540" t="str">
        <f t="shared" si="49"/>
        <v/>
      </c>
      <c r="B540" t="str">
        <f t="shared" si="50"/>
        <v/>
      </c>
      <c r="C540" s="55" t="str">
        <f>IF(LEN(TRIM(A540))=0,"",get_string_val(RIGHT(B540,4)))</f>
        <v/>
      </c>
      <c r="D540" t="str">
        <f>IF(LEN(TRIM(A540))=0,"",GetItemValueFromSpecimenHeader("timepoint"))</f>
        <v/>
      </c>
      <c r="E540" t="str">
        <f t="shared" si="51"/>
        <v/>
      </c>
      <c r="F540" t="str">
        <f t="shared" si="52"/>
        <v/>
      </c>
      <c r="G540" t="str">
        <f t="shared" si="48"/>
        <v/>
      </c>
      <c r="H540" t="str">
        <f>IF(LEN(TRIM(A540))=0,"",GetConfigParameterValue("Collection Site"))</f>
        <v/>
      </c>
      <c r="I540" t="str">
        <f t="shared" si="53"/>
        <v/>
      </c>
      <c r="M540" t="str">
        <f>IF(LEN(TRIM(B540))=0,"",IF(ISERROR(VLOOKUP(RIGHT(B540,4),study_demographic!A:A,1,FALSE)),"NOT FOUND!!!", "OK"))</f>
        <v/>
      </c>
    </row>
    <row r="541" spans="1:13" x14ac:dyDescent="0.25">
      <c r="A541" t="str">
        <f t="shared" si="49"/>
        <v/>
      </c>
      <c r="B541" t="str">
        <f t="shared" si="50"/>
        <v/>
      </c>
      <c r="C541" s="55" t="str">
        <f>IF(LEN(TRIM(A541))=0,"",get_string_val(RIGHT(B541,4)))</f>
        <v/>
      </c>
      <c r="D541" t="str">
        <f>IF(LEN(TRIM(A541))=0,"",GetItemValueFromSpecimenHeader("timepoint"))</f>
        <v/>
      </c>
      <c r="E541" t="str">
        <f t="shared" si="51"/>
        <v/>
      </c>
      <c r="F541" t="str">
        <f t="shared" si="52"/>
        <v/>
      </c>
      <c r="G541" t="str">
        <f t="shared" si="48"/>
        <v/>
      </c>
      <c r="H541" t="str">
        <f>IF(LEN(TRIM(A541))=0,"",GetConfigParameterValue("Collection Site"))</f>
        <v/>
      </c>
      <c r="I541" t="str">
        <f t="shared" si="53"/>
        <v/>
      </c>
      <c r="M541" t="str">
        <f>IF(LEN(TRIM(B541))=0,"",IF(ISERROR(VLOOKUP(RIGHT(B541,4),study_demographic!A:A,1,FALSE)),"NOT FOUND!!!", "OK"))</f>
        <v/>
      </c>
    </row>
    <row r="542" spans="1:13" x14ac:dyDescent="0.25">
      <c r="A542" t="str">
        <f t="shared" si="49"/>
        <v/>
      </c>
      <c r="B542" t="str">
        <f t="shared" si="50"/>
        <v/>
      </c>
      <c r="C542" s="55" t="str">
        <f>IF(LEN(TRIM(A542))=0,"",get_string_val(RIGHT(B542,4)))</f>
        <v/>
      </c>
      <c r="D542" t="str">
        <f>IF(LEN(TRIM(A542))=0,"",GetItemValueFromSpecimenHeader("timepoint"))</f>
        <v/>
      </c>
      <c r="E542" t="str">
        <f t="shared" si="51"/>
        <v/>
      </c>
      <c r="F542" t="str">
        <f t="shared" si="52"/>
        <v/>
      </c>
      <c r="G542" t="str">
        <f t="shared" si="48"/>
        <v/>
      </c>
      <c r="H542" t="str">
        <f>IF(LEN(TRIM(A542))=0,"",GetConfigParameterValue("Collection Site"))</f>
        <v/>
      </c>
      <c r="I542" t="str">
        <f t="shared" si="53"/>
        <v/>
      </c>
      <c r="M542" t="str">
        <f>IF(LEN(TRIM(B542))=0,"",IF(ISERROR(VLOOKUP(RIGHT(B542,4),study_demographic!A:A,1,FALSE)),"NOT FOUND!!!", "OK"))</f>
        <v/>
      </c>
    </row>
    <row r="543" spans="1:13" x14ac:dyDescent="0.25">
      <c r="A543" t="str">
        <f t="shared" si="49"/>
        <v/>
      </c>
      <c r="B543" t="str">
        <f t="shared" si="50"/>
        <v/>
      </c>
      <c r="C543" s="55" t="str">
        <f>IF(LEN(TRIM(A543))=0,"",get_string_val(RIGHT(B543,4)))</f>
        <v/>
      </c>
      <c r="D543" t="str">
        <f>IF(LEN(TRIM(A543))=0,"",GetItemValueFromSpecimenHeader("timepoint"))</f>
        <v/>
      </c>
      <c r="E543" t="str">
        <f t="shared" si="51"/>
        <v/>
      </c>
      <c r="F543" t="str">
        <f t="shared" si="52"/>
        <v/>
      </c>
      <c r="G543" t="str">
        <f t="shared" si="48"/>
        <v/>
      </c>
      <c r="H543" t="str">
        <f>IF(LEN(TRIM(A543))=0,"",GetConfigParameterValue("Collection Site"))</f>
        <v/>
      </c>
      <c r="I543" t="str">
        <f t="shared" si="53"/>
        <v/>
      </c>
      <c r="M543" t="str">
        <f>IF(LEN(TRIM(B543))=0,"",IF(ISERROR(VLOOKUP(RIGHT(B543,4),study_demographic!A:A,1,FALSE)),"NOT FOUND!!!", "OK"))</f>
        <v/>
      </c>
    </row>
    <row r="544" spans="1:13" x14ac:dyDescent="0.25">
      <c r="A544" t="str">
        <f t="shared" si="49"/>
        <v/>
      </c>
      <c r="B544" t="str">
        <f t="shared" si="50"/>
        <v/>
      </c>
      <c r="C544" s="55" t="str">
        <f>IF(LEN(TRIM(A544))=0,"",get_string_val(RIGHT(B544,4)))</f>
        <v/>
      </c>
      <c r="D544" t="str">
        <f>IF(LEN(TRIM(A544))=0,"",GetItemValueFromSpecimenHeader("timepoint"))</f>
        <v/>
      </c>
      <c r="E544" t="str">
        <f t="shared" si="51"/>
        <v/>
      </c>
      <c r="F544" t="str">
        <f t="shared" si="52"/>
        <v/>
      </c>
      <c r="G544" t="str">
        <f t="shared" si="48"/>
        <v/>
      </c>
      <c r="H544" t="str">
        <f>IF(LEN(TRIM(A544))=0,"",GetConfigParameterValue("Collection Site"))</f>
        <v/>
      </c>
      <c r="I544" t="str">
        <f t="shared" si="53"/>
        <v/>
      </c>
      <c r="M544" t="str">
        <f>IF(LEN(TRIM(B544))=0,"",IF(ISERROR(VLOOKUP(RIGHT(B544,4),study_demographic!A:A,1,FALSE)),"NOT FOUND!!!", "OK"))</f>
        <v/>
      </c>
    </row>
    <row r="545" spans="1:13" x14ac:dyDescent="0.25">
      <c r="A545" t="str">
        <f t="shared" si="49"/>
        <v/>
      </c>
      <c r="B545" t="str">
        <f t="shared" si="50"/>
        <v/>
      </c>
      <c r="C545" s="55" t="str">
        <f>IF(LEN(TRIM(A545))=0,"",get_string_val(RIGHT(B545,4)))</f>
        <v/>
      </c>
      <c r="D545" t="str">
        <f>IF(LEN(TRIM(A545))=0,"",GetItemValueFromSpecimenHeader("timepoint"))</f>
        <v/>
      </c>
      <c r="E545" t="str">
        <f t="shared" si="51"/>
        <v/>
      </c>
      <c r="F545" t="str">
        <f t="shared" si="52"/>
        <v/>
      </c>
      <c r="G545" t="str">
        <f t="shared" si="48"/>
        <v/>
      </c>
      <c r="H545" t="str">
        <f>IF(LEN(TRIM(A545))=0,"",GetConfigParameterValue("Collection Site"))</f>
        <v/>
      </c>
      <c r="I545" t="str">
        <f t="shared" si="53"/>
        <v/>
      </c>
      <c r="M545" t="str">
        <f>IF(LEN(TRIM(B545))=0,"",IF(ISERROR(VLOOKUP(RIGHT(B545,4),study_demographic!A:A,1,FALSE)),"NOT FOUND!!!", "OK"))</f>
        <v/>
      </c>
    </row>
    <row r="546" spans="1:13" x14ac:dyDescent="0.25">
      <c r="A546" t="str">
        <f t="shared" si="49"/>
        <v/>
      </c>
      <c r="B546" t="str">
        <f t="shared" si="50"/>
        <v/>
      </c>
      <c r="C546" s="55" t="str">
        <f>IF(LEN(TRIM(A546))=0,"",get_string_val(RIGHT(B546,4)))</f>
        <v/>
      </c>
      <c r="D546" t="str">
        <f>IF(LEN(TRIM(A546))=0,"",GetItemValueFromSpecimenHeader("timepoint"))</f>
        <v/>
      </c>
      <c r="E546" t="str">
        <f t="shared" si="51"/>
        <v/>
      </c>
      <c r="F546" t="str">
        <f t="shared" si="52"/>
        <v/>
      </c>
      <c r="G546" t="str">
        <f t="shared" si="48"/>
        <v/>
      </c>
      <c r="H546" t="str">
        <f>IF(LEN(TRIM(A546))=0,"",GetConfigParameterValue("Collection Site"))</f>
        <v/>
      </c>
      <c r="I546" t="str">
        <f t="shared" si="53"/>
        <v/>
      </c>
      <c r="M546" t="str">
        <f>IF(LEN(TRIM(B546))=0,"",IF(ISERROR(VLOOKUP(RIGHT(B546,4),study_demographic!A:A,1,FALSE)),"NOT FOUND!!!", "OK"))</f>
        <v/>
      </c>
    </row>
    <row r="547" spans="1:13" x14ac:dyDescent="0.25">
      <c r="A547" t="str">
        <f t="shared" si="49"/>
        <v/>
      </c>
      <c r="B547" t="str">
        <f t="shared" si="50"/>
        <v/>
      </c>
      <c r="C547" s="55" t="str">
        <f>IF(LEN(TRIM(A547))=0,"",get_string_val(RIGHT(B547,4)))</f>
        <v/>
      </c>
      <c r="D547" t="str">
        <f>IF(LEN(TRIM(A547))=0,"",GetItemValueFromSpecimenHeader("timepoint"))</f>
        <v/>
      </c>
      <c r="E547" t="str">
        <f t="shared" si="51"/>
        <v/>
      </c>
      <c r="F547" t="str">
        <f t="shared" si="52"/>
        <v/>
      </c>
      <c r="G547" t="str">
        <f t="shared" si="48"/>
        <v/>
      </c>
      <c r="H547" t="str">
        <f>IF(LEN(TRIM(A547))=0,"",GetConfigParameterValue("Collection Site"))</f>
        <v/>
      </c>
      <c r="I547" t="str">
        <f t="shared" si="53"/>
        <v/>
      </c>
      <c r="M547" t="str">
        <f>IF(LEN(TRIM(B547))=0,"",IF(ISERROR(VLOOKUP(RIGHT(B547,4),study_demographic!A:A,1,FALSE)),"NOT FOUND!!!", "OK"))</f>
        <v/>
      </c>
    </row>
    <row r="548" spans="1:13" x14ac:dyDescent="0.25">
      <c r="A548" t="str">
        <f t="shared" si="49"/>
        <v/>
      </c>
      <c r="B548" t="str">
        <f t="shared" si="50"/>
        <v/>
      </c>
      <c r="C548" s="55" t="str">
        <f>IF(LEN(TRIM(A548))=0,"",get_string_val(RIGHT(B548,4)))</f>
        <v/>
      </c>
      <c r="D548" t="str">
        <f>IF(LEN(TRIM(A548))=0,"",GetItemValueFromSpecimenHeader("timepoint"))</f>
        <v/>
      </c>
      <c r="E548" t="str">
        <f t="shared" si="51"/>
        <v/>
      </c>
      <c r="F548" t="str">
        <f t="shared" si="52"/>
        <v/>
      </c>
      <c r="G548" t="str">
        <f t="shared" si="48"/>
        <v/>
      </c>
      <c r="H548" t="str">
        <f>IF(LEN(TRIM(A548))=0,"",GetConfigParameterValue("Collection Site"))</f>
        <v/>
      </c>
      <c r="I548" t="str">
        <f t="shared" si="53"/>
        <v/>
      </c>
      <c r="M548" t="str">
        <f>IF(LEN(TRIM(B548))=0,"",IF(ISERROR(VLOOKUP(RIGHT(B548,4),study_demographic!A:A,1,FALSE)),"NOT FOUND!!!", "OK"))</f>
        <v/>
      </c>
    </row>
    <row r="549" spans="1:13" x14ac:dyDescent="0.25">
      <c r="A549" t="str">
        <f t="shared" si="49"/>
        <v/>
      </c>
      <c r="B549" t="str">
        <f t="shared" si="50"/>
        <v/>
      </c>
      <c r="C549" s="55" t="str">
        <f>IF(LEN(TRIM(A549))=0,"",get_string_val(RIGHT(B549,4)))</f>
        <v/>
      </c>
      <c r="D549" t="str">
        <f>IF(LEN(TRIM(A549))=0,"",GetItemValueFromSpecimenHeader("timepoint"))</f>
        <v/>
      </c>
      <c r="E549" t="str">
        <f t="shared" si="51"/>
        <v/>
      </c>
      <c r="F549" t="str">
        <f t="shared" si="52"/>
        <v/>
      </c>
      <c r="G549" t="str">
        <f t="shared" si="48"/>
        <v/>
      </c>
      <c r="H549" t="str">
        <f>IF(LEN(TRIM(A549))=0,"",GetConfigParameterValue("Collection Site"))</f>
        <v/>
      </c>
      <c r="I549" t="str">
        <f t="shared" si="53"/>
        <v/>
      </c>
      <c r="M549" t="str">
        <f>IF(LEN(TRIM(B549))=0,"",IF(ISERROR(VLOOKUP(RIGHT(B549,4),study_demographic!A:A,1,FALSE)),"NOT FOUND!!!", "OK"))</f>
        <v/>
      </c>
    </row>
    <row r="550" spans="1:13" x14ac:dyDescent="0.25">
      <c r="A550" t="str">
        <f t="shared" si="49"/>
        <v/>
      </c>
      <c r="B550" t="str">
        <f t="shared" si="50"/>
        <v/>
      </c>
      <c r="C550" s="55" t="str">
        <f>IF(LEN(TRIM(A550))=0,"",get_string_val(RIGHT(B550,4)))</f>
        <v/>
      </c>
      <c r="D550" t="str">
        <f>IF(LEN(TRIM(A550))=0,"",GetItemValueFromSpecimenHeader("timepoint"))</f>
        <v/>
      </c>
      <c r="E550" t="str">
        <f t="shared" si="51"/>
        <v/>
      </c>
      <c r="F550" t="str">
        <f t="shared" si="52"/>
        <v/>
      </c>
      <c r="G550" t="str">
        <f t="shared" si="48"/>
        <v/>
      </c>
      <c r="H550" t="str">
        <f>IF(LEN(TRIM(A550))=0,"",GetConfigParameterValue("Collection Site"))</f>
        <v/>
      </c>
      <c r="I550" t="str">
        <f t="shared" si="53"/>
        <v/>
      </c>
      <c r="M550" t="str">
        <f>IF(LEN(TRIM(B550))=0,"",IF(ISERROR(VLOOKUP(RIGHT(B550,4),study_demographic!A:A,1,FALSE)),"NOT FOUND!!!", "OK"))</f>
        <v/>
      </c>
    </row>
    <row r="551" spans="1:13" x14ac:dyDescent="0.25">
      <c r="A551" t="str">
        <f t="shared" si="49"/>
        <v/>
      </c>
      <c r="B551" t="str">
        <f t="shared" si="50"/>
        <v/>
      </c>
      <c r="C551" s="55" t="str">
        <f>IF(LEN(TRIM(A551))=0,"",get_string_val(RIGHT(B551,4)))</f>
        <v/>
      </c>
      <c r="D551" t="str">
        <f>IF(LEN(TRIM(A551))=0,"",GetItemValueFromSpecimenHeader("timepoint"))</f>
        <v/>
      </c>
      <c r="E551" t="str">
        <f t="shared" si="51"/>
        <v/>
      </c>
      <c r="F551" t="str">
        <f t="shared" si="52"/>
        <v/>
      </c>
      <c r="G551" t="str">
        <f t="shared" si="48"/>
        <v/>
      </c>
      <c r="H551" t="str">
        <f>IF(LEN(TRIM(A551))=0,"",GetConfigParameterValue("Collection Site"))</f>
        <v/>
      </c>
      <c r="I551" t="str">
        <f t="shared" si="53"/>
        <v/>
      </c>
      <c r="M551" t="str">
        <f>IF(LEN(TRIM(B551))=0,"",IF(ISERROR(VLOOKUP(RIGHT(B551,4),study_demographic!A:A,1,FALSE)),"NOT FOUND!!!", "OK"))</f>
        <v/>
      </c>
    </row>
    <row r="552" spans="1:13" x14ac:dyDescent="0.25">
      <c r="A552" t="str">
        <f t="shared" si="49"/>
        <v/>
      </c>
      <c r="B552" t="str">
        <f t="shared" si="50"/>
        <v/>
      </c>
      <c r="C552" s="55" t="str">
        <f>IF(LEN(TRIM(A552))=0,"",get_string_val(RIGHT(B552,4)))</f>
        <v/>
      </c>
      <c r="D552" t="str">
        <f>IF(LEN(TRIM(A552))=0,"",GetItemValueFromSpecimenHeader("timepoint"))</f>
        <v/>
      </c>
      <c r="E552" t="str">
        <f t="shared" si="51"/>
        <v/>
      </c>
      <c r="F552" t="str">
        <f t="shared" si="52"/>
        <v/>
      </c>
      <c r="G552" t="str">
        <f t="shared" si="48"/>
        <v/>
      </c>
      <c r="H552" t="str">
        <f>IF(LEN(TRIM(A552))=0,"",GetConfigParameterValue("Collection Site"))</f>
        <v/>
      </c>
      <c r="I552" t="str">
        <f t="shared" si="53"/>
        <v/>
      </c>
      <c r="M552" t="str">
        <f>IF(LEN(TRIM(B552))=0,"",IF(ISERROR(VLOOKUP(RIGHT(B552,4),study_demographic!A:A,1,FALSE)),"NOT FOUND!!!", "OK"))</f>
        <v/>
      </c>
    </row>
    <row r="553" spans="1:13" x14ac:dyDescent="0.25">
      <c r="A553" t="str">
        <f t="shared" si="49"/>
        <v/>
      </c>
      <c r="B553" t="str">
        <f t="shared" si="50"/>
        <v/>
      </c>
      <c r="C553" s="55" t="str">
        <f>IF(LEN(TRIM(A553))=0,"",get_string_val(RIGHT(B553,4)))</f>
        <v/>
      </c>
      <c r="D553" t="str">
        <f>IF(LEN(TRIM(A553))=0,"",GetItemValueFromSpecimenHeader("timepoint"))</f>
        <v/>
      </c>
      <c r="E553" t="str">
        <f t="shared" si="51"/>
        <v/>
      </c>
      <c r="F553" t="str">
        <f t="shared" si="52"/>
        <v/>
      </c>
      <c r="G553" t="str">
        <f t="shared" si="48"/>
        <v/>
      </c>
      <c r="H553" t="str">
        <f>IF(LEN(TRIM(A553))=0,"",GetConfigParameterValue("Collection Site"))</f>
        <v/>
      </c>
      <c r="I553" t="str">
        <f t="shared" si="53"/>
        <v/>
      </c>
      <c r="M553" t="str">
        <f>IF(LEN(TRIM(B553))=0,"",IF(ISERROR(VLOOKUP(RIGHT(B553,4),study_demographic!A:A,1,FALSE)),"NOT FOUND!!!", "OK"))</f>
        <v/>
      </c>
    </row>
    <row r="554" spans="1:13" x14ac:dyDescent="0.25">
      <c r="A554" t="str">
        <f t="shared" si="49"/>
        <v/>
      </c>
      <c r="B554" t="str">
        <f t="shared" si="50"/>
        <v/>
      </c>
      <c r="C554" s="55" t="str">
        <f>IF(LEN(TRIM(A554))=0,"",get_string_val(RIGHT(B554,4)))</f>
        <v/>
      </c>
      <c r="D554" t="str">
        <f>IF(LEN(TRIM(A554))=0,"",GetItemValueFromSpecimenHeader("timepoint"))</f>
        <v/>
      </c>
      <c r="E554" t="str">
        <f t="shared" si="51"/>
        <v/>
      </c>
      <c r="F554" t="str">
        <f t="shared" si="52"/>
        <v/>
      </c>
      <c r="G554" t="str">
        <f t="shared" si="48"/>
        <v/>
      </c>
      <c r="H554" t="str">
        <f>IF(LEN(TRIM(A554))=0,"",GetConfigParameterValue("Collection Site"))</f>
        <v/>
      </c>
      <c r="I554" t="str">
        <f t="shared" si="53"/>
        <v/>
      </c>
      <c r="M554" t="str">
        <f>IF(LEN(TRIM(B554))=0,"",IF(ISERROR(VLOOKUP(RIGHT(B554,4),study_demographic!A:A,1,FALSE)),"NOT FOUND!!!", "OK"))</f>
        <v/>
      </c>
    </row>
    <row r="555" spans="1:13" x14ac:dyDescent="0.25">
      <c r="A555" t="str">
        <f t="shared" si="49"/>
        <v/>
      </c>
      <c r="B555" t="str">
        <f t="shared" si="50"/>
        <v/>
      </c>
      <c r="C555" s="55" t="str">
        <f>IF(LEN(TRIM(A555))=0,"",get_string_val(RIGHT(B555,4)))</f>
        <v/>
      </c>
      <c r="D555" t="str">
        <f>IF(LEN(TRIM(A555))=0,"",GetItemValueFromSpecimenHeader("timepoint"))</f>
        <v/>
      </c>
      <c r="E555" t="str">
        <f t="shared" si="51"/>
        <v/>
      </c>
      <c r="F555" t="str">
        <f t="shared" si="52"/>
        <v/>
      </c>
      <c r="G555" t="str">
        <f t="shared" si="48"/>
        <v/>
      </c>
      <c r="H555" t="str">
        <f>IF(LEN(TRIM(A555))=0,"",GetConfigParameterValue("Collection Site"))</f>
        <v/>
      </c>
      <c r="I555" t="str">
        <f t="shared" si="53"/>
        <v/>
      </c>
      <c r="M555" t="str">
        <f>IF(LEN(TRIM(B555))=0,"",IF(ISERROR(VLOOKUP(RIGHT(B555,4),study_demographic!A:A,1,FALSE)),"NOT FOUND!!!", "OK"))</f>
        <v/>
      </c>
    </row>
    <row r="556" spans="1:13" x14ac:dyDescent="0.25">
      <c r="A556" t="str">
        <f t="shared" si="49"/>
        <v/>
      </c>
      <c r="B556" t="str">
        <f t="shared" si="50"/>
        <v/>
      </c>
      <c r="C556" s="55" t="str">
        <f>IF(LEN(TRIM(A556))=0,"",get_string_val(RIGHT(B556,4)))</f>
        <v/>
      </c>
      <c r="D556" t="str">
        <f>IF(LEN(TRIM(A556))=0,"",GetItemValueFromSpecimenHeader("timepoint"))</f>
        <v/>
      </c>
      <c r="E556" t="str">
        <f t="shared" si="51"/>
        <v/>
      </c>
      <c r="F556" t="str">
        <f t="shared" si="52"/>
        <v/>
      </c>
      <c r="G556" t="str">
        <f t="shared" si="48"/>
        <v/>
      </c>
      <c r="H556" t="str">
        <f>IF(LEN(TRIM(A556))=0,"",GetConfigParameterValue("Collection Site"))</f>
        <v/>
      </c>
      <c r="I556" t="str">
        <f t="shared" si="53"/>
        <v/>
      </c>
      <c r="M556" t="str">
        <f>IF(LEN(TRIM(B556))=0,"",IF(ISERROR(VLOOKUP(RIGHT(B556,4),study_demographic!A:A,1,FALSE)),"NOT FOUND!!!", "OK"))</f>
        <v/>
      </c>
    </row>
    <row r="557" spans="1:13" x14ac:dyDescent="0.25">
      <c r="A557" t="str">
        <f t="shared" si="49"/>
        <v/>
      </c>
      <c r="B557" t="str">
        <f t="shared" si="50"/>
        <v/>
      </c>
      <c r="C557" s="55" t="str">
        <f>IF(LEN(TRIM(A557))=0,"",get_string_val(RIGHT(B557,4)))</f>
        <v/>
      </c>
      <c r="D557" t="str">
        <f>IF(LEN(TRIM(A557))=0,"",GetItemValueFromSpecimenHeader("timepoint"))</f>
        <v/>
      </c>
      <c r="E557" t="str">
        <f t="shared" si="51"/>
        <v/>
      </c>
      <c r="F557" t="str">
        <f t="shared" si="52"/>
        <v/>
      </c>
      <c r="G557" t="str">
        <f t="shared" si="48"/>
        <v/>
      </c>
      <c r="H557" t="str">
        <f>IF(LEN(TRIM(A557))=0,"",GetConfigParameterValue("Collection Site"))</f>
        <v/>
      </c>
      <c r="I557" t="str">
        <f t="shared" si="53"/>
        <v/>
      </c>
      <c r="M557" t="str">
        <f>IF(LEN(TRIM(B557))=0,"",IF(ISERROR(VLOOKUP(RIGHT(B557,4),study_demographic!A:A,1,FALSE)),"NOT FOUND!!!", "OK"))</f>
        <v/>
      </c>
    </row>
    <row r="558" spans="1:13" x14ac:dyDescent="0.25">
      <c r="A558" t="str">
        <f t="shared" si="49"/>
        <v/>
      </c>
      <c r="B558" t="str">
        <f t="shared" si="50"/>
        <v/>
      </c>
      <c r="C558" s="55" t="str">
        <f>IF(LEN(TRIM(A558))=0,"",get_string_val(RIGHT(B558,4)))</f>
        <v/>
      </c>
      <c r="D558" t="str">
        <f>IF(LEN(TRIM(A558))=0,"",GetItemValueFromSpecimenHeader("timepoint"))</f>
        <v/>
      </c>
      <c r="E558" t="str">
        <f t="shared" si="51"/>
        <v/>
      </c>
      <c r="F558" t="str">
        <f t="shared" si="52"/>
        <v/>
      </c>
      <c r="G558" t="str">
        <f t="shared" si="48"/>
        <v/>
      </c>
      <c r="H558" t="str">
        <f>IF(LEN(TRIM(A558))=0,"",GetConfigParameterValue("Collection Site"))</f>
        <v/>
      </c>
      <c r="I558" t="str">
        <f t="shared" si="53"/>
        <v/>
      </c>
      <c r="M558" t="str">
        <f>IF(LEN(TRIM(B558))=0,"",IF(ISERROR(VLOOKUP(RIGHT(B558,4),study_demographic!A:A,1,FALSE)),"NOT FOUND!!!", "OK"))</f>
        <v/>
      </c>
    </row>
    <row r="559" spans="1:13" x14ac:dyDescent="0.25">
      <c r="A559" t="str">
        <f t="shared" si="49"/>
        <v/>
      </c>
      <c r="B559" t="str">
        <f t="shared" si="50"/>
        <v/>
      </c>
      <c r="C559" s="55" t="str">
        <f>IF(LEN(TRIM(A559))=0,"",get_string_val(RIGHT(B559,4)))</f>
        <v/>
      </c>
      <c r="D559" t="str">
        <f>IF(LEN(TRIM(A559))=0,"",GetItemValueFromSpecimenHeader("timepoint"))</f>
        <v/>
      </c>
      <c r="E559" t="str">
        <f t="shared" si="51"/>
        <v/>
      </c>
      <c r="F559" t="str">
        <f t="shared" si="52"/>
        <v/>
      </c>
      <c r="G559" t="str">
        <f t="shared" si="48"/>
        <v/>
      </c>
      <c r="H559" t="str">
        <f>IF(LEN(TRIM(A559))=0,"",GetConfigParameterValue("Collection Site"))</f>
        <v/>
      </c>
      <c r="I559" t="str">
        <f t="shared" si="53"/>
        <v/>
      </c>
      <c r="M559" t="str">
        <f>IF(LEN(TRIM(B559))=0,"",IF(ISERROR(VLOOKUP(RIGHT(B559,4),study_demographic!A:A,1,FALSE)),"NOT FOUND!!!", "OK"))</f>
        <v/>
      </c>
    </row>
    <row r="560" spans="1:13" x14ac:dyDescent="0.25">
      <c r="A560" t="str">
        <f t="shared" si="49"/>
        <v/>
      </c>
      <c r="B560" t="str">
        <f t="shared" si="50"/>
        <v/>
      </c>
      <c r="C560" s="55" t="str">
        <f>IF(LEN(TRIM(A560))=0,"",get_string_val(RIGHT(B560,4)))</f>
        <v/>
      </c>
      <c r="D560" t="str">
        <f>IF(LEN(TRIM(A560))=0,"",GetItemValueFromSpecimenHeader("timepoint"))</f>
        <v/>
      </c>
      <c r="E560" t="str">
        <f t="shared" si="51"/>
        <v/>
      </c>
      <c r="F560" t="str">
        <f t="shared" si="52"/>
        <v/>
      </c>
      <c r="G560" t="str">
        <f t="shared" si="48"/>
        <v/>
      </c>
      <c r="H560" t="str">
        <f>IF(LEN(TRIM(A560))=0,"",GetConfigParameterValue("Collection Site"))</f>
        <v/>
      </c>
      <c r="I560" t="str">
        <f t="shared" si="53"/>
        <v/>
      </c>
      <c r="M560" t="str">
        <f>IF(LEN(TRIM(B560))=0,"",IF(ISERROR(VLOOKUP(RIGHT(B560,4),study_demographic!A:A,1,FALSE)),"NOT FOUND!!!", "OK"))</f>
        <v/>
      </c>
    </row>
    <row r="561" spans="1:13" x14ac:dyDescent="0.25">
      <c r="A561" t="str">
        <f t="shared" si="49"/>
        <v/>
      </c>
      <c r="B561" t="str">
        <f t="shared" si="50"/>
        <v/>
      </c>
      <c r="C561" s="55" t="str">
        <f>IF(LEN(TRIM(A561))=0,"",get_string_val(RIGHT(B561,4)))</f>
        <v/>
      </c>
      <c r="D561" t="str">
        <f>IF(LEN(TRIM(A561))=0,"",GetItemValueFromSpecimenHeader("timepoint"))</f>
        <v/>
      </c>
      <c r="E561" t="str">
        <f t="shared" si="51"/>
        <v/>
      </c>
      <c r="F561" t="str">
        <f t="shared" si="52"/>
        <v/>
      </c>
      <c r="G561" t="str">
        <f t="shared" si="48"/>
        <v/>
      </c>
      <c r="H561" t="str">
        <f>IF(LEN(TRIM(A561))=0,"",GetConfigParameterValue("Collection Site"))</f>
        <v/>
      </c>
      <c r="I561" t="str">
        <f t="shared" si="53"/>
        <v/>
      </c>
      <c r="M561" t="str">
        <f>IF(LEN(TRIM(B561))=0,"",IF(ISERROR(VLOOKUP(RIGHT(B561,4),study_demographic!A:A,1,FALSE)),"NOT FOUND!!!", "OK"))</f>
        <v/>
      </c>
    </row>
    <row r="562" spans="1:13" x14ac:dyDescent="0.25">
      <c r="A562" t="str">
        <f t="shared" si="49"/>
        <v/>
      </c>
      <c r="B562" t="str">
        <f t="shared" si="50"/>
        <v/>
      </c>
      <c r="C562" s="55" t="str">
        <f>IF(LEN(TRIM(A562))=0,"",get_string_val(RIGHT(B562,4)))</f>
        <v/>
      </c>
      <c r="D562" t="str">
        <f>IF(LEN(TRIM(A562))=0,"",GetItemValueFromSpecimenHeader("timepoint"))</f>
        <v/>
      </c>
      <c r="E562" t="str">
        <f t="shared" si="51"/>
        <v/>
      </c>
      <c r="F562" t="str">
        <f t="shared" si="52"/>
        <v/>
      </c>
      <c r="G562" t="str">
        <f t="shared" si="48"/>
        <v/>
      </c>
      <c r="H562" t="str">
        <f>IF(LEN(TRIM(A562))=0,"",GetConfigParameterValue("Collection Site"))</f>
        <v/>
      </c>
      <c r="I562" t="str">
        <f t="shared" si="53"/>
        <v/>
      </c>
      <c r="M562" t="str">
        <f>IF(LEN(TRIM(B562))=0,"",IF(ISERROR(VLOOKUP(RIGHT(B562,4),study_demographic!A:A,1,FALSE)),"NOT FOUND!!!", "OK"))</f>
        <v/>
      </c>
    </row>
    <row r="563" spans="1:13" x14ac:dyDescent="0.25">
      <c r="A563" t="str">
        <f t="shared" si="49"/>
        <v/>
      </c>
      <c r="B563" t="str">
        <f t="shared" si="50"/>
        <v/>
      </c>
      <c r="C563" s="55" t="str">
        <f>IF(LEN(TRIM(A563))=0,"",get_string_val(RIGHT(B563,4)))</f>
        <v/>
      </c>
      <c r="D563" t="str">
        <f>IF(LEN(TRIM(A563))=0,"",GetItemValueFromSpecimenHeader("timepoint"))</f>
        <v/>
      </c>
      <c r="E563" t="str">
        <f t="shared" si="51"/>
        <v/>
      </c>
      <c r="F563" t="str">
        <f t="shared" si="52"/>
        <v/>
      </c>
      <c r="G563" t="str">
        <f t="shared" si="48"/>
        <v/>
      </c>
      <c r="H563" t="str">
        <f>IF(LEN(TRIM(A563))=0,"",GetConfigParameterValue("Collection Site"))</f>
        <v/>
      </c>
      <c r="I563" t="str">
        <f t="shared" si="53"/>
        <v/>
      </c>
      <c r="M563" t="str">
        <f>IF(LEN(TRIM(B563))=0,"",IF(ISERROR(VLOOKUP(RIGHT(B563,4),study_demographic!A:A,1,FALSE)),"NOT FOUND!!!", "OK"))</f>
        <v/>
      </c>
    </row>
    <row r="564" spans="1:13" x14ac:dyDescent="0.25">
      <c r="A564" t="str">
        <f t="shared" si="49"/>
        <v/>
      </c>
      <c r="B564" t="str">
        <f t="shared" si="50"/>
        <v/>
      </c>
      <c r="C564" s="55" t="str">
        <f>IF(LEN(TRIM(A564))=0,"",get_string_val(RIGHT(B564,4)))</f>
        <v/>
      </c>
      <c r="D564" t="str">
        <f>IF(LEN(TRIM(A564))=0,"",GetItemValueFromSpecimenHeader("timepoint"))</f>
        <v/>
      </c>
      <c r="E564" t="str">
        <f t="shared" si="51"/>
        <v/>
      </c>
      <c r="F564" t="str">
        <f t="shared" si="52"/>
        <v/>
      </c>
      <c r="G564" t="str">
        <f t="shared" si="48"/>
        <v/>
      </c>
      <c r="H564" t="str">
        <f>IF(LEN(TRIM(A564))=0,"",GetConfigParameterValue("Collection Site"))</f>
        <v/>
      </c>
      <c r="I564" t="str">
        <f t="shared" si="53"/>
        <v/>
      </c>
      <c r="M564" t="str">
        <f>IF(LEN(TRIM(B564))=0,"",IF(ISERROR(VLOOKUP(RIGHT(B564,4),study_demographic!A:A,1,FALSE)),"NOT FOUND!!!", "OK"))</f>
        <v/>
      </c>
    </row>
    <row r="565" spans="1:13" x14ac:dyDescent="0.25">
      <c r="A565" t="str">
        <f t="shared" si="49"/>
        <v/>
      </c>
      <c r="B565" t="str">
        <f t="shared" si="50"/>
        <v/>
      </c>
      <c r="C565" s="55" t="str">
        <f>IF(LEN(TRIM(A565))=0,"",get_string_val(RIGHT(B565,4)))</f>
        <v/>
      </c>
      <c r="D565" t="str">
        <f>IF(LEN(TRIM(A565))=0,"",GetItemValueFromSpecimenHeader("timepoint"))</f>
        <v/>
      </c>
      <c r="E565" t="str">
        <f t="shared" si="51"/>
        <v/>
      </c>
      <c r="F565" t="str">
        <f t="shared" si="52"/>
        <v/>
      </c>
      <c r="G565" t="str">
        <f t="shared" si="48"/>
        <v/>
      </c>
      <c r="H565" t="str">
        <f>IF(LEN(TRIM(A565))=0,"",GetConfigParameterValue("Collection Site"))</f>
        <v/>
      </c>
      <c r="I565" t="str">
        <f t="shared" si="53"/>
        <v/>
      </c>
      <c r="M565" t="str">
        <f>IF(LEN(TRIM(B565))=0,"",IF(ISERROR(VLOOKUP(RIGHT(B565,4),study_demographic!A:A,1,FALSE)),"NOT FOUND!!!", "OK"))</f>
        <v/>
      </c>
    </row>
    <row r="566" spans="1:13" x14ac:dyDescent="0.25">
      <c r="A566" t="str">
        <f t="shared" si="49"/>
        <v/>
      </c>
      <c r="B566" t="str">
        <f t="shared" si="50"/>
        <v/>
      </c>
      <c r="C566" s="55" t="str">
        <f>IF(LEN(TRIM(A566))=0,"",get_string_val(RIGHT(B566,4)))</f>
        <v/>
      </c>
      <c r="D566" t="str">
        <f>IF(LEN(TRIM(A566))=0,"",GetItemValueFromSpecimenHeader("timepoint"))</f>
        <v/>
      </c>
      <c r="E566" t="str">
        <f t="shared" si="51"/>
        <v/>
      </c>
      <c r="F566" t="str">
        <f t="shared" si="52"/>
        <v/>
      </c>
      <c r="G566" t="str">
        <f t="shared" si="48"/>
        <v/>
      </c>
      <c r="H566" t="str">
        <f>IF(LEN(TRIM(A566))=0,"",GetConfigParameterValue("Collection Site"))</f>
        <v/>
      </c>
      <c r="I566" t="str">
        <f t="shared" si="53"/>
        <v/>
      </c>
      <c r="M566" t="str">
        <f>IF(LEN(TRIM(B566))=0,"",IF(ISERROR(VLOOKUP(RIGHT(B566,4),study_demographic!A:A,1,FALSE)),"NOT FOUND!!!", "OK"))</f>
        <v/>
      </c>
    </row>
    <row r="567" spans="1:13" x14ac:dyDescent="0.25">
      <c r="A567" t="str">
        <f t="shared" si="49"/>
        <v/>
      </c>
      <c r="B567" t="str">
        <f t="shared" si="50"/>
        <v/>
      </c>
      <c r="C567" s="55" t="str">
        <f>IF(LEN(TRIM(A567))=0,"",get_string_val(RIGHT(B567,4)))</f>
        <v/>
      </c>
      <c r="D567" t="str">
        <f>IF(LEN(TRIM(A567))=0,"",GetItemValueFromSpecimenHeader("timepoint"))</f>
        <v/>
      </c>
      <c r="E567" t="str">
        <f t="shared" si="51"/>
        <v/>
      </c>
      <c r="F567" t="str">
        <f t="shared" si="52"/>
        <v/>
      </c>
      <c r="G567" t="str">
        <f t="shared" si="48"/>
        <v/>
      </c>
      <c r="H567" t="str">
        <f>IF(LEN(TRIM(A567))=0,"",GetConfigParameterValue("Collection Site"))</f>
        <v/>
      </c>
      <c r="I567" t="str">
        <f t="shared" si="53"/>
        <v/>
      </c>
      <c r="M567" t="str">
        <f>IF(LEN(TRIM(B567))=0,"",IF(ISERROR(VLOOKUP(RIGHT(B567,4),study_demographic!A:A,1,FALSE)),"NOT FOUND!!!", "OK"))</f>
        <v/>
      </c>
    </row>
    <row r="568" spans="1:13" x14ac:dyDescent="0.25">
      <c r="A568" t="str">
        <f t="shared" si="49"/>
        <v/>
      </c>
      <c r="B568" t="str">
        <f t="shared" si="50"/>
        <v/>
      </c>
      <c r="C568" s="55" t="str">
        <f>IF(LEN(TRIM(A568))=0,"",get_string_val(RIGHT(B568,4)))</f>
        <v/>
      </c>
      <c r="D568" t="str">
        <f>IF(LEN(TRIM(A568))=0,"",GetItemValueFromSpecimenHeader("timepoint"))</f>
        <v/>
      </c>
      <c r="E568" t="str">
        <f t="shared" si="51"/>
        <v/>
      </c>
      <c r="F568" t="str">
        <f t="shared" si="52"/>
        <v/>
      </c>
      <c r="G568" t="str">
        <f t="shared" si="48"/>
        <v/>
      </c>
      <c r="H568" t="str">
        <f>IF(LEN(TRIM(A568))=0,"",GetConfigParameterValue("Collection Site"))</f>
        <v/>
      </c>
      <c r="I568" t="str">
        <f t="shared" si="53"/>
        <v/>
      </c>
      <c r="M568" t="str">
        <f>IF(LEN(TRIM(B568))=0,"",IF(ISERROR(VLOOKUP(RIGHT(B568,4),study_demographic!A:A,1,FALSE)),"NOT FOUND!!!", "OK"))</f>
        <v/>
      </c>
    </row>
    <row r="569" spans="1:13" x14ac:dyDescent="0.25">
      <c r="A569" t="str">
        <f t="shared" si="49"/>
        <v/>
      </c>
      <c r="B569" t="str">
        <f t="shared" si="50"/>
        <v/>
      </c>
      <c r="C569" s="55" t="str">
        <f>IF(LEN(TRIM(A569))=0,"",get_string_val(RIGHT(B569,4)))</f>
        <v/>
      </c>
      <c r="D569" t="str">
        <f>IF(LEN(TRIM(A569))=0,"",GetItemValueFromSpecimenHeader("timepoint"))</f>
        <v/>
      </c>
      <c r="E569" t="str">
        <f t="shared" si="51"/>
        <v/>
      </c>
      <c r="F569" t="str">
        <f t="shared" si="52"/>
        <v/>
      </c>
      <c r="G569" t="str">
        <f t="shared" si="48"/>
        <v/>
      </c>
      <c r="H569" t="str">
        <f>IF(LEN(TRIM(A569))=0,"",GetConfigParameterValue("Collection Site"))</f>
        <v/>
      </c>
      <c r="I569" t="str">
        <f t="shared" si="53"/>
        <v/>
      </c>
      <c r="M569" t="str">
        <f>IF(LEN(TRIM(B569))=0,"",IF(ISERROR(VLOOKUP(RIGHT(B569,4),study_demographic!A:A,1,FALSE)),"NOT FOUND!!!", "OK"))</f>
        <v/>
      </c>
    </row>
    <row r="570" spans="1:13" x14ac:dyDescent="0.25">
      <c r="A570" t="str">
        <f t="shared" si="49"/>
        <v/>
      </c>
      <c r="B570" t="str">
        <f t="shared" si="50"/>
        <v/>
      </c>
      <c r="C570" s="55" t="str">
        <f>IF(LEN(TRIM(A570))=0,"",get_string_val(RIGHT(B570,4)))</f>
        <v/>
      </c>
      <c r="D570" t="str">
        <f>IF(LEN(TRIM(A570))=0,"",GetItemValueFromSpecimenHeader("timepoint"))</f>
        <v/>
      </c>
      <c r="E570" t="str">
        <f t="shared" si="51"/>
        <v/>
      </c>
      <c r="F570" t="str">
        <f t="shared" si="52"/>
        <v/>
      </c>
      <c r="G570" t="str">
        <f t="shared" si="48"/>
        <v/>
      </c>
      <c r="H570" t="str">
        <f>IF(LEN(TRIM(A570))=0,"",GetConfigParameterValue("Collection Site"))</f>
        <v/>
      </c>
      <c r="I570" t="str">
        <f t="shared" si="53"/>
        <v/>
      </c>
      <c r="M570" t="str">
        <f>IF(LEN(TRIM(B570))=0,"",IF(ISERROR(VLOOKUP(RIGHT(B570,4),study_demographic!A:A,1,FALSE)),"NOT FOUND!!!", "OK"))</f>
        <v/>
      </c>
    </row>
    <row r="571" spans="1:13" x14ac:dyDescent="0.25">
      <c r="A571" t="str">
        <f t="shared" si="49"/>
        <v/>
      </c>
      <c r="B571" t="str">
        <f t="shared" si="50"/>
        <v/>
      </c>
      <c r="C571" s="55" t="str">
        <f>IF(LEN(TRIM(A571))=0,"",get_string_val(RIGHT(B571,4)))</f>
        <v/>
      </c>
      <c r="D571" t="str">
        <f>IF(LEN(TRIM(A571))=0,"",GetItemValueFromSpecimenHeader("timepoint"))</f>
        <v/>
      </c>
      <c r="E571" t="str">
        <f t="shared" si="51"/>
        <v/>
      </c>
      <c r="F571" t="str">
        <f t="shared" si="52"/>
        <v/>
      </c>
      <c r="G571" t="str">
        <f t="shared" si="48"/>
        <v/>
      </c>
      <c r="H571" t="str">
        <f>IF(LEN(TRIM(A571))=0,"",GetConfigParameterValue("Collection Site"))</f>
        <v/>
      </c>
      <c r="I571" t="str">
        <f t="shared" si="53"/>
        <v/>
      </c>
      <c r="M571" t="str">
        <f>IF(LEN(TRIM(B571))=0,"",IF(ISERROR(VLOOKUP(RIGHT(B571,4),study_demographic!A:A,1,FALSE)),"NOT FOUND!!!", "OK"))</f>
        <v/>
      </c>
    </row>
    <row r="572" spans="1:13" x14ac:dyDescent="0.25">
      <c r="A572" t="str">
        <f t="shared" si="49"/>
        <v/>
      </c>
      <c r="B572" t="str">
        <f t="shared" si="50"/>
        <v/>
      </c>
      <c r="C572" s="55" t="str">
        <f>IF(LEN(TRIM(A572))=0,"",get_string_val(RIGHT(B572,4)))</f>
        <v/>
      </c>
      <c r="D572" t="str">
        <f>IF(LEN(TRIM(A572))=0,"",GetItemValueFromSpecimenHeader("timepoint"))</f>
        <v/>
      </c>
      <c r="E572" t="str">
        <f t="shared" si="51"/>
        <v/>
      </c>
      <c r="F572" t="str">
        <f t="shared" si="52"/>
        <v/>
      </c>
      <c r="G572" t="str">
        <f t="shared" si="48"/>
        <v/>
      </c>
      <c r="H572" t="str">
        <f>IF(LEN(TRIM(A572))=0,"",GetConfigParameterValue("Collection Site"))</f>
        <v/>
      </c>
      <c r="I572" t="str">
        <f t="shared" si="53"/>
        <v/>
      </c>
      <c r="M572" t="str">
        <f>IF(LEN(TRIM(B572))=0,"",IF(ISERROR(VLOOKUP(RIGHT(B572,4),study_demographic!A:A,1,FALSE)),"NOT FOUND!!!", "OK"))</f>
        <v/>
      </c>
    </row>
    <row r="573" spans="1:13" x14ac:dyDescent="0.25">
      <c r="A573" t="str">
        <f t="shared" si="49"/>
        <v/>
      </c>
      <c r="B573" t="str">
        <f t="shared" si="50"/>
        <v/>
      </c>
      <c r="C573" s="55" t="str">
        <f>IF(LEN(TRIM(A573))=0,"",get_string_val(RIGHT(B573,4)))</f>
        <v/>
      </c>
      <c r="D573" t="str">
        <f>IF(LEN(TRIM(A573))=0,"",GetItemValueFromSpecimenHeader("timepoint"))</f>
        <v/>
      </c>
      <c r="E573" t="str">
        <f t="shared" si="51"/>
        <v/>
      </c>
      <c r="F573" t="str">
        <f t="shared" si="52"/>
        <v/>
      </c>
      <c r="G573" t="str">
        <f t="shared" si="48"/>
        <v/>
      </c>
      <c r="H573" t="str">
        <f>IF(LEN(TRIM(A573))=0,"",GetConfigParameterValue("Collection Site"))</f>
        <v/>
      </c>
      <c r="I573" t="str">
        <f t="shared" si="53"/>
        <v/>
      </c>
      <c r="M573" t="str">
        <f>IF(LEN(TRIM(B573))=0,"",IF(ISERROR(VLOOKUP(RIGHT(B573,4),study_demographic!A:A,1,FALSE)),"NOT FOUND!!!", "OK"))</f>
        <v/>
      </c>
    </row>
    <row r="574" spans="1:13" x14ac:dyDescent="0.25">
      <c r="A574" t="str">
        <f t="shared" si="49"/>
        <v/>
      </c>
      <c r="B574" t="str">
        <f t="shared" si="50"/>
        <v/>
      </c>
      <c r="C574" s="55" t="str">
        <f>IF(LEN(TRIM(A574))=0,"",get_string_val(RIGHT(B574,4)))</f>
        <v/>
      </c>
      <c r="D574" t="str">
        <f>IF(LEN(TRIM(A574))=0,"",GetItemValueFromSpecimenHeader("timepoint"))</f>
        <v/>
      </c>
      <c r="E574" t="str">
        <f t="shared" si="51"/>
        <v/>
      </c>
      <c r="F574" t="str">
        <f t="shared" si="52"/>
        <v/>
      </c>
      <c r="G574" t="str">
        <f t="shared" si="48"/>
        <v/>
      </c>
      <c r="H574" t="str">
        <f>IF(LEN(TRIM(A574))=0,"",GetConfigParameterValue("Collection Site"))</f>
        <v/>
      </c>
      <c r="I574" t="str">
        <f t="shared" si="53"/>
        <v/>
      </c>
      <c r="M574" t="str">
        <f>IF(LEN(TRIM(B574))=0,"",IF(ISERROR(VLOOKUP(RIGHT(B574,4),study_demographic!A:A,1,FALSE)),"NOT FOUND!!!", "OK"))</f>
        <v/>
      </c>
    </row>
    <row r="575" spans="1:13" x14ac:dyDescent="0.25">
      <c r="A575" t="str">
        <f t="shared" si="49"/>
        <v/>
      </c>
      <c r="B575" t="str">
        <f t="shared" si="50"/>
        <v/>
      </c>
      <c r="C575" s="55" t="str">
        <f>IF(LEN(TRIM(A575))=0,"",get_string_val(RIGHT(B575,4)))</f>
        <v/>
      </c>
      <c r="D575" t="str">
        <f>IF(LEN(TRIM(A575))=0,"",GetItemValueFromSpecimenHeader("timepoint"))</f>
        <v/>
      </c>
      <c r="E575" t="str">
        <f t="shared" si="51"/>
        <v/>
      </c>
      <c r="F575" t="str">
        <f t="shared" si="52"/>
        <v/>
      </c>
      <c r="G575" t="str">
        <f t="shared" si="48"/>
        <v/>
      </c>
      <c r="H575" t="str">
        <f>IF(LEN(TRIM(A575))=0,"",GetConfigParameterValue("Collection Site"))</f>
        <v/>
      </c>
      <c r="I575" t="str">
        <f t="shared" si="53"/>
        <v/>
      </c>
      <c r="M575" t="str">
        <f>IF(LEN(TRIM(B575))=0,"",IF(ISERROR(VLOOKUP(RIGHT(B575,4),study_demographic!A:A,1,FALSE)),"NOT FOUND!!!", "OK"))</f>
        <v/>
      </c>
    </row>
    <row r="576" spans="1:13" x14ac:dyDescent="0.25">
      <c r="A576" t="str">
        <f t="shared" si="49"/>
        <v/>
      </c>
      <c r="B576" t="str">
        <f t="shared" si="50"/>
        <v/>
      </c>
      <c r="C576" s="55" t="str">
        <f>IF(LEN(TRIM(A576))=0,"",get_string_val(RIGHT(B576,4)))</f>
        <v/>
      </c>
      <c r="D576" t="str">
        <f>IF(LEN(TRIM(A576))=0,"",GetItemValueFromSpecimenHeader("timepoint"))</f>
        <v/>
      </c>
      <c r="E576" t="str">
        <f t="shared" si="51"/>
        <v/>
      </c>
      <c r="F576" t="str">
        <f t="shared" si="52"/>
        <v/>
      </c>
      <c r="G576" t="str">
        <f t="shared" si="48"/>
        <v/>
      </c>
      <c r="H576" t="str">
        <f>IF(LEN(TRIM(A576))=0,"",GetConfigParameterValue("Collection Site"))</f>
        <v/>
      </c>
      <c r="I576" t="str">
        <f t="shared" si="53"/>
        <v/>
      </c>
      <c r="M576" t="str">
        <f>IF(LEN(TRIM(B576))=0,"",IF(ISERROR(VLOOKUP(RIGHT(B576,4),study_demographic!A:A,1,FALSE)),"NOT FOUND!!!", "OK"))</f>
        <v/>
      </c>
    </row>
    <row r="577" spans="1:13" x14ac:dyDescent="0.25">
      <c r="A577" t="str">
        <f t="shared" si="49"/>
        <v/>
      </c>
      <c r="B577" t="str">
        <f t="shared" si="50"/>
        <v/>
      </c>
      <c r="C577" s="55" t="str">
        <f>IF(LEN(TRIM(A577))=0,"",get_string_val(RIGHT(B577,4)))</f>
        <v/>
      </c>
      <c r="D577" t="str">
        <f>IF(LEN(TRIM(A577))=0,"",GetItemValueFromSpecimenHeader("timepoint"))</f>
        <v/>
      </c>
      <c r="E577" t="str">
        <f t="shared" si="51"/>
        <v/>
      </c>
      <c r="F577" t="str">
        <f t="shared" si="52"/>
        <v/>
      </c>
      <c r="G577" t="str">
        <f t="shared" si="48"/>
        <v/>
      </c>
      <c r="H577" t="str">
        <f>IF(LEN(TRIM(A577))=0,"",GetConfigParameterValue("Collection Site"))</f>
        <v/>
      </c>
      <c r="I577" t="str">
        <f t="shared" si="53"/>
        <v/>
      </c>
      <c r="M577" t="str">
        <f>IF(LEN(TRIM(B577))=0,"",IF(ISERROR(VLOOKUP(RIGHT(B577,4),study_demographic!A:A,1,FALSE)),"NOT FOUND!!!", "OK"))</f>
        <v/>
      </c>
    </row>
    <row r="578" spans="1:13" x14ac:dyDescent="0.25">
      <c r="A578" t="str">
        <f t="shared" si="49"/>
        <v/>
      </c>
      <c r="B578" t="str">
        <f t="shared" si="50"/>
        <v/>
      </c>
      <c r="C578" s="55" t="str">
        <f>IF(LEN(TRIM(A578))=0,"",get_string_val(RIGHT(B578,4)))</f>
        <v/>
      </c>
      <c r="D578" t="str">
        <f>IF(LEN(TRIM(A578))=0,"",GetItemValueFromSpecimenHeader("timepoint"))</f>
        <v/>
      </c>
      <c r="E578" t="str">
        <f t="shared" si="51"/>
        <v/>
      </c>
      <c r="F578" t="str">
        <f t="shared" si="52"/>
        <v/>
      </c>
      <c r="G578" t="str">
        <f t="shared" ref="G578:G641" si="54">IF(LEN(TRIM(A578))=0,"",IF(TRIM(F578)="1","Male", IF(TRIM(F578)="2","Female", "NA")))</f>
        <v/>
      </c>
      <c r="H578" t="str">
        <f>IF(LEN(TRIM(A578))=0,"",GetConfigParameterValue("Collection Site"))</f>
        <v/>
      </c>
      <c r="I578" t="str">
        <f t="shared" si="53"/>
        <v/>
      </c>
      <c r="M578" t="str">
        <f>IF(LEN(TRIM(B578))=0,"",IF(ISERROR(VLOOKUP(RIGHT(B578,4),study_demographic!A:A,1,FALSE)),"NOT FOUND!!!", "OK"))</f>
        <v/>
      </c>
    </row>
    <row r="579" spans="1:13" x14ac:dyDescent="0.25">
      <c r="A579" t="str">
        <f t="shared" ref="A579:A642" si="55">GetSampleId((ROW()))</f>
        <v/>
      </c>
      <c r="B579" t="str">
        <f t="shared" ref="B579:B642" si="56">IF(LEN(TRIM(A579))=0,"",LEFT(A579,7))</f>
        <v/>
      </c>
      <c r="C579" s="55" t="str">
        <f>IF(LEN(TRIM(A579))=0,"",get_string_val(RIGHT(B579,4)))</f>
        <v/>
      </c>
      <c r="D579" t="str">
        <f>IF(LEN(TRIM(A579))=0,"",GetItemValueFromSpecimenHeader("timepoint"))</f>
        <v/>
      </c>
      <c r="E579" t="str">
        <f t="shared" ref="E579:E642" si="57">getColumnValueBySubjectID("Age",RIGHT(B579,4))</f>
        <v/>
      </c>
      <c r="F579" t="str">
        <f t="shared" ref="F579:F642" si="58">getColumnValueBySubjectID("Sex",RIGHT(B579,4))</f>
        <v/>
      </c>
      <c r="G579" t="str">
        <f t="shared" si="54"/>
        <v/>
      </c>
      <c r="H579" t="str">
        <f>IF(LEN(TRIM(A579))=0,"",GetConfigParameterValue("Collection Site"))</f>
        <v/>
      </c>
      <c r="I579" t="str">
        <f t="shared" ref="I579:I642" si="59">getColumnValueBySubjectID("Comments",B579)</f>
        <v/>
      </c>
      <c r="M579" t="str">
        <f>IF(LEN(TRIM(B579))=0,"",IF(ISERROR(VLOOKUP(RIGHT(B579,4),study_demographic!A:A,1,FALSE)),"NOT FOUND!!!", "OK"))</f>
        <v/>
      </c>
    </row>
    <row r="580" spans="1:13" x14ac:dyDescent="0.25">
      <c r="A580" t="str">
        <f t="shared" si="55"/>
        <v/>
      </c>
      <c r="B580" t="str">
        <f t="shared" si="56"/>
        <v/>
      </c>
      <c r="C580" s="55" t="str">
        <f>IF(LEN(TRIM(A580))=0,"",get_string_val(RIGHT(B580,4)))</f>
        <v/>
      </c>
      <c r="D580" t="str">
        <f>IF(LEN(TRIM(A580))=0,"",GetItemValueFromSpecimenHeader("timepoint"))</f>
        <v/>
      </c>
      <c r="E580" t="str">
        <f t="shared" si="57"/>
        <v/>
      </c>
      <c r="F580" t="str">
        <f t="shared" si="58"/>
        <v/>
      </c>
      <c r="G580" t="str">
        <f t="shared" si="54"/>
        <v/>
      </c>
      <c r="H580" t="str">
        <f>IF(LEN(TRIM(A580))=0,"",GetConfigParameterValue("Collection Site"))</f>
        <v/>
      </c>
      <c r="I580" t="str">
        <f t="shared" si="59"/>
        <v/>
      </c>
      <c r="M580" t="str">
        <f>IF(LEN(TRIM(B580))=0,"",IF(ISERROR(VLOOKUP(RIGHT(B580,4),study_demographic!A:A,1,FALSE)),"NOT FOUND!!!", "OK"))</f>
        <v/>
      </c>
    </row>
    <row r="581" spans="1:13" x14ac:dyDescent="0.25">
      <c r="A581" t="str">
        <f t="shared" si="55"/>
        <v/>
      </c>
      <c r="B581" t="str">
        <f t="shared" si="56"/>
        <v/>
      </c>
      <c r="C581" s="55" t="str">
        <f>IF(LEN(TRIM(A581))=0,"",get_string_val(RIGHT(B581,4)))</f>
        <v/>
      </c>
      <c r="D581" t="str">
        <f>IF(LEN(TRIM(A581))=0,"",GetItemValueFromSpecimenHeader("timepoint"))</f>
        <v/>
      </c>
      <c r="E581" t="str">
        <f t="shared" si="57"/>
        <v/>
      </c>
      <c r="F581" t="str">
        <f t="shared" si="58"/>
        <v/>
      </c>
      <c r="G581" t="str">
        <f t="shared" si="54"/>
        <v/>
      </c>
      <c r="H581" t="str">
        <f>IF(LEN(TRIM(A581))=0,"",GetConfigParameterValue("Collection Site"))</f>
        <v/>
      </c>
      <c r="I581" t="str">
        <f t="shared" si="59"/>
        <v/>
      </c>
      <c r="M581" t="str">
        <f>IF(LEN(TRIM(B581))=0,"",IF(ISERROR(VLOOKUP(RIGHT(B581,4),study_demographic!A:A,1,FALSE)),"NOT FOUND!!!", "OK"))</f>
        <v/>
      </c>
    </row>
    <row r="582" spans="1:13" x14ac:dyDescent="0.25">
      <c r="A582" t="str">
        <f t="shared" si="55"/>
        <v/>
      </c>
      <c r="B582" t="str">
        <f t="shared" si="56"/>
        <v/>
      </c>
      <c r="C582" s="55" t="str">
        <f>IF(LEN(TRIM(A582))=0,"",get_string_val(RIGHT(B582,4)))</f>
        <v/>
      </c>
      <c r="D582" t="str">
        <f>IF(LEN(TRIM(A582))=0,"",GetItemValueFromSpecimenHeader("timepoint"))</f>
        <v/>
      </c>
      <c r="E582" t="str">
        <f t="shared" si="57"/>
        <v/>
      </c>
      <c r="F582" t="str">
        <f t="shared" si="58"/>
        <v/>
      </c>
      <c r="G582" t="str">
        <f t="shared" si="54"/>
        <v/>
      </c>
      <c r="H582" t="str">
        <f>IF(LEN(TRIM(A582))=0,"",GetConfigParameterValue("Collection Site"))</f>
        <v/>
      </c>
      <c r="I582" t="str">
        <f t="shared" si="59"/>
        <v/>
      </c>
      <c r="M582" t="str">
        <f>IF(LEN(TRIM(B582))=0,"",IF(ISERROR(VLOOKUP(RIGHT(B582,4),study_demographic!A:A,1,FALSE)),"NOT FOUND!!!", "OK"))</f>
        <v/>
      </c>
    </row>
    <row r="583" spans="1:13" x14ac:dyDescent="0.25">
      <c r="A583" t="str">
        <f t="shared" si="55"/>
        <v/>
      </c>
      <c r="B583" t="str">
        <f t="shared" si="56"/>
        <v/>
      </c>
      <c r="C583" s="55" t="str">
        <f>IF(LEN(TRIM(A583))=0,"",get_string_val(RIGHT(B583,4)))</f>
        <v/>
      </c>
      <c r="D583" t="str">
        <f>IF(LEN(TRIM(A583))=0,"",GetItemValueFromSpecimenHeader("timepoint"))</f>
        <v/>
      </c>
      <c r="E583" t="str">
        <f t="shared" si="57"/>
        <v/>
      </c>
      <c r="F583" t="str">
        <f t="shared" si="58"/>
        <v/>
      </c>
      <c r="G583" t="str">
        <f t="shared" si="54"/>
        <v/>
      </c>
      <c r="H583" t="str">
        <f>IF(LEN(TRIM(A583))=0,"",GetConfigParameterValue("Collection Site"))</f>
        <v/>
      </c>
      <c r="I583" t="str">
        <f t="shared" si="59"/>
        <v/>
      </c>
      <c r="M583" t="str">
        <f>IF(LEN(TRIM(B583))=0,"",IF(ISERROR(VLOOKUP(RIGHT(B583,4),study_demographic!A:A,1,FALSE)),"NOT FOUND!!!", "OK"))</f>
        <v/>
      </c>
    </row>
    <row r="584" spans="1:13" x14ac:dyDescent="0.25">
      <c r="A584" t="str">
        <f t="shared" si="55"/>
        <v/>
      </c>
      <c r="B584" t="str">
        <f t="shared" si="56"/>
        <v/>
      </c>
      <c r="C584" s="55" t="str">
        <f>IF(LEN(TRIM(A584))=0,"",get_string_val(RIGHT(B584,4)))</f>
        <v/>
      </c>
      <c r="D584" t="str">
        <f>IF(LEN(TRIM(A584))=0,"",GetItemValueFromSpecimenHeader("timepoint"))</f>
        <v/>
      </c>
      <c r="E584" t="str">
        <f t="shared" si="57"/>
        <v/>
      </c>
      <c r="F584" t="str">
        <f t="shared" si="58"/>
        <v/>
      </c>
      <c r="G584" t="str">
        <f t="shared" si="54"/>
        <v/>
      </c>
      <c r="H584" t="str">
        <f>IF(LEN(TRIM(A584))=0,"",GetConfigParameterValue("Collection Site"))</f>
        <v/>
      </c>
      <c r="I584" t="str">
        <f t="shared" si="59"/>
        <v/>
      </c>
      <c r="M584" t="str">
        <f>IF(LEN(TRIM(B584))=0,"",IF(ISERROR(VLOOKUP(RIGHT(B584,4),study_demographic!A:A,1,FALSE)),"NOT FOUND!!!", "OK"))</f>
        <v/>
      </c>
    </row>
    <row r="585" spans="1:13" x14ac:dyDescent="0.25">
      <c r="A585" t="str">
        <f t="shared" si="55"/>
        <v/>
      </c>
      <c r="B585" t="str">
        <f t="shared" si="56"/>
        <v/>
      </c>
      <c r="C585" s="55" t="str">
        <f>IF(LEN(TRIM(A585))=0,"",get_string_val(RIGHT(B585,4)))</f>
        <v/>
      </c>
      <c r="D585" t="str">
        <f>IF(LEN(TRIM(A585))=0,"",GetItemValueFromSpecimenHeader("timepoint"))</f>
        <v/>
      </c>
      <c r="E585" t="str">
        <f t="shared" si="57"/>
        <v/>
      </c>
      <c r="F585" t="str">
        <f t="shared" si="58"/>
        <v/>
      </c>
      <c r="G585" t="str">
        <f t="shared" si="54"/>
        <v/>
      </c>
      <c r="H585" t="str">
        <f>IF(LEN(TRIM(A585))=0,"",GetConfigParameterValue("Collection Site"))</f>
        <v/>
      </c>
      <c r="I585" t="str">
        <f t="shared" si="59"/>
        <v/>
      </c>
      <c r="M585" t="str">
        <f>IF(LEN(TRIM(B585))=0,"",IF(ISERROR(VLOOKUP(RIGHT(B585,4),study_demographic!A:A,1,FALSE)),"NOT FOUND!!!", "OK"))</f>
        <v/>
      </c>
    </row>
    <row r="586" spans="1:13" x14ac:dyDescent="0.25">
      <c r="A586" t="str">
        <f t="shared" si="55"/>
        <v/>
      </c>
      <c r="B586" t="str">
        <f t="shared" si="56"/>
        <v/>
      </c>
      <c r="C586" s="55" t="str">
        <f>IF(LEN(TRIM(A586))=0,"",get_string_val(RIGHT(B586,4)))</f>
        <v/>
      </c>
      <c r="D586" t="str">
        <f>IF(LEN(TRIM(A586))=0,"",GetItemValueFromSpecimenHeader("timepoint"))</f>
        <v/>
      </c>
      <c r="E586" t="str">
        <f t="shared" si="57"/>
        <v/>
      </c>
      <c r="F586" t="str">
        <f t="shared" si="58"/>
        <v/>
      </c>
      <c r="G586" t="str">
        <f t="shared" si="54"/>
        <v/>
      </c>
      <c r="H586" t="str">
        <f>IF(LEN(TRIM(A586))=0,"",GetConfigParameterValue("Collection Site"))</f>
        <v/>
      </c>
      <c r="I586" t="str">
        <f t="shared" si="59"/>
        <v/>
      </c>
      <c r="M586" t="str">
        <f>IF(LEN(TRIM(B586))=0,"",IF(ISERROR(VLOOKUP(RIGHT(B586,4),study_demographic!A:A,1,FALSE)),"NOT FOUND!!!", "OK"))</f>
        <v/>
      </c>
    </row>
    <row r="587" spans="1:13" x14ac:dyDescent="0.25">
      <c r="A587" t="str">
        <f t="shared" si="55"/>
        <v/>
      </c>
      <c r="B587" t="str">
        <f t="shared" si="56"/>
        <v/>
      </c>
      <c r="C587" s="55" t="str">
        <f>IF(LEN(TRIM(A587))=0,"",get_string_val(RIGHT(B587,4)))</f>
        <v/>
      </c>
      <c r="D587" t="str">
        <f>IF(LEN(TRIM(A587))=0,"",GetItemValueFromSpecimenHeader("timepoint"))</f>
        <v/>
      </c>
      <c r="E587" t="str">
        <f t="shared" si="57"/>
        <v/>
      </c>
      <c r="F587" t="str">
        <f t="shared" si="58"/>
        <v/>
      </c>
      <c r="G587" t="str">
        <f t="shared" si="54"/>
        <v/>
      </c>
      <c r="H587" t="str">
        <f>IF(LEN(TRIM(A587))=0,"",GetConfigParameterValue("Collection Site"))</f>
        <v/>
      </c>
      <c r="I587" t="str">
        <f t="shared" si="59"/>
        <v/>
      </c>
      <c r="M587" t="str">
        <f>IF(LEN(TRIM(B587))=0,"",IF(ISERROR(VLOOKUP(RIGHT(B587,4),study_demographic!A:A,1,FALSE)),"NOT FOUND!!!", "OK"))</f>
        <v/>
      </c>
    </row>
    <row r="588" spans="1:13" x14ac:dyDescent="0.25">
      <c r="A588" t="str">
        <f t="shared" si="55"/>
        <v/>
      </c>
      <c r="B588" t="str">
        <f t="shared" si="56"/>
        <v/>
      </c>
      <c r="C588" s="55" t="str">
        <f>IF(LEN(TRIM(A588))=0,"",get_string_val(RIGHT(B588,4)))</f>
        <v/>
      </c>
      <c r="D588" t="str">
        <f>IF(LEN(TRIM(A588))=0,"",GetItemValueFromSpecimenHeader("timepoint"))</f>
        <v/>
      </c>
      <c r="E588" t="str">
        <f t="shared" si="57"/>
        <v/>
      </c>
      <c r="F588" t="str">
        <f t="shared" si="58"/>
        <v/>
      </c>
      <c r="G588" t="str">
        <f t="shared" si="54"/>
        <v/>
      </c>
      <c r="H588" t="str">
        <f>IF(LEN(TRIM(A588))=0,"",GetConfigParameterValue("Collection Site"))</f>
        <v/>
      </c>
      <c r="I588" t="str">
        <f t="shared" si="59"/>
        <v/>
      </c>
      <c r="M588" t="str">
        <f>IF(LEN(TRIM(B588))=0,"",IF(ISERROR(VLOOKUP(RIGHT(B588,4),study_demographic!A:A,1,FALSE)),"NOT FOUND!!!", "OK"))</f>
        <v/>
      </c>
    </row>
    <row r="589" spans="1:13" x14ac:dyDescent="0.25">
      <c r="A589" t="str">
        <f t="shared" si="55"/>
        <v/>
      </c>
      <c r="B589" t="str">
        <f t="shared" si="56"/>
        <v/>
      </c>
      <c r="C589" s="55" t="str">
        <f>IF(LEN(TRIM(A589))=0,"",get_string_val(RIGHT(B589,4)))</f>
        <v/>
      </c>
      <c r="D589" t="str">
        <f>IF(LEN(TRIM(A589))=0,"",GetItemValueFromSpecimenHeader("timepoint"))</f>
        <v/>
      </c>
      <c r="E589" t="str">
        <f t="shared" si="57"/>
        <v/>
      </c>
      <c r="F589" t="str">
        <f t="shared" si="58"/>
        <v/>
      </c>
      <c r="G589" t="str">
        <f t="shared" si="54"/>
        <v/>
      </c>
      <c r="H589" t="str">
        <f>IF(LEN(TRIM(A589))=0,"",GetConfigParameterValue("Collection Site"))</f>
        <v/>
      </c>
      <c r="I589" t="str">
        <f t="shared" si="59"/>
        <v/>
      </c>
      <c r="M589" t="str">
        <f>IF(LEN(TRIM(B589))=0,"",IF(ISERROR(VLOOKUP(RIGHT(B589,4),study_demographic!A:A,1,FALSE)),"NOT FOUND!!!", "OK"))</f>
        <v/>
      </c>
    </row>
    <row r="590" spans="1:13" x14ac:dyDescent="0.25">
      <c r="A590" t="str">
        <f t="shared" si="55"/>
        <v/>
      </c>
      <c r="B590" t="str">
        <f t="shared" si="56"/>
        <v/>
      </c>
      <c r="C590" s="55" t="str">
        <f>IF(LEN(TRIM(A590))=0,"",get_string_val(RIGHT(B590,4)))</f>
        <v/>
      </c>
      <c r="D590" t="str">
        <f>IF(LEN(TRIM(A590))=0,"",GetItemValueFromSpecimenHeader("timepoint"))</f>
        <v/>
      </c>
      <c r="E590" t="str">
        <f t="shared" si="57"/>
        <v/>
      </c>
      <c r="F590" t="str">
        <f t="shared" si="58"/>
        <v/>
      </c>
      <c r="G590" t="str">
        <f t="shared" si="54"/>
        <v/>
      </c>
      <c r="H590" t="str">
        <f>IF(LEN(TRIM(A590))=0,"",GetConfigParameterValue("Collection Site"))</f>
        <v/>
      </c>
      <c r="I590" t="str">
        <f t="shared" si="59"/>
        <v/>
      </c>
      <c r="M590" t="str">
        <f>IF(LEN(TRIM(B590))=0,"",IF(ISERROR(VLOOKUP(RIGHT(B590,4),study_demographic!A:A,1,FALSE)),"NOT FOUND!!!", "OK"))</f>
        <v/>
      </c>
    </row>
    <row r="591" spans="1:13" x14ac:dyDescent="0.25">
      <c r="A591" t="str">
        <f t="shared" si="55"/>
        <v/>
      </c>
      <c r="B591" t="str">
        <f t="shared" si="56"/>
        <v/>
      </c>
      <c r="C591" s="55" t="str">
        <f>IF(LEN(TRIM(A591))=0,"",get_string_val(RIGHT(B591,4)))</f>
        <v/>
      </c>
      <c r="D591" t="str">
        <f>IF(LEN(TRIM(A591))=0,"",GetItemValueFromSpecimenHeader("timepoint"))</f>
        <v/>
      </c>
      <c r="E591" t="str">
        <f t="shared" si="57"/>
        <v/>
      </c>
      <c r="F591" t="str">
        <f t="shared" si="58"/>
        <v/>
      </c>
      <c r="G591" t="str">
        <f t="shared" si="54"/>
        <v/>
      </c>
      <c r="H591" t="str">
        <f>IF(LEN(TRIM(A591))=0,"",GetConfigParameterValue("Collection Site"))</f>
        <v/>
      </c>
      <c r="I591" t="str">
        <f t="shared" si="59"/>
        <v/>
      </c>
      <c r="M591" t="str">
        <f>IF(LEN(TRIM(B591))=0,"",IF(ISERROR(VLOOKUP(RIGHT(B591,4),study_demographic!A:A,1,FALSE)),"NOT FOUND!!!", "OK"))</f>
        <v/>
      </c>
    </row>
    <row r="592" spans="1:13" x14ac:dyDescent="0.25">
      <c r="A592" t="str">
        <f t="shared" si="55"/>
        <v/>
      </c>
      <c r="B592" t="str">
        <f t="shared" si="56"/>
        <v/>
      </c>
      <c r="C592" s="55" t="str">
        <f>IF(LEN(TRIM(A592))=0,"",get_string_val(RIGHT(B592,4)))</f>
        <v/>
      </c>
      <c r="D592" t="str">
        <f>IF(LEN(TRIM(A592))=0,"",GetItemValueFromSpecimenHeader("timepoint"))</f>
        <v/>
      </c>
      <c r="E592" t="str">
        <f t="shared" si="57"/>
        <v/>
      </c>
      <c r="F592" t="str">
        <f t="shared" si="58"/>
        <v/>
      </c>
      <c r="G592" t="str">
        <f t="shared" si="54"/>
        <v/>
      </c>
      <c r="H592" t="str">
        <f>IF(LEN(TRIM(A592))=0,"",GetConfigParameterValue("Collection Site"))</f>
        <v/>
      </c>
      <c r="I592" t="str">
        <f t="shared" si="59"/>
        <v/>
      </c>
      <c r="M592" t="str">
        <f>IF(LEN(TRIM(B592))=0,"",IF(ISERROR(VLOOKUP(RIGHT(B592,4),study_demographic!A:A,1,FALSE)),"NOT FOUND!!!", "OK"))</f>
        <v/>
      </c>
    </row>
    <row r="593" spans="1:13" x14ac:dyDescent="0.25">
      <c r="A593" t="str">
        <f t="shared" si="55"/>
        <v/>
      </c>
      <c r="B593" t="str">
        <f t="shared" si="56"/>
        <v/>
      </c>
      <c r="C593" s="55" t="str">
        <f>IF(LEN(TRIM(A593))=0,"",get_string_val(RIGHT(B593,4)))</f>
        <v/>
      </c>
      <c r="D593" t="str">
        <f>IF(LEN(TRIM(A593))=0,"",GetItemValueFromSpecimenHeader("timepoint"))</f>
        <v/>
      </c>
      <c r="E593" t="str">
        <f t="shared" si="57"/>
        <v/>
      </c>
      <c r="F593" t="str">
        <f t="shared" si="58"/>
        <v/>
      </c>
      <c r="G593" t="str">
        <f t="shared" si="54"/>
        <v/>
      </c>
      <c r="H593" t="str">
        <f>IF(LEN(TRIM(A593))=0,"",GetConfigParameterValue("Collection Site"))</f>
        <v/>
      </c>
      <c r="I593" t="str">
        <f t="shared" si="59"/>
        <v/>
      </c>
      <c r="M593" t="str">
        <f>IF(LEN(TRIM(B593))=0,"",IF(ISERROR(VLOOKUP(RIGHT(B593,4),study_demographic!A:A,1,FALSE)),"NOT FOUND!!!", "OK"))</f>
        <v/>
      </c>
    </row>
    <row r="594" spans="1:13" x14ac:dyDescent="0.25">
      <c r="A594" t="str">
        <f t="shared" si="55"/>
        <v/>
      </c>
      <c r="B594" t="str">
        <f t="shared" si="56"/>
        <v/>
      </c>
      <c r="C594" s="55" t="str">
        <f>IF(LEN(TRIM(A594))=0,"",get_string_val(RIGHT(B594,4)))</f>
        <v/>
      </c>
      <c r="D594" t="str">
        <f>IF(LEN(TRIM(A594))=0,"",GetItemValueFromSpecimenHeader("timepoint"))</f>
        <v/>
      </c>
      <c r="E594" t="str">
        <f t="shared" si="57"/>
        <v/>
      </c>
      <c r="F594" t="str">
        <f t="shared" si="58"/>
        <v/>
      </c>
      <c r="G594" t="str">
        <f t="shared" si="54"/>
        <v/>
      </c>
      <c r="H594" t="str">
        <f>IF(LEN(TRIM(A594))=0,"",GetConfigParameterValue("Collection Site"))</f>
        <v/>
      </c>
      <c r="I594" t="str">
        <f t="shared" si="59"/>
        <v/>
      </c>
      <c r="M594" t="str">
        <f>IF(LEN(TRIM(B594))=0,"",IF(ISERROR(VLOOKUP(RIGHT(B594,4),study_demographic!A:A,1,FALSE)),"NOT FOUND!!!", "OK"))</f>
        <v/>
      </c>
    </row>
    <row r="595" spans="1:13" x14ac:dyDescent="0.25">
      <c r="A595" t="str">
        <f t="shared" si="55"/>
        <v/>
      </c>
      <c r="B595" t="str">
        <f t="shared" si="56"/>
        <v/>
      </c>
      <c r="C595" s="55" t="str">
        <f>IF(LEN(TRIM(A595))=0,"",get_string_val(RIGHT(B595,4)))</f>
        <v/>
      </c>
      <c r="D595" t="str">
        <f>IF(LEN(TRIM(A595))=0,"",GetItemValueFromSpecimenHeader("timepoint"))</f>
        <v/>
      </c>
      <c r="E595" t="str">
        <f t="shared" si="57"/>
        <v/>
      </c>
      <c r="F595" t="str">
        <f t="shared" si="58"/>
        <v/>
      </c>
      <c r="G595" t="str">
        <f t="shared" si="54"/>
        <v/>
      </c>
      <c r="H595" t="str">
        <f>IF(LEN(TRIM(A595))=0,"",GetConfigParameterValue("Collection Site"))</f>
        <v/>
      </c>
      <c r="I595" t="str">
        <f t="shared" si="59"/>
        <v/>
      </c>
      <c r="M595" t="str">
        <f>IF(LEN(TRIM(B595))=0,"",IF(ISERROR(VLOOKUP(RIGHT(B595,4),study_demographic!A:A,1,FALSE)),"NOT FOUND!!!", "OK"))</f>
        <v/>
      </c>
    </row>
    <row r="596" spans="1:13" x14ac:dyDescent="0.25">
      <c r="A596" t="str">
        <f t="shared" si="55"/>
        <v/>
      </c>
      <c r="B596" t="str">
        <f t="shared" si="56"/>
        <v/>
      </c>
      <c r="C596" s="55" t="str">
        <f>IF(LEN(TRIM(A596))=0,"",get_string_val(RIGHT(B596,4)))</f>
        <v/>
      </c>
      <c r="D596" t="str">
        <f>IF(LEN(TRIM(A596))=0,"",GetItemValueFromSpecimenHeader("timepoint"))</f>
        <v/>
      </c>
      <c r="E596" t="str">
        <f t="shared" si="57"/>
        <v/>
      </c>
      <c r="F596" t="str">
        <f t="shared" si="58"/>
        <v/>
      </c>
      <c r="G596" t="str">
        <f t="shared" si="54"/>
        <v/>
      </c>
      <c r="H596" t="str">
        <f>IF(LEN(TRIM(A596))=0,"",GetConfigParameterValue("Collection Site"))</f>
        <v/>
      </c>
      <c r="I596" t="str">
        <f t="shared" si="59"/>
        <v/>
      </c>
      <c r="M596" t="str">
        <f>IF(LEN(TRIM(B596))=0,"",IF(ISERROR(VLOOKUP(RIGHT(B596,4),study_demographic!A:A,1,FALSE)),"NOT FOUND!!!", "OK"))</f>
        <v/>
      </c>
    </row>
    <row r="597" spans="1:13" x14ac:dyDescent="0.25">
      <c r="A597" t="str">
        <f t="shared" si="55"/>
        <v/>
      </c>
      <c r="B597" t="str">
        <f t="shared" si="56"/>
        <v/>
      </c>
      <c r="C597" s="55" t="str">
        <f>IF(LEN(TRIM(A597))=0,"",get_string_val(RIGHT(B597,4)))</f>
        <v/>
      </c>
      <c r="D597" t="str">
        <f>IF(LEN(TRIM(A597))=0,"",GetItemValueFromSpecimenHeader("timepoint"))</f>
        <v/>
      </c>
      <c r="E597" t="str">
        <f t="shared" si="57"/>
        <v/>
      </c>
      <c r="F597" t="str">
        <f t="shared" si="58"/>
        <v/>
      </c>
      <c r="G597" t="str">
        <f t="shared" si="54"/>
        <v/>
      </c>
      <c r="H597" t="str">
        <f>IF(LEN(TRIM(A597))=0,"",GetConfigParameterValue("Collection Site"))</f>
        <v/>
      </c>
      <c r="I597" t="str">
        <f t="shared" si="59"/>
        <v/>
      </c>
      <c r="M597" t="str">
        <f>IF(LEN(TRIM(B597))=0,"",IF(ISERROR(VLOOKUP(RIGHT(B597,4),study_demographic!A:A,1,FALSE)),"NOT FOUND!!!", "OK"))</f>
        <v/>
      </c>
    </row>
    <row r="598" spans="1:13" x14ac:dyDescent="0.25">
      <c r="A598" t="str">
        <f t="shared" si="55"/>
        <v/>
      </c>
      <c r="B598" t="str">
        <f t="shared" si="56"/>
        <v/>
      </c>
      <c r="C598" s="55" t="str">
        <f>IF(LEN(TRIM(A598))=0,"",get_string_val(RIGHT(B598,4)))</f>
        <v/>
      </c>
      <c r="D598" t="str">
        <f>IF(LEN(TRIM(A598))=0,"",GetItemValueFromSpecimenHeader("timepoint"))</f>
        <v/>
      </c>
      <c r="E598" t="str">
        <f t="shared" si="57"/>
        <v/>
      </c>
      <c r="F598" t="str">
        <f t="shared" si="58"/>
        <v/>
      </c>
      <c r="G598" t="str">
        <f t="shared" si="54"/>
        <v/>
      </c>
      <c r="H598" t="str">
        <f>IF(LEN(TRIM(A598))=0,"",GetConfigParameterValue("Collection Site"))</f>
        <v/>
      </c>
      <c r="I598" t="str">
        <f t="shared" si="59"/>
        <v/>
      </c>
      <c r="M598" t="str">
        <f>IF(LEN(TRIM(B598))=0,"",IF(ISERROR(VLOOKUP(RIGHT(B598,4),study_demographic!A:A,1,FALSE)),"NOT FOUND!!!", "OK"))</f>
        <v/>
      </c>
    </row>
    <row r="599" spans="1:13" x14ac:dyDescent="0.25">
      <c r="A599" t="str">
        <f t="shared" si="55"/>
        <v/>
      </c>
      <c r="B599" t="str">
        <f t="shared" si="56"/>
        <v/>
      </c>
      <c r="C599" s="55" t="str">
        <f>IF(LEN(TRIM(A599))=0,"",get_string_val(RIGHT(B599,4)))</f>
        <v/>
      </c>
      <c r="D599" t="str">
        <f>IF(LEN(TRIM(A599))=0,"",GetItemValueFromSpecimenHeader("timepoint"))</f>
        <v/>
      </c>
      <c r="E599" t="str">
        <f t="shared" si="57"/>
        <v/>
      </c>
      <c r="F599" t="str">
        <f t="shared" si="58"/>
        <v/>
      </c>
      <c r="G599" t="str">
        <f t="shared" si="54"/>
        <v/>
      </c>
      <c r="H599" t="str">
        <f>IF(LEN(TRIM(A599))=0,"",GetConfigParameterValue("Collection Site"))</f>
        <v/>
      </c>
      <c r="I599" t="str">
        <f t="shared" si="59"/>
        <v/>
      </c>
      <c r="M599" t="str">
        <f>IF(LEN(TRIM(B599))=0,"",IF(ISERROR(VLOOKUP(RIGHT(B599,4),study_demographic!A:A,1,FALSE)),"NOT FOUND!!!", "OK"))</f>
        <v/>
      </c>
    </row>
    <row r="600" spans="1:13" x14ac:dyDescent="0.25">
      <c r="A600" t="str">
        <f t="shared" si="55"/>
        <v/>
      </c>
      <c r="B600" t="str">
        <f t="shared" si="56"/>
        <v/>
      </c>
      <c r="C600" s="55" t="str">
        <f>IF(LEN(TRIM(A600))=0,"",get_string_val(RIGHT(B600,4)))</f>
        <v/>
      </c>
      <c r="D600" t="str">
        <f>IF(LEN(TRIM(A600))=0,"",GetItemValueFromSpecimenHeader("timepoint"))</f>
        <v/>
      </c>
      <c r="E600" t="str">
        <f t="shared" si="57"/>
        <v/>
      </c>
      <c r="F600" t="str">
        <f t="shared" si="58"/>
        <v/>
      </c>
      <c r="G600" t="str">
        <f t="shared" si="54"/>
        <v/>
      </c>
      <c r="H600" t="str">
        <f>IF(LEN(TRIM(A600))=0,"",GetConfigParameterValue("Collection Site"))</f>
        <v/>
      </c>
      <c r="I600" t="str">
        <f t="shared" si="59"/>
        <v/>
      </c>
      <c r="M600" t="str">
        <f>IF(LEN(TRIM(B600))=0,"",IF(ISERROR(VLOOKUP(RIGHT(B600,4),study_demographic!A:A,1,FALSE)),"NOT FOUND!!!", "OK"))</f>
        <v/>
      </c>
    </row>
    <row r="601" spans="1:13" x14ac:dyDescent="0.25">
      <c r="A601" t="str">
        <f t="shared" si="55"/>
        <v/>
      </c>
      <c r="B601" t="str">
        <f t="shared" si="56"/>
        <v/>
      </c>
      <c r="C601" s="55" t="str">
        <f>IF(LEN(TRIM(A601))=0,"",get_string_val(RIGHT(B601,4)))</f>
        <v/>
      </c>
      <c r="D601" t="str">
        <f>IF(LEN(TRIM(A601))=0,"",GetItemValueFromSpecimenHeader("timepoint"))</f>
        <v/>
      </c>
      <c r="E601" t="str">
        <f t="shared" si="57"/>
        <v/>
      </c>
      <c r="F601" t="str">
        <f t="shared" si="58"/>
        <v/>
      </c>
      <c r="G601" t="str">
        <f t="shared" si="54"/>
        <v/>
      </c>
      <c r="H601" t="str">
        <f>IF(LEN(TRIM(A601))=0,"",GetConfigParameterValue("Collection Site"))</f>
        <v/>
      </c>
      <c r="I601" t="str">
        <f t="shared" si="59"/>
        <v/>
      </c>
      <c r="M601" t="str">
        <f>IF(LEN(TRIM(B601))=0,"",IF(ISERROR(VLOOKUP(RIGHT(B601,4),study_demographic!A:A,1,FALSE)),"NOT FOUND!!!", "OK"))</f>
        <v/>
      </c>
    </row>
    <row r="602" spans="1:13" x14ac:dyDescent="0.25">
      <c r="A602" t="str">
        <f t="shared" si="55"/>
        <v/>
      </c>
      <c r="B602" t="str">
        <f t="shared" si="56"/>
        <v/>
      </c>
      <c r="C602" s="55" t="str">
        <f>IF(LEN(TRIM(A602))=0,"",get_string_val(RIGHT(B602,4)))</f>
        <v/>
      </c>
      <c r="D602" t="str">
        <f>IF(LEN(TRIM(A602))=0,"",GetItemValueFromSpecimenHeader("timepoint"))</f>
        <v/>
      </c>
      <c r="E602" t="str">
        <f t="shared" si="57"/>
        <v/>
      </c>
      <c r="F602" t="str">
        <f t="shared" si="58"/>
        <v/>
      </c>
      <c r="G602" t="str">
        <f t="shared" si="54"/>
        <v/>
      </c>
      <c r="H602" t="str">
        <f>IF(LEN(TRIM(A602))=0,"",GetConfigParameterValue("Collection Site"))</f>
        <v/>
      </c>
      <c r="I602" t="str">
        <f t="shared" si="59"/>
        <v/>
      </c>
      <c r="M602" t="str">
        <f>IF(LEN(TRIM(B602))=0,"",IF(ISERROR(VLOOKUP(RIGHT(B602,4),study_demographic!A:A,1,FALSE)),"NOT FOUND!!!", "OK"))</f>
        <v/>
      </c>
    </row>
    <row r="603" spans="1:13" x14ac:dyDescent="0.25">
      <c r="A603" t="str">
        <f t="shared" si="55"/>
        <v/>
      </c>
      <c r="B603" t="str">
        <f t="shared" si="56"/>
        <v/>
      </c>
      <c r="C603" s="55" t="str">
        <f>IF(LEN(TRIM(A603))=0,"",get_string_val(RIGHT(B603,4)))</f>
        <v/>
      </c>
      <c r="D603" t="str">
        <f>IF(LEN(TRIM(A603))=0,"",GetItemValueFromSpecimenHeader("timepoint"))</f>
        <v/>
      </c>
      <c r="E603" t="str">
        <f t="shared" si="57"/>
        <v/>
      </c>
      <c r="F603" t="str">
        <f t="shared" si="58"/>
        <v/>
      </c>
      <c r="G603" t="str">
        <f t="shared" si="54"/>
        <v/>
      </c>
      <c r="H603" t="str">
        <f>IF(LEN(TRIM(A603))=0,"",GetConfigParameterValue("Collection Site"))</f>
        <v/>
      </c>
      <c r="I603" t="str">
        <f t="shared" si="59"/>
        <v/>
      </c>
      <c r="M603" t="str">
        <f>IF(LEN(TRIM(B603))=0,"",IF(ISERROR(VLOOKUP(RIGHT(B603,4),study_demographic!A:A,1,FALSE)),"NOT FOUND!!!", "OK"))</f>
        <v/>
      </c>
    </row>
    <row r="604" spans="1:13" x14ac:dyDescent="0.25">
      <c r="A604" t="str">
        <f t="shared" si="55"/>
        <v/>
      </c>
      <c r="B604" t="str">
        <f t="shared" si="56"/>
        <v/>
      </c>
      <c r="C604" s="55" t="str">
        <f>IF(LEN(TRIM(A604))=0,"",get_string_val(RIGHT(B604,4)))</f>
        <v/>
      </c>
      <c r="D604" t="str">
        <f>IF(LEN(TRIM(A604))=0,"",GetItemValueFromSpecimenHeader("timepoint"))</f>
        <v/>
      </c>
      <c r="E604" t="str">
        <f t="shared" si="57"/>
        <v/>
      </c>
      <c r="F604" t="str">
        <f t="shared" si="58"/>
        <v/>
      </c>
      <c r="G604" t="str">
        <f t="shared" si="54"/>
        <v/>
      </c>
      <c r="H604" t="str">
        <f>IF(LEN(TRIM(A604))=0,"",GetConfigParameterValue("Collection Site"))</f>
        <v/>
      </c>
      <c r="I604" t="str">
        <f t="shared" si="59"/>
        <v/>
      </c>
      <c r="M604" t="str">
        <f>IF(LEN(TRIM(B604))=0,"",IF(ISERROR(VLOOKUP(RIGHT(B604,4),study_demographic!A:A,1,FALSE)),"NOT FOUND!!!", "OK"))</f>
        <v/>
      </c>
    </row>
    <row r="605" spans="1:13" x14ac:dyDescent="0.25">
      <c r="A605" t="str">
        <f t="shared" si="55"/>
        <v/>
      </c>
      <c r="B605" t="str">
        <f t="shared" si="56"/>
        <v/>
      </c>
      <c r="C605" s="55" t="str">
        <f>IF(LEN(TRIM(A605))=0,"",get_string_val(RIGHT(B605,4)))</f>
        <v/>
      </c>
      <c r="D605" t="str">
        <f>IF(LEN(TRIM(A605))=0,"",GetItemValueFromSpecimenHeader("timepoint"))</f>
        <v/>
      </c>
      <c r="E605" t="str">
        <f t="shared" si="57"/>
        <v/>
      </c>
      <c r="F605" t="str">
        <f t="shared" si="58"/>
        <v/>
      </c>
      <c r="G605" t="str">
        <f t="shared" si="54"/>
        <v/>
      </c>
      <c r="H605" t="str">
        <f>IF(LEN(TRIM(A605))=0,"",GetConfigParameterValue("Collection Site"))</f>
        <v/>
      </c>
      <c r="I605" t="str">
        <f t="shared" si="59"/>
        <v/>
      </c>
      <c r="M605" t="str">
        <f>IF(LEN(TRIM(B605))=0,"",IF(ISERROR(VLOOKUP(RIGHT(B605,4),study_demographic!A:A,1,FALSE)),"NOT FOUND!!!", "OK"))</f>
        <v/>
      </c>
    </row>
    <row r="606" spans="1:13" x14ac:dyDescent="0.25">
      <c r="A606" t="str">
        <f t="shared" si="55"/>
        <v/>
      </c>
      <c r="B606" t="str">
        <f t="shared" si="56"/>
        <v/>
      </c>
      <c r="C606" s="55" t="str">
        <f>IF(LEN(TRIM(A606))=0,"",get_string_val(RIGHT(B606,4)))</f>
        <v/>
      </c>
      <c r="D606" t="str">
        <f>IF(LEN(TRIM(A606))=0,"",GetItemValueFromSpecimenHeader("timepoint"))</f>
        <v/>
      </c>
      <c r="E606" t="str">
        <f t="shared" si="57"/>
        <v/>
      </c>
      <c r="F606" t="str">
        <f t="shared" si="58"/>
        <v/>
      </c>
      <c r="G606" t="str">
        <f t="shared" si="54"/>
        <v/>
      </c>
      <c r="H606" t="str">
        <f>IF(LEN(TRIM(A606))=0,"",GetConfigParameterValue("Collection Site"))</f>
        <v/>
      </c>
      <c r="I606" t="str">
        <f t="shared" si="59"/>
        <v/>
      </c>
      <c r="M606" t="str">
        <f>IF(LEN(TRIM(B606))=0,"",IF(ISERROR(VLOOKUP(RIGHT(B606,4),study_demographic!A:A,1,FALSE)),"NOT FOUND!!!", "OK"))</f>
        <v/>
      </c>
    </row>
    <row r="607" spans="1:13" x14ac:dyDescent="0.25">
      <c r="A607" t="str">
        <f t="shared" si="55"/>
        <v/>
      </c>
      <c r="B607" t="str">
        <f t="shared" si="56"/>
        <v/>
      </c>
      <c r="C607" s="55" t="str">
        <f>IF(LEN(TRIM(A607))=0,"",get_string_val(RIGHT(B607,4)))</f>
        <v/>
      </c>
      <c r="D607" t="str">
        <f>IF(LEN(TRIM(A607))=0,"",GetItemValueFromSpecimenHeader("timepoint"))</f>
        <v/>
      </c>
      <c r="E607" t="str">
        <f t="shared" si="57"/>
        <v/>
      </c>
      <c r="F607" t="str">
        <f t="shared" si="58"/>
        <v/>
      </c>
      <c r="G607" t="str">
        <f t="shared" si="54"/>
        <v/>
      </c>
      <c r="H607" t="str">
        <f>IF(LEN(TRIM(A607))=0,"",GetConfigParameterValue("Collection Site"))</f>
        <v/>
      </c>
      <c r="I607" t="str">
        <f t="shared" si="59"/>
        <v/>
      </c>
      <c r="M607" t="str">
        <f>IF(LEN(TRIM(B607))=0,"",IF(ISERROR(VLOOKUP(RIGHT(B607,4),study_demographic!A:A,1,FALSE)),"NOT FOUND!!!", "OK"))</f>
        <v/>
      </c>
    </row>
    <row r="608" spans="1:13" x14ac:dyDescent="0.25">
      <c r="A608" t="str">
        <f t="shared" si="55"/>
        <v/>
      </c>
      <c r="B608" t="str">
        <f t="shared" si="56"/>
        <v/>
      </c>
      <c r="C608" s="55" t="str">
        <f>IF(LEN(TRIM(A608))=0,"",get_string_val(RIGHT(B608,4)))</f>
        <v/>
      </c>
      <c r="D608" t="str">
        <f>IF(LEN(TRIM(A608))=0,"",GetItemValueFromSpecimenHeader("timepoint"))</f>
        <v/>
      </c>
      <c r="E608" t="str">
        <f t="shared" si="57"/>
        <v/>
      </c>
      <c r="F608" t="str">
        <f t="shared" si="58"/>
        <v/>
      </c>
      <c r="G608" t="str">
        <f t="shared" si="54"/>
        <v/>
      </c>
      <c r="H608" t="str">
        <f>IF(LEN(TRIM(A608))=0,"",GetConfigParameterValue("Collection Site"))</f>
        <v/>
      </c>
      <c r="I608" t="str">
        <f t="shared" si="59"/>
        <v/>
      </c>
      <c r="M608" t="str">
        <f>IF(LEN(TRIM(B608))=0,"",IF(ISERROR(VLOOKUP(RIGHT(B608,4),study_demographic!A:A,1,FALSE)),"NOT FOUND!!!", "OK"))</f>
        <v/>
      </c>
    </row>
    <row r="609" spans="1:13" x14ac:dyDescent="0.25">
      <c r="A609" t="str">
        <f t="shared" si="55"/>
        <v/>
      </c>
      <c r="B609" t="str">
        <f t="shared" si="56"/>
        <v/>
      </c>
      <c r="C609" s="55" t="str">
        <f>IF(LEN(TRIM(A609))=0,"",get_string_val(RIGHT(B609,4)))</f>
        <v/>
      </c>
      <c r="D609" t="str">
        <f>IF(LEN(TRIM(A609))=0,"",GetItemValueFromSpecimenHeader("timepoint"))</f>
        <v/>
      </c>
      <c r="E609" t="str">
        <f t="shared" si="57"/>
        <v/>
      </c>
      <c r="F609" t="str">
        <f t="shared" si="58"/>
        <v/>
      </c>
      <c r="G609" t="str">
        <f t="shared" si="54"/>
        <v/>
      </c>
      <c r="H609" t="str">
        <f>IF(LEN(TRIM(A609))=0,"",GetConfigParameterValue("Collection Site"))</f>
        <v/>
      </c>
      <c r="I609" t="str">
        <f t="shared" si="59"/>
        <v/>
      </c>
      <c r="M609" t="str">
        <f>IF(LEN(TRIM(B609))=0,"",IF(ISERROR(VLOOKUP(RIGHT(B609,4),study_demographic!A:A,1,FALSE)),"NOT FOUND!!!", "OK"))</f>
        <v/>
      </c>
    </row>
    <row r="610" spans="1:13" x14ac:dyDescent="0.25">
      <c r="A610" t="str">
        <f t="shared" si="55"/>
        <v/>
      </c>
      <c r="B610" t="str">
        <f t="shared" si="56"/>
        <v/>
      </c>
      <c r="C610" s="55" t="str">
        <f>IF(LEN(TRIM(A610))=0,"",get_string_val(RIGHT(B610,4)))</f>
        <v/>
      </c>
      <c r="D610" t="str">
        <f>IF(LEN(TRIM(A610))=0,"",GetItemValueFromSpecimenHeader("timepoint"))</f>
        <v/>
      </c>
      <c r="E610" t="str">
        <f t="shared" si="57"/>
        <v/>
      </c>
      <c r="F610" t="str">
        <f t="shared" si="58"/>
        <v/>
      </c>
      <c r="G610" t="str">
        <f t="shared" si="54"/>
        <v/>
      </c>
      <c r="H610" t="str">
        <f>IF(LEN(TRIM(A610))=0,"",GetConfigParameterValue("Collection Site"))</f>
        <v/>
      </c>
      <c r="I610" t="str">
        <f t="shared" si="59"/>
        <v/>
      </c>
      <c r="M610" t="str">
        <f>IF(LEN(TRIM(B610))=0,"",IF(ISERROR(VLOOKUP(RIGHT(B610,4),study_demographic!A:A,1,FALSE)),"NOT FOUND!!!", "OK"))</f>
        <v/>
      </c>
    </row>
    <row r="611" spans="1:13" x14ac:dyDescent="0.25">
      <c r="A611" t="str">
        <f t="shared" si="55"/>
        <v/>
      </c>
      <c r="B611" t="str">
        <f t="shared" si="56"/>
        <v/>
      </c>
      <c r="C611" s="55" t="str">
        <f>IF(LEN(TRIM(A611))=0,"",get_string_val(RIGHT(B611,4)))</f>
        <v/>
      </c>
      <c r="D611" t="str">
        <f>IF(LEN(TRIM(A611))=0,"",GetItemValueFromSpecimenHeader("timepoint"))</f>
        <v/>
      </c>
      <c r="E611" t="str">
        <f t="shared" si="57"/>
        <v/>
      </c>
      <c r="F611" t="str">
        <f t="shared" si="58"/>
        <v/>
      </c>
      <c r="G611" t="str">
        <f t="shared" si="54"/>
        <v/>
      </c>
      <c r="H611" t="str">
        <f>IF(LEN(TRIM(A611))=0,"",GetConfigParameterValue("Collection Site"))</f>
        <v/>
      </c>
      <c r="I611" t="str">
        <f t="shared" si="59"/>
        <v/>
      </c>
      <c r="M611" t="str">
        <f>IF(LEN(TRIM(B611))=0,"",IF(ISERROR(VLOOKUP(RIGHT(B611,4),study_demographic!A:A,1,FALSE)),"NOT FOUND!!!", "OK"))</f>
        <v/>
      </c>
    </row>
    <row r="612" spans="1:13" x14ac:dyDescent="0.25">
      <c r="A612" t="str">
        <f t="shared" si="55"/>
        <v/>
      </c>
      <c r="B612" t="str">
        <f t="shared" si="56"/>
        <v/>
      </c>
      <c r="C612" s="55" t="str">
        <f>IF(LEN(TRIM(A612))=0,"",get_string_val(RIGHT(B612,4)))</f>
        <v/>
      </c>
      <c r="D612" t="str">
        <f>IF(LEN(TRIM(A612))=0,"",GetItemValueFromSpecimenHeader("timepoint"))</f>
        <v/>
      </c>
      <c r="E612" t="str">
        <f t="shared" si="57"/>
        <v/>
      </c>
      <c r="F612" t="str">
        <f t="shared" si="58"/>
        <v/>
      </c>
      <c r="G612" t="str">
        <f t="shared" si="54"/>
        <v/>
      </c>
      <c r="H612" t="str">
        <f>IF(LEN(TRIM(A612))=0,"",GetConfigParameterValue("Collection Site"))</f>
        <v/>
      </c>
      <c r="I612" t="str">
        <f t="shared" si="59"/>
        <v/>
      </c>
      <c r="M612" t="str">
        <f>IF(LEN(TRIM(B612))=0,"",IF(ISERROR(VLOOKUP(RIGHT(B612,4),study_demographic!A:A,1,FALSE)),"NOT FOUND!!!", "OK"))</f>
        <v/>
      </c>
    </row>
    <row r="613" spans="1:13" x14ac:dyDescent="0.25">
      <c r="A613" t="str">
        <f t="shared" si="55"/>
        <v/>
      </c>
      <c r="B613" t="str">
        <f t="shared" si="56"/>
        <v/>
      </c>
      <c r="C613" s="55" t="str">
        <f>IF(LEN(TRIM(A613))=0,"",get_string_val(RIGHT(B613,4)))</f>
        <v/>
      </c>
      <c r="D613" t="str">
        <f>IF(LEN(TRIM(A613))=0,"",GetItemValueFromSpecimenHeader("timepoint"))</f>
        <v/>
      </c>
      <c r="E613" t="str">
        <f t="shared" si="57"/>
        <v/>
      </c>
      <c r="F613" t="str">
        <f t="shared" si="58"/>
        <v/>
      </c>
      <c r="G613" t="str">
        <f t="shared" si="54"/>
        <v/>
      </c>
      <c r="H613" t="str">
        <f>IF(LEN(TRIM(A613))=0,"",GetConfigParameterValue("Collection Site"))</f>
        <v/>
      </c>
      <c r="I613" t="str">
        <f t="shared" si="59"/>
        <v/>
      </c>
      <c r="M613" t="str">
        <f>IF(LEN(TRIM(B613))=0,"",IF(ISERROR(VLOOKUP(RIGHT(B613,4),study_demographic!A:A,1,FALSE)),"NOT FOUND!!!", "OK"))</f>
        <v/>
      </c>
    </row>
    <row r="614" spans="1:13" x14ac:dyDescent="0.25">
      <c r="A614" t="str">
        <f t="shared" si="55"/>
        <v/>
      </c>
      <c r="B614" t="str">
        <f t="shared" si="56"/>
        <v/>
      </c>
      <c r="C614" s="55" t="str">
        <f>IF(LEN(TRIM(A614))=0,"",get_string_val(RIGHT(B614,4)))</f>
        <v/>
      </c>
      <c r="D614" t="str">
        <f>IF(LEN(TRIM(A614))=0,"",GetItemValueFromSpecimenHeader("timepoint"))</f>
        <v/>
      </c>
      <c r="E614" t="str">
        <f t="shared" si="57"/>
        <v/>
      </c>
      <c r="F614" t="str">
        <f t="shared" si="58"/>
        <v/>
      </c>
      <c r="G614" t="str">
        <f t="shared" si="54"/>
        <v/>
      </c>
      <c r="H614" t="str">
        <f>IF(LEN(TRIM(A614))=0,"",GetConfigParameterValue("Collection Site"))</f>
        <v/>
      </c>
      <c r="I614" t="str">
        <f t="shared" si="59"/>
        <v/>
      </c>
      <c r="M614" t="str">
        <f>IF(LEN(TRIM(B614))=0,"",IF(ISERROR(VLOOKUP(RIGHT(B614,4),study_demographic!A:A,1,FALSE)),"NOT FOUND!!!", "OK"))</f>
        <v/>
      </c>
    </row>
    <row r="615" spans="1:13" x14ac:dyDescent="0.25">
      <c r="A615" t="str">
        <f t="shared" si="55"/>
        <v/>
      </c>
      <c r="B615" t="str">
        <f t="shared" si="56"/>
        <v/>
      </c>
      <c r="C615" s="55" t="str">
        <f>IF(LEN(TRIM(A615))=0,"",get_string_val(RIGHT(B615,4)))</f>
        <v/>
      </c>
      <c r="D615" t="str">
        <f>IF(LEN(TRIM(A615))=0,"",GetItemValueFromSpecimenHeader("timepoint"))</f>
        <v/>
      </c>
      <c r="E615" t="str">
        <f t="shared" si="57"/>
        <v/>
      </c>
      <c r="F615" t="str">
        <f t="shared" si="58"/>
        <v/>
      </c>
      <c r="G615" t="str">
        <f t="shared" si="54"/>
        <v/>
      </c>
      <c r="H615" t="str">
        <f>IF(LEN(TRIM(A615))=0,"",GetConfigParameterValue("Collection Site"))</f>
        <v/>
      </c>
      <c r="I615" t="str">
        <f t="shared" si="59"/>
        <v/>
      </c>
      <c r="M615" t="str">
        <f>IF(LEN(TRIM(B615))=0,"",IF(ISERROR(VLOOKUP(RIGHT(B615,4),study_demographic!A:A,1,FALSE)),"NOT FOUND!!!", "OK"))</f>
        <v/>
      </c>
    </row>
    <row r="616" spans="1:13" x14ac:dyDescent="0.25">
      <c r="A616" t="str">
        <f t="shared" si="55"/>
        <v/>
      </c>
      <c r="B616" t="str">
        <f t="shared" si="56"/>
        <v/>
      </c>
      <c r="C616" s="55" t="str">
        <f>IF(LEN(TRIM(A616))=0,"",get_string_val(RIGHT(B616,4)))</f>
        <v/>
      </c>
      <c r="D616" t="str">
        <f>IF(LEN(TRIM(A616))=0,"",GetItemValueFromSpecimenHeader("timepoint"))</f>
        <v/>
      </c>
      <c r="E616" t="str">
        <f t="shared" si="57"/>
        <v/>
      </c>
      <c r="F616" t="str">
        <f t="shared" si="58"/>
        <v/>
      </c>
      <c r="G616" t="str">
        <f t="shared" si="54"/>
        <v/>
      </c>
      <c r="H616" t="str">
        <f>IF(LEN(TRIM(A616))=0,"",GetConfigParameterValue("Collection Site"))</f>
        <v/>
      </c>
      <c r="I616" t="str">
        <f t="shared" si="59"/>
        <v/>
      </c>
      <c r="M616" t="str">
        <f>IF(LEN(TRIM(B616))=0,"",IF(ISERROR(VLOOKUP(RIGHT(B616,4),study_demographic!A:A,1,FALSE)),"NOT FOUND!!!", "OK"))</f>
        <v/>
      </c>
    </row>
    <row r="617" spans="1:13" x14ac:dyDescent="0.25">
      <c r="A617" t="str">
        <f t="shared" si="55"/>
        <v/>
      </c>
      <c r="B617" t="str">
        <f t="shared" si="56"/>
        <v/>
      </c>
      <c r="C617" s="55" t="str">
        <f>IF(LEN(TRIM(A617))=0,"",get_string_val(RIGHT(B617,4)))</f>
        <v/>
      </c>
      <c r="D617" t="str">
        <f>IF(LEN(TRIM(A617))=0,"",GetItemValueFromSpecimenHeader("timepoint"))</f>
        <v/>
      </c>
      <c r="E617" t="str">
        <f t="shared" si="57"/>
        <v/>
      </c>
      <c r="F617" t="str">
        <f t="shared" si="58"/>
        <v/>
      </c>
      <c r="G617" t="str">
        <f t="shared" si="54"/>
        <v/>
      </c>
      <c r="H617" t="str">
        <f>IF(LEN(TRIM(A617))=0,"",GetConfigParameterValue("Collection Site"))</f>
        <v/>
      </c>
      <c r="I617" t="str">
        <f t="shared" si="59"/>
        <v/>
      </c>
      <c r="M617" t="str">
        <f>IF(LEN(TRIM(B617))=0,"",IF(ISERROR(VLOOKUP(RIGHT(B617,4),study_demographic!A:A,1,FALSE)),"NOT FOUND!!!", "OK"))</f>
        <v/>
      </c>
    </row>
    <row r="618" spans="1:13" x14ac:dyDescent="0.25">
      <c r="A618" t="str">
        <f t="shared" si="55"/>
        <v/>
      </c>
      <c r="B618" t="str">
        <f t="shared" si="56"/>
        <v/>
      </c>
      <c r="C618" s="55" t="str">
        <f>IF(LEN(TRIM(A618))=0,"",get_string_val(RIGHT(B618,4)))</f>
        <v/>
      </c>
      <c r="D618" t="str">
        <f>IF(LEN(TRIM(A618))=0,"",GetItemValueFromSpecimenHeader("timepoint"))</f>
        <v/>
      </c>
      <c r="E618" t="str">
        <f t="shared" si="57"/>
        <v/>
      </c>
      <c r="F618" t="str">
        <f t="shared" si="58"/>
        <v/>
      </c>
      <c r="G618" t="str">
        <f t="shared" si="54"/>
        <v/>
      </c>
      <c r="H618" t="str">
        <f>IF(LEN(TRIM(A618))=0,"",GetConfigParameterValue("Collection Site"))</f>
        <v/>
      </c>
      <c r="I618" t="str">
        <f t="shared" si="59"/>
        <v/>
      </c>
      <c r="M618" t="str">
        <f>IF(LEN(TRIM(B618))=0,"",IF(ISERROR(VLOOKUP(RIGHT(B618,4),study_demographic!A:A,1,FALSE)),"NOT FOUND!!!", "OK"))</f>
        <v/>
      </c>
    </row>
    <row r="619" spans="1:13" x14ac:dyDescent="0.25">
      <c r="A619" t="str">
        <f t="shared" si="55"/>
        <v/>
      </c>
      <c r="B619" t="str">
        <f t="shared" si="56"/>
        <v/>
      </c>
      <c r="C619" s="55" t="str">
        <f>IF(LEN(TRIM(A619))=0,"",get_string_val(RIGHT(B619,4)))</f>
        <v/>
      </c>
      <c r="D619" t="str">
        <f>IF(LEN(TRIM(A619))=0,"",GetItemValueFromSpecimenHeader("timepoint"))</f>
        <v/>
      </c>
      <c r="E619" t="str">
        <f t="shared" si="57"/>
        <v/>
      </c>
      <c r="F619" t="str">
        <f t="shared" si="58"/>
        <v/>
      </c>
      <c r="G619" t="str">
        <f t="shared" si="54"/>
        <v/>
      </c>
      <c r="H619" t="str">
        <f>IF(LEN(TRIM(A619))=0,"",GetConfigParameterValue("Collection Site"))</f>
        <v/>
      </c>
      <c r="I619" t="str">
        <f t="shared" si="59"/>
        <v/>
      </c>
      <c r="M619" t="str">
        <f>IF(LEN(TRIM(B619))=0,"",IF(ISERROR(VLOOKUP(RIGHT(B619,4),study_demographic!A:A,1,FALSE)),"NOT FOUND!!!", "OK"))</f>
        <v/>
      </c>
    </row>
    <row r="620" spans="1:13" x14ac:dyDescent="0.25">
      <c r="A620" t="str">
        <f t="shared" si="55"/>
        <v/>
      </c>
      <c r="B620" t="str">
        <f t="shared" si="56"/>
        <v/>
      </c>
      <c r="C620" s="55" t="str">
        <f>IF(LEN(TRIM(A620))=0,"",get_string_val(RIGHT(B620,4)))</f>
        <v/>
      </c>
      <c r="D620" t="str">
        <f>IF(LEN(TRIM(A620))=0,"",GetItemValueFromSpecimenHeader("timepoint"))</f>
        <v/>
      </c>
      <c r="E620" t="str">
        <f t="shared" si="57"/>
        <v/>
      </c>
      <c r="F620" t="str">
        <f t="shared" si="58"/>
        <v/>
      </c>
      <c r="G620" t="str">
        <f t="shared" si="54"/>
        <v/>
      </c>
      <c r="H620" t="str">
        <f>IF(LEN(TRIM(A620))=0,"",GetConfigParameterValue("Collection Site"))</f>
        <v/>
      </c>
      <c r="I620" t="str">
        <f t="shared" si="59"/>
        <v/>
      </c>
      <c r="M620" t="str">
        <f>IF(LEN(TRIM(B620))=0,"",IF(ISERROR(VLOOKUP(RIGHT(B620,4),study_demographic!A:A,1,FALSE)),"NOT FOUND!!!", "OK"))</f>
        <v/>
      </c>
    </row>
    <row r="621" spans="1:13" x14ac:dyDescent="0.25">
      <c r="A621" t="str">
        <f t="shared" si="55"/>
        <v/>
      </c>
      <c r="B621" t="str">
        <f t="shared" si="56"/>
        <v/>
      </c>
      <c r="C621" s="55" t="str">
        <f>IF(LEN(TRIM(A621))=0,"",get_string_val(RIGHT(B621,4)))</f>
        <v/>
      </c>
      <c r="D621" t="str">
        <f>IF(LEN(TRIM(A621))=0,"",GetItemValueFromSpecimenHeader("timepoint"))</f>
        <v/>
      </c>
      <c r="E621" t="str">
        <f t="shared" si="57"/>
        <v/>
      </c>
      <c r="F621" t="str">
        <f t="shared" si="58"/>
        <v/>
      </c>
      <c r="G621" t="str">
        <f t="shared" si="54"/>
        <v/>
      </c>
      <c r="H621" t="str">
        <f>IF(LEN(TRIM(A621))=0,"",GetConfigParameterValue("Collection Site"))</f>
        <v/>
      </c>
      <c r="I621" t="str">
        <f t="shared" si="59"/>
        <v/>
      </c>
      <c r="M621" t="str">
        <f>IF(LEN(TRIM(B621))=0,"",IF(ISERROR(VLOOKUP(RIGHT(B621,4),study_demographic!A:A,1,FALSE)),"NOT FOUND!!!", "OK"))</f>
        <v/>
      </c>
    </row>
    <row r="622" spans="1:13" x14ac:dyDescent="0.25">
      <c r="A622" t="str">
        <f t="shared" si="55"/>
        <v/>
      </c>
      <c r="B622" t="str">
        <f t="shared" si="56"/>
        <v/>
      </c>
      <c r="C622" s="55" t="str">
        <f>IF(LEN(TRIM(A622))=0,"",get_string_val(RIGHT(B622,4)))</f>
        <v/>
      </c>
      <c r="D622" t="str">
        <f>IF(LEN(TRIM(A622))=0,"",GetItemValueFromSpecimenHeader("timepoint"))</f>
        <v/>
      </c>
      <c r="E622" t="str">
        <f t="shared" si="57"/>
        <v/>
      </c>
      <c r="F622" t="str">
        <f t="shared" si="58"/>
        <v/>
      </c>
      <c r="G622" t="str">
        <f t="shared" si="54"/>
        <v/>
      </c>
      <c r="H622" t="str">
        <f>IF(LEN(TRIM(A622))=0,"",GetConfigParameterValue("Collection Site"))</f>
        <v/>
      </c>
      <c r="I622" t="str">
        <f t="shared" si="59"/>
        <v/>
      </c>
      <c r="M622" t="str">
        <f>IF(LEN(TRIM(B622))=0,"",IF(ISERROR(VLOOKUP(RIGHT(B622,4),study_demographic!A:A,1,FALSE)),"NOT FOUND!!!", "OK"))</f>
        <v/>
      </c>
    </row>
    <row r="623" spans="1:13" x14ac:dyDescent="0.25">
      <c r="A623" t="str">
        <f t="shared" si="55"/>
        <v/>
      </c>
      <c r="B623" t="str">
        <f t="shared" si="56"/>
        <v/>
      </c>
      <c r="C623" s="55" t="str">
        <f>IF(LEN(TRIM(A623))=0,"",get_string_val(RIGHT(B623,4)))</f>
        <v/>
      </c>
      <c r="D623" t="str">
        <f>IF(LEN(TRIM(A623))=0,"",GetItemValueFromSpecimenHeader("timepoint"))</f>
        <v/>
      </c>
      <c r="E623" t="str">
        <f t="shared" si="57"/>
        <v/>
      </c>
      <c r="F623" t="str">
        <f t="shared" si="58"/>
        <v/>
      </c>
      <c r="G623" t="str">
        <f t="shared" si="54"/>
        <v/>
      </c>
      <c r="H623" t="str">
        <f>IF(LEN(TRIM(A623))=0,"",GetConfigParameterValue("Collection Site"))</f>
        <v/>
      </c>
      <c r="I623" t="str">
        <f t="shared" si="59"/>
        <v/>
      </c>
      <c r="M623" t="str">
        <f>IF(LEN(TRIM(B623))=0,"",IF(ISERROR(VLOOKUP(RIGHT(B623,4),study_demographic!A:A,1,FALSE)),"NOT FOUND!!!", "OK"))</f>
        <v/>
      </c>
    </row>
    <row r="624" spans="1:13" x14ac:dyDescent="0.25">
      <c r="A624" t="str">
        <f t="shared" si="55"/>
        <v/>
      </c>
      <c r="B624" t="str">
        <f t="shared" si="56"/>
        <v/>
      </c>
      <c r="C624" s="55" t="str">
        <f>IF(LEN(TRIM(A624))=0,"",get_string_val(RIGHT(B624,4)))</f>
        <v/>
      </c>
      <c r="D624" t="str">
        <f>IF(LEN(TRIM(A624))=0,"",GetItemValueFromSpecimenHeader("timepoint"))</f>
        <v/>
      </c>
      <c r="E624" t="str">
        <f t="shared" si="57"/>
        <v/>
      </c>
      <c r="F624" t="str">
        <f t="shared" si="58"/>
        <v/>
      </c>
      <c r="G624" t="str">
        <f t="shared" si="54"/>
        <v/>
      </c>
      <c r="H624" t="str">
        <f>IF(LEN(TRIM(A624))=0,"",GetConfigParameterValue("Collection Site"))</f>
        <v/>
      </c>
      <c r="I624" t="str">
        <f t="shared" si="59"/>
        <v/>
      </c>
      <c r="M624" t="str">
        <f>IF(LEN(TRIM(B624))=0,"",IF(ISERROR(VLOOKUP(RIGHT(B624,4),study_demographic!A:A,1,FALSE)),"NOT FOUND!!!", "OK"))</f>
        <v/>
      </c>
    </row>
    <row r="625" spans="1:13" x14ac:dyDescent="0.25">
      <c r="A625" t="str">
        <f t="shared" si="55"/>
        <v/>
      </c>
      <c r="B625" t="str">
        <f t="shared" si="56"/>
        <v/>
      </c>
      <c r="C625" s="55" t="str">
        <f>IF(LEN(TRIM(A625))=0,"",get_string_val(RIGHT(B625,4)))</f>
        <v/>
      </c>
      <c r="D625" t="str">
        <f>IF(LEN(TRIM(A625))=0,"",GetItemValueFromSpecimenHeader("timepoint"))</f>
        <v/>
      </c>
      <c r="E625" t="str">
        <f t="shared" si="57"/>
        <v/>
      </c>
      <c r="F625" t="str">
        <f t="shared" si="58"/>
        <v/>
      </c>
      <c r="G625" t="str">
        <f t="shared" si="54"/>
        <v/>
      </c>
      <c r="H625" t="str">
        <f>IF(LEN(TRIM(A625))=0,"",GetConfigParameterValue("Collection Site"))</f>
        <v/>
      </c>
      <c r="I625" t="str">
        <f t="shared" si="59"/>
        <v/>
      </c>
      <c r="M625" t="str">
        <f>IF(LEN(TRIM(B625))=0,"",IF(ISERROR(VLOOKUP(RIGHT(B625,4),study_demographic!A:A,1,FALSE)),"NOT FOUND!!!", "OK"))</f>
        <v/>
      </c>
    </row>
    <row r="626" spans="1:13" x14ac:dyDescent="0.25">
      <c r="A626" t="str">
        <f t="shared" si="55"/>
        <v/>
      </c>
      <c r="B626" t="str">
        <f t="shared" si="56"/>
        <v/>
      </c>
      <c r="C626" s="55" t="str">
        <f>IF(LEN(TRIM(A626))=0,"",get_string_val(RIGHT(B626,4)))</f>
        <v/>
      </c>
      <c r="D626" t="str">
        <f>IF(LEN(TRIM(A626))=0,"",GetItemValueFromSpecimenHeader("timepoint"))</f>
        <v/>
      </c>
      <c r="E626" t="str">
        <f t="shared" si="57"/>
        <v/>
      </c>
      <c r="F626" t="str">
        <f t="shared" si="58"/>
        <v/>
      </c>
      <c r="G626" t="str">
        <f t="shared" si="54"/>
        <v/>
      </c>
      <c r="H626" t="str">
        <f>IF(LEN(TRIM(A626))=0,"",GetConfigParameterValue("Collection Site"))</f>
        <v/>
      </c>
      <c r="I626" t="str">
        <f t="shared" si="59"/>
        <v/>
      </c>
      <c r="M626" t="str">
        <f>IF(LEN(TRIM(B626))=0,"",IF(ISERROR(VLOOKUP(RIGHT(B626,4),study_demographic!A:A,1,FALSE)),"NOT FOUND!!!", "OK"))</f>
        <v/>
      </c>
    </row>
    <row r="627" spans="1:13" x14ac:dyDescent="0.25">
      <c r="A627" t="str">
        <f t="shared" si="55"/>
        <v/>
      </c>
      <c r="B627" t="str">
        <f t="shared" si="56"/>
        <v/>
      </c>
      <c r="C627" s="55" t="str">
        <f>IF(LEN(TRIM(A627))=0,"",get_string_val(RIGHT(B627,4)))</f>
        <v/>
      </c>
      <c r="D627" t="str">
        <f>IF(LEN(TRIM(A627))=0,"",GetItemValueFromSpecimenHeader("timepoint"))</f>
        <v/>
      </c>
      <c r="E627" t="str">
        <f t="shared" si="57"/>
        <v/>
      </c>
      <c r="F627" t="str">
        <f t="shared" si="58"/>
        <v/>
      </c>
      <c r="G627" t="str">
        <f t="shared" si="54"/>
        <v/>
      </c>
      <c r="H627" t="str">
        <f>IF(LEN(TRIM(A627))=0,"",GetConfigParameterValue("Collection Site"))</f>
        <v/>
      </c>
      <c r="I627" t="str">
        <f t="shared" si="59"/>
        <v/>
      </c>
      <c r="M627" t="str">
        <f>IF(LEN(TRIM(B627))=0,"",IF(ISERROR(VLOOKUP(RIGHT(B627,4),study_demographic!A:A,1,FALSE)),"NOT FOUND!!!", "OK"))</f>
        <v/>
      </c>
    </row>
    <row r="628" spans="1:13" x14ac:dyDescent="0.25">
      <c r="A628" t="str">
        <f t="shared" si="55"/>
        <v/>
      </c>
      <c r="B628" t="str">
        <f t="shared" si="56"/>
        <v/>
      </c>
      <c r="C628" s="55" t="str">
        <f>IF(LEN(TRIM(A628))=0,"",get_string_val(RIGHT(B628,4)))</f>
        <v/>
      </c>
      <c r="D628" t="str">
        <f>IF(LEN(TRIM(A628))=0,"",GetItemValueFromSpecimenHeader("timepoint"))</f>
        <v/>
      </c>
      <c r="E628" t="str">
        <f t="shared" si="57"/>
        <v/>
      </c>
      <c r="F628" t="str">
        <f t="shared" si="58"/>
        <v/>
      </c>
      <c r="G628" t="str">
        <f t="shared" si="54"/>
        <v/>
      </c>
      <c r="H628" t="str">
        <f>IF(LEN(TRIM(A628))=0,"",GetConfigParameterValue("Collection Site"))</f>
        <v/>
      </c>
      <c r="I628" t="str">
        <f t="shared" si="59"/>
        <v/>
      </c>
      <c r="M628" t="str">
        <f>IF(LEN(TRIM(B628))=0,"",IF(ISERROR(VLOOKUP(RIGHT(B628,4),study_demographic!A:A,1,FALSE)),"NOT FOUND!!!", "OK"))</f>
        <v/>
      </c>
    </row>
    <row r="629" spans="1:13" x14ac:dyDescent="0.25">
      <c r="A629" t="str">
        <f t="shared" si="55"/>
        <v/>
      </c>
      <c r="B629" t="str">
        <f t="shared" si="56"/>
        <v/>
      </c>
      <c r="C629" s="55" t="str">
        <f>IF(LEN(TRIM(A629))=0,"",get_string_val(RIGHT(B629,4)))</f>
        <v/>
      </c>
      <c r="D629" t="str">
        <f>IF(LEN(TRIM(A629))=0,"",GetItemValueFromSpecimenHeader("timepoint"))</f>
        <v/>
      </c>
      <c r="E629" t="str">
        <f t="shared" si="57"/>
        <v/>
      </c>
      <c r="F629" t="str">
        <f t="shared" si="58"/>
        <v/>
      </c>
      <c r="G629" t="str">
        <f t="shared" si="54"/>
        <v/>
      </c>
      <c r="H629" t="str">
        <f>IF(LEN(TRIM(A629))=0,"",GetConfigParameterValue("Collection Site"))</f>
        <v/>
      </c>
      <c r="I629" t="str">
        <f t="shared" si="59"/>
        <v/>
      </c>
      <c r="M629" t="str">
        <f>IF(LEN(TRIM(B629))=0,"",IF(ISERROR(VLOOKUP(RIGHT(B629,4),study_demographic!A:A,1,FALSE)),"NOT FOUND!!!", "OK"))</f>
        <v/>
      </c>
    </row>
    <row r="630" spans="1:13" x14ac:dyDescent="0.25">
      <c r="A630" t="str">
        <f t="shared" si="55"/>
        <v/>
      </c>
      <c r="B630" t="str">
        <f t="shared" si="56"/>
        <v/>
      </c>
      <c r="C630" s="55" t="str">
        <f>IF(LEN(TRIM(A630))=0,"",get_string_val(RIGHT(B630,4)))</f>
        <v/>
      </c>
      <c r="D630" t="str">
        <f>IF(LEN(TRIM(A630))=0,"",GetItemValueFromSpecimenHeader("timepoint"))</f>
        <v/>
      </c>
      <c r="E630" t="str">
        <f t="shared" si="57"/>
        <v/>
      </c>
      <c r="F630" t="str">
        <f t="shared" si="58"/>
        <v/>
      </c>
      <c r="G630" t="str">
        <f t="shared" si="54"/>
        <v/>
      </c>
      <c r="H630" t="str">
        <f>IF(LEN(TRIM(A630))=0,"",GetConfigParameterValue("Collection Site"))</f>
        <v/>
      </c>
      <c r="I630" t="str">
        <f t="shared" si="59"/>
        <v/>
      </c>
      <c r="M630" t="str">
        <f>IF(LEN(TRIM(B630))=0,"",IF(ISERROR(VLOOKUP(RIGHT(B630,4),study_demographic!A:A,1,FALSE)),"NOT FOUND!!!", "OK"))</f>
        <v/>
      </c>
    </row>
    <row r="631" spans="1:13" x14ac:dyDescent="0.25">
      <c r="A631" t="str">
        <f t="shared" si="55"/>
        <v/>
      </c>
      <c r="B631" t="str">
        <f t="shared" si="56"/>
        <v/>
      </c>
      <c r="C631" s="55" t="str">
        <f>IF(LEN(TRIM(A631))=0,"",get_string_val(RIGHT(B631,4)))</f>
        <v/>
      </c>
      <c r="D631" t="str">
        <f>IF(LEN(TRIM(A631))=0,"",GetItemValueFromSpecimenHeader("timepoint"))</f>
        <v/>
      </c>
      <c r="E631" t="str">
        <f t="shared" si="57"/>
        <v/>
      </c>
      <c r="F631" t="str">
        <f t="shared" si="58"/>
        <v/>
      </c>
      <c r="G631" t="str">
        <f t="shared" si="54"/>
        <v/>
      </c>
      <c r="H631" t="str">
        <f>IF(LEN(TRIM(A631))=0,"",GetConfigParameterValue("Collection Site"))</f>
        <v/>
      </c>
      <c r="I631" t="str">
        <f t="shared" si="59"/>
        <v/>
      </c>
      <c r="M631" t="str">
        <f>IF(LEN(TRIM(B631))=0,"",IF(ISERROR(VLOOKUP(RIGHT(B631,4),study_demographic!A:A,1,FALSE)),"NOT FOUND!!!", "OK"))</f>
        <v/>
      </c>
    </row>
    <row r="632" spans="1:13" x14ac:dyDescent="0.25">
      <c r="A632" t="str">
        <f t="shared" si="55"/>
        <v/>
      </c>
      <c r="B632" t="str">
        <f t="shared" si="56"/>
        <v/>
      </c>
      <c r="C632" s="55" t="str">
        <f>IF(LEN(TRIM(A632))=0,"",get_string_val(RIGHT(B632,4)))</f>
        <v/>
      </c>
      <c r="D632" t="str">
        <f>IF(LEN(TRIM(A632))=0,"",GetItemValueFromSpecimenHeader("timepoint"))</f>
        <v/>
      </c>
      <c r="E632" t="str">
        <f t="shared" si="57"/>
        <v/>
      </c>
      <c r="F632" t="str">
        <f t="shared" si="58"/>
        <v/>
      </c>
      <c r="G632" t="str">
        <f t="shared" si="54"/>
        <v/>
      </c>
      <c r="H632" t="str">
        <f>IF(LEN(TRIM(A632))=0,"",GetConfigParameterValue("Collection Site"))</f>
        <v/>
      </c>
      <c r="I632" t="str">
        <f t="shared" si="59"/>
        <v/>
      </c>
      <c r="M632" t="str">
        <f>IF(LEN(TRIM(B632))=0,"",IF(ISERROR(VLOOKUP(RIGHT(B632,4),study_demographic!A:A,1,FALSE)),"NOT FOUND!!!", "OK"))</f>
        <v/>
      </c>
    </row>
    <row r="633" spans="1:13" x14ac:dyDescent="0.25">
      <c r="A633" t="str">
        <f t="shared" si="55"/>
        <v/>
      </c>
      <c r="B633" t="str">
        <f t="shared" si="56"/>
        <v/>
      </c>
      <c r="C633" s="55" t="str">
        <f>IF(LEN(TRIM(A633))=0,"",get_string_val(RIGHT(B633,4)))</f>
        <v/>
      </c>
      <c r="D633" t="str">
        <f>IF(LEN(TRIM(A633))=0,"",GetItemValueFromSpecimenHeader("timepoint"))</f>
        <v/>
      </c>
      <c r="E633" t="str">
        <f t="shared" si="57"/>
        <v/>
      </c>
      <c r="F633" t="str">
        <f t="shared" si="58"/>
        <v/>
      </c>
      <c r="G633" t="str">
        <f t="shared" si="54"/>
        <v/>
      </c>
      <c r="H633" t="str">
        <f>IF(LEN(TRIM(A633))=0,"",GetConfigParameterValue("Collection Site"))</f>
        <v/>
      </c>
      <c r="I633" t="str">
        <f t="shared" si="59"/>
        <v/>
      </c>
      <c r="M633" t="str">
        <f>IF(LEN(TRIM(B633))=0,"",IF(ISERROR(VLOOKUP(RIGHT(B633,4),study_demographic!A:A,1,FALSE)),"NOT FOUND!!!", "OK"))</f>
        <v/>
      </c>
    </row>
    <row r="634" spans="1:13" x14ac:dyDescent="0.25">
      <c r="A634" t="str">
        <f t="shared" si="55"/>
        <v/>
      </c>
      <c r="B634" t="str">
        <f t="shared" si="56"/>
        <v/>
      </c>
      <c r="C634" s="55" t="str">
        <f>IF(LEN(TRIM(A634))=0,"",get_string_val(RIGHT(B634,4)))</f>
        <v/>
      </c>
      <c r="D634" t="str">
        <f>IF(LEN(TRIM(A634))=0,"",GetItemValueFromSpecimenHeader("timepoint"))</f>
        <v/>
      </c>
      <c r="E634" t="str">
        <f t="shared" si="57"/>
        <v/>
      </c>
      <c r="F634" t="str">
        <f t="shared" si="58"/>
        <v/>
      </c>
      <c r="G634" t="str">
        <f t="shared" si="54"/>
        <v/>
      </c>
      <c r="H634" t="str">
        <f>IF(LEN(TRIM(A634))=0,"",GetConfigParameterValue("Collection Site"))</f>
        <v/>
      </c>
      <c r="I634" t="str">
        <f t="shared" si="59"/>
        <v/>
      </c>
      <c r="M634" t="str">
        <f>IF(LEN(TRIM(B634))=0,"",IF(ISERROR(VLOOKUP(RIGHT(B634,4),study_demographic!A:A,1,FALSE)),"NOT FOUND!!!", "OK"))</f>
        <v/>
      </c>
    </row>
    <row r="635" spans="1:13" x14ac:dyDescent="0.25">
      <c r="A635" t="str">
        <f t="shared" si="55"/>
        <v/>
      </c>
      <c r="B635" t="str">
        <f t="shared" si="56"/>
        <v/>
      </c>
      <c r="C635" s="55" t="str">
        <f>IF(LEN(TRIM(A635))=0,"",get_string_val(RIGHT(B635,4)))</f>
        <v/>
      </c>
      <c r="D635" t="str">
        <f>IF(LEN(TRIM(A635))=0,"",GetItemValueFromSpecimenHeader("timepoint"))</f>
        <v/>
      </c>
      <c r="E635" t="str">
        <f t="shared" si="57"/>
        <v/>
      </c>
      <c r="F635" t="str">
        <f t="shared" si="58"/>
        <v/>
      </c>
      <c r="G635" t="str">
        <f t="shared" si="54"/>
        <v/>
      </c>
      <c r="H635" t="str">
        <f>IF(LEN(TRIM(A635))=0,"",GetConfigParameterValue("Collection Site"))</f>
        <v/>
      </c>
      <c r="I635" t="str">
        <f t="shared" si="59"/>
        <v/>
      </c>
      <c r="M635" t="str">
        <f>IF(LEN(TRIM(B635))=0,"",IF(ISERROR(VLOOKUP(RIGHT(B635,4),study_demographic!A:A,1,FALSE)),"NOT FOUND!!!", "OK"))</f>
        <v/>
      </c>
    </row>
    <row r="636" spans="1:13" x14ac:dyDescent="0.25">
      <c r="A636" t="str">
        <f t="shared" si="55"/>
        <v/>
      </c>
      <c r="B636" t="str">
        <f t="shared" si="56"/>
        <v/>
      </c>
      <c r="C636" s="55" t="str">
        <f>IF(LEN(TRIM(A636))=0,"",get_string_val(RIGHT(B636,4)))</f>
        <v/>
      </c>
      <c r="D636" t="str">
        <f>IF(LEN(TRIM(A636))=0,"",GetItemValueFromSpecimenHeader("timepoint"))</f>
        <v/>
      </c>
      <c r="E636" t="str">
        <f t="shared" si="57"/>
        <v/>
      </c>
      <c r="F636" t="str">
        <f t="shared" si="58"/>
        <v/>
      </c>
      <c r="G636" t="str">
        <f t="shared" si="54"/>
        <v/>
      </c>
      <c r="H636" t="str">
        <f>IF(LEN(TRIM(A636))=0,"",GetConfigParameterValue("Collection Site"))</f>
        <v/>
      </c>
      <c r="I636" t="str">
        <f t="shared" si="59"/>
        <v/>
      </c>
      <c r="M636" t="str">
        <f>IF(LEN(TRIM(B636))=0,"",IF(ISERROR(VLOOKUP(RIGHT(B636,4),study_demographic!A:A,1,FALSE)),"NOT FOUND!!!", "OK"))</f>
        <v/>
      </c>
    </row>
    <row r="637" spans="1:13" x14ac:dyDescent="0.25">
      <c r="A637" t="str">
        <f t="shared" si="55"/>
        <v/>
      </c>
      <c r="B637" t="str">
        <f t="shared" si="56"/>
        <v/>
      </c>
      <c r="C637" s="55" t="str">
        <f>IF(LEN(TRIM(A637))=0,"",get_string_val(RIGHT(B637,4)))</f>
        <v/>
      </c>
      <c r="D637" t="str">
        <f>IF(LEN(TRIM(A637))=0,"",GetItemValueFromSpecimenHeader("timepoint"))</f>
        <v/>
      </c>
      <c r="E637" t="str">
        <f t="shared" si="57"/>
        <v/>
      </c>
      <c r="F637" t="str">
        <f t="shared" si="58"/>
        <v/>
      </c>
      <c r="G637" t="str">
        <f t="shared" si="54"/>
        <v/>
      </c>
      <c r="H637" t="str">
        <f>IF(LEN(TRIM(A637))=0,"",GetConfigParameterValue("Collection Site"))</f>
        <v/>
      </c>
      <c r="I637" t="str">
        <f t="shared" si="59"/>
        <v/>
      </c>
      <c r="M637" t="str">
        <f>IF(LEN(TRIM(B637))=0,"",IF(ISERROR(VLOOKUP(RIGHT(B637,4),study_demographic!A:A,1,FALSE)),"NOT FOUND!!!", "OK"))</f>
        <v/>
      </c>
    </row>
    <row r="638" spans="1:13" x14ac:dyDescent="0.25">
      <c r="A638" t="str">
        <f t="shared" si="55"/>
        <v/>
      </c>
      <c r="B638" t="str">
        <f t="shared" si="56"/>
        <v/>
      </c>
      <c r="C638" s="55" t="str">
        <f>IF(LEN(TRIM(A638))=0,"",get_string_val(RIGHT(B638,4)))</f>
        <v/>
      </c>
      <c r="D638" t="str">
        <f>IF(LEN(TRIM(A638))=0,"",GetItemValueFromSpecimenHeader("timepoint"))</f>
        <v/>
      </c>
      <c r="E638" t="str">
        <f t="shared" si="57"/>
        <v/>
      </c>
      <c r="F638" t="str">
        <f t="shared" si="58"/>
        <v/>
      </c>
      <c r="G638" t="str">
        <f t="shared" si="54"/>
        <v/>
      </c>
      <c r="H638" t="str">
        <f>IF(LEN(TRIM(A638))=0,"",GetConfigParameterValue("Collection Site"))</f>
        <v/>
      </c>
      <c r="I638" t="str">
        <f t="shared" si="59"/>
        <v/>
      </c>
      <c r="M638" t="str">
        <f>IF(LEN(TRIM(B638))=0,"",IF(ISERROR(VLOOKUP(RIGHT(B638,4),study_demographic!A:A,1,FALSE)),"NOT FOUND!!!", "OK"))</f>
        <v/>
      </c>
    </row>
    <row r="639" spans="1:13" x14ac:dyDescent="0.25">
      <c r="A639" t="str">
        <f t="shared" si="55"/>
        <v/>
      </c>
      <c r="B639" t="str">
        <f t="shared" si="56"/>
        <v/>
      </c>
      <c r="C639" s="55" t="str">
        <f>IF(LEN(TRIM(A639))=0,"",get_string_val(RIGHT(B639,4)))</f>
        <v/>
      </c>
      <c r="D639" t="str">
        <f>IF(LEN(TRIM(A639))=0,"",GetItemValueFromSpecimenHeader("timepoint"))</f>
        <v/>
      </c>
      <c r="E639" t="str">
        <f t="shared" si="57"/>
        <v/>
      </c>
      <c r="F639" t="str">
        <f t="shared" si="58"/>
        <v/>
      </c>
      <c r="G639" t="str">
        <f t="shared" si="54"/>
        <v/>
      </c>
      <c r="H639" t="str">
        <f>IF(LEN(TRIM(A639))=0,"",GetConfigParameterValue("Collection Site"))</f>
        <v/>
      </c>
      <c r="I639" t="str">
        <f t="shared" si="59"/>
        <v/>
      </c>
      <c r="M639" t="str">
        <f>IF(LEN(TRIM(B639))=0,"",IF(ISERROR(VLOOKUP(RIGHT(B639,4),study_demographic!A:A,1,FALSE)),"NOT FOUND!!!", "OK"))</f>
        <v/>
      </c>
    </row>
    <row r="640" spans="1:13" x14ac:dyDescent="0.25">
      <c r="A640" t="str">
        <f t="shared" si="55"/>
        <v/>
      </c>
      <c r="B640" t="str">
        <f t="shared" si="56"/>
        <v/>
      </c>
      <c r="C640" s="55" t="str">
        <f>IF(LEN(TRIM(A640))=0,"",get_string_val(RIGHT(B640,4)))</f>
        <v/>
      </c>
      <c r="D640" t="str">
        <f>IF(LEN(TRIM(A640))=0,"",GetItemValueFromSpecimenHeader("timepoint"))</f>
        <v/>
      </c>
      <c r="E640" t="str">
        <f t="shared" si="57"/>
        <v/>
      </c>
      <c r="F640" t="str">
        <f t="shared" si="58"/>
        <v/>
      </c>
      <c r="G640" t="str">
        <f t="shared" si="54"/>
        <v/>
      </c>
      <c r="H640" t="str">
        <f>IF(LEN(TRIM(A640))=0,"",GetConfigParameterValue("Collection Site"))</f>
        <v/>
      </c>
      <c r="I640" t="str">
        <f t="shared" si="59"/>
        <v/>
      </c>
      <c r="M640" t="str">
        <f>IF(LEN(TRIM(B640))=0,"",IF(ISERROR(VLOOKUP(RIGHT(B640,4),study_demographic!A:A,1,FALSE)),"NOT FOUND!!!", "OK"))</f>
        <v/>
      </c>
    </row>
    <row r="641" spans="1:13" x14ac:dyDescent="0.25">
      <c r="A641" t="str">
        <f t="shared" si="55"/>
        <v/>
      </c>
      <c r="B641" t="str">
        <f t="shared" si="56"/>
        <v/>
      </c>
      <c r="C641" s="55" t="str">
        <f>IF(LEN(TRIM(A641))=0,"",get_string_val(RIGHT(B641,4)))</f>
        <v/>
      </c>
      <c r="D641" t="str">
        <f>IF(LEN(TRIM(A641))=0,"",GetItemValueFromSpecimenHeader("timepoint"))</f>
        <v/>
      </c>
      <c r="E641" t="str">
        <f t="shared" si="57"/>
        <v/>
      </c>
      <c r="F641" t="str">
        <f t="shared" si="58"/>
        <v/>
      </c>
      <c r="G641" t="str">
        <f t="shared" si="54"/>
        <v/>
      </c>
      <c r="H641" t="str">
        <f>IF(LEN(TRIM(A641))=0,"",GetConfigParameterValue("Collection Site"))</f>
        <v/>
      </c>
      <c r="I641" t="str">
        <f t="shared" si="59"/>
        <v/>
      </c>
      <c r="M641" t="str">
        <f>IF(LEN(TRIM(B641))=0,"",IF(ISERROR(VLOOKUP(RIGHT(B641,4),study_demographic!A:A,1,FALSE)),"NOT FOUND!!!", "OK"))</f>
        <v/>
      </c>
    </row>
    <row r="642" spans="1:13" x14ac:dyDescent="0.25">
      <c r="A642" t="str">
        <f t="shared" si="55"/>
        <v/>
      </c>
      <c r="B642" t="str">
        <f t="shared" si="56"/>
        <v/>
      </c>
      <c r="C642" s="55" t="str">
        <f>IF(LEN(TRIM(A642))=0,"",get_string_val(RIGHT(B642,4)))</f>
        <v/>
      </c>
      <c r="D642" t="str">
        <f>IF(LEN(TRIM(A642))=0,"",GetItemValueFromSpecimenHeader("timepoint"))</f>
        <v/>
      </c>
      <c r="E642" t="str">
        <f t="shared" si="57"/>
        <v/>
      </c>
      <c r="F642" t="str">
        <f t="shared" si="58"/>
        <v/>
      </c>
      <c r="G642" t="str">
        <f t="shared" ref="G642:G705" si="60">IF(LEN(TRIM(A642))=0,"",IF(TRIM(F642)="1","Male", IF(TRIM(F642)="2","Female", "NA")))</f>
        <v/>
      </c>
      <c r="H642" t="str">
        <f>IF(LEN(TRIM(A642))=0,"",GetConfigParameterValue("Collection Site"))</f>
        <v/>
      </c>
      <c r="I642" t="str">
        <f t="shared" si="59"/>
        <v/>
      </c>
      <c r="M642" t="str">
        <f>IF(LEN(TRIM(B642))=0,"",IF(ISERROR(VLOOKUP(RIGHT(B642,4),study_demographic!A:A,1,FALSE)),"NOT FOUND!!!", "OK"))</f>
        <v/>
      </c>
    </row>
    <row r="643" spans="1:13" x14ac:dyDescent="0.25">
      <c r="A643" t="str">
        <f t="shared" ref="A643:A706" si="61">GetSampleId((ROW()))</f>
        <v/>
      </c>
      <c r="B643" t="str">
        <f t="shared" ref="B643:B706" si="62">IF(LEN(TRIM(A643))=0,"",LEFT(A643,7))</f>
        <v/>
      </c>
      <c r="C643" s="55" t="str">
        <f>IF(LEN(TRIM(A643))=0,"",get_string_val(RIGHT(B643,4)))</f>
        <v/>
      </c>
      <c r="D643" t="str">
        <f>IF(LEN(TRIM(A643))=0,"",GetItemValueFromSpecimenHeader("timepoint"))</f>
        <v/>
      </c>
      <c r="E643" t="str">
        <f t="shared" ref="E643:E706" si="63">getColumnValueBySubjectID("Age",RIGHT(B643,4))</f>
        <v/>
      </c>
      <c r="F643" t="str">
        <f t="shared" ref="F643:F706" si="64">getColumnValueBySubjectID("Sex",RIGHT(B643,4))</f>
        <v/>
      </c>
      <c r="G643" t="str">
        <f t="shared" si="60"/>
        <v/>
      </c>
      <c r="H643" t="str">
        <f>IF(LEN(TRIM(A643))=0,"",GetConfigParameterValue("Collection Site"))</f>
        <v/>
      </c>
      <c r="I643" t="str">
        <f t="shared" ref="I643:I706" si="65">getColumnValueBySubjectID("Comments",B643)</f>
        <v/>
      </c>
      <c r="M643" t="str">
        <f>IF(LEN(TRIM(B643))=0,"",IF(ISERROR(VLOOKUP(RIGHT(B643,4),study_demographic!A:A,1,FALSE)),"NOT FOUND!!!", "OK"))</f>
        <v/>
      </c>
    </row>
    <row r="644" spans="1:13" x14ac:dyDescent="0.25">
      <c r="A644" t="str">
        <f t="shared" si="61"/>
        <v/>
      </c>
      <c r="B644" t="str">
        <f t="shared" si="62"/>
        <v/>
      </c>
      <c r="C644" s="55" t="str">
        <f>IF(LEN(TRIM(A644))=0,"",get_string_val(RIGHT(B644,4)))</f>
        <v/>
      </c>
      <c r="D644" t="str">
        <f>IF(LEN(TRIM(A644))=0,"",GetItemValueFromSpecimenHeader("timepoint"))</f>
        <v/>
      </c>
      <c r="E644" t="str">
        <f t="shared" si="63"/>
        <v/>
      </c>
      <c r="F644" t="str">
        <f t="shared" si="64"/>
        <v/>
      </c>
      <c r="G644" t="str">
        <f t="shared" si="60"/>
        <v/>
      </c>
      <c r="H644" t="str">
        <f>IF(LEN(TRIM(A644))=0,"",GetConfigParameterValue("Collection Site"))</f>
        <v/>
      </c>
      <c r="I644" t="str">
        <f t="shared" si="65"/>
        <v/>
      </c>
      <c r="M644" t="str">
        <f>IF(LEN(TRIM(B644))=0,"",IF(ISERROR(VLOOKUP(RIGHT(B644,4),study_demographic!A:A,1,FALSE)),"NOT FOUND!!!", "OK"))</f>
        <v/>
      </c>
    </row>
    <row r="645" spans="1:13" x14ac:dyDescent="0.25">
      <c r="A645" t="str">
        <f t="shared" si="61"/>
        <v/>
      </c>
      <c r="B645" t="str">
        <f t="shared" si="62"/>
        <v/>
      </c>
      <c r="C645" s="55" t="str">
        <f>IF(LEN(TRIM(A645))=0,"",get_string_val(RIGHT(B645,4)))</f>
        <v/>
      </c>
      <c r="D645" t="str">
        <f>IF(LEN(TRIM(A645))=0,"",GetItemValueFromSpecimenHeader("timepoint"))</f>
        <v/>
      </c>
      <c r="E645" t="str">
        <f t="shared" si="63"/>
        <v/>
      </c>
      <c r="F645" t="str">
        <f t="shared" si="64"/>
        <v/>
      </c>
      <c r="G645" t="str">
        <f t="shared" si="60"/>
        <v/>
      </c>
      <c r="H645" t="str">
        <f>IF(LEN(TRIM(A645))=0,"",GetConfigParameterValue("Collection Site"))</f>
        <v/>
      </c>
      <c r="I645" t="str">
        <f t="shared" si="65"/>
        <v/>
      </c>
      <c r="M645" t="str">
        <f>IF(LEN(TRIM(B645))=0,"",IF(ISERROR(VLOOKUP(RIGHT(B645,4),study_demographic!A:A,1,FALSE)),"NOT FOUND!!!", "OK"))</f>
        <v/>
      </c>
    </row>
    <row r="646" spans="1:13" x14ac:dyDescent="0.25">
      <c r="A646" t="str">
        <f t="shared" si="61"/>
        <v/>
      </c>
      <c r="B646" t="str">
        <f t="shared" si="62"/>
        <v/>
      </c>
      <c r="C646" s="55" t="str">
        <f>IF(LEN(TRIM(A646))=0,"",get_string_val(RIGHT(B646,4)))</f>
        <v/>
      </c>
      <c r="D646" t="str">
        <f>IF(LEN(TRIM(A646))=0,"",GetItemValueFromSpecimenHeader("timepoint"))</f>
        <v/>
      </c>
      <c r="E646" t="str">
        <f t="shared" si="63"/>
        <v/>
      </c>
      <c r="F646" t="str">
        <f t="shared" si="64"/>
        <v/>
      </c>
      <c r="G646" t="str">
        <f t="shared" si="60"/>
        <v/>
      </c>
      <c r="H646" t="str">
        <f>IF(LEN(TRIM(A646))=0,"",GetConfigParameterValue("Collection Site"))</f>
        <v/>
      </c>
      <c r="I646" t="str">
        <f t="shared" si="65"/>
        <v/>
      </c>
      <c r="M646" t="str">
        <f>IF(LEN(TRIM(B646))=0,"",IF(ISERROR(VLOOKUP(RIGHT(B646,4),study_demographic!A:A,1,FALSE)),"NOT FOUND!!!", "OK"))</f>
        <v/>
      </c>
    </row>
    <row r="647" spans="1:13" x14ac:dyDescent="0.25">
      <c r="A647" t="str">
        <f t="shared" si="61"/>
        <v/>
      </c>
      <c r="B647" t="str">
        <f t="shared" si="62"/>
        <v/>
      </c>
      <c r="C647" s="55" t="str">
        <f>IF(LEN(TRIM(A647))=0,"",get_string_val(RIGHT(B647,4)))</f>
        <v/>
      </c>
      <c r="D647" t="str">
        <f>IF(LEN(TRIM(A647))=0,"",GetItemValueFromSpecimenHeader("timepoint"))</f>
        <v/>
      </c>
      <c r="E647" t="str">
        <f t="shared" si="63"/>
        <v/>
      </c>
      <c r="F647" t="str">
        <f t="shared" si="64"/>
        <v/>
      </c>
      <c r="G647" t="str">
        <f t="shared" si="60"/>
        <v/>
      </c>
      <c r="H647" t="str">
        <f>IF(LEN(TRIM(A647))=0,"",GetConfigParameterValue("Collection Site"))</f>
        <v/>
      </c>
      <c r="I647" t="str">
        <f t="shared" si="65"/>
        <v/>
      </c>
      <c r="M647" t="str">
        <f>IF(LEN(TRIM(B647))=0,"",IF(ISERROR(VLOOKUP(RIGHT(B647,4),study_demographic!A:A,1,FALSE)),"NOT FOUND!!!", "OK"))</f>
        <v/>
      </c>
    </row>
    <row r="648" spans="1:13" x14ac:dyDescent="0.25">
      <c r="A648" t="str">
        <f t="shared" si="61"/>
        <v/>
      </c>
      <c r="B648" t="str">
        <f t="shared" si="62"/>
        <v/>
      </c>
      <c r="C648" s="55" t="str">
        <f>IF(LEN(TRIM(A648))=0,"",get_string_val(RIGHT(B648,4)))</f>
        <v/>
      </c>
      <c r="D648" t="str">
        <f>IF(LEN(TRIM(A648))=0,"",GetItemValueFromSpecimenHeader("timepoint"))</f>
        <v/>
      </c>
      <c r="E648" t="str">
        <f t="shared" si="63"/>
        <v/>
      </c>
      <c r="F648" t="str">
        <f t="shared" si="64"/>
        <v/>
      </c>
      <c r="G648" t="str">
        <f t="shared" si="60"/>
        <v/>
      </c>
      <c r="H648" t="str">
        <f>IF(LEN(TRIM(A648))=0,"",GetConfigParameterValue("Collection Site"))</f>
        <v/>
      </c>
      <c r="I648" t="str">
        <f t="shared" si="65"/>
        <v/>
      </c>
      <c r="M648" t="str">
        <f>IF(LEN(TRIM(B648))=0,"",IF(ISERROR(VLOOKUP(RIGHT(B648,4),study_demographic!A:A,1,FALSE)),"NOT FOUND!!!", "OK"))</f>
        <v/>
      </c>
    </row>
    <row r="649" spans="1:13" x14ac:dyDescent="0.25">
      <c r="A649" t="str">
        <f t="shared" si="61"/>
        <v/>
      </c>
      <c r="B649" t="str">
        <f t="shared" si="62"/>
        <v/>
      </c>
      <c r="C649" s="55" t="str">
        <f>IF(LEN(TRIM(A649))=0,"",get_string_val(RIGHT(B649,4)))</f>
        <v/>
      </c>
      <c r="D649" t="str">
        <f>IF(LEN(TRIM(A649))=0,"",GetItemValueFromSpecimenHeader("timepoint"))</f>
        <v/>
      </c>
      <c r="E649" t="str">
        <f t="shared" si="63"/>
        <v/>
      </c>
      <c r="F649" t="str">
        <f t="shared" si="64"/>
        <v/>
      </c>
      <c r="G649" t="str">
        <f t="shared" si="60"/>
        <v/>
      </c>
      <c r="H649" t="str">
        <f>IF(LEN(TRIM(A649))=0,"",GetConfigParameterValue("Collection Site"))</f>
        <v/>
      </c>
      <c r="I649" t="str">
        <f t="shared" si="65"/>
        <v/>
      </c>
      <c r="M649" t="str">
        <f>IF(LEN(TRIM(B649))=0,"",IF(ISERROR(VLOOKUP(RIGHT(B649,4),study_demographic!A:A,1,FALSE)),"NOT FOUND!!!", "OK"))</f>
        <v/>
      </c>
    </row>
    <row r="650" spans="1:13" x14ac:dyDescent="0.25">
      <c r="A650" t="str">
        <f t="shared" si="61"/>
        <v/>
      </c>
      <c r="B650" t="str">
        <f t="shared" si="62"/>
        <v/>
      </c>
      <c r="C650" s="55" t="str">
        <f>IF(LEN(TRIM(A650))=0,"",get_string_val(RIGHT(B650,4)))</f>
        <v/>
      </c>
      <c r="D650" t="str">
        <f>IF(LEN(TRIM(A650))=0,"",GetItemValueFromSpecimenHeader("timepoint"))</f>
        <v/>
      </c>
      <c r="E650" t="str">
        <f t="shared" si="63"/>
        <v/>
      </c>
      <c r="F650" t="str">
        <f t="shared" si="64"/>
        <v/>
      </c>
      <c r="G650" t="str">
        <f t="shared" si="60"/>
        <v/>
      </c>
      <c r="H650" t="str">
        <f>IF(LEN(TRIM(A650))=0,"",GetConfigParameterValue("Collection Site"))</f>
        <v/>
      </c>
      <c r="I650" t="str">
        <f t="shared" si="65"/>
        <v/>
      </c>
      <c r="M650" t="str">
        <f>IF(LEN(TRIM(B650))=0,"",IF(ISERROR(VLOOKUP(RIGHT(B650,4),study_demographic!A:A,1,FALSE)),"NOT FOUND!!!", "OK"))</f>
        <v/>
      </c>
    </row>
    <row r="651" spans="1:13" x14ac:dyDescent="0.25">
      <c r="A651" t="str">
        <f t="shared" si="61"/>
        <v/>
      </c>
      <c r="B651" t="str">
        <f t="shared" si="62"/>
        <v/>
      </c>
      <c r="C651" s="55" t="str">
        <f>IF(LEN(TRIM(A651))=0,"",get_string_val(RIGHT(B651,4)))</f>
        <v/>
      </c>
      <c r="D651" t="str">
        <f>IF(LEN(TRIM(A651))=0,"",GetItemValueFromSpecimenHeader("timepoint"))</f>
        <v/>
      </c>
      <c r="E651" t="str">
        <f t="shared" si="63"/>
        <v/>
      </c>
      <c r="F651" t="str">
        <f t="shared" si="64"/>
        <v/>
      </c>
      <c r="G651" t="str">
        <f t="shared" si="60"/>
        <v/>
      </c>
      <c r="H651" t="str">
        <f>IF(LEN(TRIM(A651))=0,"",GetConfigParameterValue("Collection Site"))</f>
        <v/>
      </c>
      <c r="I651" t="str">
        <f t="shared" si="65"/>
        <v/>
      </c>
      <c r="M651" t="str">
        <f>IF(LEN(TRIM(B651))=0,"",IF(ISERROR(VLOOKUP(RIGHT(B651,4),study_demographic!A:A,1,FALSE)),"NOT FOUND!!!", "OK"))</f>
        <v/>
      </c>
    </row>
    <row r="652" spans="1:13" x14ac:dyDescent="0.25">
      <c r="A652" t="str">
        <f t="shared" si="61"/>
        <v/>
      </c>
      <c r="B652" t="str">
        <f t="shared" si="62"/>
        <v/>
      </c>
      <c r="C652" s="55" t="str">
        <f>IF(LEN(TRIM(A652))=0,"",get_string_val(RIGHT(B652,4)))</f>
        <v/>
      </c>
      <c r="D652" t="str">
        <f>IF(LEN(TRIM(A652))=0,"",GetItemValueFromSpecimenHeader("timepoint"))</f>
        <v/>
      </c>
      <c r="E652" t="str">
        <f t="shared" si="63"/>
        <v/>
      </c>
      <c r="F652" t="str">
        <f t="shared" si="64"/>
        <v/>
      </c>
      <c r="G652" t="str">
        <f t="shared" si="60"/>
        <v/>
      </c>
      <c r="H652" t="str">
        <f>IF(LEN(TRIM(A652))=0,"",GetConfigParameterValue("Collection Site"))</f>
        <v/>
      </c>
      <c r="I652" t="str">
        <f t="shared" si="65"/>
        <v/>
      </c>
      <c r="M652" t="str">
        <f>IF(LEN(TRIM(B652))=0,"",IF(ISERROR(VLOOKUP(RIGHT(B652,4),study_demographic!A:A,1,FALSE)),"NOT FOUND!!!", "OK"))</f>
        <v/>
      </c>
    </row>
    <row r="653" spans="1:13" x14ac:dyDescent="0.25">
      <c r="A653" t="str">
        <f t="shared" si="61"/>
        <v/>
      </c>
      <c r="B653" t="str">
        <f t="shared" si="62"/>
        <v/>
      </c>
      <c r="C653" s="55" t="str">
        <f>IF(LEN(TRIM(A653))=0,"",get_string_val(RIGHT(B653,4)))</f>
        <v/>
      </c>
      <c r="D653" t="str">
        <f>IF(LEN(TRIM(A653))=0,"",GetItemValueFromSpecimenHeader("timepoint"))</f>
        <v/>
      </c>
      <c r="E653" t="str">
        <f t="shared" si="63"/>
        <v/>
      </c>
      <c r="F653" t="str">
        <f t="shared" si="64"/>
        <v/>
      </c>
      <c r="G653" t="str">
        <f t="shared" si="60"/>
        <v/>
      </c>
      <c r="H653" t="str">
        <f>IF(LEN(TRIM(A653))=0,"",GetConfigParameterValue("Collection Site"))</f>
        <v/>
      </c>
      <c r="I653" t="str">
        <f t="shared" si="65"/>
        <v/>
      </c>
      <c r="M653" t="str">
        <f>IF(LEN(TRIM(B653))=0,"",IF(ISERROR(VLOOKUP(RIGHT(B653,4),study_demographic!A:A,1,FALSE)),"NOT FOUND!!!", "OK"))</f>
        <v/>
      </c>
    </row>
    <row r="654" spans="1:13" x14ac:dyDescent="0.25">
      <c r="A654" t="str">
        <f t="shared" si="61"/>
        <v/>
      </c>
      <c r="B654" t="str">
        <f t="shared" si="62"/>
        <v/>
      </c>
      <c r="C654" s="55" t="str">
        <f>IF(LEN(TRIM(A654))=0,"",get_string_val(RIGHT(B654,4)))</f>
        <v/>
      </c>
      <c r="D654" t="str">
        <f>IF(LEN(TRIM(A654))=0,"",GetItemValueFromSpecimenHeader("timepoint"))</f>
        <v/>
      </c>
      <c r="E654" t="str">
        <f t="shared" si="63"/>
        <v/>
      </c>
      <c r="F654" t="str">
        <f t="shared" si="64"/>
        <v/>
      </c>
      <c r="G654" t="str">
        <f t="shared" si="60"/>
        <v/>
      </c>
      <c r="H654" t="str">
        <f>IF(LEN(TRIM(A654))=0,"",GetConfigParameterValue("Collection Site"))</f>
        <v/>
      </c>
      <c r="I654" t="str">
        <f t="shared" si="65"/>
        <v/>
      </c>
      <c r="M654" t="str">
        <f>IF(LEN(TRIM(B654))=0,"",IF(ISERROR(VLOOKUP(RIGHT(B654,4),study_demographic!A:A,1,FALSE)),"NOT FOUND!!!", "OK"))</f>
        <v/>
      </c>
    </row>
    <row r="655" spans="1:13" x14ac:dyDescent="0.25">
      <c r="A655" t="str">
        <f t="shared" si="61"/>
        <v/>
      </c>
      <c r="B655" t="str">
        <f t="shared" si="62"/>
        <v/>
      </c>
      <c r="C655" s="55" t="str">
        <f>IF(LEN(TRIM(A655))=0,"",get_string_val(RIGHT(B655,4)))</f>
        <v/>
      </c>
      <c r="D655" t="str">
        <f>IF(LEN(TRIM(A655))=0,"",GetItemValueFromSpecimenHeader("timepoint"))</f>
        <v/>
      </c>
      <c r="E655" t="str">
        <f t="shared" si="63"/>
        <v/>
      </c>
      <c r="F655" t="str">
        <f t="shared" si="64"/>
        <v/>
      </c>
      <c r="G655" t="str">
        <f t="shared" si="60"/>
        <v/>
      </c>
      <c r="H655" t="str">
        <f>IF(LEN(TRIM(A655))=0,"",GetConfigParameterValue("Collection Site"))</f>
        <v/>
      </c>
      <c r="I655" t="str">
        <f t="shared" si="65"/>
        <v/>
      </c>
      <c r="M655" t="str">
        <f>IF(LEN(TRIM(B655))=0,"",IF(ISERROR(VLOOKUP(RIGHT(B655,4),study_demographic!A:A,1,FALSE)),"NOT FOUND!!!", "OK"))</f>
        <v/>
      </c>
    </row>
    <row r="656" spans="1:13" x14ac:dyDescent="0.25">
      <c r="A656" t="str">
        <f t="shared" si="61"/>
        <v/>
      </c>
      <c r="B656" t="str">
        <f t="shared" si="62"/>
        <v/>
      </c>
      <c r="C656" s="55" t="str">
        <f>IF(LEN(TRIM(A656))=0,"",get_string_val(RIGHT(B656,4)))</f>
        <v/>
      </c>
      <c r="D656" t="str">
        <f>IF(LEN(TRIM(A656))=0,"",GetItemValueFromSpecimenHeader("timepoint"))</f>
        <v/>
      </c>
      <c r="E656" t="str">
        <f t="shared" si="63"/>
        <v/>
      </c>
      <c r="F656" t="str">
        <f t="shared" si="64"/>
        <v/>
      </c>
      <c r="G656" t="str">
        <f t="shared" si="60"/>
        <v/>
      </c>
      <c r="H656" t="str">
        <f>IF(LEN(TRIM(A656))=0,"",GetConfigParameterValue("Collection Site"))</f>
        <v/>
      </c>
      <c r="I656" t="str">
        <f t="shared" si="65"/>
        <v/>
      </c>
      <c r="M656" t="str">
        <f>IF(LEN(TRIM(B656))=0,"",IF(ISERROR(VLOOKUP(RIGHT(B656,4),study_demographic!A:A,1,FALSE)),"NOT FOUND!!!", "OK"))</f>
        <v/>
      </c>
    </row>
    <row r="657" spans="1:13" x14ac:dyDescent="0.25">
      <c r="A657" t="str">
        <f t="shared" si="61"/>
        <v/>
      </c>
      <c r="B657" t="str">
        <f t="shared" si="62"/>
        <v/>
      </c>
      <c r="C657" s="55" t="str">
        <f>IF(LEN(TRIM(A657))=0,"",get_string_val(RIGHT(B657,4)))</f>
        <v/>
      </c>
      <c r="D657" t="str">
        <f>IF(LEN(TRIM(A657))=0,"",GetItemValueFromSpecimenHeader("timepoint"))</f>
        <v/>
      </c>
      <c r="E657" t="str">
        <f t="shared" si="63"/>
        <v/>
      </c>
      <c r="F657" t="str">
        <f t="shared" si="64"/>
        <v/>
      </c>
      <c r="G657" t="str">
        <f t="shared" si="60"/>
        <v/>
      </c>
      <c r="H657" t="str">
        <f>IF(LEN(TRIM(A657))=0,"",GetConfigParameterValue("Collection Site"))</f>
        <v/>
      </c>
      <c r="I657" t="str">
        <f t="shared" si="65"/>
        <v/>
      </c>
      <c r="M657" t="str">
        <f>IF(LEN(TRIM(B657))=0,"",IF(ISERROR(VLOOKUP(RIGHT(B657,4),study_demographic!A:A,1,FALSE)),"NOT FOUND!!!", "OK"))</f>
        <v/>
      </c>
    </row>
    <row r="658" spans="1:13" x14ac:dyDescent="0.25">
      <c r="A658" t="str">
        <f t="shared" si="61"/>
        <v/>
      </c>
      <c r="B658" t="str">
        <f t="shared" si="62"/>
        <v/>
      </c>
      <c r="C658" s="55" t="str">
        <f>IF(LEN(TRIM(A658))=0,"",get_string_val(RIGHT(B658,4)))</f>
        <v/>
      </c>
      <c r="D658" t="str">
        <f>IF(LEN(TRIM(A658))=0,"",GetItemValueFromSpecimenHeader("timepoint"))</f>
        <v/>
      </c>
      <c r="E658" t="str">
        <f t="shared" si="63"/>
        <v/>
      </c>
      <c r="F658" t="str">
        <f t="shared" si="64"/>
        <v/>
      </c>
      <c r="G658" t="str">
        <f t="shared" si="60"/>
        <v/>
      </c>
      <c r="H658" t="str">
        <f>IF(LEN(TRIM(A658))=0,"",GetConfigParameterValue("Collection Site"))</f>
        <v/>
      </c>
      <c r="I658" t="str">
        <f t="shared" si="65"/>
        <v/>
      </c>
      <c r="M658" t="str">
        <f>IF(LEN(TRIM(B658))=0,"",IF(ISERROR(VLOOKUP(RIGHT(B658,4),study_demographic!A:A,1,FALSE)),"NOT FOUND!!!", "OK"))</f>
        <v/>
      </c>
    </row>
    <row r="659" spans="1:13" x14ac:dyDescent="0.25">
      <c r="A659" t="str">
        <f t="shared" si="61"/>
        <v/>
      </c>
      <c r="B659" t="str">
        <f t="shared" si="62"/>
        <v/>
      </c>
      <c r="C659" s="55" t="str">
        <f>IF(LEN(TRIM(A659))=0,"",get_string_val(RIGHT(B659,4)))</f>
        <v/>
      </c>
      <c r="D659" t="str">
        <f>IF(LEN(TRIM(A659))=0,"",GetItemValueFromSpecimenHeader("timepoint"))</f>
        <v/>
      </c>
      <c r="E659" t="str">
        <f t="shared" si="63"/>
        <v/>
      </c>
      <c r="F659" t="str">
        <f t="shared" si="64"/>
        <v/>
      </c>
      <c r="G659" t="str">
        <f t="shared" si="60"/>
        <v/>
      </c>
      <c r="H659" t="str">
        <f>IF(LEN(TRIM(A659))=0,"",GetConfigParameterValue("Collection Site"))</f>
        <v/>
      </c>
      <c r="I659" t="str">
        <f t="shared" si="65"/>
        <v/>
      </c>
      <c r="M659" t="str">
        <f>IF(LEN(TRIM(B659))=0,"",IF(ISERROR(VLOOKUP(RIGHT(B659,4),study_demographic!A:A,1,FALSE)),"NOT FOUND!!!", "OK"))</f>
        <v/>
      </c>
    </row>
    <row r="660" spans="1:13" x14ac:dyDescent="0.25">
      <c r="A660" t="str">
        <f t="shared" si="61"/>
        <v/>
      </c>
      <c r="B660" t="str">
        <f t="shared" si="62"/>
        <v/>
      </c>
      <c r="C660" s="55" t="str">
        <f>IF(LEN(TRIM(A660))=0,"",get_string_val(RIGHT(B660,4)))</f>
        <v/>
      </c>
      <c r="D660" t="str">
        <f>IF(LEN(TRIM(A660))=0,"",GetItemValueFromSpecimenHeader("timepoint"))</f>
        <v/>
      </c>
      <c r="E660" t="str">
        <f t="shared" si="63"/>
        <v/>
      </c>
      <c r="F660" t="str">
        <f t="shared" si="64"/>
        <v/>
      </c>
      <c r="G660" t="str">
        <f t="shared" si="60"/>
        <v/>
      </c>
      <c r="H660" t="str">
        <f>IF(LEN(TRIM(A660))=0,"",GetConfigParameterValue("Collection Site"))</f>
        <v/>
      </c>
      <c r="I660" t="str">
        <f t="shared" si="65"/>
        <v/>
      </c>
      <c r="M660" t="str">
        <f>IF(LEN(TRIM(B660))=0,"",IF(ISERROR(VLOOKUP(RIGHT(B660,4),study_demographic!A:A,1,FALSE)),"NOT FOUND!!!", "OK"))</f>
        <v/>
      </c>
    </row>
    <row r="661" spans="1:13" x14ac:dyDescent="0.25">
      <c r="A661" t="str">
        <f t="shared" si="61"/>
        <v/>
      </c>
      <c r="B661" t="str">
        <f t="shared" si="62"/>
        <v/>
      </c>
      <c r="C661" s="55" t="str">
        <f>IF(LEN(TRIM(A661))=0,"",get_string_val(RIGHT(B661,4)))</f>
        <v/>
      </c>
      <c r="D661" t="str">
        <f>IF(LEN(TRIM(A661))=0,"",GetItemValueFromSpecimenHeader("timepoint"))</f>
        <v/>
      </c>
      <c r="E661" t="str">
        <f t="shared" si="63"/>
        <v/>
      </c>
      <c r="F661" t="str">
        <f t="shared" si="64"/>
        <v/>
      </c>
      <c r="G661" t="str">
        <f t="shared" si="60"/>
        <v/>
      </c>
      <c r="H661" t="str">
        <f>IF(LEN(TRIM(A661))=0,"",GetConfigParameterValue("Collection Site"))</f>
        <v/>
      </c>
      <c r="I661" t="str">
        <f t="shared" si="65"/>
        <v/>
      </c>
      <c r="M661" t="str">
        <f>IF(LEN(TRIM(B661))=0,"",IF(ISERROR(VLOOKUP(RIGHT(B661,4),study_demographic!A:A,1,FALSE)),"NOT FOUND!!!", "OK"))</f>
        <v/>
      </c>
    </row>
    <row r="662" spans="1:13" x14ac:dyDescent="0.25">
      <c r="A662" t="str">
        <f t="shared" si="61"/>
        <v/>
      </c>
      <c r="B662" t="str">
        <f t="shared" si="62"/>
        <v/>
      </c>
      <c r="C662" s="55" t="str">
        <f>IF(LEN(TRIM(A662))=0,"",get_string_val(RIGHT(B662,4)))</f>
        <v/>
      </c>
      <c r="D662" t="str">
        <f>IF(LEN(TRIM(A662))=0,"",GetItemValueFromSpecimenHeader("timepoint"))</f>
        <v/>
      </c>
      <c r="E662" t="str">
        <f t="shared" si="63"/>
        <v/>
      </c>
      <c r="F662" t="str">
        <f t="shared" si="64"/>
        <v/>
      </c>
      <c r="G662" t="str">
        <f t="shared" si="60"/>
        <v/>
      </c>
      <c r="H662" t="str">
        <f>IF(LEN(TRIM(A662))=0,"",GetConfigParameterValue("Collection Site"))</f>
        <v/>
      </c>
      <c r="I662" t="str">
        <f t="shared" si="65"/>
        <v/>
      </c>
      <c r="M662" t="str">
        <f>IF(LEN(TRIM(B662))=0,"",IF(ISERROR(VLOOKUP(RIGHT(B662,4),study_demographic!A:A,1,FALSE)),"NOT FOUND!!!", "OK"))</f>
        <v/>
      </c>
    </row>
    <row r="663" spans="1:13" x14ac:dyDescent="0.25">
      <c r="A663" t="str">
        <f t="shared" si="61"/>
        <v/>
      </c>
      <c r="B663" t="str">
        <f t="shared" si="62"/>
        <v/>
      </c>
      <c r="C663" s="55" t="str">
        <f>IF(LEN(TRIM(A663))=0,"",get_string_val(RIGHT(B663,4)))</f>
        <v/>
      </c>
      <c r="D663" t="str">
        <f>IF(LEN(TRIM(A663))=0,"",GetItemValueFromSpecimenHeader("timepoint"))</f>
        <v/>
      </c>
      <c r="E663" t="str">
        <f t="shared" si="63"/>
        <v/>
      </c>
      <c r="F663" t="str">
        <f t="shared" si="64"/>
        <v/>
      </c>
      <c r="G663" t="str">
        <f t="shared" si="60"/>
        <v/>
      </c>
      <c r="H663" t="str">
        <f>IF(LEN(TRIM(A663))=0,"",GetConfigParameterValue("Collection Site"))</f>
        <v/>
      </c>
      <c r="I663" t="str">
        <f t="shared" si="65"/>
        <v/>
      </c>
      <c r="M663" t="str">
        <f>IF(LEN(TRIM(B663))=0,"",IF(ISERROR(VLOOKUP(RIGHT(B663,4),study_demographic!A:A,1,FALSE)),"NOT FOUND!!!", "OK"))</f>
        <v/>
      </c>
    </row>
    <row r="664" spans="1:13" x14ac:dyDescent="0.25">
      <c r="A664" t="str">
        <f t="shared" si="61"/>
        <v/>
      </c>
      <c r="B664" t="str">
        <f t="shared" si="62"/>
        <v/>
      </c>
      <c r="C664" s="55" t="str">
        <f>IF(LEN(TRIM(A664))=0,"",get_string_val(RIGHT(B664,4)))</f>
        <v/>
      </c>
      <c r="D664" t="str">
        <f>IF(LEN(TRIM(A664))=0,"",GetItemValueFromSpecimenHeader("timepoint"))</f>
        <v/>
      </c>
      <c r="E664" t="str">
        <f t="shared" si="63"/>
        <v/>
      </c>
      <c r="F664" t="str">
        <f t="shared" si="64"/>
        <v/>
      </c>
      <c r="G664" t="str">
        <f t="shared" si="60"/>
        <v/>
      </c>
      <c r="H664" t="str">
        <f>IF(LEN(TRIM(A664))=0,"",GetConfigParameterValue("Collection Site"))</f>
        <v/>
      </c>
      <c r="I664" t="str">
        <f t="shared" si="65"/>
        <v/>
      </c>
      <c r="M664" t="str">
        <f>IF(LEN(TRIM(B664))=0,"",IF(ISERROR(VLOOKUP(RIGHT(B664,4),study_demographic!A:A,1,FALSE)),"NOT FOUND!!!", "OK"))</f>
        <v/>
      </c>
    </row>
    <row r="665" spans="1:13" x14ac:dyDescent="0.25">
      <c r="A665" t="str">
        <f t="shared" si="61"/>
        <v/>
      </c>
      <c r="B665" t="str">
        <f t="shared" si="62"/>
        <v/>
      </c>
      <c r="C665" s="55" t="str">
        <f>IF(LEN(TRIM(A665))=0,"",get_string_val(RIGHT(B665,4)))</f>
        <v/>
      </c>
      <c r="D665" t="str">
        <f>IF(LEN(TRIM(A665))=0,"",GetItemValueFromSpecimenHeader("timepoint"))</f>
        <v/>
      </c>
      <c r="E665" t="str">
        <f t="shared" si="63"/>
        <v/>
      </c>
      <c r="F665" t="str">
        <f t="shared" si="64"/>
        <v/>
      </c>
      <c r="G665" t="str">
        <f t="shared" si="60"/>
        <v/>
      </c>
      <c r="H665" t="str">
        <f>IF(LEN(TRIM(A665))=0,"",GetConfigParameterValue("Collection Site"))</f>
        <v/>
      </c>
      <c r="I665" t="str">
        <f t="shared" si="65"/>
        <v/>
      </c>
      <c r="M665" t="str">
        <f>IF(LEN(TRIM(B665))=0,"",IF(ISERROR(VLOOKUP(RIGHT(B665,4),study_demographic!A:A,1,FALSE)),"NOT FOUND!!!", "OK"))</f>
        <v/>
      </c>
    </row>
    <row r="666" spans="1:13" x14ac:dyDescent="0.25">
      <c r="A666" t="str">
        <f t="shared" si="61"/>
        <v/>
      </c>
      <c r="B666" t="str">
        <f t="shared" si="62"/>
        <v/>
      </c>
      <c r="C666" s="55" t="str">
        <f>IF(LEN(TRIM(A666))=0,"",get_string_val(RIGHT(B666,4)))</f>
        <v/>
      </c>
      <c r="D666" t="str">
        <f>IF(LEN(TRIM(A666))=0,"",GetItemValueFromSpecimenHeader("timepoint"))</f>
        <v/>
      </c>
      <c r="E666" t="str">
        <f t="shared" si="63"/>
        <v/>
      </c>
      <c r="F666" t="str">
        <f t="shared" si="64"/>
        <v/>
      </c>
      <c r="G666" t="str">
        <f t="shared" si="60"/>
        <v/>
      </c>
      <c r="H666" t="str">
        <f>IF(LEN(TRIM(A666))=0,"",GetConfigParameterValue("Collection Site"))</f>
        <v/>
      </c>
      <c r="I666" t="str">
        <f t="shared" si="65"/>
        <v/>
      </c>
      <c r="M666" t="str">
        <f>IF(LEN(TRIM(B666))=0,"",IF(ISERROR(VLOOKUP(RIGHT(B666,4),study_demographic!A:A,1,FALSE)),"NOT FOUND!!!", "OK"))</f>
        <v/>
      </c>
    </row>
    <row r="667" spans="1:13" x14ac:dyDescent="0.25">
      <c r="A667" t="str">
        <f t="shared" si="61"/>
        <v/>
      </c>
      <c r="B667" t="str">
        <f t="shared" si="62"/>
        <v/>
      </c>
      <c r="C667" s="55" t="str">
        <f>IF(LEN(TRIM(A667))=0,"",get_string_val(RIGHT(B667,4)))</f>
        <v/>
      </c>
      <c r="D667" t="str">
        <f>IF(LEN(TRIM(A667))=0,"",GetItemValueFromSpecimenHeader("timepoint"))</f>
        <v/>
      </c>
      <c r="E667" t="str">
        <f t="shared" si="63"/>
        <v/>
      </c>
      <c r="F667" t="str">
        <f t="shared" si="64"/>
        <v/>
      </c>
      <c r="G667" t="str">
        <f t="shared" si="60"/>
        <v/>
      </c>
      <c r="H667" t="str">
        <f>IF(LEN(TRIM(A667))=0,"",GetConfigParameterValue("Collection Site"))</f>
        <v/>
      </c>
      <c r="I667" t="str">
        <f t="shared" si="65"/>
        <v/>
      </c>
      <c r="M667" t="str">
        <f>IF(LEN(TRIM(B667))=0,"",IF(ISERROR(VLOOKUP(RIGHT(B667,4),study_demographic!A:A,1,FALSE)),"NOT FOUND!!!", "OK"))</f>
        <v/>
      </c>
    </row>
    <row r="668" spans="1:13" x14ac:dyDescent="0.25">
      <c r="A668" t="str">
        <f t="shared" si="61"/>
        <v/>
      </c>
      <c r="B668" t="str">
        <f t="shared" si="62"/>
        <v/>
      </c>
      <c r="C668" s="55" t="str">
        <f>IF(LEN(TRIM(A668))=0,"",get_string_val(RIGHT(B668,4)))</f>
        <v/>
      </c>
      <c r="D668" t="str">
        <f>IF(LEN(TRIM(A668))=0,"",GetItemValueFromSpecimenHeader("timepoint"))</f>
        <v/>
      </c>
      <c r="E668" t="str">
        <f t="shared" si="63"/>
        <v/>
      </c>
      <c r="F668" t="str">
        <f t="shared" si="64"/>
        <v/>
      </c>
      <c r="G668" t="str">
        <f t="shared" si="60"/>
        <v/>
      </c>
      <c r="H668" t="str">
        <f>IF(LEN(TRIM(A668))=0,"",GetConfigParameterValue("Collection Site"))</f>
        <v/>
      </c>
      <c r="I668" t="str">
        <f t="shared" si="65"/>
        <v/>
      </c>
      <c r="M668" t="str">
        <f>IF(LEN(TRIM(B668))=0,"",IF(ISERROR(VLOOKUP(RIGHT(B668,4),study_demographic!A:A,1,FALSE)),"NOT FOUND!!!", "OK"))</f>
        <v/>
      </c>
    </row>
    <row r="669" spans="1:13" x14ac:dyDescent="0.25">
      <c r="A669" t="str">
        <f t="shared" si="61"/>
        <v/>
      </c>
      <c r="B669" t="str">
        <f t="shared" si="62"/>
        <v/>
      </c>
      <c r="C669" s="55" t="str">
        <f>IF(LEN(TRIM(A669))=0,"",get_string_val(RIGHT(B669,4)))</f>
        <v/>
      </c>
      <c r="D669" t="str">
        <f>IF(LEN(TRIM(A669))=0,"",GetItemValueFromSpecimenHeader("timepoint"))</f>
        <v/>
      </c>
      <c r="E669" t="str">
        <f t="shared" si="63"/>
        <v/>
      </c>
      <c r="F669" t="str">
        <f t="shared" si="64"/>
        <v/>
      </c>
      <c r="G669" t="str">
        <f t="shared" si="60"/>
        <v/>
      </c>
      <c r="H669" t="str">
        <f>IF(LEN(TRIM(A669))=0,"",GetConfigParameterValue("Collection Site"))</f>
        <v/>
      </c>
      <c r="I669" t="str">
        <f t="shared" si="65"/>
        <v/>
      </c>
      <c r="M669" t="str">
        <f>IF(LEN(TRIM(B669))=0,"",IF(ISERROR(VLOOKUP(RIGHT(B669,4),study_demographic!A:A,1,FALSE)),"NOT FOUND!!!", "OK"))</f>
        <v/>
      </c>
    </row>
    <row r="670" spans="1:13" x14ac:dyDescent="0.25">
      <c r="A670" t="str">
        <f t="shared" si="61"/>
        <v/>
      </c>
      <c r="B670" t="str">
        <f t="shared" si="62"/>
        <v/>
      </c>
      <c r="C670" s="55" t="str">
        <f>IF(LEN(TRIM(A670))=0,"",get_string_val(RIGHT(B670,4)))</f>
        <v/>
      </c>
      <c r="D670" t="str">
        <f>IF(LEN(TRIM(A670))=0,"",GetItemValueFromSpecimenHeader("timepoint"))</f>
        <v/>
      </c>
      <c r="E670" t="str">
        <f t="shared" si="63"/>
        <v/>
      </c>
      <c r="F670" t="str">
        <f t="shared" si="64"/>
        <v/>
      </c>
      <c r="G670" t="str">
        <f t="shared" si="60"/>
        <v/>
      </c>
      <c r="H670" t="str">
        <f>IF(LEN(TRIM(A670))=0,"",GetConfigParameterValue("Collection Site"))</f>
        <v/>
      </c>
      <c r="I670" t="str">
        <f t="shared" si="65"/>
        <v/>
      </c>
      <c r="M670" t="str">
        <f>IF(LEN(TRIM(B670))=0,"",IF(ISERROR(VLOOKUP(RIGHT(B670,4),study_demographic!A:A,1,FALSE)),"NOT FOUND!!!", "OK"))</f>
        <v/>
      </c>
    </row>
    <row r="671" spans="1:13" x14ac:dyDescent="0.25">
      <c r="A671" t="str">
        <f t="shared" si="61"/>
        <v/>
      </c>
      <c r="B671" t="str">
        <f t="shared" si="62"/>
        <v/>
      </c>
      <c r="C671" s="55" t="str">
        <f>IF(LEN(TRIM(A671))=0,"",get_string_val(RIGHT(B671,4)))</f>
        <v/>
      </c>
      <c r="D671" t="str">
        <f>IF(LEN(TRIM(A671))=0,"",GetItemValueFromSpecimenHeader("timepoint"))</f>
        <v/>
      </c>
      <c r="E671" t="str">
        <f t="shared" si="63"/>
        <v/>
      </c>
      <c r="F671" t="str">
        <f t="shared" si="64"/>
        <v/>
      </c>
      <c r="G671" t="str">
        <f t="shared" si="60"/>
        <v/>
      </c>
      <c r="H671" t="str">
        <f>IF(LEN(TRIM(A671))=0,"",GetConfigParameterValue("Collection Site"))</f>
        <v/>
      </c>
      <c r="I671" t="str">
        <f t="shared" si="65"/>
        <v/>
      </c>
      <c r="M671" t="str">
        <f>IF(LEN(TRIM(B671))=0,"",IF(ISERROR(VLOOKUP(RIGHT(B671,4),study_demographic!A:A,1,FALSE)),"NOT FOUND!!!", "OK"))</f>
        <v/>
      </c>
    </row>
    <row r="672" spans="1:13" x14ac:dyDescent="0.25">
      <c r="A672" t="str">
        <f t="shared" si="61"/>
        <v/>
      </c>
      <c r="B672" t="str">
        <f t="shared" si="62"/>
        <v/>
      </c>
      <c r="C672" s="55" t="str">
        <f>IF(LEN(TRIM(A672))=0,"",get_string_val(RIGHT(B672,4)))</f>
        <v/>
      </c>
      <c r="D672" t="str">
        <f>IF(LEN(TRIM(A672))=0,"",GetItemValueFromSpecimenHeader("timepoint"))</f>
        <v/>
      </c>
      <c r="E672" t="str">
        <f t="shared" si="63"/>
        <v/>
      </c>
      <c r="F672" t="str">
        <f t="shared" si="64"/>
        <v/>
      </c>
      <c r="G672" t="str">
        <f t="shared" si="60"/>
        <v/>
      </c>
      <c r="H672" t="str">
        <f>IF(LEN(TRIM(A672))=0,"",GetConfigParameterValue("Collection Site"))</f>
        <v/>
      </c>
      <c r="I672" t="str">
        <f t="shared" si="65"/>
        <v/>
      </c>
      <c r="M672" t="str">
        <f>IF(LEN(TRIM(B672))=0,"",IF(ISERROR(VLOOKUP(RIGHT(B672,4),study_demographic!A:A,1,FALSE)),"NOT FOUND!!!", "OK"))</f>
        <v/>
      </c>
    </row>
    <row r="673" spans="1:13" x14ac:dyDescent="0.25">
      <c r="A673" t="str">
        <f t="shared" si="61"/>
        <v/>
      </c>
      <c r="B673" t="str">
        <f t="shared" si="62"/>
        <v/>
      </c>
      <c r="C673" s="55" t="str">
        <f>IF(LEN(TRIM(A673))=0,"",get_string_val(RIGHT(B673,4)))</f>
        <v/>
      </c>
      <c r="D673" t="str">
        <f>IF(LEN(TRIM(A673))=0,"",GetItemValueFromSpecimenHeader("timepoint"))</f>
        <v/>
      </c>
      <c r="E673" t="str">
        <f t="shared" si="63"/>
        <v/>
      </c>
      <c r="F673" t="str">
        <f t="shared" si="64"/>
        <v/>
      </c>
      <c r="G673" t="str">
        <f t="shared" si="60"/>
        <v/>
      </c>
      <c r="H673" t="str">
        <f>IF(LEN(TRIM(A673))=0,"",GetConfigParameterValue("Collection Site"))</f>
        <v/>
      </c>
      <c r="I673" t="str">
        <f t="shared" si="65"/>
        <v/>
      </c>
      <c r="M673" t="str">
        <f>IF(LEN(TRIM(B673))=0,"",IF(ISERROR(VLOOKUP(RIGHT(B673,4),study_demographic!A:A,1,FALSE)),"NOT FOUND!!!", "OK"))</f>
        <v/>
      </c>
    </row>
    <row r="674" spans="1:13" x14ac:dyDescent="0.25">
      <c r="A674" t="str">
        <f t="shared" si="61"/>
        <v/>
      </c>
      <c r="B674" t="str">
        <f t="shared" si="62"/>
        <v/>
      </c>
      <c r="C674" s="55" t="str">
        <f>IF(LEN(TRIM(A674))=0,"",get_string_val(RIGHT(B674,4)))</f>
        <v/>
      </c>
      <c r="D674" t="str">
        <f>IF(LEN(TRIM(A674))=0,"",GetItemValueFromSpecimenHeader("timepoint"))</f>
        <v/>
      </c>
      <c r="E674" t="str">
        <f t="shared" si="63"/>
        <v/>
      </c>
      <c r="F674" t="str">
        <f t="shared" si="64"/>
        <v/>
      </c>
      <c r="G674" t="str">
        <f t="shared" si="60"/>
        <v/>
      </c>
      <c r="H674" t="str">
        <f>IF(LEN(TRIM(A674))=0,"",GetConfigParameterValue("Collection Site"))</f>
        <v/>
      </c>
      <c r="I674" t="str">
        <f t="shared" si="65"/>
        <v/>
      </c>
      <c r="M674" t="str">
        <f>IF(LEN(TRIM(B674))=0,"",IF(ISERROR(VLOOKUP(RIGHT(B674,4),study_demographic!A:A,1,FALSE)),"NOT FOUND!!!", "OK"))</f>
        <v/>
      </c>
    </row>
    <row r="675" spans="1:13" x14ac:dyDescent="0.25">
      <c r="A675" t="str">
        <f t="shared" si="61"/>
        <v/>
      </c>
      <c r="B675" t="str">
        <f t="shared" si="62"/>
        <v/>
      </c>
      <c r="C675" s="55" t="str">
        <f>IF(LEN(TRIM(A675))=0,"",get_string_val(RIGHT(B675,4)))</f>
        <v/>
      </c>
      <c r="D675" t="str">
        <f>IF(LEN(TRIM(A675))=0,"",GetItemValueFromSpecimenHeader("timepoint"))</f>
        <v/>
      </c>
      <c r="E675" t="str">
        <f t="shared" si="63"/>
        <v/>
      </c>
      <c r="F675" t="str">
        <f t="shared" si="64"/>
        <v/>
      </c>
      <c r="G675" t="str">
        <f t="shared" si="60"/>
        <v/>
      </c>
      <c r="H675" t="str">
        <f>IF(LEN(TRIM(A675))=0,"",GetConfigParameterValue("Collection Site"))</f>
        <v/>
      </c>
      <c r="I675" t="str">
        <f t="shared" si="65"/>
        <v/>
      </c>
      <c r="M675" t="str">
        <f>IF(LEN(TRIM(B675))=0,"",IF(ISERROR(VLOOKUP(RIGHT(B675,4),study_demographic!A:A,1,FALSE)),"NOT FOUND!!!", "OK"))</f>
        <v/>
      </c>
    </row>
    <row r="676" spans="1:13" x14ac:dyDescent="0.25">
      <c r="A676" t="str">
        <f t="shared" si="61"/>
        <v/>
      </c>
      <c r="B676" t="str">
        <f t="shared" si="62"/>
        <v/>
      </c>
      <c r="C676" s="55" t="str">
        <f>IF(LEN(TRIM(A676))=0,"",get_string_val(RIGHT(B676,4)))</f>
        <v/>
      </c>
      <c r="D676" t="str">
        <f>IF(LEN(TRIM(A676))=0,"",GetItemValueFromSpecimenHeader("timepoint"))</f>
        <v/>
      </c>
      <c r="E676" t="str">
        <f t="shared" si="63"/>
        <v/>
      </c>
      <c r="F676" t="str">
        <f t="shared" si="64"/>
        <v/>
      </c>
      <c r="G676" t="str">
        <f t="shared" si="60"/>
        <v/>
      </c>
      <c r="H676" t="str">
        <f>IF(LEN(TRIM(A676))=0,"",GetConfigParameterValue("Collection Site"))</f>
        <v/>
      </c>
      <c r="I676" t="str">
        <f t="shared" si="65"/>
        <v/>
      </c>
      <c r="M676" t="str">
        <f>IF(LEN(TRIM(B676))=0,"",IF(ISERROR(VLOOKUP(RIGHT(B676,4),study_demographic!A:A,1,FALSE)),"NOT FOUND!!!", "OK"))</f>
        <v/>
      </c>
    </row>
    <row r="677" spans="1:13" x14ac:dyDescent="0.25">
      <c r="A677" t="str">
        <f t="shared" si="61"/>
        <v/>
      </c>
      <c r="B677" t="str">
        <f t="shared" si="62"/>
        <v/>
      </c>
      <c r="C677" s="55" t="str">
        <f>IF(LEN(TRIM(A677))=0,"",get_string_val(RIGHT(B677,4)))</f>
        <v/>
      </c>
      <c r="D677" t="str">
        <f>IF(LEN(TRIM(A677))=0,"",GetItemValueFromSpecimenHeader("timepoint"))</f>
        <v/>
      </c>
      <c r="E677" t="str">
        <f t="shared" si="63"/>
        <v/>
      </c>
      <c r="F677" t="str">
        <f t="shared" si="64"/>
        <v/>
      </c>
      <c r="G677" t="str">
        <f t="shared" si="60"/>
        <v/>
      </c>
      <c r="H677" t="str">
        <f>IF(LEN(TRIM(A677))=0,"",GetConfigParameterValue("Collection Site"))</f>
        <v/>
      </c>
      <c r="I677" t="str">
        <f t="shared" si="65"/>
        <v/>
      </c>
      <c r="M677" t="str">
        <f>IF(LEN(TRIM(B677))=0,"",IF(ISERROR(VLOOKUP(RIGHT(B677,4),study_demographic!A:A,1,FALSE)),"NOT FOUND!!!", "OK"))</f>
        <v/>
      </c>
    </row>
    <row r="678" spans="1:13" x14ac:dyDescent="0.25">
      <c r="A678" t="str">
        <f t="shared" si="61"/>
        <v/>
      </c>
      <c r="B678" t="str">
        <f t="shared" si="62"/>
        <v/>
      </c>
      <c r="C678" s="55" t="str">
        <f>IF(LEN(TRIM(A678))=0,"",get_string_val(RIGHT(B678,4)))</f>
        <v/>
      </c>
      <c r="D678" t="str">
        <f>IF(LEN(TRIM(A678))=0,"",GetItemValueFromSpecimenHeader("timepoint"))</f>
        <v/>
      </c>
      <c r="E678" t="str">
        <f t="shared" si="63"/>
        <v/>
      </c>
      <c r="F678" t="str">
        <f t="shared" si="64"/>
        <v/>
      </c>
      <c r="G678" t="str">
        <f t="shared" si="60"/>
        <v/>
      </c>
      <c r="H678" t="str">
        <f>IF(LEN(TRIM(A678))=0,"",GetConfigParameterValue("Collection Site"))</f>
        <v/>
      </c>
      <c r="I678" t="str">
        <f t="shared" si="65"/>
        <v/>
      </c>
      <c r="M678" t="str">
        <f>IF(LEN(TRIM(B678))=0,"",IF(ISERROR(VLOOKUP(RIGHT(B678,4),study_demographic!A:A,1,FALSE)),"NOT FOUND!!!", "OK"))</f>
        <v/>
      </c>
    </row>
    <row r="679" spans="1:13" x14ac:dyDescent="0.25">
      <c r="A679" t="str">
        <f t="shared" si="61"/>
        <v/>
      </c>
      <c r="B679" t="str">
        <f t="shared" si="62"/>
        <v/>
      </c>
      <c r="C679" s="55" t="str">
        <f>IF(LEN(TRIM(A679))=0,"",get_string_val(RIGHT(B679,4)))</f>
        <v/>
      </c>
      <c r="D679" t="str">
        <f>IF(LEN(TRIM(A679))=0,"",GetItemValueFromSpecimenHeader("timepoint"))</f>
        <v/>
      </c>
      <c r="E679" t="str">
        <f t="shared" si="63"/>
        <v/>
      </c>
      <c r="F679" t="str">
        <f t="shared" si="64"/>
        <v/>
      </c>
      <c r="G679" t="str">
        <f t="shared" si="60"/>
        <v/>
      </c>
      <c r="H679" t="str">
        <f>IF(LEN(TRIM(A679))=0,"",GetConfigParameterValue("Collection Site"))</f>
        <v/>
      </c>
      <c r="I679" t="str">
        <f t="shared" si="65"/>
        <v/>
      </c>
      <c r="M679" t="str">
        <f>IF(LEN(TRIM(B679))=0,"",IF(ISERROR(VLOOKUP(RIGHT(B679,4),study_demographic!A:A,1,FALSE)),"NOT FOUND!!!", "OK"))</f>
        <v/>
      </c>
    </row>
    <row r="680" spans="1:13" x14ac:dyDescent="0.25">
      <c r="A680" t="str">
        <f t="shared" si="61"/>
        <v/>
      </c>
      <c r="B680" t="str">
        <f t="shared" si="62"/>
        <v/>
      </c>
      <c r="C680" s="55" t="str">
        <f>IF(LEN(TRIM(A680))=0,"",get_string_val(RIGHT(B680,4)))</f>
        <v/>
      </c>
      <c r="D680" t="str">
        <f>IF(LEN(TRIM(A680))=0,"",GetItemValueFromSpecimenHeader("timepoint"))</f>
        <v/>
      </c>
      <c r="E680" t="str">
        <f t="shared" si="63"/>
        <v/>
      </c>
      <c r="F680" t="str">
        <f t="shared" si="64"/>
        <v/>
      </c>
      <c r="G680" t="str">
        <f t="shared" si="60"/>
        <v/>
      </c>
      <c r="H680" t="str">
        <f>IF(LEN(TRIM(A680))=0,"",GetConfigParameterValue("Collection Site"))</f>
        <v/>
      </c>
      <c r="I680" t="str">
        <f t="shared" si="65"/>
        <v/>
      </c>
      <c r="M680" t="str">
        <f>IF(LEN(TRIM(B680))=0,"",IF(ISERROR(VLOOKUP(RIGHT(B680,4),study_demographic!A:A,1,FALSE)),"NOT FOUND!!!", "OK"))</f>
        <v/>
      </c>
    </row>
    <row r="681" spans="1:13" x14ac:dyDescent="0.25">
      <c r="A681" t="str">
        <f t="shared" si="61"/>
        <v/>
      </c>
      <c r="B681" t="str">
        <f t="shared" si="62"/>
        <v/>
      </c>
      <c r="C681" s="55" t="str">
        <f>IF(LEN(TRIM(A681))=0,"",get_string_val(RIGHT(B681,4)))</f>
        <v/>
      </c>
      <c r="D681" t="str">
        <f>IF(LEN(TRIM(A681))=0,"",GetItemValueFromSpecimenHeader("timepoint"))</f>
        <v/>
      </c>
      <c r="E681" t="str">
        <f t="shared" si="63"/>
        <v/>
      </c>
      <c r="F681" t="str">
        <f t="shared" si="64"/>
        <v/>
      </c>
      <c r="G681" t="str">
        <f t="shared" si="60"/>
        <v/>
      </c>
      <c r="H681" t="str">
        <f>IF(LEN(TRIM(A681))=0,"",GetConfigParameterValue("Collection Site"))</f>
        <v/>
      </c>
      <c r="I681" t="str">
        <f t="shared" si="65"/>
        <v/>
      </c>
      <c r="M681" t="str">
        <f>IF(LEN(TRIM(B681))=0,"",IF(ISERROR(VLOOKUP(RIGHT(B681,4),study_demographic!A:A,1,FALSE)),"NOT FOUND!!!", "OK"))</f>
        <v/>
      </c>
    </row>
    <row r="682" spans="1:13" x14ac:dyDescent="0.25">
      <c r="A682" t="str">
        <f t="shared" si="61"/>
        <v/>
      </c>
      <c r="B682" t="str">
        <f t="shared" si="62"/>
        <v/>
      </c>
      <c r="C682" s="55" t="str">
        <f>IF(LEN(TRIM(A682))=0,"",get_string_val(RIGHT(B682,4)))</f>
        <v/>
      </c>
      <c r="D682" t="str">
        <f>IF(LEN(TRIM(A682))=0,"",GetItemValueFromSpecimenHeader("timepoint"))</f>
        <v/>
      </c>
      <c r="E682" t="str">
        <f t="shared" si="63"/>
        <v/>
      </c>
      <c r="F682" t="str">
        <f t="shared" si="64"/>
        <v/>
      </c>
      <c r="G682" t="str">
        <f t="shared" si="60"/>
        <v/>
      </c>
      <c r="H682" t="str">
        <f>IF(LEN(TRIM(A682))=0,"",GetConfigParameterValue("Collection Site"))</f>
        <v/>
      </c>
      <c r="I682" t="str">
        <f t="shared" si="65"/>
        <v/>
      </c>
      <c r="M682" t="str">
        <f>IF(LEN(TRIM(B682))=0,"",IF(ISERROR(VLOOKUP(RIGHT(B682,4),study_demographic!A:A,1,FALSE)),"NOT FOUND!!!", "OK"))</f>
        <v/>
      </c>
    </row>
    <row r="683" spans="1:13" x14ac:dyDescent="0.25">
      <c r="A683" t="str">
        <f t="shared" si="61"/>
        <v/>
      </c>
      <c r="B683" t="str">
        <f t="shared" si="62"/>
        <v/>
      </c>
      <c r="C683" s="55" t="str">
        <f>IF(LEN(TRIM(A683))=0,"",get_string_val(RIGHT(B683,4)))</f>
        <v/>
      </c>
      <c r="D683" t="str">
        <f>IF(LEN(TRIM(A683))=0,"",GetItemValueFromSpecimenHeader("timepoint"))</f>
        <v/>
      </c>
      <c r="E683" t="str">
        <f t="shared" si="63"/>
        <v/>
      </c>
      <c r="F683" t="str">
        <f t="shared" si="64"/>
        <v/>
      </c>
      <c r="G683" t="str">
        <f t="shared" si="60"/>
        <v/>
      </c>
      <c r="H683" t="str">
        <f>IF(LEN(TRIM(A683))=0,"",GetConfigParameterValue("Collection Site"))</f>
        <v/>
      </c>
      <c r="I683" t="str">
        <f t="shared" si="65"/>
        <v/>
      </c>
      <c r="M683" t="str">
        <f>IF(LEN(TRIM(B683))=0,"",IF(ISERROR(VLOOKUP(RIGHT(B683,4),study_demographic!A:A,1,FALSE)),"NOT FOUND!!!", "OK"))</f>
        <v/>
      </c>
    </row>
    <row r="684" spans="1:13" x14ac:dyDescent="0.25">
      <c r="A684" t="str">
        <f t="shared" si="61"/>
        <v/>
      </c>
      <c r="B684" t="str">
        <f t="shared" si="62"/>
        <v/>
      </c>
      <c r="C684" s="55" t="str">
        <f>IF(LEN(TRIM(A684))=0,"",get_string_val(RIGHT(B684,4)))</f>
        <v/>
      </c>
      <c r="D684" t="str">
        <f>IF(LEN(TRIM(A684))=0,"",GetItemValueFromSpecimenHeader("timepoint"))</f>
        <v/>
      </c>
      <c r="E684" t="str">
        <f t="shared" si="63"/>
        <v/>
      </c>
      <c r="F684" t="str">
        <f t="shared" si="64"/>
        <v/>
      </c>
      <c r="G684" t="str">
        <f t="shared" si="60"/>
        <v/>
      </c>
      <c r="H684" t="str">
        <f>IF(LEN(TRIM(A684))=0,"",GetConfigParameterValue("Collection Site"))</f>
        <v/>
      </c>
      <c r="I684" t="str">
        <f t="shared" si="65"/>
        <v/>
      </c>
      <c r="M684" t="str">
        <f>IF(LEN(TRIM(B684))=0,"",IF(ISERROR(VLOOKUP(RIGHT(B684,4),study_demographic!A:A,1,FALSE)),"NOT FOUND!!!", "OK"))</f>
        <v/>
      </c>
    </row>
    <row r="685" spans="1:13" x14ac:dyDescent="0.25">
      <c r="A685" t="str">
        <f t="shared" si="61"/>
        <v/>
      </c>
      <c r="B685" t="str">
        <f t="shared" si="62"/>
        <v/>
      </c>
      <c r="C685" s="55" t="str">
        <f>IF(LEN(TRIM(A685))=0,"",get_string_val(RIGHT(B685,4)))</f>
        <v/>
      </c>
      <c r="D685" t="str">
        <f>IF(LEN(TRIM(A685))=0,"",GetItemValueFromSpecimenHeader("timepoint"))</f>
        <v/>
      </c>
      <c r="E685" t="str">
        <f t="shared" si="63"/>
        <v/>
      </c>
      <c r="F685" t="str">
        <f t="shared" si="64"/>
        <v/>
      </c>
      <c r="G685" t="str">
        <f t="shared" si="60"/>
        <v/>
      </c>
      <c r="H685" t="str">
        <f>IF(LEN(TRIM(A685))=0,"",GetConfigParameterValue("Collection Site"))</f>
        <v/>
      </c>
      <c r="I685" t="str">
        <f t="shared" si="65"/>
        <v/>
      </c>
      <c r="M685" t="str">
        <f>IF(LEN(TRIM(B685))=0,"",IF(ISERROR(VLOOKUP(RIGHT(B685,4),study_demographic!A:A,1,FALSE)),"NOT FOUND!!!", "OK"))</f>
        <v/>
      </c>
    </row>
    <row r="686" spans="1:13" x14ac:dyDescent="0.25">
      <c r="A686" t="str">
        <f t="shared" si="61"/>
        <v/>
      </c>
      <c r="B686" t="str">
        <f t="shared" si="62"/>
        <v/>
      </c>
      <c r="C686" s="55" t="str">
        <f>IF(LEN(TRIM(A686))=0,"",get_string_val(RIGHT(B686,4)))</f>
        <v/>
      </c>
      <c r="D686" t="str">
        <f>IF(LEN(TRIM(A686))=0,"",GetItemValueFromSpecimenHeader("timepoint"))</f>
        <v/>
      </c>
      <c r="E686" t="str">
        <f t="shared" si="63"/>
        <v/>
      </c>
      <c r="F686" t="str">
        <f t="shared" si="64"/>
        <v/>
      </c>
      <c r="G686" t="str">
        <f t="shared" si="60"/>
        <v/>
      </c>
      <c r="H686" t="str">
        <f>IF(LEN(TRIM(A686))=0,"",GetConfigParameterValue("Collection Site"))</f>
        <v/>
      </c>
      <c r="I686" t="str">
        <f t="shared" si="65"/>
        <v/>
      </c>
      <c r="M686" t="str">
        <f>IF(LEN(TRIM(B686))=0,"",IF(ISERROR(VLOOKUP(RIGHT(B686,4),study_demographic!A:A,1,FALSE)),"NOT FOUND!!!", "OK"))</f>
        <v/>
      </c>
    </row>
    <row r="687" spans="1:13" x14ac:dyDescent="0.25">
      <c r="A687" t="str">
        <f t="shared" si="61"/>
        <v/>
      </c>
      <c r="B687" t="str">
        <f t="shared" si="62"/>
        <v/>
      </c>
      <c r="C687" s="55" t="str">
        <f>IF(LEN(TRIM(A687))=0,"",get_string_val(RIGHT(B687,4)))</f>
        <v/>
      </c>
      <c r="D687" t="str">
        <f>IF(LEN(TRIM(A687))=0,"",GetItemValueFromSpecimenHeader("timepoint"))</f>
        <v/>
      </c>
      <c r="E687" t="str">
        <f t="shared" si="63"/>
        <v/>
      </c>
      <c r="F687" t="str">
        <f t="shared" si="64"/>
        <v/>
      </c>
      <c r="G687" t="str">
        <f t="shared" si="60"/>
        <v/>
      </c>
      <c r="H687" t="str">
        <f>IF(LEN(TRIM(A687))=0,"",GetConfigParameterValue("Collection Site"))</f>
        <v/>
      </c>
      <c r="I687" t="str">
        <f t="shared" si="65"/>
        <v/>
      </c>
      <c r="M687" t="str">
        <f>IF(LEN(TRIM(B687))=0,"",IF(ISERROR(VLOOKUP(RIGHT(B687,4),study_demographic!A:A,1,FALSE)),"NOT FOUND!!!", "OK"))</f>
        <v/>
      </c>
    </row>
    <row r="688" spans="1:13" x14ac:dyDescent="0.25">
      <c r="A688" t="str">
        <f t="shared" si="61"/>
        <v/>
      </c>
      <c r="B688" t="str">
        <f t="shared" si="62"/>
        <v/>
      </c>
      <c r="C688" s="55" t="str">
        <f>IF(LEN(TRIM(A688))=0,"",get_string_val(RIGHT(B688,4)))</f>
        <v/>
      </c>
      <c r="D688" t="str">
        <f>IF(LEN(TRIM(A688))=0,"",GetItemValueFromSpecimenHeader("timepoint"))</f>
        <v/>
      </c>
      <c r="E688" t="str">
        <f t="shared" si="63"/>
        <v/>
      </c>
      <c r="F688" t="str">
        <f t="shared" si="64"/>
        <v/>
      </c>
      <c r="G688" t="str">
        <f t="shared" si="60"/>
        <v/>
      </c>
      <c r="H688" t="str">
        <f>IF(LEN(TRIM(A688))=0,"",GetConfigParameterValue("Collection Site"))</f>
        <v/>
      </c>
      <c r="I688" t="str">
        <f t="shared" si="65"/>
        <v/>
      </c>
      <c r="M688" t="str">
        <f>IF(LEN(TRIM(B688))=0,"",IF(ISERROR(VLOOKUP(RIGHT(B688,4),study_demographic!A:A,1,FALSE)),"NOT FOUND!!!", "OK"))</f>
        <v/>
      </c>
    </row>
    <row r="689" spans="1:13" x14ac:dyDescent="0.25">
      <c r="A689" t="str">
        <f t="shared" si="61"/>
        <v/>
      </c>
      <c r="B689" t="str">
        <f t="shared" si="62"/>
        <v/>
      </c>
      <c r="C689" s="55" t="str">
        <f>IF(LEN(TRIM(A689))=0,"",get_string_val(RIGHT(B689,4)))</f>
        <v/>
      </c>
      <c r="D689" t="str">
        <f>IF(LEN(TRIM(A689))=0,"",GetItemValueFromSpecimenHeader("timepoint"))</f>
        <v/>
      </c>
      <c r="E689" t="str">
        <f t="shared" si="63"/>
        <v/>
      </c>
      <c r="F689" t="str">
        <f t="shared" si="64"/>
        <v/>
      </c>
      <c r="G689" t="str">
        <f t="shared" si="60"/>
        <v/>
      </c>
      <c r="H689" t="str">
        <f>IF(LEN(TRIM(A689))=0,"",GetConfigParameterValue("Collection Site"))</f>
        <v/>
      </c>
      <c r="I689" t="str">
        <f t="shared" si="65"/>
        <v/>
      </c>
      <c r="M689" t="str">
        <f>IF(LEN(TRIM(B689))=0,"",IF(ISERROR(VLOOKUP(RIGHT(B689,4),study_demographic!A:A,1,FALSE)),"NOT FOUND!!!", "OK"))</f>
        <v/>
      </c>
    </row>
    <row r="690" spans="1:13" x14ac:dyDescent="0.25">
      <c r="A690" t="str">
        <f t="shared" si="61"/>
        <v/>
      </c>
      <c r="B690" t="str">
        <f t="shared" si="62"/>
        <v/>
      </c>
      <c r="C690" s="55" t="str">
        <f>IF(LEN(TRIM(A690))=0,"",get_string_val(RIGHT(B690,4)))</f>
        <v/>
      </c>
      <c r="D690" t="str">
        <f>IF(LEN(TRIM(A690))=0,"",GetItemValueFromSpecimenHeader("timepoint"))</f>
        <v/>
      </c>
      <c r="E690" t="str">
        <f t="shared" si="63"/>
        <v/>
      </c>
      <c r="F690" t="str">
        <f t="shared" si="64"/>
        <v/>
      </c>
      <c r="G690" t="str">
        <f t="shared" si="60"/>
        <v/>
      </c>
      <c r="H690" t="str">
        <f>IF(LEN(TRIM(A690))=0,"",GetConfigParameterValue("Collection Site"))</f>
        <v/>
      </c>
      <c r="I690" t="str">
        <f t="shared" si="65"/>
        <v/>
      </c>
      <c r="M690" t="str">
        <f>IF(LEN(TRIM(B690))=0,"",IF(ISERROR(VLOOKUP(RIGHT(B690,4),study_demographic!A:A,1,FALSE)),"NOT FOUND!!!", "OK"))</f>
        <v/>
      </c>
    </row>
    <row r="691" spans="1:13" x14ac:dyDescent="0.25">
      <c r="A691" t="str">
        <f t="shared" si="61"/>
        <v/>
      </c>
      <c r="B691" t="str">
        <f t="shared" si="62"/>
        <v/>
      </c>
      <c r="C691" s="55" t="str">
        <f>IF(LEN(TRIM(A691))=0,"",get_string_val(RIGHT(B691,4)))</f>
        <v/>
      </c>
      <c r="D691" t="str">
        <f>IF(LEN(TRIM(A691))=0,"",GetItemValueFromSpecimenHeader("timepoint"))</f>
        <v/>
      </c>
      <c r="E691" t="str">
        <f t="shared" si="63"/>
        <v/>
      </c>
      <c r="F691" t="str">
        <f t="shared" si="64"/>
        <v/>
      </c>
      <c r="G691" t="str">
        <f t="shared" si="60"/>
        <v/>
      </c>
      <c r="H691" t="str">
        <f>IF(LEN(TRIM(A691))=0,"",GetConfigParameterValue("Collection Site"))</f>
        <v/>
      </c>
      <c r="I691" t="str">
        <f t="shared" si="65"/>
        <v/>
      </c>
      <c r="M691" t="str">
        <f>IF(LEN(TRIM(B691))=0,"",IF(ISERROR(VLOOKUP(RIGHT(B691,4),study_demographic!A:A,1,FALSE)),"NOT FOUND!!!", "OK"))</f>
        <v/>
      </c>
    </row>
    <row r="692" spans="1:13" x14ac:dyDescent="0.25">
      <c r="A692" t="str">
        <f t="shared" si="61"/>
        <v/>
      </c>
      <c r="B692" t="str">
        <f t="shared" si="62"/>
        <v/>
      </c>
      <c r="C692" s="55" t="str">
        <f>IF(LEN(TRIM(A692))=0,"",get_string_val(RIGHT(B692,4)))</f>
        <v/>
      </c>
      <c r="D692" t="str">
        <f>IF(LEN(TRIM(A692))=0,"",GetItemValueFromSpecimenHeader("timepoint"))</f>
        <v/>
      </c>
      <c r="E692" t="str">
        <f t="shared" si="63"/>
        <v/>
      </c>
      <c r="F692" t="str">
        <f t="shared" si="64"/>
        <v/>
      </c>
      <c r="G692" t="str">
        <f t="shared" si="60"/>
        <v/>
      </c>
      <c r="H692" t="str">
        <f>IF(LEN(TRIM(A692))=0,"",GetConfigParameterValue("Collection Site"))</f>
        <v/>
      </c>
      <c r="I692" t="str">
        <f t="shared" si="65"/>
        <v/>
      </c>
      <c r="M692" t="str">
        <f>IF(LEN(TRIM(B692))=0,"",IF(ISERROR(VLOOKUP(RIGHT(B692,4),study_demographic!A:A,1,FALSE)),"NOT FOUND!!!", "OK"))</f>
        <v/>
      </c>
    </row>
    <row r="693" spans="1:13" x14ac:dyDescent="0.25">
      <c r="A693" t="str">
        <f t="shared" si="61"/>
        <v/>
      </c>
      <c r="B693" t="str">
        <f t="shared" si="62"/>
        <v/>
      </c>
      <c r="C693" s="55" t="str">
        <f>IF(LEN(TRIM(A693))=0,"",get_string_val(RIGHT(B693,4)))</f>
        <v/>
      </c>
      <c r="D693" t="str">
        <f>IF(LEN(TRIM(A693))=0,"",GetItemValueFromSpecimenHeader("timepoint"))</f>
        <v/>
      </c>
      <c r="E693" t="str">
        <f t="shared" si="63"/>
        <v/>
      </c>
      <c r="F693" t="str">
        <f t="shared" si="64"/>
        <v/>
      </c>
      <c r="G693" t="str">
        <f t="shared" si="60"/>
        <v/>
      </c>
      <c r="H693" t="str">
        <f>IF(LEN(TRIM(A693))=0,"",GetConfigParameterValue("Collection Site"))</f>
        <v/>
      </c>
      <c r="I693" t="str">
        <f t="shared" si="65"/>
        <v/>
      </c>
      <c r="M693" t="str">
        <f>IF(LEN(TRIM(B693))=0,"",IF(ISERROR(VLOOKUP(RIGHT(B693,4),study_demographic!A:A,1,FALSE)),"NOT FOUND!!!", "OK"))</f>
        <v/>
      </c>
    </row>
    <row r="694" spans="1:13" x14ac:dyDescent="0.25">
      <c r="A694" t="str">
        <f t="shared" si="61"/>
        <v/>
      </c>
      <c r="B694" t="str">
        <f t="shared" si="62"/>
        <v/>
      </c>
      <c r="C694" s="55" t="str">
        <f>IF(LEN(TRIM(A694))=0,"",get_string_val(RIGHT(B694,4)))</f>
        <v/>
      </c>
      <c r="D694" t="str">
        <f>IF(LEN(TRIM(A694))=0,"",GetItemValueFromSpecimenHeader("timepoint"))</f>
        <v/>
      </c>
      <c r="E694" t="str">
        <f t="shared" si="63"/>
        <v/>
      </c>
      <c r="F694" t="str">
        <f t="shared" si="64"/>
        <v/>
      </c>
      <c r="G694" t="str">
        <f t="shared" si="60"/>
        <v/>
      </c>
      <c r="H694" t="str">
        <f>IF(LEN(TRIM(A694))=0,"",GetConfigParameterValue("Collection Site"))</f>
        <v/>
      </c>
      <c r="I694" t="str">
        <f t="shared" si="65"/>
        <v/>
      </c>
      <c r="M694" t="str">
        <f>IF(LEN(TRIM(B694))=0,"",IF(ISERROR(VLOOKUP(RIGHT(B694,4),study_demographic!A:A,1,FALSE)),"NOT FOUND!!!", "OK"))</f>
        <v/>
      </c>
    </row>
    <row r="695" spans="1:13" x14ac:dyDescent="0.25">
      <c r="A695" t="str">
        <f t="shared" si="61"/>
        <v/>
      </c>
      <c r="B695" t="str">
        <f t="shared" si="62"/>
        <v/>
      </c>
      <c r="C695" s="55" t="str">
        <f>IF(LEN(TRIM(A695))=0,"",get_string_val(RIGHT(B695,4)))</f>
        <v/>
      </c>
      <c r="D695" t="str">
        <f>IF(LEN(TRIM(A695))=0,"",GetItemValueFromSpecimenHeader("timepoint"))</f>
        <v/>
      </c>
      <c r="E695" t="str">
        <f t="shared" si="63"/>
        <v/>
      </c>
      <c r="F695" t="str">
        <f t="shared" si="64"/>
        <v/>
      </c>
      <c r="G695" t="str">
        <f t="shared" si="60"/>
        <v/>
      </c>
      <c r="H695" t="str">
        <f>IF(LEN(TRIM(A695))=0,"",GetConfigParameterValue("Collection Site"))</f>
        <v/>
      </c>
      <c r="I695" t="str">
        <f t="shared" si="65"/>
        <v/>
      </c>
      <c r="M695" t="str">
        <f>IF(LEN(TRIM(B695))=0,"",IF(ISERROR(VLOOKUP(RIGHT(B695,4),study_demographic!A:A,1,FALSE)),"NOT FOUND!!!", "OK"))</f>
        <v/>
      </c>
    </row>
    <row r="696" spans="1:13" x14ac:dyDescent="0.25">
      <c r="A696" t="str">
        <f t="shared" si="61"/>
        <v/>
      </c>
      <c r="B696" t="str">
        <f t="shared" si="62"/>
        <v/>
      </c>
      <c r="C696" s="55" t="str">
        <f>IF(LEN(TRIM(A696))=0,"",get_string_val(RIGHT(B696,4)))</f>
        <v/>
      </c>
      <c r="D696" t="str">
        <f>IF(LEN(TRIM(A696))=0,"",GetItemValueFromSpecimenHeader("timepoint"))</f>
        <v/>
      </c>
      <c r="E696" t="str">
        <f t="shared" si="63"/>
        <v/>
      </c>
      <c r="F696" t="str">
        <f t="shared" si="64"/>
        <v/>
      </c>
      <c r="G696" t="str">
        <f t="shared" si="60"/>
        <v/>
      </c>
      <c r="H696" t="str">
        <f>IF(LEN(TRIM(A696))=0,"",GetConfigParameterValue("Collection Site"))</f>
        <v/>
      </c>
      <c r="I696" t="str">
        <f t="shared" si="65"/>
        <v/>
      </c>
      <c r="M696" t="str">
        <f>IF(LEN(TRIM(B696))=0,"",IF(ISERROR(VLOOKUP(RIGHT(B696,4),study_demographic!A:A,1,FALSE)),"NOT FOUND!!!", "OK"))</f>
        <v/>
      </c>
    </row>
    <row r="697" spans="1:13" x14ac:dyDescent="0.25">
      <c r="A697" t="str">
        <f t="shared" si="61"/>
        <v/>
      </c>
      <c r="B697" t="str">
        <f t="shared" si="62"/>
        <v/>
      </c>
      <c r="C697" s="55" t="str">
        <f>IF(LEN(TRIM(A697))=0,"",get_string_val(RIGHT(B697,4)))</f>
        <v/>
      </c>
      <c r="D697" t="str">
        <f>IF(LEN(TRIM(A697))=0,"",GetItemValueFromSpecimenHeader("timepoint"))</f>
        <v/>
      </c>
      <c r="E697" t="str">
        <f t="shared" si="63"/>
        <v/>
      </c>
      <c r="F697" t="str">
        <f t="shared" si="64"/>
        <v/>
      </c>
      <c r="G697" t="str">
        <f t="shared" si="60"/>
        <v/>
      </c>
      <c r="H697" t="str">
        <f>IF(LEN(TRIM(A697))=0,"",GetConfigParameterValue("Collection Site"))</f>
        <v/>
      </c>
      <c r="I697" t="str">
        <f t="shared" si="65"/>
        <v/>
      </c>
      <c r="M697" t="str">
        <f>IF(LEN(TRIM(B697))=0,"",IF(ISERROR(VLOOKUP(RIGHT(B697,4),study_demographic!A:A,1,FALSE)),"NOT FOUND!!!", "OK"))</f>
        <v/>
      </c>
    </row>
    <row r="698" spans="1:13" x14ac:dyDescent="0.25">
      <c r="A698" t="str">
        <f t="shared" si="61"/>
        <v/>
      </c>
      <c r="B698" t="str">
        <f t="shared" si="62"/>
        <v/>
      </c>
      <c r="C698" s="55" t="str">
        <f>IF(LEN(TRIM(A698))=0,"",get_string_val(RIGHT(B698,4)))</f>
        <v/>
      </c>
      <c r="D698" t="str">
        <f>IF(LEN(TRIM(A698))=0,"",GetItemValueFromSpecimenHeader("timepoint"))</f>
        <v/>
      </c>
      <c r="E698" t="str">
        <f t="shared" si="63"/>
        <v/>
      </c>
      <c r="F698" t="str">
        <f t="shared" si="64"/>
        <v/>
      </c>
      <c r="G698" t="str">
        <f t="shared" si="60"/>
        <v/>
      </c>
      <c r="H698" t="str">
        <f>IF(LEN(TRIM(A698))=0,"",GetConfigParameterValue("Collection Site"))</f>
        <v/>
      </c>
      <c r="I698" t="str">
        <f t="shared" si="65"/>
        <v/>
      </c>
      <c r="M698" t="str">
        <f>IF(LEN(TRIM(B698))=0,"",IF(ISERROR(VLOOKUP(RIGHT(B698,4),study_demographic!A:A,1,FALSE)),"NOT FOUND!!!", "OK"))</f>
        <v/>
      </c>
    </row>
    <row r="699" spans="1:13" x14ac:dyDescent="0.25">
      <c r="A699" t="str">
        <f t="shared" si="61"/>
        <v/>
      </c>
      <c r="B699" t="str">
        <f t="shared" si="62"/>
        <v/>
      </c>
      <c r="C699" s="55" t="str">
        <f>IF(LEN(TRIM(A699))=0,"",get_string_val(RIGHT(B699,4)))</f>
        <v/>
      </c>
      <c r="D699" t="str">
        <f>IF(LEN(TRIM(A699))=0,"",GetItemValueFromSpecimenHeader("timepoint"))</f>
        <v/>
      </c>
      <c r="E699" t="str">
        <f t="shared" si="63"/>
        <v/>
      </c>
      <c r="F699" t="str">
        <f t="shared" si="64"/>
        <v/>
      </c>
      <c r="G699" t="str">
        <f t="shared" si="60"/>
        <v/>
      </c>
      <c r="H699" t="str">
        <f>IF(LEN(TRIM(A699))=0,"",GetConfigParameterValue("Collection Site"))</f>
        <v/>
      </c>
      <c r="I699" t="str">
        <f t="shared" si="65"/>
        <v/>
      </c>
      <c r="M699" t="str">
        <f>IF(LEN(TRIM(B699))=0,"",IF(ISERROR(VLOOKUP(RIGHT(B699,4),study_demographic!A:A,1,FALSE)),"NOT FOUND!!!", "OK"))</f>
        <v/>
      </c>
    </row>
    <row r="700" spans="1:13" x14ac:dyDescent="0.25">
      <c r="A700" t="str">
        <f t="shared" si="61"/>
        <v/>
      </c>
      <c r="B700" t="str">
        <f t="shared" si="62"/>
        <v/>
      </c>
      <c r="C700" s="55" t="str">
        <f>IF(LEN(TRIM(A700))=0,"",get_string_val(RIGHT(B700,4)))</f>
        <v/>
      </c>
      <c r="D700" t="str">
        <f>IF(LEN(TRIM(A700))=0,"",GetItemValueFromSpecimenHeader("timepoint"))</f>
        <v/>
      </c>
      <c r="E700" t="str">
        <f t="shared" si="63"/>
        <v/>
      </c>
      <c r="F700" t="str">
        <f t="shared" si="64"/>
        <v/>
      </c>
      <c r="G700" t="str">
        <f t="shared" si="60"/>
        <v/>
      </c>
      <c r="H700" t="str">
        <f>IF(LEN(TRIM(A700))=0,"",GetConfigParameterValue("Collection Site"))</f>
        <v/>
      </c>
      <c r="I700" t="str">
        <f t="shared" si="65"/>
        <v/>
      </c>
      <c r="M700" t="str">
        <f>IF(LEN(TRIM(B700))=0,"",IF(ISERROR(VLOOKUP(RIGHT(B700,4),study_demographic!A:A,1,FALSE)),"NOT FOUND!!!", "OK"))</f>
        <v/>
      </c>
    </row>
    <row r="701" spans="1:13" x14ac:dyDescent="0.25">
      <c r="A701" t="str">
        <f t="shared" si="61"/>
        <v/>
      </c>
      <c r="B701" t="str">
        <f t="shared" si="62"/>
        <v/>
      </c>
      <c r="C701" s="55" t="str">
        <f>IF(LEN(TRIM(A701))=0,"",get_string_val(RIGHT(B701,4)))</f>
        <v/>
      </c>
      <c r="D701" t="str">
        <f>IF(LEN(TRIM(A701))=0,"",GetItemValueFromSpecimenHeader("timepoint"))</f>
        <v/>
      </c>
      <c r="E701" t="str">
        <f t="shared" si="63"/>
        <v/>
      </c>
      <c r="F701" t="str">
        <f t="shared" si="64"/>
        <v/>
      </c>
      <c r="G701" t="str">
        <f t="shared" si="60"/>
        <v/>
      </c>
      <c r="H701" t="str">
        <f>IF(LEN(TRIM(A701))=0,"",GetConfigParameterValue("Collection Site"))</f>
        <v/>
      </c>
      <c r="I701" t="str">
        <f t="shared" si="65"/>
        <v/>
      </c>
      <c r="M701" t="str">
        <f>IF(LEN(TRIM(B701))=0,"",IF(ISERROR(VLOOKUP(RIGHT(B701,4),study_demographic!A:A,1,FALSE)),"NOT FOUND!!!", "OK"))</f>
        <v/>
      </c>
    </row>
    <row r="702" spans="1:13" x14ac:dyDescent="0.25">
      <c r="A702" t="str">
        <f t="shared" si="61"/>
        <v/>
      </c>
      <c r="B702" t="str">
        <f t="shared" si="62"/>
        <v/>
      </c>
      <c r="C702" s="55" t="str">
        <f>IF(LEN(TRIM(A702))=0,"",get_string_val(RIGHT(B702,4)))</f>
        <v/>
      </c>
      <c r="D702" t="str">
        <f>IF(LEN(TRIM(A702))=0,"",GetItemValueFromSpecimenHeader("timepoint"))</f>
        <v/>
      </c>
      <c r="E702" t="str">
        <f t="shared" si="63"/>
        <v/>
      </c>
      <c r="F702" t="str">
        <f t="shared" si="64"/>
        <v/>
      </c>
      <c r="G702" t="str">
        <f t="shared" si="60"/>
        <v/>
      </c>
      <c r="H702" t="str">
        <f>IF(LEN(TRIM(A702))=0,"",GetConfigParameterValue("Collection Site"))</f>
        <v/>
      </c>
      <c r="I702" t="str">
        <f t="shared" si="65"/>
        <v/>
      </c>
      <c r="M702" t="str">
        <f>IF(LEN(TRIM(B702))=0,"",IF(ISERROR(VLOOKUP(RIGHT(B702,4),study_demographic!A:A,1,FALSE)),"NOT FOUND!!!", "OK"))</f>
        <v/>
      </c>
    </row>
    <row r="703" spans="1:13" x14ac:dyDescent="0.25">
      <c r="A703" t="str">
        <f t="shared" si="61"/>
        <v/>
      </c>
      <c r="B703" t="str">
        <f t="shared" si="62"/>
        <v/>
      </c>
      <c r="C703" s="55" t="str">
        <f>IF(LEN(TRIM(A703))=0,"",get_string_val(RIGHT(B703,4)))</f>
        <v/>
      </c>
      <c r="D703" t="str">
        <f>IF(LEN(TRIM(A703))=0,"",GetItemValueFromSpecimenHeader("timepoint"))</f>
        <v/>
      </c>
      <c r="E703" t="str">
        <f t="shared" si="63"/>
        <v/>
      </c>
      <c r="F703" t="str">
        <f t="shared" si="64"/>
        <v/>
      </c>
      <c r="G703" t="str">
        <f t="shared" si="60"/>
        <v/>
      </c>
      <c r="H703" t="str">
        <f>IF(LEN(TRIM(A703))=0,"",GetConfigParameterValue("Collection Site"))</f>
        <v/>
      </c>
      <c r="I703" t="str">
        <f t="shared" si="65"/>
        <v/>
      </c>
      <c r="M703" t="str">
        <f>IF(LEN(TRIM(B703))=0,"",IF(ISERROR(VLOOKUP(RIGHT(B703,4),study_demographic!A:A,1,FALSE)),"NOT FOUND!!!", "OK"))</f>
        <v/>
      </c>
    </row>
    <row r="704" spans="1:13" x14ac:dyDescent="0.25">
      <c r="A704" t="str">
        <f t="shared" si="61"/>
        <v/>
      </c>
      <c r="B704" t="str">
        <f t="shared" si="62"/>
        <v/>
      </c>
      <c r="C704" s="55" t="str">
        <f>IF(LEN(TRIM(A704))=0,"",get_string_val(RIGHT(B704,4)))</f>
        <v/>
      </c>
      <c r="D704" t="str">
        <f>IF(LEN(TRIM(A704))=0,"",GetItemValueFromSpecimenHeader("timepoint"))</f>
        <v/>
      </c>
      <c r="E704" t="str">
        <f t="shared" si="63"/>
        <v/>
      </c>
      <c r="F704" t="str">
        <f t="shared" si="64"/>
        <v/>
      </c>
      <c r="G704" t="str">
        <f t="shared" si="60"/>
        <v/>
      </c>
      <c r="H704" t="str">
        <f>IF(LEN(TRIM(A704))=0,"",GetConfigParameterValue("Collection Site"))</f>
        <v/>
      </c>
      <c r="I704" t="str">
        <f t="shared" si="65"/>
        <v/>
      </c>
      <c r="M704" t="str">
        <f>IF(LEN(TRIM(B704))=0,"",IF(ISERROR(VLOOKUP(RIGHT(B704,4),study_demographic!A:A,1,FALSE)),"NOT FOUND!!!", "OK"))</f>
        <v/>
      </c>
    </row>
    <row r="705" spans="1:13" x14ac:dyDescent="0.25">
      <c r="A705" t="str">
        <f t="shared" si="61"/>
        <v/>
      </c>
      <c r="B705" t="str">
        <f t="shared" si="62"/>
        <v/>
      </c>
      <c r="C705" s="55" t="str">
        <f>IF(LEN(TRIM(A705))=0,"",get_string_val(RIGHT(B705,4)))</f>
        <v/>
      </c>
      <c r="D705" t="str">
        <f>IF(LEN(TRIM(A705))=0,"",GetItemValueFromSpecimenHeader("timepoint"))</f>
        <v/>
      </c>
      <c r="E705" t="str">
        <f t="shared" si="63"/>
        <v/>
      </c>
      <c r="F705" t="str">
        <f t="shared" si="64"/>
        <v/>
      </c>
      <c r="G705" t="str">
        <f t="shared" si="60"/>
        <v/>
      </c>
      <c r="H705" t="str">
        <f>IF(LEN(TRIM(A705))=0,"",GetConfigParameterValue("Collection Site"))</f>
        <v/>
      </c>
      <c r="I705" t="str">
        <f t="shared" si="65"/>
        <v/>
      </c>
      <c r="M705" t="str">
        <f>IF(LEN(TRIM(B705))=0,"",IF(ISERROR(VLOOKUP(RIGHT(B705,4),study_demographic!A:A,1,FALSE)),"NOT FOUND!!!", "OK"))</f>
        <v/>
      </c>
    </row>
    <row r="706" spans="1:13" x14ac:dyDescent="0.25">
      <c r="A706" t="str">
        <f t="shared" si="61"/>
        <v/>
      </c>
      <c r="B706" t="str">
        <f t="shared" si="62"/>
        <v/>
      </c>
      <c r="C706" s="55" t="str">
        <f>IF(LEN(TRIM(A706))=0,"",get_string_val(RIGHT(B706,4)))</f>
        <v/>
      </c>
      <c r="D706" t="str">
        <f>IF(LEN(TRIM(A706))=0,"",GetItemValueFromSpecimenHeader("timepoint"))</f>
        <v/>
      </c>
      <c r="E706" t="str">
        <f t="shared" si="63"/>
        <v/>
      </c>
      <c r="F706" t="str">
        <f t="shared" si="64"/>
        <v/>
      </c>
      <c r="G706" t="str">
        <f t="shared" ref="G706:G769" si="66">IF(LEN(TRIM(A706))=0,"",IF(TRIM(F706)="1","Male", IF(TRIM(F706)="2","Female", "NA")))</f>
        <v/>
      </c>
      <c r="H706" t="str">
        <f>IF(LEN(TRIM(A706))=0,"",GetConfigParameterValue("Collection Site"))</f>
        <v/>
      </c>
      <c r="I706" t="str">
        <f t="shared" si="65"/>
        <v/>
      </c>
      <c r="M706" t="str">
        <f>IF(LEN(TRIM(B706))=0,"",IF(ISERROR(VLOOKUP(RIGHT(B706,4),study_demographic!A:A,1,FALSE)),"NOT FOUND!!!", "OK"))</f>
        <v/>
      </c>
    </row>
    <row r="707" spans="1:13" x14ac:dyDescent="0.25">
      <c r="A707" t="str">
        <f t="shared" ref="A707:A770" si="67">GetSampleId((ROW()))</f>
        <v/>
      </c>
      <c r="B707" t="str">
        <f t="shared" ref="B707:B770" si="68">IF(LEN(TRIM(A707))=0,"",LEFT(A707,7))</f>
        <v/>
      </c>
      <c r="C707" s="55" t="str">
        <f>IF(LEN(TRIM(A707))=0,"",get_string_val(RIGHT(B707,4)))</f>
        <v/>
      </c>
      <c r="D707" t="str">
        <f>IF(LEN(TRIM(A707))=0,"",GetItemValueFromSpecimenHeader("timepoint"))</f>
        <v/>
      </c>
      <c r="E707" t="str">
        <f t="shared" ref="E707:E770" si="69">getColumnValueBySubjectID("Age",RIGHT(B707,4))</f>
        <v/>
      </c>
      <c r="F707" t="str">
        <f t="shared" ref="F707:F770" si="70">getColumnValueBySubjectID("Sex",RIGHT(B707,4))</f>
        <v/>
      </c>
      <c r="G707" t="str">
        <f t="shared" si="66"/>
        <v/>
      </c>
      <c r="H707" t="str">
        <f>IF(LEN(TRIM(A707))=0,"",GetConfigParameterValue("Collection Site"))</f>
        <v/>
      </c>
      <c r="I707" t="str">
        <f t="shared" ref="I707:I770" si="71">getColumnValueBySubjectID("Comments",B707)</f>
        <v/>
      </c>
      <c r="M707" t="str">
        <f>IF(LEN(TRIM(B707))=0,"",IF(ISERROR(VLOOKUP(RIGHT(B707,4),study_demographic!A:A,1,FALSE)),"NOT FOUND!!!", "OK"))</f>
        <v/>
      </c>
    </row>
    <row r="708" spans="1:13" x14ac:dyDescent="0.25">
      <c r="A708" t="str">
        <f t="shared" si="67"/>
        <v/>
      </c>
      <c r="B708" t="str">
        <f t="shared" si="68"/>
        <v/>
      </c>
      <c r="C708" s="55" t="str">
        <f>IF(LEN(TRIM(A708))=0,"",get_string_val(RIGHT(B708,4)))</f>
        <v/>
      </c>
      <c r="D708" t="str">
        <f>IF(LEN(TRIM(A708))=0,"",GetItemValueFromSpecimenHeader("timepoint"))</f>
        <v/>
      </c>
      <c r="E708" t="str">
        <f t="shared" si="69"/>
        <v/>
      </c>
      <c r="F708" t="str">
        <f t="shared" si="70"/>
        <v/>
      </c>
      <c r="G708" t="str">
        <f t="shared" si="66"/>
        <v/>
      </c>
      <c r="H708" t="str">
        <f>IF(LEN(TRIM(A708))=0,"",GetConfigParameterValue("Collection Site"))</f>
        <v/>
      </c>
      <c r="I708" t="str">
        <f t="shared" si="71"/>
        <v/>
      </c>
      <c r="M708" t="str">
        <f>IF(LEN(TRIM(B708))=0,"",IF(ISERROR(VLOOKUP(RIGHT(B708,4),study_demographic!A:A,1,FALSE)),"NOT FOUND!!!", "OK"))</f>
        <v/>
      </c>
    </row>
    <row r="709" spans="1:13" x14ac:dyDescent="0.25">
      <c r="A709" t="str">
        <f t="shared" si="67"/>
        <v/>
      </c>
      <c r="B709" t="str">
        <f t="shared" si="68"/>
        <v/>
      </c>
      <c r="C709" s="55" t="str">
        <f>IF(LEN(TRIM(A709))=0,"",get_string_val(RIGHT(B709,4)))</f>
        <v/>
      </c>
      <c r="D709" t="str">
        <f>IF(LEN(TRIM(A709))=0,"",GetItemValueFromSpecimenHeader("timepoint"))</f>
        <v/>
      </c>
      <c r="E709" t="str">
        <f t="shared" si="69"/>
        <v/>
      </c>
      <c r="F709" t="str">
        <f t="shared" si="70"/>
        <v/>
      </c>
      <c r="G709" t="str">
        <f t="shared" si="66"/>
        <v/>
      </c>
      <c r="H709" t="str">
        <f>IF(LEN(TRIM(A709))=0,"",GetConfigParameterValue("Collection Site"))</f>
        <v/>
      </c>
      <c r="I709" t="str">
        <f t="shared" si="71"/>
        <v/>
      </c>
      <c r="M709" t="str">
        <f>IF(LEN(TRIM(B709))=0,"",IF(ISERROR(VLOOKUP(RIGHT(B709,4),study_demographic!A:A,1,FALSE)),"NOT FOUND!!!", "OK"))</f>
        <v/>
      </c>
    </row>
    <row r="710" spans="1:13" x14ac:dyDescent="0.25">
      <c r="A710" t="str">
        <f t="shared" si="67"/>
        <v/>
      </c>
      <c r="B710" t="str">
        <f t="shared" si="68"/>
        <v/>
      </c>
      <c r="C710" s="55" t="str">
        <f>IF(LEN(TRIM(A710))=0,"",get_string_val(RIGHT(B710,4)))</f>
        <v/>
      </c>
      <c r="D710" t="str">
        <f>IF(LEN(TRIM(A710))=0,"",GetItemValueFromSpecimenHeader("timepoint"))</f>
        <v/>
      </c>
      <c r="E710" t="str">
        <f t="shared" si="69"/>
        <v/>
      </c>
      <c r="F710" t="str">
        <f t="shared" si="70"/>
        <v/>
      </c>
      <c r="G710" t="str">
        <f t="shared" si="66"/>
        <v/>
      </c>
      <c r="H710" t="str">
        <f>IF(LEN(TRIM(A710))=0,"",GetConfigParameterValue("Collection Site"))</f>
        <v/>
      </c>
      <c r="I710" t="str">
        <f t="shared" si="71"/>
        <v/>
      </c>
      <c r="M710" t="str">
        <f>IF(LEN(TRIM(B710))=0,"",IF(ISERROR(VLOOKUP(RIGHT(B710,4),study_demographic!A:A,1,FALSE)),"NOT FOUND!!!", "OK"))</f>
        <v/>
      </c>
    </row>
    <row r="711" spans="1:13" x14ac:dyDescent="0.25">
      <c r="A711" t="str">
        <f t="shared" si="67"/>
        <v/>
      </c>
      <c r="B711" t="str">
        <f t="shared" si="68"/>
        <v/>
      </c>
      <c r="C711" s="55" t="str">
        <f>IF(LEN(TRIM(A711))=0,"",get_string_val(RIGHT(B711,4)))</f>
        <v/>
      </c>
      <c r="D711" t="str">
        <f>IF(LEN(TRIM(A711))=0,"",GetItemValueFromSpecimenHeader("timepoint"))</f>
        <v/>
      </c>
      <c r="E711" t="str">
        <f t="shared" si="69"/>
        <v/>
      </c>
      <c r="F711" t="str">
        <f t="shared" si="70"/>
        <v/>
      </c>
      <c r="G711" t="str">
        <f t="shared" si="66"/>
        <v/>
      </c>
      <c r="H711" t="str">
        <f>IF(LEN(TRIM(A711))=0,"",GetConfigParameterValue("Collection Site"))</f>
        <v/>
      </c>
      <c r="I711" t="str">
        <f t="shared" si="71"/>
        <v/>
      </c>
      <c r="M711" t="str">
        <f>IF(LEN(TRIM(B711))=0,"",IF(ISERROR(VLOOKUP(RIGHT(B711,4),study_demographic!A:A,1,FALSE)),"NOT FOUND!!!", "OK"))</f>
        <v/>
      </c>
    </row>
    <row r="712" spans="1:13" x14ac:dyDescent="0.25">
      <c r="A712" t="str">
        <f t="shared" si="67"/>
        <v/>
      </c>
      <c r="B712" t="str">
        <f t="shared" si="68"/>
        <v/>
      </c>
      <c r="C712" s="55" t="str">
        <f>IF(LEN(TRIM(A712))=0,"",get_string_val(RIGHT(B712,4)))</f>
        <v/>
      </c>
      <c r="D712" t="str">
        <f>IF(LEN(TRIM(A712))=0,"",GetItemValueFromSpecimenHeader("timepoint"))</f>
        <v/>
      </c>
      <c r="E712" t="str">
        <f t="shared" si="69"/>
        <v/>
      </c>
      <c r="F712" t="str">
        <f t="shared" si="70"/>
        <v/>
      </c>
      <c r="G712" t="str">
        <f t="shared" si="66"/>
        <v/>
      </c>
      <c r="H712" t="str">
        <f>IF(LEN(TRIM(A712))=0,"",GetConfigParameterValue("Collection Site"))</f>
        <v/>
      </c>
      <c r="I712" t="str">
        <f t="shared" si="71"/>
        <v/>
      </c>
      <c r="M712" t="str">
        <f>IF(LEN(TRIM(B712))=0,"",IF(ISERROR(VLOOKUP(RIGHT(B712,4),study_demographic!A:A,1,FALSE)),"NOT FOUND!!!", "OK"))</f>
        <v/>
      </c>
    </row>
    <row r="713" spans="1:13" x14ac:dyDescent="0.25">
      <c r="A713" t="str">
        <f t="shared" si="67"/>
        <v/>
      </c>
      <c r="B713" t="str">
        <f t="shared" si="68"/>
        <v/>
      </c>
      <c r="C713" s="55" t="str">
        <f>IF(LEN(TRIM(A713))=0,"",get_string_val(RIGHT(B713,4)))</f>
        <v/>
      </c>
      <c r="D713" t="str">
        <f>IF(LEN(TRIM(A713))=0,"",GetItemValueFromSpecimenHeader("timepoint"))</f>
        <v/>
      </c>
      <c r="E713" t="str">
        <f t="shared" si="69"/>
        <v/>
      </c>
      <c r="F713" t="str">
        <f t="shared" si="70"/>
        <v/>
      </c>
      <c r="G713" t="str">
        <f t="shared" si="66"/>
        <v/>
      </c>
      <c r="H713" t="str">
        <f>IF(LEN(TRIM(A713))=0,"",GetConfigParameterValue("Collection Site"))</f>
        <v/>
      </c>
      <c r="I713" t="str">
        <f t="shared" si="71"/>
        <v/>
      </c>
      <c r="M713" t="str">
        <f>IF(LEN(TRIM(B713))=0,"",IF(ISERROR(VLOOKUP(RIGHT(B713,4),study_demographic!A:A,1,FALSE)),"NOT FOUND!!!", "OK"))</f>
        <v/>
      </c>
    </row>
    <row r="714" spans="1:13" x14ac:dyDescent="0.25">
      <c r="A714" t="str">
        <f t="shared" si="67"/>
        <v/>
      </c>
      <c r="B714" t="str">
        <f t="shared" si="68"/>
        <v/>
      </c>
      <c r="C714" s="55" t="str">
        <f>IF(LEN(TRIM(A714))=0,"",get_string_val(RIGHT(B714,4)))</f>
        <v/>
      </c>
      <c r="D714" t="str">
        <f>IF(LEN(TRIM(A714))=0,"",GetItemValueFromSpecimenHeader("timepoint"))</f>
        <v/>
      </c>
      <c r="E714" t="str">
        <f t="shared" si="69"/>
        <v/>
      </c>
      <c r="F714" t="str">
        <f t="shared" si="70"/>
        <v/>
      </c>
      <c r="G714" t="str">
        <f t="shared" si="66"/>
        <v/>
      </c>
      <c r="H714" t="str">
        <f>IF(LEN(TRIM(A714))=0,"",GetConfigParameterValue("Collection Site"))</f>
        <v/>
      </c>
      <c r="I714" t="str">
        <f t="shared" si="71"/>
        <v/>
      </c>
      <c r="M714" t="str">
        <f>IF(LEN(TRIM(B714))=0,"",IF(ISERROR(VLOOKUP(RIGHT(B714,4),study_demographic!A:A,1,FALSE)),"NOT FOUND!!!", "OK"))</f>
        <v/>
      </c>
    </row>
    <row r="715" spans="1:13" x14ac:dyDescent="0.25">
      <c r="A715" t="str">
        <f t="shared" si="67"/>
        <v/>
      </c>
      <c r="B715" t="str">
        <f t="shared" si="68"/>
        <v/>
      </c>
      <c r="C715" s="55" t="str">
        <f>IF(LEN(TRIM(A715))=0,"",get_string_val(RIGHT(B715,4)))</f>
        <v/>
      </c>
      <c r="D715" t="str">
        <f>IF(LEN(TRIM(A715))=0,"",GetItemValueFromSpecimenHeader("timepoint"))</f>
        <v/>
      </c>
      <c r="E715" t="str">
        <f t="shared" si="69"/>
        <v/>
      </c>
      <c r="F715" t="str">
        <f t="shared" si="70"/>
        <v/>
      </c>
      <c r="G715" t="str">
        <f t="shared" si="66"/>
        <v/>
      </c>
      <c r="H715" t="str">
        <f>IF(LEN(TRIM(A715))=0,"",GetConfigParameterValue("Collection Site"))</f>
        <v/>
      </c>
      <c r="I715" t="str">
        <f t="shared" si="71"/>
        <v/>
      </c>
      <c r="M715" t="str">
        <f>IF(LEN(TRIM(B715))=0,"",IF(ISERROR(VLOOKUP(RIGHT(B715,4),study_demographic!A:A,1,FALSE)),"NOT FOUND!!!", "OK"))</f>
        <v/>
      </c>
    </row>
    <row r="716" spans="1:13" x14ac:dyDescent="0.25">
      <c r="A716" t="str">
        <f t="shared" si="67"/>
        <v/>
      </c>
      <c r="B716" t="str">
        <f t="shared" si="68"/>
        <v/>
      </c>
      <c r="C716" s="55" t="str">
        <f>IF(LEN(TRIM(A716))=0,"",get_string_val(RIGHT(B716,4)))</f>
        <v/>
      </c>
      <c r="D716" t="str">
        <f>IF(LEN(TRIM(A716))=0,"",GetItemValueFromSpecimenHeader("timepoint"))</f>
        <v/>
      </c>
      <c r="E716" t="str">
        <f t="shared" si="69"/>
        <v/>
      </c>
      <c r="F716" t="str">
        <f t="shared" si="70"/>
        <v/>
      </c>
      <c r="G716" t="str">
        <f t="shared" si="66"/>
        <v/>
      </c>
      <c r="H716" t="str">
        <f>IF(LEN(TRIM(A716))=0,"",GetConfigParameterValue("Collection Site"))</f>
        <v/>
      </c>
      <c r="I716" t="str">
        <f t="shared" si="71"/>
        <v/>
      </c>
      <c r="M716" t="str">
        <f>IF(LEN(TRIM(B716))=0,"",IF(ISERROR(VLOOKUP(RIGHT(B716,4),study_demographic!A:A,1,FALSE)),"NOT FOUND!!!", "OK"))</f>
        <v/>
      </c>
    </row>
    <row r="717" spans="1:13" x14ac:dyDescent="0.25">
      <c r="A717" t="str">
        <f t="shared" si="67"/>
        <v/>
      </c>
      <c r="B717" t="str">
        <f t="shared" si="68"/>
        <v/>
      </c>
      <c r="C717" s="55" t="str">
        <f>IF(LEN(TRIM(A717))=0,"",get_string_val(RIGHT(B717,4)))</f>
        <v/>
      </c>
      <c r="D717" t="str">
        <f>IF(LEN(TRIM(A717))=0,"",GetItemValueFromSpecimenHeader("timepoint"))</f>
        <v/>
      </c>
      <c r="E717" t="str">
        <f t="shared" si="69"/>
        <v/>
      </c>
      <c r="F717" t="str">
        <f t="shared" si="70"/>
        <v/>
      </c>
      <c r="G717" t="str">
        <f t="shared" si="66"/>
        <v/>
      </c>
      <c r="H717" t="str">
        <f>IF(LEN(TRIM(A717))=0,"",GetConfigParameterValue("Collection Site"))</f>
        <v/>
      </c>
      <c r="I717" t="str">
        <f t="shared" si="71"/>
        <v/>
      </c>
      <c r="M717" t="str">
        <f>IF(LEN(TRIM(B717))=0,"",IF(ISERROR(VLOOKUP(RIGHT(B717,4),study_demographic!A:A,1,FALSE)),"NOT FOUND!!!", "OK"))</f>
        <v/>
      </c>
    </row>
    <row r="718" spans="1:13" x14ac:dyDescent="0.25">
      <c r="A718" t="str">
        <f t="shared" si="67"/>
        <v/>
      </c>
      <c r="B718" t="str">
        <f t="shared" si="68"/>
        <v/>
      </c>
      <c r="C718" s="55" t="str">
        <f>IF(LEN(TRIM(A718))=0,"",get_string_val(RIGHT(B718,4)))</f>
        <v/>
      </c>
      <c r="D718" t="str">
        <f>IF(LEN(TRIM(A718))=0,"",GetItemValueFromSpecimenHeader("timepoint"))</f>
        <v/>
      </c>
      <c r="E718" t="str">
        <f t="shared" si="69"/>
        <v/>
      </c>
      <c r="F718" t="str">
        <f t="shared" si="70"/>
        <v/>
      </c>
      <c r="G718" t="str">
        <f t="shared" si="66"/>
        <v/>
      </c>
      <c r="H718" t="str">
        <f>IF(LEN(TRIM(A718))=0,"",GetConfigParameterValue("Collection Site"))</f>
        <v/>
      </c>
      <c r="I718" t="str">
        <f t="shared" si="71"/>
        <v/>
      </c>
      <c r="M718" t="str">
        <f>IF(LEN(TRIM(B718))=0,"",IF(ISERROR(VLOOKUP(RIGHT(B718,4),study_demographic!A:A,1,FALSE)),"NOT FOUND!!!", "OK"))</f>
        <v/>
      </c>
    </row>
    <row r="719" spans="1:13" x14ac:dyDescent="0.25">
      <c r="A719" t="str">
        <f t="shared" si="67"/>
        <v/>
      </c>
      <c r="B719" t="str">
        <f t="shared" si="68"/>
        <v/>
      </c>
      <c r="C719" s="55" t="str">
        <f>IF(LEN(TRIM(A719))=0,"",get_string_val(RIGHT(B719,4)))</f>
        <v/>
      </c>
      <c r="D719" t="str">
        <f>IF(LEN(TRIM(A719))=0,"",GetItemValueFromSpecimenHeader("timepoint"))</f>
        <v/>
      </c>
      <c r="E719" t="str">
        <f t="shared" si="69"/>
        <v/>
      </c>
      <c r="F719" t="str">
        <f t="shared" si="70"/>
        <v/>
      </c>
      <c r="G719" t="str">
        <f t="shared" si="66"/>
        <v/>
      </c>
      <c r="H719" t="str">
        <f>IF(LEN(TRIM(A719))=0,"",GetConfigParameterValue("Collection Site"))</f>
        <v/>
      </c>
      <c r="I719" t="str">
        <f t="shared" si="71"/>
        <v/>
      </c>
      <c r="M719" t="str">
        <f>IF(LEN(TRIM(B719))=0,"",IF(ISERROR(VLOOKUP(RIGHT(B719,4),study_demographic!A:A,1,FALSE)),"NOT FOUND!!!", "OK"))</f>
        <v/>
      </c>
    </row>
    <row r="720" spans="1:13" x14ac:dyDescent="0.25">
      <c r="A720" t="str">
        <f t="shared" si="67"/>
        <v/>
      </c>
      <c r="B720" t="str">
        <f t="shared" si="68"/>
        <v/>
      </c>
      <c r="C720" s="55" t="str">
        <f>IF(LEN(TRIM(A720))=0,"",get_string_val(RIGHT(B720,4)))</f>
        <v/>
      </c>
      <c r="D720" t="str">
        <f>IF(LEN(TRIM(A720))=0,"",GetItemValueFromSpecimenHeader("timepoint"))</f>
        <v/>
      </c>
      <c r="E720" t="str">
        <f t="shared" si="69"/>
        <v/>
      </c>
      <c r="F720" t="str">
        <f t="shared" si="70"/>
        <v/>
      </c>
      <c r="G720" t="str">
        <f t="shared" si="66"/>
        <v/>
      </c>
      <c r="H720" t="str">
        <f>IF(LEN(TRIM(A720))=0,"",GetConfigParameterValue("Collection Site"))</f>
        <v/>
      </c>
      <c r="I720" t="str">
        <f t="shared" si="71"/>
        <v/>
      </c>
      <c r="M720" t="str">
        <f>IF(LEN(TRIM(B720))=0,"",IF(ISERROR(VLOOKUP(RIGHT(B720,4),study_demographic!A:A,1,FALSE)),"NOT FOUND!!!", "OK"))</f>
        <v/>
      </c>
    </row>
    <row r="721" spans="1:13" x14ac:dyDescent="0.25">
      <c r="A721" t="str">
        <f t="shared" si="67"/>
        <v/>
      </c>
      <c r="B721" t="str">
        <f t="shared" si="68"/>
        <v/>
      </c>
      <c r="C721" s="55" t="str">
        <f>IF(LEN(TRIM(A721))=0,"",get_string_val(RIGHT(B721,4)))</f>
        <v/>
      </c>
      <c r="D721" t="str">
        <f>IF(LEN(TRIM(A721))=0,"",GetItemValueFromSpecimenHeader("timepoint"))</f>
        <v/>
      </c>
      <c r="E721" t="str">
        <f t="shared" si="69"/>
        <v/>
      </c>
      <c r="F721" t="str">
        <f t="shared" si="70"/>
        <v/>
      </c>
      <c r="G721" t="str">
        <f t="shared" si="66"/>
        <v/>
      </c>
      <c r="H721" t="str">
        <f>IF(LEN(TRIM(A721))=0,"",GetConfigParameterValue("Collection Site"))</f>
        <v/>
      </c>
      <c r="I721" t="str">
        <f t="shared" si="71"/>
        <v/>
      </c>
      <c r="M721" t="str">
        <f>IF(LEN(TRIM(B721))=0,"",IF(ISERROR(VLOOKUP(RIGHT(B721,4),study_demographic!A:A,1,FALSE)),"NOT FOUND!!!", "OK"))</f>
        <v/>
      </c>
    </row>
    <row r="722" spans="1:13" x14ac:dyDescent="0.25">
      <c r="A722" t="str">
        <f t="shared" si="67"/>
        <v/>
      </c>
      <c r="B722" t="str">
        <f t="shared" si="68"/>
        <v/>
      </c>
      <c r="C722" s="55" t="str">
        <f>IF(LEN(TRIM(A722))=0,"",get_string_val(RIGHT(B722,4)))</f>
        <v/>
      </c>
      <c r="D722" t="str">
        <f>IF(LEN(TRIM(A722))=0,"",GetItemValueFromSpecimenHeader("timepoint"))</f>
        <v/>
      </c>
      <c r="E722" t="str">
        <f t="shared" si="69"/>
        <v/>
      </c>
      <c r="F722" t="str">
        <f t="shared" si="70"/>
        <v/>
      </c>
      <c r="G722" t="str">
        <f t="shared" si="66"/>
        <v/>
      </c>
      <c r="H722" t="str">
        <f>IF(LEN(TRIM(A722))=0,"",GetConfigParameterValue("Collection Site"))</f>
        <v/>
      </c>
      <c r="I722" t="str">
        <f t="shared" si="71"/>
        <v/>
      </c>
      <c r="M722" t="str">
        <f>IF(LEN(TRIM(B722))=0,"",IF(ISERROR(VLOOKUP(RIGHT(B722,4),study_demographic!A:A,1,FALSE)),"NOT FOUND!!!", "OK"))</f>
        <v/>
      </c>
    </row>
    <row r="723" spans="1:13" x14ac:dyDescent="0.25">
      <c r="A723" t="str">
        <f t="shared" si="67"/>
        <v/>
      </c>
      <c r="B723" t="str">
        <f t="shared" si="68"/>
        <v/>
      </c>
      <c r="C723" s="55" t="str">
        <f>IF(LEN(TRIM(A723))=0,"",get_string_val(RIGHT(B723,4)))</f>
        <v/>
      </c>
      <c r="D723" t="str">
        <f>IF(LEN(TRIM(A723))=0,"",GetItemValueFromSpecimenHeader("timepoint"))</f>
        <v/>
      </c>
      <c r="E723" t="str">
        <f t="shared" si="69"/>
        <v/>
      </c>
      <c r="F723" t="str">
        <f t="shared" si="70"/>
        <v/>
      </c>
      <c r="G723" t="str">
        <f t="shared" si="66"/>
        <v/>
      </c>
      <c r="H723" t="str">
        <f>IF(LEN(TRIM(A723))=0,"",GetConfigParameterValue("Collection Site"))</f>
        <v/>
      </c>
      <c r="I723" t="str">
        <f t="shared" si="71"/>
        <v/>
      </c>
      <c r="M723" t="str">
        <f>IF(LEN(TRIM(B723))=0,"",IF(ISERROR(VLOOKUP(RIGHT(B723,4),study_demographic!A:A,1,FALSE)),"NOT FOUND!!!", "OK"))</f>
        <v/>
      </c>
    </row>
    <row r="724" spans="1:13" x14ac:dyDescent="0.25">
      <c r="A724" t="str">
        <f t="shared" si="67"/>
        <v/>
      </c>
      <c r="B724" t="str">
        <f t="shared" si="68"/>
        <v/>
      </c>
      <c r="C724" s="55" t="str">
        <f>IF(LEN(TRIM(A724))=0,"",get_string_val(RIGHT(B724,4)))</f>
        <v/>
      </c>
      <c r="D724" t="str">
        <f>IF(LEN(TRIM(A724))=0,"",GetItemValueFromSpecimenHeader("timepoint"))</f>
        <v/>
      </c>
      <c r="E724" t="str">
        <f t="shared" si="69"/>
        <v/>
      </c>
      <c r="F724" t="str">
        <f t="shared" si="70"/>
        <v/>
      </c>
      <c r="G724" t="str">
        <f t="shared" si="66"/>
        <v/>
      </c>
      <c r="H724" t="str">
        <f>IF(LEN(TRIM(A724))=0,"",GetConfigParameterValue("Collection Site"))</f>
        <v/>
      </c>
      <c r="I724" t="str">
        <f t="shared" si="71"/>
        <v/>
      </c>
      <c r="M724" t="str">
        <f>IF(LEN(TRIM(B724))=0,"",IF(ISERROR(VLOOKUP(RIGHT(B724,4),study_demographic!A:A,1,FALSE)),"NOT FOUND!!!", "OK"))</f>
        <v/>
      </c>
    </row>
    <row r="725" spans="1:13" x14ac:dyDescent="0.25">
      <c r="A725" t="str">
        <f t="shared" si="67"/>
        <v/>
      </c>
      <c r="B725" t="str">
        <f t="shared" si="68"/>
        <v/>
      </c>
      <c r="C725" s="55" t="str">
        <f>IF(LEN(TRIM(A725))=0,"",get_string_val(RIGHT(B725,4)))</f>
        <v/>
      </c>
      <c r="D725" t="str">
        <f>IF(LEN(TRIM(A725))=0,"",GetItemValueFromSpecimenHeader("timepoint"))</f>
        <v/>
      </c>
      <c r="E725" t="str">
        <f t="shared" si="69"/>
        <v/>
      </c>
      <c r="F725" t="str">
        <f t="shared" si="70"/>
        <v/>
      </c>
      <c r="G725" t="str">
        <f t="shared" si="66"/>
        <v/>
      </c>
      <c r="H725" t="str">
        <f>IF(LEN(TRIM(A725))=0,"",GetConfigParameterValue("Collection Site"))</f>
        <v/>
      </c>
      <c r="I725" t="str">
        <f t="shared" si="71"/>
        <v/>
      </c>
      <c r="M725" t="str">
        <f>IF(LEN(TRIM(B725))=0,"",IF(ISERROR(VLOOKUP(RIGHT(B725,4),study_demographic!A:A,1,FALSE)),"NOT FOUND!!!", "OK"))</f>
        <v/>
      </c>
    </row>
    <row r="726" spans="1:13" x14ac:dyDescent="0.25">
      <c r="A726" t="str">
        <f t="shared" si="67"/>
        <v/>
      </c>
      <c r="B726" t="str">
        <f t="shared" si="68"/>
        <v/>
      </c>
      <c r="C726" s="55" t="str">
        <f>IF(LEN(TRIM(A726))=0,"",get_string_val(RIGHT(B726,4)))</f>
        <v/>
      </c>
      <c r="D726" t="str">
        <f>IF(LEN(TRIM(A726))=0,"",GetItemValueFromSpecimenHeader("timepoint"))</f>
        <v/>
      </c>
      <c r="E726" t="str">
        <f t="shared" si="69"/>
        <v/>
      </c>
      <c r="F726" t="str">
        <f t="shared" si="70"/>
        <v/>
      </c>
      <c r="G726" t="str">
        <f t="shared" si="66"/>
        <v/>
      </c>
      <c r="H726" t="str">
        <f>IF(LEN(TRIM(A726))=0,"",GetConfigParameterValue("Collection Site"))</f>
        <v/>
      </c>
      <c r="I726" t="str">
        <f t="shared" si="71"/>
        <v/>
      </c>
      <c r="M726" t="str">
        <f>IF(LEN(TRIM(B726))=0,"",IF(ISERROR(VLOOKUP(RIGHT(B726,4),study_demographic!A:A,1,FALSE)),"NOT FOUND!!!", "OK"))</f>
        <v/>
      </c>
    </row>
    <row r="727" spans="1:13" x14ac:dyDescent="0.25">
      <c r="A727" t="str">
        <f t="shared" si="67"/>
        <v/>
      </c>
      <c r="B727" t="str">
        <f t="shared" si="68"/>
        <v/>
      </c>
      <c r="C727" s="55" t="str">
        <f>IF(LEN(TRIM(A727))=0,"",get_string_val(RIGHT(B727,4)))</f>
        <v/>
      </c>
      <c r="D727" t="str">
        <f>IF(LEN(TRIM(A727))=0,"",GetItemValueFromSpecimenHeader("timepoint"))</f>
        <v/>
      </c>
      <c r="E727" t="str">
        <f t="shared" si="69"/>
        <v/>
      </c>
      <c r="F727" t="str">
        <f t="shared" si="70"/>
        <v/>
      </c>
      <c r="G727" t="str">
        <f t="shared" si="66"/>
        <v/>
      </c>
      <c r="H727" t="str">
        <f>IF(LEN(TRIM(A727))=0,"",GetConfigParameterValue("Collection Site"))</f>
        <v/>
      </c>
      <c r="I727" t="str">
        <f t="shared" si="71"/>
        <v/>
      </c>
      <c r="M727" t="str">
        <f>IF(LEN(TRIM(B727))=0,"",IF(ISERROR(VLOOKUP(RIGHT(B727,4),study_demographic!A:A,1,FALSE)),"NOT FOUND!!!", "OK"))</f>
        <v/>
      </c>
    </row>
    <row r="728" spans="1:13" x14ac:dyDescent="0.25">
      <c r="A728" t="str">
        <f t="shared" si="67"/>
        <v/>
      </c>
      <c r="B728" t="str">
        <f t="shared" si="68"/>
        <v/>
      </c>
      <c r="C728" s="55" t="str">
        <f>IF(LEN(TRIM(A728))=0,"",get_string_val(RIGHT(B728,4)))</f>
        <v/>
      </c>
      <c r="D728" t="str">
        <f>IF(LEN(TRIM(A728))=0,"",GetItemValueFromSpecimenHeader("timepoint"))</f>
        <v/>
      </c>
      <c r="E728" t="str">
        <f t="shared" si="69"/>
        <v/>
      </c>
      <c r="F728" t="str">
        <f t="shared" si="70"/>
        <v/>
      </c>
      <c r="G728" t="str">
        <f t="shared" si="66"/>
        <v/>
      </c>
      <c r="H728" t="str">
        <f>IF(LEN(TRIM(A728))=0,"",GetConfigParameterValue("Collection Site"))</f>
        <v/>
      </c>
      <c r="I728" t="str">
        <f t="shared" si="71"/>
        <v/>
      </c>
      <c r="M728" t="str">
        <f>IF(LEN(TRIM(B728))=0,"",IF(ISERROR(VLOOKUP(RIGHT(B728,4),study_demographic!A:A,1,FALSE)),"NOT FOUND!!!", "OK"))</f>
        <v/>
      </c>
    </row>
    <row r="729" spans="1:13" x14ac:dyDescent="0.25">
      <c r="A729" t="str">
        <f t="shared" si="67"/>
        <v/>
      </c>
      <c r="B729" t="str">
        <f t="shared" si="68"/>
        <v/>
      </c>
      <c r="C729" s="55" t="str">
        <f>IF(LEN(TRIM(A729))=0,"",get_string_val(RIGHT(B729,4)))</f>
        <v/>
      </c>
      <c r="D729" t="str">
        <f>IF(LEN(TRIM(A729))=0,"",GetItemValueFromSpecimenHeader("timepoint"))</f>
        <v/>
      </c>
      <c r="E729" t="str">
        <f t="shared" si="69"/>
        <v/>
      </c>
      <c r="F729" t="str">
        <f t="shared" si="70"/>
        <v/>
      </c>
      <c r="G729" t="str">
        <f t="shared" si="66"/>
        <v/>
      </c>
      <c r="H729" t="str">
        <f>IF(LEN(TRIM(A729))=0,"",GetConfigParameterValue("Collection Site"))</f>
        <v/>
      </c>
      <c r="I729" t="str">
        <f t="shared" si="71"/>
        <v/>
      </c>
      <c r="M729" t="str">
        <f>IF(LEN(TRIM(B729))=0,"",IF(ISERROR(VLOOKUP(RIGHT(B729,4),study_demographic!A:A,1,FALSE)),"NOT FOUND!!!", "OK"))</f>
        <v/>
      </c>
    </row>
    <row r="730" spans="1:13" x14ac:dyDescent="0.25">
      <c r="A730" t="str">
        <f t="shared" si="67"/>
        <v/>
      </c>
      <c r="B730" t="str">
        <f t="shared" si="68"/>
        <v/>
      </c>
      <c r="C730" s="55" t="str">
        <f>IF(LEN(TRIM(A730))=0,"",get_string_val(RIGHT(B730,4)))</f>
        <v/>
      </c>
      <c r="D730" t="str">
        <f>IF(LEN(TRIM(A730))=0,"",GetItemValueFromSpecimenHeader("timepoint"))</f>
        <v/>
      </c>
      <c r="E730" t="str">
        <f t="shared" si="69"/>
        <v/>
      </c>
      <c r="F730" t="str">
        <f t="shared" si="70"/>
        <v/>
      </c>
      <c r="G730" t="str">
        <f t="shared" si="66"/>
        <v/>
      </c>
      <c r="H730" t="str">
        <f>IF(LEN(TRIM(A730))=0,"",GetConfigParameterValue("Collection Site"))</f>
        <v/>
      </c>
      <c r="I730" t="str">
        <f t="shared" si="71"/>
        <v/>
      </c>
      <c r="M730" t="str">
        <f>IF(LEN(TRIM(B730))=0,"",IF(ISERROR(VLOOKUP(RIGHT(B730,4),study_demographic!A:A,1,FALSE)),"NOT FOUND!!!", "OK"))</f>
        <v/>
      </c>
    </row>
    <row r="731" spans="1:13" x14ac:dyDescent="0.25">
      <c r="A731" t="str">
        <f t="shared" si="67"/>
        <v/>
      </c>
      <c r="B731" t="str">
        <f t="shared" si="68"/>
        <v/>
      </c>
      <c r="C731" s="55" t="str">
        <f>IF(LEN(TRIM(A731))=0,"",get_string_val(RIGHT(B731,4)))</f>
        <v/>
      </c>
      <c r="D731" t="str">
        <f>IF(LEN(TRIM(A731))=0,"",GetItemValueFromSpecimenHeader("timepoint"))</f>
        <v/>
      </c>
      <c r="E731" t="str">
        <f t="shared" si="69"/>
        <v/>
      </c>
      <c r="F731" t="str">
        <f t="shared" si="70"/>
        <v/>
      </c>
      <c r="G731" t="str">
        <f t="shared" si="66"/>
        <v/>
      </c>
      <c r="H731" t="str">
        <f>IF(LEN(TRIM(A731))=0,"",GetConfigParameterValue("Collection Site"))</f>
        <v/>
      </c>
      <c r="I731" t="str">
        <f t="shared" si="71"/>
        <v/>
      </c>
      <c r="M731" t="str">
        <f>IF(LEN(TRIM(B731))=0,"",IF(ISERROR(VLOOKUP(RIGHT(B731,4),study_demographic!A:A,1,FALSE)),"NOT FOUND!!!", "OK"))</f>
        <v/>
      </c>
    </row>
    <row r="732" spans="1:13" x14ac:dyDescent="0.25">
      <c r="A732" t="str">
        <f t="shared" si="67"/>
        <v/>
      </c>
      <c r="B732" t="str">
        <f t="shared" si="68"/>
        <v/>
      </c>
      <c r="C732" s="55" t="str">
        <f>IF(LEN(TRIM(A732))=0,"",get_string_val(RIGHT(B732,4)))</f>
        <v/>
      </c>
      <c r="D732" t="str">
        <f>IF(LEN(TRIM(A732))=0,"",GetItemValueFromSpecimenHeader("timepoint"))</f>
        <v/>
      </c>
      <c r="E732" t="str">
        <f t="shared" si="69"/>
        <v/>
      </c>
      <c r="F732" t="str">
        <f t="shared" si="70"/>
        <v/>
      </c>
      <c r="G732" t="str">
        <f t="shared" si="66"/>
        <v/>
      </c>
      <c r="H732" t="str">
        <f>IF(LEN(TRIM(A732))=0,"",GetConfigParameterValue("Collection Site"))</f>
        <v/>
      </c>
      <c r="I732" t="str">
        <f t="shared" si="71"/>
        <v/>
      </c>
      <c r="M732" t="str">
        <f>IF(LEN(TRIM(B732))=0,"",IF(ISERROR(VLOOKUP(RIGHT(B732,4),study_demographic!A:A,1,FALSE)),"NOT FOUND!!!", "OK"))</f>
        <v/>
      </c>
    </row>
    <row r="733" spans="1:13" x14ac:dyDescent="0.25">
      <c r="A733" t="str">
        <f t="shared" si="67"/>
        <v/>
      </c>
      <c r="B733" t="str">
        <f t="shared" si="68"/>
        <v/>
      </c>
      <c r="C733" s="55" t="str">
        <f>IF(LEN(TRIM(A733))=0,"",get_string_val(RIGHT(B733,4)))</f>
        <v/>
      </c>
      <c r="D733" t="str">
        <f>IF(LEN(TRIM(A733))=0,"",GetItemValueFromSpecimenHeader("timepoint"))</f>
        <v/>
      </c>
      <c r="E733" t="str">
        <f t="shared" si="69"/>
        <v/>
      </c>
      <c r="F733" t="str">
        <f t="shared" si="70"/>
        <v/>
      </c>
      <c r="G733" t="str">
        <f t="shared" si="66"/>
        <v/>
      </c>
      <c r="H733" t="str">
        <f>IF(LEN(TRIM(A733))=0,"",GetConfigParameterValue("Collection Site"))</f>
        <v/>
      </c>
      <c r="I733" t="str">
        <f t="shared" si="71"/>
        <v/>
      </c>
      <c r="M733" t="str">
        <f>IF(LEN(TRIM(B733))=0,"",IF(ISERROR(VLOOKUP(RIGHT(B733,4),study_demographic!A:A,1,FALSE)),"NOT FOUND!!!", "OK"))</f>
        <v/>
      </c>
    </row>
    <row r="734" spans="1:13" x14ac:dyDescent="0.25">
      <c r="A734" t="str">
        <f t="shared" si="67"/>
        <v/>
      </c>
      <c r="B734" t="str">
        <f t="shared" si="68"/>
        <v/>
      </c>
      <c r="C734" s="55" t="str">
        <f>IF(LEN(TRIM(A734))=0,"",get_string_val(RIGHT(B734,4)))</f>
        <v/>
      </c>
      <c r="D734" t="str">
        <f>IF(LEN(TRIM(A734))=0,"",GetItemValueFromSpecimenHeader("timepoint"))</f>
        <v/>
      </c>
      <c r="E734" t="str">
        <f t="shared" si="69"/>
        <v/>
      </c>
      <c r="F734" t="str">
        <f t="shared" si="70"/>
        <v/>
      </c>
      <c r="G734" t="str">
        <f t="shared" si="66"/>
        <v/>
      </c>
      <c r="H734" t="str">
        <f>IF(LEN(TRIM(A734))=0,"",GetConfigParameterValue("Collection Site"))</f>
        <v/>
      </c>
      <c r="I734" t="str">
        <f t="shared" si="71"/>
        <v/>
      </c>
      <c r="M734" t="str">
        <f>IF(LEN(TRIM(B734))=0,"",IF(ISERROR(VLOOKUP(RIGHT(B734,4),study_demographic!A:A,1,FALSE)),"NOT FOUND!!!", "OK"))</f>
        <v/>
      </c>
    </row>
    <row r="735" spans="1:13" x14ac:dyDescent="0.25">
      <c r="A735" t="str">
        <f t="shared" si="67"/>
        <v/>
      </c>
      <c r="B735" t="str">
        <f t="shared" si="68"/>
        <v/>
      </c>
      <c r="C735" s="55" t="str">
        <f>IF(LEN(TRIM(A735))=0,"",get_string_val(RIGHT(B735,4)))</f>
        <v/>
      </c>
      <c r="D735" t="str">
        <f>IF(LEN(TRIM(A735))=0,"",GetItemValueFromSpecimenHeader("timepoint"))</f>
        <v/>
      </c>
      <c r="E735" t="str">
        <f t="shared" si="69"/>
        <v/>
      </c>
      <c r="F735" t="str">
        <f t="shared" si="70"/>
        <v/>
      </c>
      <c r="G735" t="str">
        <f t="shared" si="66"/>
        <v/>
      </c>
      <c r="H735" t="str">
        <f>IF(LEN(TRIM(A735))=0,"",GetConfigParameterValue("Collection Site"))</f>
        <v/>
      </c>
      <c r="I735" t="str">
        <f t="shared" si="71"/>
        <v/>
      </c>
      <c r="M735" t="str">
        <f>IF(LEN(TRIM(B735))=0,"",IF(ISERROR(VLOOKUP(RIGHT(B735,4),study_demographic!A:A,1,FALSE)),"NOT FOUND!!!", "OK"))</f>
        <v/>
      </c>
    </row>
    <row r="736" spans="1:13" x14ac:dyDescent="0.25">
      <c r="A736" t="str">
        <f t="shared" si="67"/>
        <v/>
      </c>
      <c r="B736" t="str">
        <f t="shared" si="68"/>
        <v/>
      </c>
      <c r="C736" s="55" t="str">
        <f>IF(LEN(TRIM(A736))=0,"",get_string_val(RIGHT(B736,4)))</f>
        <v/>
      </c>
      <c r="D736" t="str">
        <f>IF(LEN(TRIM(A736))=0,"",GetItemValueFromSpecimenHeader("timepoint"))</f>
        <v/>
      </c>
      <c r="E736" t="str">
        <f t="shared" si="69"/>
        <v/>
      </c>
      <c r="F736" t="str">
        <f t="shared" si="70"/>
        <v/>
      </c>
      <c r="G736" t="str">
        <f t="shared" si="66"/>
        <v/>
      </c>
      <c r="H736" t="str">
        <f>IF(LEN(TRIM(A736))=0,"",GetConfigParameterValue("Collection Site"))</f>
        <v/>
      </c>
      <c r="I736" t="str">
        <f t="shared" si="71"/>
        <v/>
      </c>
      <c r="M736" t="str">
        <f>IF(LEN(TRIM(B736))=0,"",IF(ISERROR(VLOOKUP(RIGHT(B736,4),study_demographic!A:A,1,FALSE)),"NOT FOUND!!!", "OK"))</f>
        <v/>
      </c>
    </row>
    <row r="737" spans="1:13" x14ac:dyDescent="0.25">
      <c r="A737" t="str">
        <f t="shared" si="67"/>
        <v/>
      </c>
      <c r="B737" t="str">
        <f t="shared" si="68"/>
        <v/>
      </c>
      <c r="C737" s="55" t="str">
        <f>IF(LEN(TRIM(A737))=0,"",get_string_val(RIGHT(B737,4)))</f>
        <v/>
      </c>
      <c r="D737" t="str">
        <f>IF(LEN(TRIM(A737))=0,"",GetItemValueFromSpecimenHeader("timepoint"))</f>
        <v/>
      </c>
      <c r="E737" t="str">
        <f t="shared" si="69"/>
        <v/>
      </c>
      <c r="F737" t="str">
        <f t="shared" si="70"/>
        <v/>
      </c>
      <c r="G737" t="str">
        <f t="shared" si="66"/>
        <v/>
      </c>
      <c r="H737" t="str">
        <f>IF(LEN(TRIM(A737))=0,"",GetConfigParameterValue("Collection Site"))</f>
        <v/>
      </c>
      <c r="I737" t="str">
        <f t="shared" si="71"/>
        <v/>
      </c>
      <c r="M737" t="str">
        <f>IF(LEN(TRIM(B737))=0,"",IF(ISERROR(VLOOKUP(RIGHT(B737,4),study_demographic!A:A,1,FALSE)),"NOT FOUND!!!", "OK"))</f>
        <v/>
      </c>
    </row>
    <row r="738" spans="1:13" x14ac:dyDescent="0.25">
      <c r="A738" t="str">
        <f t="shared" si="67"/>
        <v/>
      </c>
      <c r="B738" t="str">
        <f t="shared" si="68"/>
        <v/>
      </c>
      <c r="C738" s="55" t="str">
        <f>IF(LEN(TRIM(A738))=0,"",get_string_val(RIGHT(B738,4)))</f>
        <v/>
      </c>
      <c r="D738" t="str">
        <f>IF(LEN(TRIM(A738))=0,"",GetItemValueFromSpecimenHeader("timepoint"))</f>
        <v/>
      </c>
      <c r="E738" t="str">
        <f t="shared" si="69"/>
        <v/>
      </c>
      <c r="F738" t="str">
        <f t="shared" si="70"/>
        <v/>
      </c>
      <c r="G738" t="str">
        <f t="shared" si="66"/>
        <v/>
      </c>
      <c r="H738" t="str">
        <f>IF(LEN(TRIM(A738))=0,"",GetConfigParameterValue("Collection Site"))</f>
        <v/>
      </c>
      <c r="I738" t="str">
        <f t="shared" si="71"/>
        <v/>
      </c>
      <c r="M738" t="str">
        <f>IF(LEN(TRIM(B738))=0,"",IF(ISERROR(VLOOKUP(RIGHT(B738,4),study_demographic!A:A,1,FALSE)),"NOT FOUND!!!", "OK"))</f>
        <v/>
      </c>
    </row>
    <row r="739" spans="1:13" x14ac:dyDescent="0.25">
      <c r="A739" t="str">
        <f t="shared" si="67"/>
        <v/>
      </c>
      <c r="B739" t="str">
        <f t="shared" si="68"/>
        <v/>
      </c>
      <c r="C739" s="55" t="str">
        <f>IF(LEN(TRIM(A739))=0,"",get_string_val(RIGHT(B739,4)))</f>
        <v/>
      </c>
      <c r="D739" t="str">
        <f>IF(LEN(TRIM(A739))=0,"",GetItemValueFromSpecimenHeader("timepoint"))</f>
        <v/>
      </c>
      <c r="E739" t="str">
        <f t="shared" si="69"/>
        <v/>
      </c>
      <c r="F739" t="str">
        <f t="shared" si="70"/>
        <v/>
      </c>
      <c r="G739" t="str">
        <f t="shared" si="66"/>
        <v/>
      </c>
      <c r="H739" t="str">
        <f>IF(LEN(TRIM(A739))=0,"",GetConfigParameterValue("Collection Site"))</f>
        <v/>
      </c>
      <c r="I739" t="str">
        <f t="shared" si="71"/>
        <v/>
      </c>
      <c r="M739" t="str">
        <f>IF(LEN(TRIM(B739))=0,"",IF(ISERROR(VLOOKUP(RIGHT(B739,4),study_demographic!A:A,1,FALSE)),"NOT FOUND!!!", "OK"))</f>
        <v/>
      </c>
    </row>
    <row r="740" spans="1:13" x14ac:dyDescent="0.25">
      <c r="A740" t="str">
        <f t="shared" si="67"/>
        <v/>
      </c>
      <c r="B740" t="str">
        <f t="shared" si="68"/>
        <v/>
      </c>
      <c r="C740" s="55" t="str">
        <f>IF(LEN(TRIM(A740))=0,"",get_string_val(RIGHT(B740,4)))</f>
        <v/>
      </c>
      <c r="D740" t="str">
        <f>IF(LEN(TRIM(A740))=0,"",GetItemValueFromSpecimenHeader("timepoint"))</f>
        <v/>
      </c>
      <c r="E740" t="str">
        <f t="shared" si="69"/>
        <v/>
      </c>
      <c r="F740" t="str">
        <f t="shared" si="70"/>
        <v/>
      </c>
      <c r="G740" t="str">
        <f t="shared" si="66"/>
        <v/>
      </c>
      <c r="H740" t="str">
        <f>IF(LEN(TRIM(A740))=0,"",GetConfigParameterValue("Collection Site"))</f>
        <v/>
      </c>
      <c r="I740" t="str">
        <f t="shared" si="71"/>
        <v/>
      </c>
      <c r="M740" t="str">
        <f>IF(LEN(TRIM(B740))=0,"",IF(ISERROR(VLOOKUP(RIGHT(B740,4),study_demographic!A:A,1,FALSE)),"NOT FOUND!!!", "OK"))</f>
        <v/>
      </c>
    </row>
    <row r="741" spans="1:13" x14ac:dyDescent="0.25">
      <c r="A741" t="str">
        <f t="shared" si="67"/>
        <v/>
      </c>
      <c r="B741" t="str">
        <f t="shared" si="68"/>
        <v/>
      </c>
      <c r="C741" s="55" t="str">
        <f>IF(LEN(TRIM(A741))=0,"",get_string_val(RIGHT(B741,4)))</f>
        <v/>
      </c>
      <c r="D741" t="str">
        <f>IF(LEN(TRIM(A741))=0,"",GetItemValueFromSpecimenHeader("timepoint"))</f>
        <v/>
      </c>
      <c r="E741" t="str">
        <f t="shared" si="69"/>
        <v/>
      </c>
      <c r="F741" t="str">
        <f t="shared" si="70"/>
        <v/>
      </c>
      <c r="G741" t="str">
        <f t="shared" si="66"/>
        <v/>
      </c>
      <c r="H741" t="str">
        <f>IF(LEN(TRIM(A741))=0,"",GetConfigParameterValue("Collection Site"))</f>
        <v/>
      </c>
      <c r="I741" t="str">
        <f t="shared" si="71"/>
        <v/>
      </c>
      <c r="M741" t="str">
        <f>IF(LEN(TRIM(B741))=0,"",IF(ISERROR(VLOOKUP(RIGHT(B741,4),study_demographic!A:A,1,FALSE)),"NOT FOUND!!!", "OK"))</f>
        <v/>
      </c>
    </row>
    <row r="742" spans="1:13" x14ac:dyDescent="0.25">
      <c r="A742" t="str">
        <f t="shared" si="67"/>
        <v/>
      </c>
      <c r="B742" t="str">
        <f t="shared" si="68"/>
        <v/>
      </c>
      <c r="C742" s="55" t="str">
        <f>IF(LEN(TRIM(A742))=0,"",get_string_val(RIGHT(B742,4)))</f>
        <v/>
      </c>
      <c r="D742" t="str">
        <f>IF(LEN(TRIM(A742))=0,"",GetItemValueFromSpecimenHeader("timepoint"))</f>
        <v/>
      </c>
      <c r="E742" t="str">
        <f t="shared" si="69"/>
        <v/>
      </c>
      <c r="F742" t="str">
        <f t="shared" si="70"/>
        <v/>
      </c>
      <c r="G742" t="str">
        <f t="shared" si="66"/>
        <v/>
      </c>
      <c r="H742" t="str">
        <f>IF(LEN(TRIM(A742))=0,"",GetConfigParameterValue("Collection Site"))</f>
        <v/>
      </c>
      <c r="I742" t="str">
        <f t="shared" si="71"/>
        <v/>
      </c>
      <c r="M742" t="str">
        <f>IF(LEN(TRIM(B742))=0,"",IF(ISERROR(VLOOKUP(RIGHT(B742,4),study_demographic!A:A,1,FALSE)),"NOT FOUND!!!", "OK"))</f>
        <v/>
      </c>
    </row>
    <row r="743" spans="1:13" x14ac:dyDescent="0.25">
      <c r="A743" t="str">
        <f t="shared" si="67"/>
        <v/>
      </c>
      <c r="B743" t="str">
        <f t="shared" si="68"/>
        <v/>
      </c>
      <c r="C743" s="55" t="str">
        <f>IF(LEN(TRIM(A743))=0,"",get_string_val(RIGHT(B743,4)))</f>
        <v/>
      </c>
      <c r="D743" t="str">
        <f>IF(LEN(TRIM(A743))=0,"",GetItemValueFromSpecimenHeader("timepoint"))</f>
        <v/>
      </c>
      <c r="E743" t="str">
        <f t="shared" si="69"/>
        <v/>
      </c>
      <c r="F743" t="str">
        <f t="shared" si="70"/>
        <v/>
      </c>
      <c r="G743" t="str">
        <f t="shared" si="66"/>
        <v/>
      </c>
      <c r="H743" t="str">
        <f>IF(LEN(TRIM(A743))=0,"",GetConfigParameterValue("Collection Site"))</f>
        <v/>
      </c>
      <c r="I743" t="str">
        <f t="shared" si="71"/>
        <v/>
      </c>
      <c r="M743" t="str">
        <f>IF(LEN(TRIM(B743))=0,"",IF(ISERROR(VLOOKUP(RIGHT(B743,4),study_demographic!A:A,1,FALSE)),"NOT FOUND!!!", "OK"))</f>
        <v/>
      </c>
    </row>
    <row r="744" spans="1:13" x14ac:dyDescent="0.25">
      <c r="A744" t="str">
        <f t="shared" si="67"/>
        <v/>
      </c>
      <c r="B744" t="str">
        <f t="shared" si="68"/>
        <v/>
      </c>
      <c r="C744" s="55" t="str">
        <f>IF(LEN(TRIM(A744))=0,"",get_string_val(RIGHT(B744,4)))</f>
        <v/>
      </c>
      <c r="D744" t="str">
        <f>IF(LEN(TRIM(A744))=0,"",GetItemValueFromSpecimenHeader("timepoint"))</f>
        <v/>
      </c>
      <c r="E744" t="str">
        <f t="shared" si="69"/>
        <v/>
      </c>
      <c r="F744" t="str">
        <f t="shared" si="70"/>
        <v/>
      </c>
      <c r="G744" t="str">
        <f t="shared" si="66"/>
        <v/>
      </c>
      <c r="H744" t="str">
        <f>IF(LEN(TRIM(A744))=0,"",GetConfigParameterValue("Collection Site"))</f>
        <v/>
      </c>
      <c r="I744" t="str">
        <f t="shared" si="71"/>
        <v/>
      </c>
      <c r="M744" t="str">
        <f>IF(LEN(TRIM(B744))=0,"",IF(ISERROR(VLOOKUP(RIGHT(B744,4),study_demographic!A:A,1,FALSE)),"NOT FOUND!!!", "OK"))</f>
        <v/>
      </c>
    </row>
    <row r="745" spans="1:13" x14ac:dyDescent="0.25">
      <c r="A745" t="str">
        <f t="shared" si="67"/>
        <v/>
      </c>
      <c r="B745" t="str">
        <f t="shared" si="68"/>
        <v/>
      </c>
      <c r="C745" s="55" t="str">
        <f>IF(LEN(TRIM(A745))=0,"",get_string_val(RIGHT(B745,4)))</f>
        <v/>
      </c>
      <c r="D745" t="str">
        <f>IF(LEN(TRIM(A745))=0,"",GetItemValueFromSpecimenHeader("timepoint"))</f>
        <v/>
      </c>
      <c r="E745" t="str">
        <f t="shared" si="69"/>
        <v/>
      </c>
      <c r="F745" t="str">
        <f t="shared" si="70"/>
        <v/>
      </c>
      <c r="G745" t="str">
        <f t="shared" si="66"/>
        <v/>
      </c>
      <c r="H745" t="str">
        <f>IF(LEN(TRIM(A745))=0,"",GetConfigParameterValue("Collection Site"))</f>
        <v/>
      </c>
      <c r="I745" t="str">
        <f t="shared" si="71"/>
        <v/>
      </c>
      <c r="M745" t="str">
        <f>IF(LEN(TRIM(B745))=0,"",IF(ISERROR(VLOOKUP(RIGHT(B745,4),study_demographic!A:A,1,FALSE)),"NOT FOUND!!!", "OK"))</f>
        <v/>
      </c>
    </row>
    <row r="746" spans="1:13" x14ac:dyDescent="0.25">
      <c r="A746" t="str">
        <f t="shared" si="67"/>
        <v/>
      </c>
      <c r="B746" t="str">
        <f t="shared" si="68"/>
        <v/>
      </c>
      <c r="C746" s="55" t="str">
        <f>IF(LEN(TRIM(A746))=0,"",get_string_val(RIGHT(B746,4)))</f>
        <v/>
      </c>
      <c r="D746" t="str">
        <f>IF(LEN(TRIM(A746))=0,"",GetItemValueFromSpecimenHeader("timepoint"))</f>
        <v/>
      </c>
      <c r="E746" t="str">
        <f t="shared" si="69"/>
        <v/>
      </c>
      <c r="F746" t="str">
        <f t="shared" si="70"/>
        <v/>
      </c>
      <c r="G746" t="str">
        <f t="shared" si="66"/>
        <v/>
      </c>
      <c r="H746" t="str">
        <f>IF(LEN(TRIM(A746))=0,"",GetConfigParameterValue("Collection Site"))</f>
        <v/>
      </c>
      <c r="I746" t="str">
        <f t="shared" si="71"/>
        <v/>
      </c>
      <c r="M746" t="str">
        <f>IF(LEN(TRIM(B746))=0,"",IF(ISERROR(VLOOKUP(RIGHT(B746,4),study_demographic!A:A,1,FALSE)),"NOT FOUND!!!", "OK"))</f>
        <v/>
      </c>
    </row>
    <row r="747" spans="1:13" x14ac:dyDescent="0.25">
      <c r="A747" t="str">
        <f t="shared" si="67"/>
        <v/>
      </c>
      <c r="B747" t="str">
        <f t="shared" si="68"/>
        <v/>
      </c>
      <c r="C747" s="55" t="str">
        <f>IF(LEN(TRIM(A747))=0,"",get_string_val(RIGHT(B747,4)))</f>
        <v/>
      </c>
      <c r="D747" t="str">
        <f>IF(LEN(TRIM(A747))=0,"",GetItemValueFromSpecimenHeader("timepoint"))</f>
        <v/>
      </c>
      <c r="E747" t="str">
        <f t="shared" si="69"/>
        <v/>
      </c>
      <c r="F747" t="str">
        <f t="shared" si="70"/>
        <v/>
      </c>
      <c r="G747" t="str">
        <f t="shared" si="66"/>
        <v/>
      </c>
      <c r="H747" t="str">
        <f>IF(LEN(TRIM(A747))=0,"",GetConfigParameterValue("Collection Site"))</f>
        <v/>
      </c>
      <c r="I747" t="str">
        <f t="shared" si="71"/>
        <v/>
      </c>
      <c r="M747" t="str">
        <f>IF(LEN(TRIM(B747))=0,"",IF(ISERROR(VLOOKUP(RIGHT(B747,4),study_demographic!A:A,1,FALSE)),"NOT FOUND!!!", "OK"))</f>
        <v/>
      </c>
    </row>
    <row r="748" spans="1:13" x14ac:dyDescent="0.25">
      <c r="A748" t="str">
        <f t="shared" si="67"/>
        <v/>
      </c>
      <c r="B748" t="str">
        <f t="shared" si="68"/>
        <v/>
      </c>
      <c r="C748" s="55" t="str">
        <f>IF(LEN(TRIM(A748))=0,"",get_string_val(RIGHT(B748,4)))</f>
        <v/>
      </c>
      <c r="D748" t="str">
        <f>IF(LEN(TRIM(A748))=0,"",GetItemValueFromSpecimenHeader("timepoint"))</f>
        <v/>
      </c>
      <c r="E748" t="str">
        <f t="shared" si="69"/>
        <v/>
      </c>
      <c r="F748" t="str">
        <f t="shared" si="70"/>
        <v/>
      </c>
      <c r="G748" t="str">
        <f t="shared" si="66"/>
        <v/>
      </c>
      <c r="H748" t="str">
        <f>IF(LEN(TRIM(A748))=0,"",GetConfigParameterValue("Collection Site"))</f>
        <v/>
      </c>
      <c r="I748" t="str">
        <f t="shared" si="71"/>
        <v/>
      </c>
      <c r="M748" t="str">
        <f>IF(LEN(TRIM(B748))=0,"",IF(ISERROR(VLOOKUP(RIGHT(B748,4),study_demographic!A:A,1,FALSE)),"NOT FOUND!!!", "OK"))</f>
        <v/>
      </c>
    </row>
    <row r="749" spans="1:13" x14ac:dyDescent="0.25">
      <c r="A749" t="str">
        <f t="shared" si="67"/>
        <v/>
      </c>
      <c r="B749" t="str">
        <f t="shared" si="68"/>
        <v/>
      </c>
      <c r="C749" s="55" t="str">
        <f>IF(LEN(TRIM(A749))=0,"",get_string_val(RIGHT(B749,4)))</f>
        <v/>
      </c>
      <c r="D749" t="str">
        <f>IF(LEN(TRIM(A749))=0,"",GetItemValueFromSpecimenHeader("timepoint"))</f>
        <v/>
      </c>
      <c r="E749" t="str">
        <f t="shared" si="69"/>
        <v/>
      </c>
      <c r="F749" t="str">
        <f t="shared" si="70"/>
        <v/>
      </c>
      <c r="G749" t="str">
        <f t="shared" si="66"/>
        <v/>
      </c>
      <c r="H749" t="str">
        <f>IF(LEN(TRIM(A749))=0,"",GetConfigParameterValue("Collection Site"))</f>
        <v/>
      </c>
      <c r="I749" t="str">
        <f t="shared" si="71"/>
        <v/>
      </c>
      <c r="M749" t="str">
        <f>IF(LEN(TRIM(B749))=0,"",IF(ISERROR(VLOOKUP(RIGHT(B749,4),study_demographic!A:A,1,FALSE)),"NOT FOUND!!!", "OK"))</f>
        <v/>
      </c>
    </row>
    <row r="750" spans="1:13" x14ac:dyDescent="0.25">
      <c r="A750" t="str">
        <f t="shared" si="67"/>
        <v/>
      </c>
      <c r="B750" t="str">
        <f t="shared" si="68"/>
        <v/>
      </c>
      <c r="C750" s="55" t="str">
        <f>IF(LEN(TRIM(A750))=0,"",get_string_val(RIGHT(B750,4)))</f>
        <v/>
      </c>
      <c r="D750" t="str">
        <f>IF(LEN(TRIM(A750))=0,"",GetItemValueFromSpecimenHeader("timepoint"))</f>
        <v/>
      </c>
      <c r="E750" t="str">
        <f t="shared" si="69"/>
        <v/>
      </c>
      <c r="F750" t="str">
        <f t="shared" si="70"/>
        <v/>
      </c>
      <c r="G750" t="str">
        <f t="shared" si="66"/>
        <v/>
      </c>
      <c r="H750" t="str">
        <f>IF(LEN(TRIM(A750))=0,"",GetConfigParameterValue("Collection Site"))</f>
        <v/>
      </c>
      <c r="I750" t="str">
        <f t="shared" si="71"/>
        <v/>
      </c>
      <c r="M750" t="str">
        <f>IF(LEN(TRIM(B750))=0,"",IF(ISERROR(VLOOKUP(RIGHT(B750,4),study_demographic!A:A,1,FALSE)),"NOT FOUND!!!", "OK"))</f>
        <v/>
      </c>
    </row>
    <row r="751" spans="1:13" x14ac:dyDescent="0.25">
      <c r="A751" t="str">
        <f t="shared" si="67"/>
        <v/>
      </c>
      <c r="B751" t="str">
        <f t="shared" si="68"/>
        <v/>
      </c>
      <c r="C751" s="55" t="str">
        <f>IF(LEN(TRIM(A751))=0,"",get_string_val(RIGHT(B751,4)))</f>
        <v/>
      </c>
      <c r="D751" t="str">
        <f>IF(LEN(TRIM(A751))=0,"",GetItemValueFromSpecimenHeader("timepoint"))</f>
        <v/>
      </c>
      <c r="E751" t="str">
        <f t="shared" si="69"/>
        <v/>
      </c>
      <c r="F751" t="str">
        <f t="shared" si="70"/>
        <v/>
      </c>
      <c r="G751" t="str">
        <f t="shared" si="66"/>
        <v/>
      </c>
      <c r="H751" t="str">
        <f>IF(LEN(TRIM(A751))=0,"",GetConfigParameterValue("Collection Site"))</f>
        <v/>
      </c>
      <c r="I751" t="str">
        <f t="shared" si="71"/>
        <v/>
      </c>
      <c r="M751" t="str">
        <f>IF(LEN(TRIM(B751))=0,"",IF(ISERROR(VLOOKUP(RIGHT(B751,4),study_demographic!A:A,1,FALSE)),"NOT FOUND!!!", "OK"))</f>
        <v/>
      </c>
    </row>
    <row r="752" spans="1:13" x14ac:dyDescent="0.25">
      <c r="A752" t="str">
        <f t="shared" si="67"/>
        <v/>
      </c>
      <c r="B752" t="str">
        <f t="shared" si="68"/>
        <v/>
      </c>
      <c r="C752" s="55" t="str">
        <f>IF(LEN(TRIM(A752))=0,"",get_string_val(RIGHT(B752,4)))</f>
        <v/>
      </c>
      <c r="D752" t="str">
        <f>IF(LEN(TRIM(A752))=0,"",GetItemValueFromSpecimenHeader("timepoint"))</f>
        <v/>
      </c>
      <c r="E752" t="str">
        <f t="shared" si="69"/>
        <v/>
      </c>
      <c r="F752" t="str">
        <f t="shared" si="70"/>
        <v/>
      </c>
      <c r="G752" t="str">
        <f t="shared" si="66"/>
        <v/>
      </c>
      <c r="H752" t="str">
        <f>IF(LEN(TRIM(A752))=0,"",GetConfigParameterValue("Collection Site"))</f>
        <v/>
      </c>
      <c r="I752" t="str">
        <f t="shared" si="71"/>
        <v/>
      </c>
      <c r="M752" t="str">
        <f>IF(LEN(TRIM(B752))=0,"",IF(ISERROR(VLOOKUP(RIGHT(B752,4),study_demographic!A:A,1,FALSE)),"NOT FOUND!!!", "OK"))</f>
        <v/>
      </c>
    </row>
    <row r="753" spans="1:13" x14ac:dyDescent="0.25">
      <c r="A753" t="str">
        <f t="shared" si="67"/>
        <v/>
      </c>
      <c r="B753" t="str">
        <f t="shared" si="68"/>
        <v/>
      </c>
      <c r="C753" s="55" t="str">
        <f>IF(LEN(TRIM(A753))=0,"",get_string_val(RIGHT(B753,4)))</f>
        <v/>
      </c>
      <c r="D753" t="str">
        <f>IF(LEN(TRIM(A753))=0,"",GetItemValueFromSpecimenHeader("timepoint"))</f>
        <v/>
      </c>
      <c r="E753" t="str">
        <f t="shared" si="69"/>
        <v/>
      </c>
      <c r="F753" t="str">
        <f t="shared" si="70"/>
        <v/>
      </c>
      <c r="G753" t="str">
        <f t="shared" si="66"/>
        <v/>
      </c>
      <c r="H753" t="str">
        <f>IF(LEN(TRIM(A753))=0,"",GetConfigParameterValue("Collection Site"))</f>
        <v/>
      </c>
      <c r="I753" t="str">
        <f t="shared" si="71"/>
        <v/>
      </c>
      <c r="M753" t="str">
        <f>IF(LEN(TRIM(B753))=0,"",IF(ISERROR(VLOOKUP(RIGHT(B753,4),study_demographic!A:A,1,FALSE)),"NOT FOUND!!!", "OK"))</f>
        <v/>
      </c>
    </row>
    <row r="754" spans="1:13" x14ac:dyDescent="0.25">
      <c r="A754" t="str">
        <f t="shared" si="67"/>
        <v/>
      </c>
      <c r="B754" t="str">
        <f t="shared" si="68"/>
        <v/>
      </c>
      <c r="C754" s="55" t="str">
        <f>IF(LEN(TRIM(A754))=0,"",get_string_val(RIGHT(B754,4)))</f>
        <v/>
      </c>
      <c r="D754" t="str">
        <f>IF(LEN(TRIM(A754))=0,"",GetItemValueFromSpecimenHeader("timepoint"))</f>
        <v/>
      </c>
      <c r="E754" t="str">
        <f t="shared" si="69"/>
        <v/>
      </c>
      <c r="F754" t="str">
        <f t="shared" si="70"/>
        <v/>
      </c>
      <c r="G754" t="str">
        <f t="shared" si="66"/>
        <v/>
      </c>
      <c r="H754" t="str">
        <f>IF(LEN(TRIM(A754))=0,"",GetConfigParameterValue("Collection Site"))</f>
        <v/>
      </c>
      <c r="I754" t="str">
        <f t="shared" si="71"/>
        <v/>
      </c>
      <c r="M754" t="str">
        <f>IF(LEN(TRIM(B754))=0,"",IF(ISERROR(VLOOKUP(RIGHT(B754,4),study_demographic!A:A,1,FALSE)),"NOT FOUND!!!", "OK"))</f>
        <v/>
      </c>
    </row>
    <row r="755" spans="1:13" x14ac:dyDescent="0.25">
      <c r="A755" t="str">
        <f t="shared" si="67"/>
        <v/>
      </c>
      <c r="B755" t="str">
        <f t="shared" si="68"/>
        <v/>
      </c>
      <c r="C755" s="55" t="str">
        <f>IF(LEN(TRIM(A755))=0,"",get_string_val(RIGHT(B755,4)))</f>
        <v/>
      </c>
      <c r="D755" t="str">
        <f>IF(LEN(TRIM(A755))=0,"",GetItemValueFromSpecimenHeader("timepoint"))</f>
        <v/>
      </c>
      <c r="E755" t="str">
        <f t="shared" si="69"/>
        <v/>
      </c>
      <c r="F755" t="str">
        <f t="shared" si="70"/>
        <v/>
      </c>
      <c r="G755" t="str">
        <f t="shared" si="66"/>
        <v/>
      </c>
      <c r="H755" t="str">
        <f>IF(LEN(TRIM(A755))=0,"",GetConfigParameterValue("Collection Site"))</f>
        <v/>
      </c>
      <c r="I755" t="str">
        <f t="shared" si="71"/>
        <v/>
      </c>
      <c r="M755" t="str">
        <f>IF(LEN(TRIM(B755))=0,"",IF(ISERROR(VLOOKUP(RIGHT(B755,4),study_demographic!A:A,1,FALSE)),"NOT FOUND!!!", "OK"))</f>
        <v/>
      </c>
    </row>
    <row r="756" spans="1:13" x14ac:dyDescent="0.25">
      <c r="A756" t="str">
        <f t="shared" si="67"/>
        <v/>
      </c>
      <c r="B756" t="str">
        <f t="shared" si="68"/>
        <v/>
      </c>
      <c r="C756" s="55" t="str">
        <f>IF(LEN(TRIM(A756))=0,"",get_string_val(RIGHT(B756,4)))</f>
        <v/>
      </c>
      <c r="D756" t="str">
        <f>IF(LEN(TRIM(A756))=0,"",GetItemValueFromSpecimenHeader("timepoint"))</f>
        <v/>
      </c>
      <c r="E756" t="str">
        <f t="shared" si="69"/>
        <v/>
      </c>
      <c r="F756" t="str">
        <f t="shared" si="70"/>
        <v/>
      </c>
      <c r="G756" t="str">
        <f t="shared" si="66"/>
        <v/>
      </c>
      <c r="H756" t="str">
        <f>IF(LEN(TRIM(A756))=0,"",GetConfigParameterValue("Collection Site"))</f>
        <v/>
      </c>
      <c r="I756" t="str">
        <f t="shared" si="71"/>
        <v/>
      </c>
      <c r="M756" t="str">
        <f>IF(LEN(TRIM(B756))=0,"",IF(ISERROR(VLOOKUP(RIGHT(B756,4),study_demographic!A:A,1,FALSE)),"NOT FOUND!!!", "OK"))</f>
        <v/>
      </c>
    </row>
    <row r="757" spans="1:13" x14ac:dyDescent="0.25">
      <c r="A757" t="str">
        <f t="shared" si="67"/>
        <v/>
      </c>
      <c r="B757" t="str">
        <f t="shared" si="68"/>
        <v/>
      </c>
      <c r="C757" s="55" t="str">
        <f>IF(LEN(TRIM(A757))=0,"",get_string_val(RIGHT(B757,4)))</f>
        <v/>
      </c>
      <c r="D757" t="str">
        <f>IF(LEN(TRIM(A757))=0,"",GetItemValueFromSpecimenHeader("timepoint"))</f>
        <v/>
      </c>
      <c r="E757" t="str">
        <f t="shared" si="69"/>
        <v/>
      </c>
      <c r="F757" t="str">
        <f t="shared" si="70"/>
        <v/>
      </c>
      <c r="G757" t="str">
        <f t="shared" si="66"/>
        <v/>
      </c>
      <c r="H757" t="str">
        <f>IF(LEN(TRIM(A757))=0,"",GetConfigParameterValue("Collection Site"))</f>
        <v/>
      </c>
      <c r="I757" t="str">
        <f t="shared" si="71"/>
        <v/>
      </c>
      <c r="M757" t="str">
        <f>IF(LEN(TRIM(B757))=0,"",IF(ISERROR(VLOOKUP(RIGHT(B757,4),study_demographic!A:A,1,FALSE)),"NOT FOUND!!!", "OK"))</f>
        <v/>
      </c>
    </row>
    <row r="758" spans="1:13" x14ac:dyDescent="0.25">
      <c r="A758" t="str">
        <f t="shared" si="67"/>
        <v/>
      </c>
      <c r="B758" t="str">
        <f t="shared" si="68"/>
        <v/>
      </c>
      <c r="C758" s="55" t="str">
        <f>IF(LEN(TRIM(A758))=0,"",get_string_val(RIGHT(B758,4)))</f>
        <v/>
      </c>
      <c r="D758" t="str">
        <f>IF(LEN(TRIM(A758))=0,"",GetItemValueFromSpecimenHeader("timepoint"))</f>
        <v/>
      </c>
      <c r="E758" t="str">
        <f t="shared" si="69"/>
        <v/>
      </c>
      <c r="F758" t="str">
        <f t="shared" si="70"/>
        <v/>
      </c>
      <c r="G758" t="str">
        <f t="shared" si="66"/>
        <v/>
      </c>
      <c r="H758" t="str">
        <f>IF(LEN(TRIM(A758))=0,"",GetConfigParameterValue("Collection Site"))</f>
        <v/>
      </c>
      <c r="I758" t="str">
        <f t="shared" si="71"/>
        <v/>
      </c>
      <c r="M758" t="str">
        <f>IF(LEN(TRIM(B758))=0,"",IF(ISERROR(VLOOKUP(RIGHT(B758,4),study_demographic!A:A,1,FALSE)),"NOT FOUND!!!", "OK"))</f>
        <v/>
      </c>
    </row>
    <row r="759" spans="1:13" x14ac:dyDescent="0.25">
      <c r="A759" t="str">
        <f t="shared" si="67"/>
        <v/>
      </c>
      <c r="B759" t="str">
        <f t="shared" si="68"/>
        <v/>
      </c>
      <c r="C759" s="55" t="str">
        <f>IF(LEN(TRIM(A759))=0,"",get_string_val(RIGHT(B759,4)))</f>
        <v/>
      </c>
      <c r="D759" t="str">
        <f>IF(LEN(TRIM(A759))=0,"",GetItemValueFromSpecimenHeader("timepoint"))</f>
        <v/>
      </c>
      <c r="E759" t="str">
        <f t="shared" si="69"/>
        <v/>
      </c>
      <c r="F759" t="str">
        <f t="shared" si="70"/>
        <v/>
      </c>
      <c r="G759" t="str">
        <f t="shared" si="66"/>
        <v/>
      </c>
      <c r="H759" t="str">
        <f>IF(LEN(TRIM(A759))=0,"",GetConfigParameterValue("Collection Site"))</f>
        <v/>
      </c>
      <c r="I759" t="str">
        <f t="shared" si="71"/>
        <v/>
      </c>
      <c r="M759" t="str">
        <f>IF(LEN(TRIM(B759))=0,"",IF(ISERROR(VLOOKUP(RIGHT(B759,4),study_demographic!A:A,1,FALSE)),"NOT FOUND!!!", "OK"))</f>
        <v/>
      </c>
    </row>
    <row r="760" spans="1:13" x14ac:dyDescent="0.25">
      <c r="A760" t="str">
        <f t="shared" si="67"/>
        <v/>
      </c>
      <c r="B760" t="str">
        <f t="shared" si="68"/>
        <v/>
      </c>
      <c r="C760" s="55" t="str">
        <f>IF(LEN(TRIM(A760))=0,"",get_string_val(RIGHT(B760,4)))</f>
        <v/>
      </c>
      <c r="D760" t="str">
        <f>IF(LEN(TRIM(A760))=0,"",GetItemValueFromSpecimenHeader("timepoint"))</f>
        <v/>
      </c>
      <c r="E760" t="str">
        <f t="shared" si="69"/>
        <v/>
      </c>
      <c r="F760" t="str">
        <f t="shared" si="70"/>
        <v/>
      </c>
      <c r="G760" t="str">
        <f t="shared" si="66"/>
        <v/>
      </c>
      <c r="H760" t="str">
        <f>IF(LEN(TRIM(A760))=0,"",GetConfigParameterValue("Collection Site"))</f>
        <v/>
      </c>
      <c r="I760" t="str">
        <f t="shared" si="71"/>
        <v/>
      </c>
      <c r="M760" t="str">
        <f>IF(LEN(TRIM(B760))=0,"",IF(ISERROR(VLOOKUP(RIGHT(B760,4),study_demographic!A:A,1,FALSE)),"NOT FOUND!!!", "OK"))</f>
        <v/>
      </c>
    </row>
    <row r="761" spans="1:13" x14ac:dyDescent="0.25">
      <c r="A761" t="str">
        <f t="shared" si="67"/>
        <v/>
      </c>
      <c r="B761" t="str">
        <f t="shared" si="68"/>
        <v/>
      </c>
      <c r="C761" s="55" t="str">
        <f>IF(LEN(TRIM(A761))=0,"",get_string_val(RIGHT(B761,4)))</f>
        <v/>
      </c>
      <c r="D761" t="str">
        <f>IF(LEN(TRIM(A761))=0,"",GetItemValueFromSpecimenHeader("timepoint"))</f>
        <v/>
      </c>
      <c r="E761" t="str">
        <f t="shared" si="69"/>
        <v/>
      </c>
      <c r="F761" t="str">
        <f t="shared" si="70"/>
        <v/>
      </c>
      <c r="G761" t="str">
        <f t="shared" si="66"/>
        <v/>
      </c>
      <c r="H761" t="str">
        <f>IF(LEN(TRIM(A761))=0,"",GetConfigParameterValue("Collection Site"))</f>
        <v/>
      </c>
      <c r="I761" t="str">
        <f t="shared" si="71"/>
        <v/>
      </c>
      <c r="M761" t="str">
        <f>IF(LEN(TRIM(B761))=0,"",IF(ISERROR(VLOOKUP(RIGHT(B761,4),study_demographic!A:A,1,FALSE)),"NOT FOUND!!!", "OK"))</f>
        <v/>
      </c>
    </row>
    <row r="762" spans="1:13" x14ac:dyDescent="0.25">
      <c r="A762" t="str">
        <f t="shared" si="67"/>
        <v/>
      </c>
      <c r="B762" t="str">
        <f t="shared" si="68"/>
        <v/>
      </c>
      <c r="C762" s="55" t="str">
        <f>IF(LEN(TRIM(A762))=0,"",get_string_val(RIGHT(B762,4)))</f>
        <v/>
      </c>
      <c r="D762" t="str">
        <f>IF(LEN(TRIM(A762))=0,"",GetItemValueFromSpecimenHeader("timepoint"))</f>
        <v/>
      </c>
      <c r="E762" t="str">
        <f t="shared" si="69"/>
        <v/>
      </c>
      <c r="F762" t="str">
        <f t="shared" si="70"/>
        <v/>
      </c>
      <c r="G762" t="str">
        <f t="shared" si="66"/>
        <v/>
      </c>
      <c r="H762" t="str">
        <f>IF(LEN(TRIM(A762))=0,"",GetConfigParameterValue("Collection Site"))</f>
        <v/>
      </c>
      <c r="I762" t="str">
        <f t="shared" si="71"/>
        <v/>
      </c>
      <c r="M762" t="str">
        <f>IF(LEN(TRIM(B762))=0,"",IF(ISERROR(VLOOKUP(RIGHT(B762,4),study_demographic!A:A,1,FALSE)),"NOT FOUND!!!", "OK"))</f>
        <v/>
      </c>
    </row>
    <row r="763" spans="1:13" x14ac:dyDescent="0.25">
      <c r="A763" t="str">
        <f t="shared" si="67"/>
        <v/>
      </c>
      <c r="B763" t="str">
        <f t="shared" si="68"/>
        <v/>
      </c>
      <c r="C763" s="55" t="str">
        <f>IF(LEN(TRIM(A763))=0,"",get_string_val(RIGHT(B763,4)))</f>
        <v/>
      </c>
      <c r="D763" t="str">
        <f>IF(LEN(TRIM(A763))=0,"",GetItemValueFromSpecimenHeader("timepoint"))</f>
        <v/>
      </c>
      <c r="E763" t="str">
        <f t="shared" si="69"/>
        <v/>
      </c>
      <c r="F763" t="str">
        <f t="shared" si="70"/>
        <v/>
      </c>
      <c r="G763" t="str">
        <f t="shared" si="66"/>
        <v/>
      </c>
      <c r="H763" t="str">
        <f>IF(LEN(TRIM(A763))=0,"",GetConfigParameterValue("Collection Site"))</f>
        <v/>
      </c>
      <c r="I763" t="str">
        <f t="shared" si="71"/>
        <v/>
      </c>
      <c r="M763" t="str">
        <f>IF(LEN(TRIM(B763))=0,"",IF(ISERROR(VLOOKUP(RIGHT(B763,4),study_demographic!A:A,1,FALSE)),"NOT FOUND!!!", "OK"))</f>
        <v/>
      </c>
    </row>
    <row r="764" spans="1:13" x14ac:dyDescent="0.25">
      <c r="A764" t="str">
        <f t="shared" si="67"/>
        <v/>
      </c>
      <c r="B764" t="str">
        <f t="shared" si="68"/>
        <v/>
      </c>
      <c r="C764" s="55" t="str">
        <f>IF(LEN(TRIM(A764))=0,"",get_string_val(RIGHT(B764,4)))</f>
        <v/>
      </c>
      <c r="D764" t="str">
        <f>IF(LEN(TRIM(A764))=0,"",GetItemValueFromSpecimenHeader("timepoint"))</f>
        <v/>
      </c>
      <c r="E764" t="str">
        <f t="shared" si="69"/>
        <v/>
      </c>
      <c r="F764" t="str">
        <f t="shared" si="70"/>
        <v/>
      </c>
      <c r="G764" t="str">
        <f t="shared" si="66"/>
        <v/>
      </c>
      <c r="H764" t="str">
        <f>IF(LEN(TRIM(A764))=0,"",GetConfigParameterValue("Collection Site"))</f>
        <v/>
      </c>
      <c r="I764" t="str">
        <f t="shared" si="71"/>
        <v/>
      </c>
      <c r="M764" t="str">
        <f>IF(LEN(TRIM(B764))=0,"",IF(ISERROR(VLOOKUP(RIGHT(B764,4),study_demographic!A:A,1,FALSE)),"NOT FOUND!!!", "OK"))</f>
        <v/>
      </c>
    </row>
    <row r="765" spans="1:13" x14ac:dyDescent="0.25">
      <c r="A765" t="str">
        <f t="shared" si="67"/>
        <v/>
      </c>
      <c r="B765" t="str">
        <f t="shared" si="68"/>
        <v/>
      </c>
      <c r="C765" s="55" t="str">
        <f>IF(LEN(TRIM(A765))=0,"",get_string_val(RIGHT(B765,4)))</f>
        <v/>
      </c>
      <c r="D765" t="str">
        <f>IF(LEN(TRIM(A765))=0,"",GetItemValueFromSpecimenHeader("timepoint"))</f>
        <v/>
      </c>
      <c r="E765" t="str">
        <f t="shared" si="69"/>
        <v/>
      </c>
      <c r="F765" t="str">
        <f t="shared" si="70"/>
        <v/>
      </c>
      <c r="G765" t="str">
        <f t="shared" si="66"/>
        <v/>
      </c>
      <c r="H765" t="str">
        <f>IF(LEN(TRIM(A765))=0,"",GetConfigParameterValue("Collection Site"))</f>
        <v/>
      </c>
      <c r="I765" t="str">
        <f t="shared" si="71"/>
        <v/>
      </c>
      <c r="M765" t="str">
        <f>IF(LEN(TRIM(B765))=0,"",IF(ISERROR(VLOOKUP(RIGHT(B765,4),study_demographic!A:A,1,FALSE)),"NOT FOUND!!!", "OK"))</f>
        <v/>
      </c>
    </row>
    <row r="766" spans="1:13" x14ac:dyDescent="0.25">
      <c r="A766" t="str">
        <f t="shared" si="67"/>
        <v/>
      </c>
      <c r="B766" t="str">
        <f t="shared" si="68"/>
        <v/>
      </c>
      <c r="C766" s="55" t="str">
        <f>IF(LEN(TRIM(A766))=0,"",get_string_val(RIGHT(B766,4)))</f>
        <v/>
      </c>
      <c r="D766" t="str">
        <f>IF(LEN(TRIM(A766))=0,"",GetItemValueFromSpecimenHeader("timepoint"))</f>
        <v/>
      </c>
      <c r="E766" t="str">
        <f t="shared" si="69"/>
        <v/>
      </c>
      <c r="F766" t="str">
        <f t="shared" si="70"/>
        <v/>
      </c>
      <c r="G766" t="str">
        <f t="shared" si="66"/>
        <v/>
      </c>
      <c r="H766" t="str">
        <f>IF(LEN(TRIM(A766))=0,"",GetConfigParameterValue("Collection Site"))</f>
        <v/>
      </c>
      <c r="I766" t="str">
        <f t="shared" si="71"/>
        <v/>
      </c>
      <c r="M766" t="str">
        <f>IF(LEN(TRIM(B766))=0,"",IF(ISERROR(VLOOKUP(RIGHT(B766,4),study_demographic!A:A,1,FALSE)),"NOT FOUND!!!", "OK"))</f>
        <v/>
      </c>
    </row>
    <row r="767" spans="1:13" x14ac:dyDescent="0.25">
      <c r="A767" t="str">
        <f t="shared" si="67"/>
        <v/>
      </c>
      <c r="B767" t="str">
        <f t="shared" si="68"/>
        <v/>
      </c>
      <c r="C767" s="55" t="str">
        <f>IF(LEN(TRIM(A767))=0,"",get_string_val(RIGHT(B767,4)))</f>
        <v/>
      </c>
      <c r="D767" t="str">
        <f>IF(LEN(TRIM(A767))=0,"",GetItemValueFromSpecimenHeader("timepoint"))</f>
        <v/>
      </c>
      <c r="E767" t="str">
        <f t="shared" si="69"/>
        <v/>
      </c>
      <c r="F767" t="str">
        <f t="shared" si="70"/>
        <v/>
      </c>
      <c r="G767" t="str">
        <f t="shared" si="66"/>
        <v/>
      </c>
      <c r="H767" t="str">
        <f>IF(LEN(TRIM(A767))=0,"",GetConfigParameterValue("Collection Site"))</f>
        <v/>
      </c>
      <c r="I767" t="str">
        <f t="shared" si="71"/>
        <v/>
      </c>
      <c r="M767" t="str">
        <f>IF(LEN(TRIM(B767))=0,"",IF(ISERROR(VLOOKUP(RIGHT(B767,4),study_demographic!A:A,1,FALSE)),"NOT FOUND!!!", "OK"))</f>
        <v/>
      </c>
    </row>
    <row r="768" spans="1:13" x14ac:dyDescent="0.25">
      <c r="A768" t="str">
        <f t="shared" si="67"/>
        <v/>
      </c>
      <c r="B768" t="str">
        <f t="shared" si="68"/>
        <v/>
      </c>
      <c r="C768" s="55" t="str">
        <f>IF(LEN(TRIM(A768))=0,"",get_string_val(RIGHT(B768,4)))</f>
        <v/>
      </c>
      <c r="D768" t="str">
        <f>IF(LEN(TRIM(A768))=0,"",GetItemValueFromSpecimenHeader("timepoint"))</f>
        <v/>
      </c>
      <c r="E768" t="str">
        <f t="shared" si="69"/>
        <v/>
      </c>
      <c r="F768" t="str">
        <f t="shared" si="70"/>
        <v/>
      </c>
      <c r="G768" t="str">
        <f t="shared" si="66"/>
        <v/>
      </c>
      <c r="H768" t="str">
        <f>IF(LEN(TRIM(A768))=0,"",GetConfigParameterValue("Collection Site"))</f>
        <v/>
      </c>
      <c r="I768" t="str">
        <f t="shared" si="71"/>
        <v/>
      </c>
      <c r="M768" t="str">
        <f>IF(LEN(TRIM(B768))=0,"",IF(ISERROR(VLOOKUP(RIGHT(B768,4),study_demographic!A:A,1,FALSE)),"NOT FOUND!!!", "OK"))</f>
        <v/>
      </c>
    </row>
    <row r="769" spans="1:13" x14ac:dyDescent="0.25">
      <c r="A769" t="str">
        <f t="shared" si="67"/>
        <v/>
      </c>
      <c r="B769" t="str">
        <f t="shared" si="68"/>
        <v/>
      </c>
      <c r="C769" s="55" t="str">
        <f>IF(LEN(TRIM(A769))=0,"",get_string_val(RIGHT(B769,4)))</f>
        <v/>
      </c>
      <c r="D769" t="str">
        <f>IF(LEN(TRIM(A769))=0,"",GetItemValueFromSpecimenHeader("timepoint"))</f>
        <v/>
      </c>
      <c r="E769" t="str">
        <f t="shared" si="69"/>
        <v/>
      </c>
      <c r="F769" t="str">
        <f t="shared" si="70"/>
        <v/>
      </c>
      <c r="G769" t="str">
        <f t="shared" si="66"/>
        <v/>
      </c>
      <c r="H769" t="str">
        <f>IF(LEN(TRIM(A769))=0,"",GetConfigParameterValue("Collection Site"))</f>
        <v/>
      </c>
      <c r="I769" t="str">
        <f t="shared" si="71"/>
        <v/>
      </c>
      <c r="M769" t="str">
        <f>IF(LEN(TRIM(B769))=0,"",IF(ISERROR(VLOOKUP(RIGHT(B769,4),study_demographic!A:A,1,FALSE)),"NOT FOUND!!!", "OK"))</f>
        <v/>
      </c>
    </row>
    <row r="770" spans="1:13" x14ac:dyDescent="0.25">
      <c r="A770" t="str">
        <f t="shared" si="67"/>
        <v/>
      </c>
      <c r="B770" t="str">
        <f t="shared" si="68"/>
        <v/>
      </c>
      <c r="C770" s="55" t="str">
        <f>IF(LEN(TRIM(A770))=0,"",get_string_val(RIGHT(B770,4)))</f>
        <v/>
      </c>
      <c r="D770" t="str">
        <f>IF(LEN(TRIM(A770))=0,"",GetItemValueFromSpecimenHeader("timepoint"))</f>
        <v/>
      </c>
      <c r="E770" t="str">
        <f t="shared" si="69"/>
        <v/>
      </c>
      <c r="F770" t="str">
        <f t="shared" si="70"/>
        <v/>
      </c>
      <c r="G770" t="str">
        <f t="shared" ref="G770:G833" si="72">IF(LEN(TRIM(A770))=0,"",IF(TRIM(F770)="1","Male", IF(TRIM(F770)="2","Female", "NA")))</f>
        <v/>
      </c>
      <c r="H770" t="str">
        <f>IF(LEN(TRIM(A770))=0,"",GetConfigParameterValue("Collection Site"))</f>
        <v/>
      </c>
      <c r="I770" t="str">
        <f t="shared" si="71"/>
        <v/>
      </c>
      <c r="M770" t="str">
        <f>IF(LEN(TRIM(B770))=0,"",IF(ISERROR(VLOOKUP(RIGHT(B770,4),study_demographic!A:A,1,FALSE)),"NOT FOUND!!!", "OK"))</f>
        <v/>
      </c>
    </row>
    <row r="771" spans="1:13" x14ac:dyDescent="0.25">
      <c r="A771" t="str">
        <f t="shared" ref="A771:A834" si="73">GetSampleId((ROW()))</f>
        <v/>
      </c>
      <c r="B771" t="str">
        <f t="shared" ref="B771:B834" si="74">IF(LEN(TRIM(A771))=0,"",LEFT(A771,7))</f>
        <v/>
      </c>
      <c r="C771" s="55" t="str">
        <f>IF(LEN(TRIM(A771))=0,"",get_string_val(RIGHT(B771,4)))</f>
        <v/>
      </c>
      <c r="D771" t="str">
        <f>IF(LEN(TRIM(A771))=0,"",GetItemValueFromSpecimenHeader("timepoint"))</f>
        <v/>
      </c>
      <c r="E771" t="str">
        <f t="shared" ref="E771:E834" si="75">getColumnValueBySubjectID("Age",RIGHT(B771,4))</f>
        <v/>
      </c>
      <c r="F771" t="str">
        <f t="shared" ref="F771:F834" si="76">getColumnValueBySubjectID("Sex",RIGHT(B771,4))</f>
        <v/>
      </c>
      <c r="G771" t="str">
        <f t="shared" si="72"/>
        <v/>
      </c>
      <c r="H771" t="str">
        <f>IF(LEN(TRIM(A771))=0,"",GetConfigParameterValue("Collection Site"))</f>
        <v/>
      </c>
      <c r="I771" t="str">
        <f t="shared" ref="I771:I834" si="77">getColumnValueBySubjectID("Comments",B771)</f>
        <v/>
      </c>
      <c r="M771" t="str">
        <f>IF(LEN(TRIM(B771))=0,"",IF(ISERROR(VLOOKUP(RIGHT(B771,4),study_demographic!A:A,1,FALSE)),"NOT FOUND!!!", "OK"))</f>
        <v/>
      </c>
    </row>
    <row r="772" spans="1:13" x14ac:dyDescent="0.25">
      <c r="A772" t="str">
        <f t="shared" si="73"/>
        <v/>
      </c>
      <c r="B772" t="str">
        <f t="shared" si="74"/>
        <v/>
      </c>
      <c r="C772" s="55" t="str">
        <f>IF(LEN(TRIM(A772))=0,"",get_string_val(RIGHT(B772,4)))</f>
        <v/>
      </c>
      <c r="D772" t="str">
        <f>IF(LEN(TRIM(A772))=0,"",GetItemValueFromSpecimenHeader("timepoint"))</f>
        <v/>
      </c>
      <c r="E772" t="str">
        <f t="shared" si="75"/>
        <v/>
      </c>
      <c r="F772" t="str">
        <f t="shared" si="76"/>
        <v/>
      </c>
      <c r="G772" t="str">
        <f t="shared" si="72"/>
        <v/>
      </c>
      <c r="H772" t="str">
        <f>IF(LEN(TRIM(A772))=0,"",GetConfigParameterValue("Collection Site"))</f>
        <v/>
      </c>
      <c r="I772" t="str">
        <f t="shared" si="77"/>
        <v/>
      </c>
      <c r="M772" t="str">
        <f>IF(LEN(TRIM(B772))=0,"",IF(ISERROR(VLOOKUP(RIGHT(B772,4),study_demographic!A:A,1,FALSE)),"NOT FOUND!!!", "OK"))</f>
        <v/>
      </c>
    </row>
    <row r="773" spans="1:13" x14ac:dyDescent="0.25">
      <c r="A773" t="str">
        <f t="shared" si="73"/>
        <v/>
      </c>
      <c r="B773" t="str">
        <f t="shared" si="74"/>
        <v/>
      </c>
      <c r="C773" s="55" t="str">
        <f>IF(LEN(TRIM(A773))=0,"",get_string_val(RIGHT(B773,4)))</f>
        <v/>
      </c>
      <c r="D773" t="str">
        <f>IF(LEN(TRIM(A773))=0,"",GetItemValueFromSpecimenHeader("timepoint"))</f>
        <v/>
      </c>
      <c r="E773" t="str">
        <f t="shared" si="75"/>
        <v/>
      </c>
      <c r="F773" t="str">
        <f t="shared" si="76"/>
        <v/>
      </c>
      <c r="G773" t="str">
        <f t="shared" si="72"/>
        <v/>
      </c>
      <c r="H773" t="str">
        <f>IF(LEN(TRIM(A773))=0,"",GetConfigParameterValue("Collection Site"))</f>
        <v/>
      </c>
      <c r="I773" t="str">
        <f t="shared" si="77"/>
        <v/>
      </c>
      <c r="M773" t="str">
        <f>IF(LEN(TRIM(B773))=0,"",IF(ISERROR(VLOOKUP(RIGHT(B773,4),study_demographic!A:A,1,FALSE)),"NOT FOUND!!!", "OK"))</f>
        <v/>
      </c>
    </row>
    <row r="774" spans="1:13" x14ac:dyDescent="0.25">
      <c r="A774" t="str">
        <f t="shared" si="73"/>
        <v/>
      </c>
      <c r="B774" t="str">
        <f t="shared" si="74"/>
        <v/>
      </c>
      <c r="C774" s="55" t="str">
        <f>IF(LEN(TRIM(A774))=0,"",get_string_val(RIGHT(B774,4)))</f>
        <v/>
      </c>
      <c r="D774" t="str">
        <f>IF(LEN(TRIM(A774))=0,"",GetItemValueFromSpecimenHeader("timepoint"))</f>
        <v/>
      </c>
      <c r="E774" t="str">
        <f t="shared" si="75"/>
        <v/>
      </c>
      <c r="F774" t="str">
        <f t="shared" si="76"/>
        <v/>
      </c>
      <c r="G774" t="str">
        <f t="shared" si="72"/>
        <v/>
      </c>
      <c r="H774" t="str">
        <f>IF(LEN(TRIM(A774))=0,"",GetConfigParameterValue("Collection Site"))</f>
        <v/>
      </c>
      <c r="I774" t="str">
        <f t="shared" si="77"/>
        <v/>
      </c>
      <c r="M774" t="str">
        <f>IF(LEN(TRIM(B774))=0,"",IF(ISERROR(VLOOKUP(RIGHT(B774,4),study_demographic!A:A,1,FALSE)),"NOT FOUND!!!", "OK"))</f>
        <v/>
      </c>
    </row>
    <row r="775" spans="1:13" x14ac:dyDescent="0.25">
      <c r="A775" t="str">
        <f t="shared" si="73"/>
        <v/>
      </c>
      <c r="B775" t="str">
        <f t="shared" si="74"/>
        <v/>
      </c>
      <c r="C775" s="55" t="str">
        <f>IF(LEN(TRIM(A775))=0,"",get_string_val(RIGHT(B775,4)))</f>
        <v/>
      </c>
      <c r="D775" t="str">
        <f>IF(LEN(TRIM(A775))=0,"",GetItemValueFromSpecimenHeader("timepoint"))</f>
        <v/>
      </c>
      <c r="E775" t="str">
        <f t="shared" si="75"/>
        <v/>
      </c>
      <c r="F775" t="str">
        <f t="shared" si="76"/>
        <v/>
      </c>
      <c r="G775" t="str">
        <f t="shared" si="72"/>
        <v/>
      </c>
      <c r="H775" t="str">
        <f>IF(LEN(TRIM(A775))=0,"",GetConfigParameterValue("Collection Site"))</f>
        <v/>
      </c>
      <c r="I775" t="str">
        <f t="shared" si="77"/>
        <v/>
      </c>
      <c r="M775" t="str">
        <f>IF(LEN(TRIM(B775))=0,"",IF(ISERROR(VLOOKUP(RIGHT(B775,4),study_demographic!A:A,1,FALSE)),"NOT FOUND!!!", "OK"))</f>
        <v/>
      </c>
    </row>
    <row r="776" spans="1:13" x14ac:dyDescent="0.25">
      <c r="A776" t="str">
        <f t="shared" si="73"/>
        <v/>
      </c>
      <c r="B776" t="str">
        <f t="shared" si="74"/>
        <v/>
      </c>
      <c r="C776" s="55" t="str">
        <f>IF(LEN(TRIM(A776))=0,"",get_string_val(RIGHT(B776,4)))</f>
        <v/>
      </c>
      <c r="D776" t="str">
        <f>IF(LEN(TRIM(A776))=0,"",GetItemValueFromSpecimenHeader("timepoint"))</f>
        <v/>
      </c>
      <c r="E776" t="str">
        <f t="shared" si="75"/>
        <v/>
      </c>
      <c r="F776" t="str">
        <f t="shared" si="76"/>
        <v/>
      </c>
      <c r="G776" t="str">
        <f t="shared" si="72"/>
        <v/>
      </c>
      <c r="H776" t="str">
        <f>IF(LEN(TRIM(A776))=0,"",GetConfigParameterValue("Collection Site"))</f>
        <v/>
      </c>
      <c r="I776" t="str">
        <f t="shared" si="77"/>
        <v/>
      </c>
      <c r="M776" t="str">
        <f>IF(LEN(TRIM(B776))=0,"",IF(ISERROR(VLOOKUP(RIGHT(B776,4),study_demographic!A:A,1,FALSE)),"NOT FOUND!!!", "OK"))</f>
        <v/>
      </c>
    </row>
    <row r="777" spans="1:13" x14ac:dyDescent="0.25">
      <c r="A777" t="str">
        <f t="shared" si="73"/>
        <v/>
      </c>
      <c r="B777" t="str">
        <f t="shared" si="74"/>
        <v/>
      </c>
      <c r="C777" s="55" t="str">
        <f>IF(LEN(TRIM(A777))=0,"",get_string_val(RIGHT(B777,4)))</f>
        <v/>
      </c>
      <c r="D777" t="str">
        <f>IF(LEN(TRIM(A777))=0,"",GetItemValueFromSpecimenHeader("timepoint"))</f>
        <v/>
      </c>
      <c r="E777" t="str">
        <f t="shared" si="75"/>
        <v/>
      </c>
      <c r="F777" t="str">
        <f t="shared" si="76"/>
        <v/>
      </c>
      <c r="G777" t="str">
        <f t="shared" si="72"/>
        <v/>
      </c>
      <c r="H777" t="str">
        <f>IF(LEN(TRIM(A777))=0,"",GetConfigParameterValue("Collection Site"))</f>
        <v/>
      </c>
      <c r="I777" t="str">
        <f t="shared" si="77"/>
        <v/>
      </c>
      <c r="M777" t="str">
        <f>IF(LEN(TRIM(B777))=0,"",IF(ISERROR(VLOOKUP(RIGHT(B777,4),study_demographic!A:A,1,FALSE)),"NOT FOUND!!!", "OK"))</f>
        <v/>
      </c>
    </row>
    <row r="778" spans="1:13" x14ac:dyDescent="0.25">
      <c r="A778" t="str">
        <f t="shared" si="73"/>
        <v/>
      </c>
      <c r="B778" t="str">
        <f t="shared" si="74"/>
        <v/>
      </c>
      <c r="C778" s="55" t="str">
        <f>IF(LEN(TRIM(A778))=0,"",get_string_val(RIGHT(B778,4)))</f>
        <v/>
      </c>
      <c r="D778" t="str">
        <f>IF(LEN(TRIM(A778))=0,"",GetItemValueFromSpecimenHeader("timepoint"))</f>
        <v/>
      </c>
      <c r="E778" t="str">
        <f t="shared" si="75"/>
        <v/>
      </c>
      <c r="F778" t="str">
        <f t="shared" si="76"/>
        <v/>
      </c>
      <c r="G778" t="str">
        <f t="shared" si="72"/>
        <v/>
      </c>
      <c r="H778" t="str">
        <f>IF(LEN(TRIM(A778))=0,"",GetConfigParameterValue("Collection Site"))</f>
        <v/>
      </c>
      <c r="I778" t="str">
        <f t="shared" si="77"/>
        <v/>
      </c>
      <c r="M778" t="str">
        <f>IF(LEN(TRIM(B778))=0,"",IF(ISERROR(VLOOKUP(RIGHT(B778,4),study_demographic!A:A,1,FALSE)),"NOT FOUND!!!", "OK"))</f>
        <v/>
      </c>
    </row>
    <row r="779" spans="1:13" x14ac:dyDescent="0.25">
      <c r="A779" t="str">
        <f t="shared" si="73"/>
        <v/>
      </c>
      <c r="B779" t="str">
        <f t="shared" si="74"/>
        <v/>
      </c>
      <c r="C779" s="55" t="str">
        <f>IF(LEN(TRIM(A779))=0,"",get_string_val(RIGHT(B779,4)))</f>
        <v/>
      </c>
      <c r="D779" t="str">
        <f>IF(LEN(TRIM(A779))=0,"",GetItemValueFromSpecimenHeader("timepoint"))</f>
        <v/>
      </c>
      <c r="E779" t="str">
        <f t="shared" si="75"/>
        <v/>
      </c>
      <c r="F779" t="str">
        <f t="shared" si="76"/>
        <v/>
      </c>
      <c r="G779" t="str">
        <f t="shared" si="72"/>
        <v/>
      </c>
      <c r="H779" t="str">
        <f>IF(LEN(TRIM(A779))=0,"",GetConfigParameterValue("Collection Site"))</f>
        <v/>
      </c>
      <c r="I779" t="str">
        <f t="shared" si="77"/>
        <v/>
      </c>
      <c r="M779" t="str">
        <f>IF(LEN(TRIM(B779))=0,"",IF(ISERROR(VLOOKUP(RIGHT(B779,4),study_demographic!A:A,1,FALSE)),"NOT FOUND!!!", "OK"))</f>
        <v/>
      </c>
    </row>
    <row r="780" spans="1:13" x14ac:dyDescent="0.25">
      <c r="A780" t="str">
        <f t="shared" si="73"/>
        <v/>
      </c>
      <c r="B780" t="str">
        <f t="shared" si="74"/>
        <v/>
      </c>
      <c r="C780" s="55" t="str">
        <f>IF(LEN(TRIM(A780))=0,"",get_string_val(RIGHT(B780,4)))</f>
        <v/>
      </c>
      <c r="D780" t="str">
        <f>IF(LEN(TRIM(A780))=0,"",GetItemValueFromSpecimenHeader("timepoint"))</f>
        <v/>
      </c>
      <c r="E780" t="str">
        <f t="shared" si="75"/>
        <v/>
      </c>
      <c r="F780" t="str">
        <f t="shared" si="76"/>
        <v/>
      </c>
      <c r="G780" t="str">
        <f t="shared" si="72"/>
        <v/>
      </c>
      <c r="H780" t="str">
        <f>IF(LEN(TRIM(A780))=0,"",GetConfigParameterValue("Collection Site"))</f>
        <v/>
      </c>
      <c r="I780" t="str">
        <f t="shared" si="77"/>
        <v/>
      </c>
      <c r="M780" t="str">
        <f>IF(LEN(TRIM(B780))=0,"",IF(ISERROR(VLOOKUP(RIGHT(B780,4),study_demographic!A:A,1,FALSE)),"NOT FOUND!!!", "OK"))</f>
        <v/>
      </c>
    </row>
    <row r="781" spans="1:13" x14ac:dyDescent="0.25">
      <c r="A781" t="str">
        <f t="shared" si="73"/>
        <v/>
      </c>
      <c r="B781" t="str">
        <f t="shared" si="74"/>
        <v/>
      </c>
      <c r="C781" s="55" t="str">
        <f>IF(LEN(TRIM(A781))=0,"",get_string_val(RIGHT(B781,4)))</f>
        <v/>
      </c>
      <c r="D781" t="str">
        <f>IF(LEN(TRIM(A781))=0,"",GetItemValueFromSpecimenHeader("timepoint"))</f>
        <v/>
      </c>
      <c r="E781" t="str">
        <f t="shared" si="75"/>
        <v/>
      </c>
      <c r="F781" t="str">
        <f t="shared" si="76"/>
        <v/>
      </c>
      <c r="G781" t="str">
        <f t="shared" si="72"/>
        <v/>
      </c>
      <c r="H781" t="str">
        <f>IF(LEN(TRIM(A781))=0,"",GetConfigParameterValue("Collection Site"))</f>
        <v/>
      </c>
      <c r="I781" t="str">
        <f t="shared" si="77"/>
        <v/>
      </c>
      <c r="M781" t="str">
        <f>IF(LEN(TRIM(B781))=0,"",IF(ISERROR(VLOOKUP(RIGHT(B781,4),study_demographic!A:A,1,FALSE)),"NOT FOUND!!!", "OK"))</f>
        <v/>
      </c>
    </row>
    <row r="782" spans="1:13" x14ac:dyDescent="0.25">
      <c r="A782" t="str">
        <f t="shared" si="73"/>
        <v/>
      </c>
      <c r="B782" t="str">
        <f t="shared" si="74"/>
        <v/>
      </c>
      <c r="C782" s="55" t="str">
        <f>IF(LEN(TRIM(A782))=0,"",get_string_val(RIGHT(B782,4)))</f>
        <v/>
      </c>
      <c r="D782" t="str">
        <f>IF(LEN(TRIM(A782))=0,"",GetItemValueFromSpecimenHeader("timepoint"))</f>
        <v/>
      </c>
      <c r="E782" t="str">
        <f t="shared" si="75"/>
        <v/>
      </c>
      <c r="F782" t="str">
        <f t="shared" si="76"/>
        <v/>
      </c>
      <c r="G782" t="str">
        <f t="shared" si="72"/>
        <v/>
      </c>
      <c r="H782" t="str">
        <f>IF(LEN(TRIM(A782))=0,"",GetConfigParameterValue("Collection Site"))</f>
        <v/>
      </c>
      <c r="I782" t="str">
        <f t="shared" si="77"/>
        <v/>
      </c>
      <c r="M782" t="str">
        <f>IF(LEN(TRIM(B782))=0,"",IF(ISERROR(VLOOKUP(RIGHT(B782,4),study_demographic!A:A,1,FALSE)),"NOT FOUND!!!", "OK"))</f>
        <v/>
      </c>
    </row>
    <row r="783" spans="1:13" x14ac:dyDescent="0.25">
      <c r="A783" t="str">
        <f t="shared" si="73"/>
        <v/>
      </c>
      <c r="B783" t="str">
        <f t="shared" si="74"/>
        <v/>
      </c>
      <c r="C783" s="55" t="str">
        <f>IF(LEN(TRIM(A783))=0,"",get_string_val(RIGHT(B783,4)))</f>
        <v/>
      </c>
      <c r="D783" t="str">
        <f>IF(LEN(TRIM(A783))=0,"",GetItemValueFromSpecimenHeader("timepoint"))</f>
        <v/>
      </c>
      <c r="E783" t="str">
        <f t="shared" si="75"/>
        <v/>
      </c>
      <c r="F783" t="str">
        <f t="shared" si="76"/>
        <v/>
      </c>
      <c r="G783" t="str">
        <f t="shared" si="72"/>
        <v/>
      </c>
      <c r="H783" t="str">
        <f>IF(LEN(TRIM(A783))=0,"",GetConfigParameterValue("Collection Site"))</f>
        <v/>
      </c>
      <c r="I783" t="str">
        <f t="shared" si="77"/>
        <v/>
      </c>
      <c r="M783" t="str">
        <f>IF(LEN(TRIM(B783))=0,"",IF(ISERROR(VLOOKUP(RIGHT(B783,4),study_demographic!A:A,1,FALSE)),"NOT FOUND!!!", "OK"))</f>
        <v/>
      </c>
    </row>
    <row r="784" spans="1:13" x14ac:dyDescent="0.25">
      <c r="A784" t="str">
        <f t="shared" si="73"/>
        <v/>
      </c>
      <c r="B784" t="str">
        <f t="shared" si="74"/>
        <v/>
      </c>
      <c r="C784" s="55" t="str">
        <f>IF(LEN(TRIM(A784))=0,"",get_string_val(RIGHT(B784,4)))</f>
        <v/>
      </c>
      <c r="D784" t="str">
        <f>IF(LEN(TRIM(A784))=0,"",GetItemValueFromSpecimenHeader("timepoint"))</f>
        <v/>
      </c>
      <c r="E784" t="str">
        <f t="shared" si="75"/>
        <v/>
      </c>
      <c r="F784" t="str">
        <f t="shared" si="76"/>
        <v/>
      </c>
      <c r="G784" t="str">
        <f t="shared" si="72"/>
        <v/>
      </c>
      <c r="H784" t="str">
        <f>IF(LEN(TRIM(A784))=0,"",GetConfigParameterValue("Collection Site"))</f>
        <v/>
      </c>
      <c r="I784" t="str">
        <f t="shared" si="77"/>
        <v/>
      </c>
      <c r="M784" t="str">
        <f>IF(LEN(TRIM(B784))=0,"",IF(ISERROR(VLOOKUP(RIGHT(B784,4),study_demographic!A:A,1,FALSE)),"NOT FOUND!!!", "OK"))</f>
        <v/>
      </c>
    </row>
    <row r="785" spans="1:13" x14ac:dyDescent="0.25">
      <c r="A785" t="str">
        <f t="shared" si="73"/>
        <v/>
      </c>
      <c r="B785" t="str">
        <f t="shared" si="74"/>
        <v/>
      </c>
      <c r="C785" s="55" t="str">
        <f>IF(LEN(TRIM(A785))=0,"",get_string_val(RIGHT(B785,4)))</f>
        <v/>
      </c>
      <c r="D785" t="str">
        <f>IF(LEN(TRIM(A785))=0,"",GetItemValueFromSpecimenHeader("timepoint"))</f>
        <v/>
      </c>
      <c r="E785" t="str">
        <f t="shared" si="75"/>
        <v/>
      </c>
      <c r="F785" t="str">
        <f t="shared" si="76"/>
        <v/>
      </c>
      <c r="G785" t="str">
        <f t="shared" si="72"/>
        <v/>
      </c>
      <c r="H785" t="str">
        <f>IF(LEN(TRIM(A785))=0,"",GetConfigParameterValue("Collection Site"))</f>
        <v/>
      </c>
      <c r="I785" t="str">
        <f t="shared" si="77"/>
        <v/>
      </c>
      <c r="M785" t="str">
        <f>IF(LEN(TRIM(B785))=0,"",IF(ISERROR(VLOOKUP(RIGHT(B785,4),study_demographic!A:A,1,FALSE)),"NOT FOUND!!!", "OK"))</f>
        <v/>
      </c>
    </row>
    <row r="786" spans="1:13" x14ac:dyDescent="0.25">
      <c r="A786" t="str">
        <f t="shared" si="73"/>
        <v/>
      </c>
      <c r="B786" t="str">
        <f t="shared" si="74"/>
        <v/>
      </c>
      <c r="C786" s="55" t="str">
        <f>IF(LEN(TRIM(A786))=0,"",get_string_val(RIGHT(B786,4)))</f>
        <v/>
      </c>
      <c r="D786" t="str">
        <f>IF(LEN(TRIM(A786))=0,"",GetItemValueFromSpecimenHeader("timepoint"))</f>
        <v/>
      </c>
      <c r="E786" t="str">
        <f t="shared" si="75"/>
        <v/>
      </c>
      <c r="F786" t="str">
        <f t="shared" si="76"/>
        <v/>
      </c>
      <c r="G786" t="str">
        <f t="shared" si="72"/>
        <v/>
      </c>
      <c r="H786" t="str">
        <f>IF(LEN(TRIM(A786))=0,"",GetConfigParameterValue("Collection Site"))</f>
        <v/>
      </c>
      <c r="I786" t="str">
        <f t="shared" si="77"/>
        <v/>
      </c>
      <c r="M786" t="str">
        <f>IF(LEN(TRIM(B786))=0,"",IF(ISERROR(VLOOKUP(RIGHT(B786,4),study_demographic!A:A,1,FALSE)),"NOT FOUND!!!", "OK"))</f>
        <v/>
      </c>
    </row>
    <row r="787" spans="1:13" x14ac:dyDescent="0.25">
      <c r="A787" t="str">
        <f t="shared" si="73"/>
        <v/>
      </c>
      <c r="B787" t="str">
        <f t="shared" si="74"/>
        <v/>
      </c>
      <c r="C787" s="55" t="str">
        <f>IF(LEN(TRIM(A787))=0,"",get_string_val(RIGHT(B787,4)))</f>
        <v/>
      </c>
      <c r="D787" t="str">
        <f>IF(LEN(TRIM(A787))=0,"",GetItemValueFromSpecimenHeader("timepoint"))</f>
        <v/>
      </c>
      <c r="E787" t="str">
        <f t="shared" si="75"/>
        <v/>
      </c>
      <c r="F787" t="str">
        <f t="shared" si="76"/>
        <v/>
      </c>
      <c r="G787" t="str">
        <f t="shared" si="72"/>
        <v/>
      </c>
      <c r="H787" t="str">
        <f>IF(LEN(TRIM(A787))=0,"",GetConfigParameterValue("Collection Site"))</f>
        <v/>
      </c>
      <c r="I787" t="str">
        <f t="shared" si="77"/>
        <v/>
      </c>
      <c r="M787" t="str">
        <f>IF(LEN(TRIM(B787))=0,"",IF(ISERROR(VLOOKUP(RIGHT(B787,4),study_demographic!A:A,1,FALSE)),"NOT FOUND!!!", "OK"))</f>
        <v/>
      </c>
    </row>
    <row r="788" spans="1:13" x14ac:dyDescent="0.25">
      <c r="A788" t="str">
        <f t="shared" si="73"/>
        <v/>
      </c>
      <c r="B788" t="str">
        <f t="shared" si="74"/>
        <v/>
      </c>
      <c r="C788" s="55" t="str">
        <f>IF(LEN(TRIM(A788))=0,"",get_string_val(RIGHT(B788,4)))</f>
        <v/>
      </c>
      <c r="D788" t="str">
        <f>IF(LEN(TRIM(A788))=0,"",GetItemValueFromSpecimenHeader("timepoint"))</f>
        <v/>
      </c>
      <c r="E788" t="str">
        <f t="shared" si="75"/>
        <v/>
      </c>
      <c r="F788" t="str">
        <f t="shared" si="76"/>
        <v/>
      </c>
      <c r="G788" t="str">
        <f t="shared" si="72"/>
        <v/>
      </c>
      <c r="H788" t="str">
        <f>IF(LEN(TRIM(A788))=0,"",GetConfigParameterValue("Collection Site"))</f>
        <v/>
      </c>
      <c r="I788" t="str">
        <f t="shared" si="77"/>
        <v/>
      </c>
      <c r="M788" t="str">
        <f>IF(LEN(TRIM(B788))=0,"",IF(ISERROR(VLOOKUP(RIGHT(B788,4),study_demographic!A:A,1,FALSE)),"NOT FOUND!!!", "OK"))</f>
        <v/>
      </c>
    </row>
    <row r="789" spans="1:13" x14ac:dyDescent="0.25">
      <c r="A789" t="str">
        <f t="shared" si="73"/>
        <v/>
      </c>
      <c r="B789" t="str">
        <f t="shared" si="74"/>
        <v/>
      </c>
      <c r="C789" s="55" t="str">
        <f>IF(LEN(TRIM(A789))=0,"",get_string_val(RIGHT(B789,4)))</f>
        <v/>
      </c>
      <c r="D789" t="str">
        <f>IF(LEN(TRIM(A789))=0,"",GetItemValueFromSpecimenHeader("timepoint"))</f>
        <v/>
      </c>
      <c r="E789" t="str">
        <f t="shared" si="75"/>
        <v/>
      </c>
      <c r="F789" t="str">
        <f t="shared" si="76"/>
        <v/>
      </c>
      <c r="G789" t="str">
        <f t="shared" si="72"/>
        <v/>
      </c>
      <c r="H789" t="str">
        <f>IF(LEN(TRIM(A789))=0,"",GetConfigParameterValue("Collection Site"))</f>
        <v/>
      </c>
      <c r="I789" t="str">
        <f t="shared" si="77"/>
        <v/>
      </c>
      <c r="M789" t="str">
        <f>IF(LEN(TRIM(B789))=0,"",IF(ISERROR(VLOOKUP(RIGHT(B789,4),study_demographic!A:A,1,FALSE)),"NOT FOUND!!!", "OK"))</f>
        <v/>
      </c>
    </row>
    <row r="790" spans="1:13" x14ac:dyDescent="0.25">
      <c r="A790" t="str">
        <f t="shared" si="73"/>
        <v/>
      </c>
      <c r="B790" t="str">
        <f t="shared" si="74"/>
        <v/>
      </c>
      <c r="C790" s="55" t="str">
        <f>IF(LEN(TRIM(A790))=0,"",get_string_val(RIGHT(B790,4)))</f>
        <v/>
      </c>
      <c r="D790" t="str">
        <f>IF(LEN(TRIM(A790))=0,"",GetItemValueFromSpecimenHeader("timepoint"))</f>
        <v/>
      </c>
      <c r="E790" t="str">
        <f t="shared" si="75"/>
        <v/>
      </c>
      <c r="F790" t="str">
        <f t="shared" si="76"/>
        <v/>
      </c>
      <c r="G790" t="str">
        <f t="shared" si="72"/>
        <v/>
      </c>
      <c r="H790" t="str">
        <f>IF(LEN(TRIM(A790))=0,"",GetConfigParameterValue("Collection Site"))</f>
        <v/>
      </c>
      <c r="I790" t="str">
        <f t="shared" si="77"/>
        <v/>
      </c>
      <c r="M790" t="str">
        <f>IF(LEN(TRIM(B790))=0,"",IF(ISERROR(VLOOKUP(RIGHT(B790,4),study_demographic!A:A,1,FALSE)),"NOT FOUND!!!", "OK"))</f>
        <v/>
      </c>
    </row>
    <row r="791" spans="1:13" x14ac:dyDescent="0.25">
      <c r="A791" t="str">
        <f t="shared" si="73"/>
        <v/>
      </c>
      <c r="B791" t="str">
        <f t="shared" si="74"/>
        <v/>
      </c>
      <c r="C791" s="55" t="str">
        <f>IF(LEN(TRIM(A791))=0,"",get_string_val(RIGHT(B791,4)))</f>
        <v/>
      </c>
      <c r="D791" t="str">
        <f>IF(LEN(TRIM(A791))=0,"",GetItemValueFromSpecimenHeader("timepoint"))</f>
        <v/>
      </c>
      <c r="E791" t="str">
        <f t="shared" si="75"/>
        <v/>
      </c>
      <c r="F791" t="str">
        <f t="shared" si="76"/>
        <v/>
      </c>
      <c r="G791" t="str">
        <f t="shared" si="72"/>
        <v/>
      </c>
      <c r="H791" t="str">
        <f>IF(LEN(TRIM(A791))=0,"",GetConfigParameterValue("Collection Site"))</f>
        <v/>
      </c>
      <c r="I791" t="str">
        <f t="shared" si="77"/>
        <v/>
      </c>
      <c r="M791" t="str">
        <f>IF(LEN(TRIM(B791))=0,"",IF(ISERROR(VLOOKUP(RIGHT(B791,4),study_demographic!A:A,1,FALSE)),"NOT FOUND!!!", "OK"))</f>
        <v/>
      </c>
    </row>
    <row r="792" spans="1:13" x14ac:dyDescent="0.25">
      <c r="A792" t="str">
        <f t="shared" si="73"/>
        <v/>
      </c>
      <c r="B792" t="str">
        <f t="shared" si="74"/>
        <v/>
      </c>
      <c r="C792" s="55" t="str">
        <f>IF(LEN(TRIM(A792))=0,"",get_string_val(RIGHT(B792,4)))</f>
        <v/>
      </c>
      <c r="D792" t="str">
        <f>IF(LEN(TRIM(A792))=0,"",GetItemValueFromSpecimenHeader("timepoint"))</f>
        <v/>
      </c>
      <c r="E792" t="str">
        <f t="shared" si="75"/>
        <v/>
      </c>
      <c r="F792" t="str">
        <f t="shared" si="76"/>
        <v/>
      </c>
      <c r="G792" t="str">
        <f t="shared" si="72"/>
        <v/>
      </c>
      <c r="H792" t="str">
        <f>IF(LEN(TRIM(A792))=0,"",GetConfigParameterValue("Collection Site"))</f>
        <v/>
      </c>
      <c r="I792" t="str">
        <f t="shared" si="77"/>
        <v/>
      </c>
      <c r="M792" t="str">
        <f>IF(LEN(TRIM(B792))=0,"",IF(ISERROR(VLOOKUP(RIGHT(B792,4),study_demographic!A:A,1,FALSE)),"NOT FOUND!!!", "OK"))</f>
        <v/>
      </c>
    </row>
    <row r="793" spans="1:13" x14ac:dyDescent="0.25">
      <c r="A793" t="str">
        <f t="shared" si="73"/>
        <v/>
      </c>
      <c r="B793" t="str">
        <f t="shared" si="74"/>
        <v/>
      </c>
      <c r="C793" s="55" t="str">
        <f>IF(LEN(TRIM(A793))=0,"",get_string_val(RIGHT(B793,4)))</f>
        <v/>
      </c>
      <c r="D793" t="str">
        <f>IF(LEN(TRIM(A793))=0,"",GetItemValueFromSpecimenHeader("timepoint"))</f>
        <v/>
      </c>
      <c r="E793" t="str">
        <f t="shared" si="75"/>
        <v/>
      </c>
      <c r="F793" t="str">
        <f t="shared" si="76"/>
        <v/>
      </c>
      <c r="G793" t="str">
        <f t="shared" si="72"/>
        <v/>
      </c>
      <c r="H793" t="str">
        <f>IF(LEN(TRIM(A793))=0,"",GetConfigParameterValue("Collection Site"))</f>
        <v/>
      </c>
      <c r="I793" t="str">
        <f t="shared" si="77"/>
        <v/>
      </c>
      <c r="M793" t="str">
        <f>IF(LEN(TRIM(B793))=0,"",IF(ISERROR(VLOOKUP(RIGHT(B793,4),study_demographic!A:A,1,FALSE)),"NOT FOUND!!!", "OK"))</f>
        <v/>
      </c>
    </row>
    <row r="794" spans="1:13" x14ac:dyDescent="0.25">
      <c r="A794" t="str">
        <f t="shared" si="73"/>
        <v/>
      </c>
      <c r="B794" t="str">
        <f t="shared" si="74"/>
        <v/>
      </c>
      <c r="C794" s="55" t="str">
        <f>IF(LEN(TRIM(A794))=0,"",get_string_val(RIGHT(B794,4)))</f>
        <v/>
      </c>
      <c r="D794" t="str">
        <f>IF(LEN(TRIM(A794))=0,"",GetItemValueFromSpecimenHeader("timepoint"))</f>
        <v/>
      </c>
      <c r="E794" t="str">
        <f t="shared" si="75"/>
        <v/>
      </c>
      <c r="F794" t="str">
        <f t="shared" si="76"/>
        <v/>
      </c>
      <c r="G794" t="str">
        <f t="shared" si="72"/>
        <v/>
      </c>
      <c r="H794" t="str">
        <f>IF(LEN(TRIM(A794))=0,"",GetConfigParameterValue("Collection Site"))</f>
        <v/>
      </c>
      <c r="I794" t="str">
        <f t="shared" si="77"/>
        <v/>
      </c>
      <c r="M794" t="str">
        <f>IF(LEN(TRIM(B794))=0,"",IF(ISERROR(VLOOKUP(RIGHT(B794,4),study_demographic!A:A,1,FALSE)),"NOT FOUND!!!", "OK"))</f>
        <v/>
      </c>
    </row>
    <row r="795" spans="1:13" x14ac:dyDescent="0.25">
      <c r="A795" t="str">
        <f t="shared" si="73"/>
        <v/>
      </c>
      <c r="B795" t="str">
        <f t="shared" si="74"/>
        <v/>
      </c>
      <c r="C795" s="55" t="str">
        <f>IF(LEN(TRIM(A795))=0,"",get_string_val(RIGHT(B795,4)))</f>
        <v/>
      </c>
      <c r="D795" t="str">
        <f>IF(LEN(TRIM(A795))=0,"",GetItemValueFromSpecimenHeader("timepoint"))</f>
        <v/>
      </c>
      <c r="E795" t="str">
        <f t="shared" si="75"/>
        <v/>
      </c>
      <c r="F795" t="str">
        <f t="shared" si="76"/>
        <v/>
      </c>
      <c r="G795" t="str">
        <f t="shared" si="72"/>
        <v/>
      </c>
      <c r="H795" t="str">
        <f>IF(LEN(TRIM(A795))=0,"",GetConfigParameterValue("Collection Site"))</f>
        <v/>
      </c>
      <c r="I795" t="str">
        <f t="shared" si="77"/>
        <v/>
      </c>
      <c r="M795" t="str">
        <f>IF(LEN(TRIM(B795))=0,"",IF(ISERROR(VLOOKUP(RIGHT(B795,4),study_demographic!A:A,1,FALSE)),"NOT FOUND!!!", "OK"))</f>
        <v/>
      </c>
    </row>
    <row r="796" spans="1:13" x14ac:dyDescent="0.25">
      <c r="A796" t="str">
        <f t="shared" si="73"/>
        <v/>
      </c>
      <c r="B796" t="str">
        <f t="shared" si="74"/>
        <v/>
      </c>
      <c r="C796" s="55" t="str">
        <f>IF(LEN(TRIM(A796))=0,"",get_string_val(RIGHT(B796,4)))</f>
        <v/>
      </c>
      <c r="D796" t="str">
        <f>IF(LEN(TRIM(A796))=0,"",GetItemValueFromSpecimenHeader("timepoint"))</f>
        <v/>
      </c>
      <c r="E796" t="str">
        <f t="shared" si="75"/>
        <v/>
      </c>
      <c r="F796" t="str">
        <f t="shared" si="76"/>
        <v/>
      </c>
      <c r="G796" t="str">
        <f t="shared" si="72"/>
        <v/>
      </c>
      <c r="H796" t="str">
        <f>IF(LEN(TRIM(A796))=0,"",GetConfigParameterValue("Collection Site"))</f>
        <v/>
      </c>
      <c r="I796" t="str">
        <f t="shared" si="77"/>
        <v/>
      </c>
      <c r="M796" t="str">
        <f>IF(LEN(TRIM(B796))=0,"",IF(ISERROR(VLOOKUP(RIGHT(B796,4),study_demographic!A:A,1,FALSE)),"NOT FOUND!!!", "OK"))</f>
        <v/>
      </c>
    </row>
    <row r="797" spans="1:13" x14ac:dyDescent="0.25">
      <c r="A797" t="str">
        <f t="shared" si="73"/>
        <v/>
      </c>
      <c r="B797" t="str">
        <f t="shared" si="74"/>
        <v/>
      </c>
      <c r="C797" s="55" t="str">
        <f>IF(LEN(TRIM(A797))=0,"",get_string_val(RIGHT(B797,4)))</f>
        <v/>
      </c>
      <c r="D797" t="str">
        <f>IF(LEN(TRIM(A797))=0,"",GetItemValueFromSpecimenHeader("timepoint"))</f>
        <v/>
      </c>
      <c r="E797" t="str">
        <f t="shared" si="75"/>
        <v/>
      </c>
      <c r="F797" t="str">
        <f t="shared" si="76"/>
        <v/>
      </c>
      <c r="G797" t="str">
        <f t="shared" si="72"/>
        <v/>
      </c>
      <c r="H797" t="str">
        <f>IF(LEN(TRIM(A797))=0,"",GetConfigParameterValue("Collection Site"))</f>
        <v/>
      </c>
      <c r="I797" t="str">
        <f t="shared" si="77"/>
        <v/>
      </c>
      <c r="M797" t="str">
        <f>IF(LEN(TRIM(B797))=0,"",IF(ISERROR(VLOOKUP(RIGHT(B797,4),study_demographic!A:A,1,FALSE)),"NOT FOUND!!!", "OK"))</f>
        <v/>
      </c>
    </row>
    <row r="798" spans="1:13" x14ac:dyDescent="0.25">
      <c r="A798" t="str">
        <f t="shared" si="73"/>
        <v/>
      </c>
      <c r="B798" t="str">
        <f t="shared" si="74"/>
        <v/>
      </c>
      <c r="C798" s="55" t="str">
        <f>IF(LEN(TRIM(A798))=0,"",get_string_val(RIGHT(B798,4)))</f>
        <v/>
      </c>
      <c r="D798" t="str">
        <f>IF(LEN(TRIM(A798))=0,"",GetItemValueFromSpecimenHeader("timepoint"))</f>
        <v/>
      </c>
      <c r="E798" t="str">
        <f t="shared" si="75"/>
        <v/>
      </c>
      <c r="F798" t="str">
        <f t="shared" si="76"/>
        <v/>
      </c>
      <c r="G798" t="str">
        <f t="shared" si="72"/>
        <v/>
      </c>
      <c r="H798" t="str">
        <f>IF(LEN(TRIM(A798))=0,"",GetConfigParameterValue("Collection Site"))</f>
        <v/>
      </c>
      <c r="I798" t="str">
        <f t="shared" si="77"/>
        <v/>
      </c>
      <c r="M798" t="str">
        <f>IF(LEN(TRIM(B798))=0,"",IF(ISERROR(VLOOKUP(RIGHT(B798,4),study_demographic!A:A,1,FALSE)),"NOT FOUND!!!", "OK"))</f>
        <v/>
      </c>
    </row>
    <row r="799" spans="1:13" x14ac:dyDescent="0.25">
      <c r="A799" t="str">
        <f t="shared" si="73"/>
        <v/>
      </c>
      <c r="B799" t="str">
        <f t="shared" si="74"/>
        <v/>
      </c>
      <c r="C799" s="55" t="str">
        <f>IF(LEN(TRIM(A799))=0,"",get_string_val(RIGHT(B799,4)))</f>
        <v/>
      </c>
      <c r="D799" t="str">
        <f>IF(LEN(TRIM(A799))=0,"",GetItemValueFromSpecimenHeader("timepoint"))</f>
        <v/>
      </c>
      <c r="E799" t="str">
        <f t="shared" si="75"/>
        <v/>
      </c>
      <c r="F799" t="str">
        <f t="shared" si="76"/>
        <v/>
      </c>
      <c r="G799" t="str">
        <f t="shared" si="72"/>
        <v/>
      </c>
      <c r="H799" t="str">
        <f>IF(LEN(TRIM(A799))=0,"",GetConfigParameterValue("Collection Site"))</f>
        <v/>
      </c>
      <c r="I799" t="str">
        <f t="shared" si="77"/>
        <v/>
      </c>
      <c r="M799" t="str">
        <f>IF(LEN(TRIM(B799))=0,"",IF(ISERROR(VLOOKUP(RIGHT(B799,4),study_demographic!A:A,1,FALSE)),"NOT FOUND!!!", "OK"))</f>
        <v/>
      </c>
    </row>
    <row r="800" spans="1:13" x14ac:dyDescent="0.25">
      <c r="A800" t="str">
        <f t="shared" si="73"/>
        <v/>
      </c>
      <c r="B800" t="str">
        <f t="shared" si="74"/>
        <v/>
      </c>
      <c r="C800" s="55" t="str">
        <f>IF(LEN(TRIM(A800))=0,"",get_string_val(RIGHT(B800,4)))</f>
        <v/>
      </c>
      <c r="D800" t="str">
        <f>IF(LEN(TRIM(A800))=0,"",GetItemValueFromSpecimenHeader("timepoint"))</f>
        <v/>
      </c>
      <c r="E800" t="str">
        <f t="shared" si="75"/>
        <v/>
      </c>
      <c r="F800" t="str">
        <f t="shared" si="76"/>
        <v/>
      </c>
      <c r="G800" t="str">
        <f t="shared" si="72"/>
        <v/>
      </c>
      <c r="H800" t="str">
        <f>IF(LEN(TRIM(A800))=0,"",GetConfigParameterValue("Collection Site"))</f>
        <v/>
      </c>
      <c r="I800" t="str">
        <f t="shared" si="77"/>
        <v/>
      </c>
      <c r="M800" t="str">
        <f>IF(LEN(TRIM(B800))=0,"",IF(ISERROR(VLOOKUP(RIGHT(B800,4),study_demographic!A:A,1,FALSE)),"NOT FOUND!!!", "OK"))</f>
        <v/>
      </c>
    </row>
    <row r="801" spans="1:13" x14ac:dyDescent="0.25">
      <c r="A801" t="str">
        <f t="shared" si="73"/>
        <v/>
      </c>
      <c r="B801" t="str">
        <f t="shared" si="74"/>
        <v/>
      </c>
      <c r="C801" s="55" t="str">
        <f>IF(LEN(TRIM(A801))=0,"",get_string_val(RIGHT(B801,4)))</f>
        <v/>
      </c>
      <c r="D801" t="str">
        <f>IF(LEN(TRIM(A801))=0,"",GetItemValueFromSpecimenHeader("timepoint"))</f>
        <v/>
      </c>
      <c r="E801" t="str">
        <f t="shared" si="75"/>
        <v/>
      </c>
      <c r="F801" t="str">
        <f t="shared" si="76"/>
        <v/>
      </c>
      <c r="G801" t="str">
        <f t="shared" si="72"/>
        <v/>
      </c>
      <c r="H801" t="str">
        <f>IF(LEN(TRIM(A801))=0,"",GetConfigParameterValue("Collection Site"))</f>
        <v/>
      </c>
      <c r="I801" t="str">
        <f t="shared" si="77"/>
        <v/>
      </c>
      <c r="M801" t="str">
        <f>IF(LEN(TRIM(B801))=0,"",IF(ISERROR(VLOOKUP(RIGHT(B801,4),study_demographic!A:A,1,FALSE)),"NOT FOUND!!!", "OK"))</f>
        <v/>
      </c>
    </row>
    <row r="802" spans="1:13" x14ac:dyDescent="0.25">
      <c r="A802" t="str">
        <f t="shared" si="73"/>
        <v/>
      </c>
      <c r="B802" t="str">
        <f t="shared" si="74"/>
        <v/>
      </c>
      <c r="C802" s="55" t="str">
        <f>IF(LEN(TRIM(A802))=0,"",get_string_val(RIGHT(B802,4)))</f>
        <v/>
      </c>
      <c r="D802" t="str">
        <f>IF(LEN(TRIM(A802))=0,"",GetItemValueFromSpecimenHeader("timepoint"))</f>
        <v/>
      </c>
      <c r="E802" t="str">
        <f t="shared" si="75"/>
        <v/>
      </c>
      <c r="F802" t="str">
        <f t="shared" si="76"/>
        <v/>
      </c>
      <c r="G802" t="str">
        <f t="shared" si="72"/>
        <v/>
      </c>
      <c r="H802" t="str">
        <f>IF(LEN(TRIM(A802))=0,"",GetConfigParameterValue("Collection Site"))</f>
        <v/>
      </c>
      <c r="I802" t="str">
        <f t="shared" si="77"/>
        <v/>
      </c>
      <c r="M802" t="str">
        <f>IF(LEN(TRIM(B802))=0,"",IF(ISERROR(VLOOKUP(RIGHT(B802,4),study_demographic!A:A,1,FALSE)),"NOT FOUND!!!", "OK"))</f>
        <v/>
      </c>
    </row>
    <row r="803" spans="1:13" x14ac:dyDescent="0.25">
      <c r="A803" t="str">
        <f t="shared" si="73"/>
        <v/>
      </c>
      <c r="B803" t="str">
        <f t="shared" si="74"/>
        <v/>
      </c>
      <c r="C803" s="55" t="str">
        <f>IF(LEN(TRIM(A803))=0,"",get_string_val(RIGHT(B803,4)))</f>
        <v/>
      </c>
      <c r="D803" t="str">
        <f>IF(LEN(TRIM(A803))=0,"",GetItemValueFromSpecimenHeader("timepoint"))</f>
        <v/>
      </c>
      <c r="E803" t="str">
        <f t="shared" si="75"/>
        <v/>
      </c>
      <c r="F803" t="str">
        <f t="shared" si="76"/>
        <v/>
      </c>
      <c r="G803" t="str">
        <f t="shared" si="72"/>
        <v/>
      </c>
      <c r="H803" t="str">
        <f>IF(LEN(TRIM(A803))=0,"",GetConfigParameterValue("Collection Site"))</f>
        <v/>
      </c>
      <c r="I803" t="str">
        <f t="shared" si="77"/>
        <v/>
      </c>
      <c r="M803" t="str">
        <f>IF(LEN(TRIM(B803))=0,"",IF(ISERROR(VLOOKUP(RIGHT(B803,4),study_demographic!A:A,1,FALSE)),"NOT FOUND!!!", "OK"))</f>
        <v/>
      </c>
    </row>
    <row r="804" spans="1:13" x14ac:dyDescent="0.25">
      <c r="A804" t="str">
        <f t="shared" si="73"/>
        <v/>
      </c>
      <c r="B804" t="str">
        <f t="shared" si="74"/>
        <v/>
      </c>
      <c r="C804" s="55" t="str">
        <f>IF(LEN(TRIM(A804))=0,"",get_string_val(RIGHT(B804,4)))</f>
        <v/>
      </c>
      <c r="D804" t="str">
        <f>IF(LEN(TRIM(A804))=0,"",GetItemValueFromSpecimenHeader("timepoint"))</f>
        <v/>
      </c>
      <c r="E804" t="str">
        <f t="shared" si="75"/>
        <v/>
      </c>
      <c r="F804" t="str">
        <f t="shared" si="76"/>
        <v/>
      </c>
      <c r="G804" t="str">
        <f t="shared" si="72"/>
        <v/>
      </c>
      <c r="H804" t="str">
        <f>IF(LEN(TRIM(A804))=0,"",GetConfigParameterValue("Collection Site"))</f>
        <v/>
      </c>
      <c r="I804" t="str">
        <f t="shared" si="77"/>
        <v/>
      </c>
      <c r="M804" t="str">
        <f>IF(LEN(TRIM(B804))=0,"",IF(ISERROR(VLOOKUP(RIGHT(B804,4),study_demographic!A:A,1,FALSE)),"NOT FOUND!!!", "OK"))</f>
        <v/>
      </c>
    </row>
    <row r="805" spans="1:13" x14ac:dyDescent="0.25">
      <c r="A805" t="str">
        <f t="shared" si="73"/>
        <v/>
      </c>
      <c r="B805" t="str">
        <f t="shared" si="74"/>
        <v/>
      </c>
      <c r="C805" s="55" t="str">
        <f>IF(LEN(TRIM(A805))=0,"",get_string_val(RIGHT(B805,4)))</f>
        <v/>
      </c>
      <c r="D805" t="str">
        <f>IF(LEN(TRIM(A805))=0,"",GetItemValueFromSpecimenHeader("timepoint"))</f>
        <v/>
      </c>
      <c r="E805" t="str">
        <f t="shared" si="75"/>
        <v/>
      </c>
      <c r="F805" t="str">
        <f t="shared" si="76"/>
        <v/>
      </c>
      <c r="G805" t="str">
        <f t="shared" si="72"/>
        <v/>
      </c>
      <c r="H805" t="str">
        <f>IF(LEN(TRIM(A805))=0,"",GetConfigParameterValue("Collection Site"))</f>
        <v/>
      </c>
      <c r="I805" t="str">
        <f t="shared" si="77"/>
        <v/>
      </c>
      <c r="M805" t="str">
        <f>IF(LEN(TRIM(B805))=0,"",IF(ISERROR(VLOOKUP(RIGHT(B805,4),study_demographic!A:A,1,FALSE)),"NOT FOUND!!!", "OK"))</f>
        <v/>
      </c>
    </row>
    <row r="806" spans="1:13" x14ac:dyDescent="0.25">
      <c r="A806" t="str">
        <f t="shared" si="73"/>
        <v/>
      </c>
      <c r="B806" t="str">
        <f t="shared" si="74"/>
        <v/>
      </c>
      <c r="C806" s="55" t="str">
        <f>IF(LEN(TRIM(A806))=0,"",get_string_val(RIGHT(B806,4)))</f>
        <v/>
      </c>
      <c r="D806" t="str">
        <f>IF(LEN(TRIM(A806))=0,"",GetItemValueFromSpecimenHeader("timepoint"))</f>
        <v/>
      </c>
      <c r="E806" t="str">
        <f t="shared" si="75"/>
        <v/>
      </c>
      <c r="F806" t="str">
        <f t="shared" si="76"/>
        <v/>
      </c>
      <c r="G806" t="str">
        <f t="shared" si="72"/>
        <v/>
      </c>
      <c r="H806" t="str">
        <f>IF(LEN(TRIM(A806))=0,"",GetConfigParameterValue("Collection Site"))</f>
        <v/>
      </c>
      <c r="I806" t="str">
        <f t="shared" si="77"/>
        <v/>
      </c>
      <c r="M806" t="str">
        <f>IF(LEN(TRIM(B806))=0,"",IF(ISERROR(VLOOKUP(RIGHT(B806,4),study_demographic!A:A,1,FALSE)),"NOT FOUND!!!", "OK"))</f>
        <v/>
      </c>
    </row>
    <row r="807" spans="1:13" x14ac:dyDescent="0.25">
      <c r="A807" t="str">
        <f t="shared" si="73"/>
        <v/>
      </c>
      <c r="B807" t="str">
        <f t="shared" si="74"/>
        <v/>
      </c>
      <c r="C807" s="55" t="str">
        <f>IF(LEN(TRIM(A807))=0,"",get_string_val(RIGHT(B807,4)))</f>
        <v/>
      </c>
      <c r="D807" t="str">
        <f>IF(LEN(TRIM(A807))=0,"",GetItemValueFromSpecimenHeader("timepoint"))</f>
        <v/>
      </c>
      <c r="E807" t="str">
        <f t="shared" si="75"/>
        <v/>
      </c>
      <c r="F807" t="str">
        <f t="shared" si="76"/>
        <v/>
      </c>
      <c r="G807" t="str">
        <f t="shared" si="72"/>
        <v/>
      </c>
      <c r="H807" t="str">
        <f>IF(LEN(TRIM(A807))=0,"",GetConfigParameterValue("Collection Site"))</f>
        <v/>
      </c>
      <c r="I807" t="str">
        <f t="shared" si="77"/>
        <v/>
      </c>
      <c r="M807" t="str">
        <f>IF(LEN(TRIM(B807))=0,"",IF(ISERROR(VLOOKUP(RIGHT(B807,4),study_demographic!A:A,1,FALSE)),"NOT FOUND!!!", "OK"))</f>
        <v/>
      </c>
    </row>
    <row r="808" spans="1:13" x14ac:dyDescent="0.25">
      <c r="A808" t="str">
        <f t="shared" si="73"/>
        <v/>
      </c>
      <c r="B808" t="str">
        <f t="shared" si="74"/>
        <v/>
      </c>
      <c r="C808" s="55" t="str">
        <f>IF(LEN(TRIM(A808))=0,"",get_string_val(RIGHT(B808,4)))</f>
        <v/>
      </c>
      <c r="D808" t="str">
        <f>IF(LEN(TRIM(A808))=0,"",GetItemValueFromSpecimenHeader("timepoint"))</f>
        <v/>
      </c>
      <c r="E808" t="str">
        <f t="shared" si="75"/>
        <v/>
      </c>
      <c r="F808" t="str">
        <f t="shared" si="76"/>
        <v/>
      </c>
      <c r="G808" t="str">
        <f t="shared" si="72"/>
        <v/>
      </c>
      <c r="H808" t="str">
        <f>IF(LEN(TRIM(A808))=0,"",GetConfigParameterValue("Collection Site"))</f>
        <v/>
      </c>
      <c r="I808" t="str">
        <f t="shared" si="77"/>
        <v/>
      </c>
      <c r="M808" t="str">
        <f>IF(LEN(TRIM(B808))=0,"",IF(ISERROR(VLOOKUP(RIGHT(B808,4),study_demographic!A:A,1,FALSE)),"NOT FOUND!!!", "OK"))</f>
        <v/>
      </c>
    </row>
    <row r="809" spans="1:13" x14ac:dyDescent="0.25">
      <c r="A809" t="str">
        <f t="shared" si="73"/>
        <v/>
      </c>
      <c r="B809" t="str">
        <f t="shared" si="74"/>
        <v/>
      </c>
      <c r="C809" s="55" t="str">
        <f>IF(LEN(TRIM(A809))=0,"",get_string_val(RIGHT(B809,4)))</f>
        <v/>
      </c>
      <c r="D809" t="str">
        <f>IF(LEN(TRIM(A809))=0,"",GetItemValueFromSpecimenHeader("timepoint"))</f>
        <v/>
      </c>
      <c r="E809" t="str">
        <f t="shared" si="75"/>
        <v/>
      </c>
      <c r="F809" t="str">
        <f t="shared" si="76"/>
        <v/>
      </c>
      <c r="G809" t="str">
        <f t="shared" si="72"/>
        <v/>
      </c>
      <c r="H809" t="str">
        <f>IF(LEN(TRIM(A809))=0,"",GetConfigParameterValue("Collection Site"))</f>
        <v/>
      </c>
      <c r="I809" t="str">
        <f t="shared" si="77"/>
        <v/>
      </c>
      <c r="M809" t="str">
        <f>IF(LEN(TRIM(B809))=0,"",IF(ISERROR(VLOOKUP(RIGHT(B809,4),study_demographic!A:A,1,FALSE)),"NOT FOUND!!!", "OK"))</f>
        <v/>
      </c>
    </row>
    <row r="810" spans="1:13" x14ac:dyDescent="0.25">
      <c r="A810" t="str">
        <f t="shared" si="73"/>
        <v/>
      </c>
      <c r="B810" t="str">
        <f t="shared" si="74"/>
        <v/>
      </c>
      <c r="C810" s="55" t="str">
        <f>IF(LEN(TRIM(A810))=0,"",get_string_val(RIGHT(B810,4)))</f>
        <v/>
      </c>
      <c r="D810" t="str">
        <f>IF(LEN(TRIM(A810))=0,"",GetItemValueFromSpecimenHeader("timepoint"))</f>
        <v/>
      </c>
      <c r="E810" t="str">
        <f t="shared" si="75"/>
        <v/>
      </c>
      <c r="F810" t="str">
        <f t="shared" si="76"/>
        <v/>
      </c>
      <c r="G810" t="str">
        <f t="shared" si="72"/>
        <v/>
      </c>
      <c r="H810" t="str">
        <f>IF(LEN(TRIM(A810))=0,"",GetConfigParameterValue("Collection Site"))</f>
        <v/>
      </c>
      <c r="I810" t="str">
        <f t="shared" si="77"/>
        <v/>
      </c>
      <c r="M810" t="str">
        <f>IF(LEN(TRIM(B810))=0,"",IF(ISERROR(VLOOKUP(RIGHT(B810,4),study_demographic!A:A,1,FALSE)),"NOT FOUND!!!", "OK"))</f>
        <v/>
      </c>
    </row>
    <row r="811" spans="1:13" x14ac:dyDescent="0.25">
      <c r="A811" t="str">
        <f t="shared" si="73"/>
        <v/>
      </c>
      <c r="B811" t="str">
        <f t="shared" si="74"/>
        <v/>
      </c>
      <c r="C811" s="55" t="str">
        <f>IF(LEN(TRIM(A811))=0,"",get_string_val(RIGHT(B811,4)))</f>
        <v/>
      </c>
      <c r="D811" t="str">
        <f>IF(LEN(TRIM(A811))=0,"",GetItemValueFromSpecimenHeader("timepoint"))</f>
        <v/>
      </c>
      <c r="E811" t="str">
        <f t="shared" si="75"/>
        <v/>
      </c>
      <c r="F811" t="str">
        <f t="shared" si="76"/>
        <v/>
      </c>
      <c r="G811" t="str">
        <f t="shared" si="72"/>
        <v/>
      </c>
      <c r="H811" t="str">
        <f>IF(LEN(TRIM(A811))=0,"",GetConfigParameterValue("Collection Site"))</f>
        <v/>
      </c>
      <c r="I811" t="str">
        <f t="shared" si="77"/>
        <v/>
      </c>
      <c r="M811" t="str">
        <f>IF(LEN(TRIM(B811))=0,"",IF(ISERROR(VLOOKUP(RIGHT(B811,4),study_demographic!A:A,1,FALSE)),"NOT FOUND!!!", "OK"))</f>
        <v/>
      </c>
    </row>
    <row r="812" spans="1:13" x14ac:dyDescent="0.25">
      <c r="A812" t="str">
        <f t="shared" si="73"/>
        <v/>
      </c>
      <c r="B812" t="str">
        <f t="shared" si="74"/>
        <v/>
      </c>
      <c r="C812" s="55" t="str">
        <f>IF(LEN(TRIM(A812))=0,"",get_string_val(RIGHT(B812,4)))</f>
        <v/>
      </c>
      <c r="D812" t="str">
        <f>IF(LEN(TRIM(A812))=0,"",GetItemValueFromSpecimenHeader("timepoint"))</f>
        <v/>
      </c>
      <c r="E812" t="str">
        <f t="shared" si="75"/>
        <v/>
      </c>
      <c r="F812" t="str">
        <f t="shared" si="76"/>
        <v/>
      </c>
      <c r="G812" t="str">
        <f t="shared" si="72"/>
        <v/>
      </c>
      <c r="H812" t="str">
        <f>IF(LEN(TRIM(A812))=0,"",GetConfigParameterValue("Collection Site"))</f>
        <v/>
      </c>
      <c r="I812" t="str">
        <f t="shared" si="77"/>
        <v/>
      </c>
      <c r="M812" t="str">
        <f>IF(LEN(TRIM(B812))=0,"",IF(ISERROR(VLOOKUP(RIGHT(B812,4),study_demographic!A:A,1,FALSE)),"NOT FOUND!!!", "OK"))</f>
        <v/>
      </c>
    </row>
    <row r="813" spans="1:13" x14ac:dyDescent="0.25">
      <c r="A813" t="str">
        <f t="shared" si="73"/>
        <v/>
      </c>
      <c r="B813" t="str">
        <f t="shared" si="74"/>
        <v/>
      </c>
      <c r="C813" s="55" t="str">
        <f>IF(LEN(TRIM(A813))=0,"",get_string_val(RIGHT(B813,4)))</f>
        <v/>
      </c>
      <c r="D813" t="str">
        <f>IF(LEN(TRIM(A813))=0,"",GetItemValueFromSpecimenHeader("timepoint"))</f>
        <v/>
      </c>
      <c r="E813" t="str">
        <f t="shared" si="75"/>
        <v/>
      </c>
      <c r="F813" t="str">
        <f t="shared" si="76"/>
        <v/>
      </c>
      <c r="G813" t="str">
        <f t="shared" si="72"/>
        <v/>
      </c>
      <c r="H813" t="str">
        <f>IF(LEN(TRIM(A813))=0,"",GetConfigParameterValue("Collection Site"))</f>
        <v/>
      </c>
      <c r="I813" t="str">
        <f t="shared" si="77"/>
        <v/>
      </c>
      <c r="M813" t="str">
        <f>IF(LEN(TRIM(B813))=0,"",IF(ISERROR(VLOOKUP(RIGHT(B813,4),study_demographic!A:A,1,FALSE)),"NOT FOUND!!!", "OK"))</f>
        <v/>
      </c>
    </row>
    <row r="814" spans="1:13" x14ac:dyDescent="0.25">
      <c r="A814" t="str">
        <f t="shared" si="73"/>
        <v/>
      </c>
      <c r="B814" t="str">
        <f t="shared" si="74"/>
        <v/>
      </c>
      <c r="C814" s="55" t="str">
        <f>IF(LEN(TRIM(A814))=0,"",get_string_val(RIGHT(B814,4)))</f>
        <v/>
      </c>
      <c r="D814" t="str">
        <f>IF(LEN(TRIM(A814))=0,"",GetItemValueFromSpecimenHeader("timepoint"))</f>
        <v/>
      </c>
      <c r="E814" t="str">
        <f t="shared" si="75"/>
        <v/>
      </c>
      <c r="F814" t="str">
        <f t="shared" si="76"/>
        <v/>
      </c>
      <c r="G814" t="str">
        <f t="shared" si="72"/>
        <v/>
      </c>
      <c r="H814" t="str">
        <f>IF(LEN(TRIM(A814))=0,"",GetConfigParameterValue("Collection Site"))</f>
        <v/>
      </c>
      <c r="I814" t="str">
        <f t="shared" si="77"/>
        <v/>
      </c>
      <c r="M814" t="str">
        <f>IF(LEN(TRIM(B814))=0,"",IF(ISERROR(VLOOKUP(RIGHT(B814,4),study_demographic!A:A,1,FALSE)),"NOT FOUND!!!", "OK"))</f>
        <v/>
      </c>
    </row>
    <row r="815" spans="1:13" x14ac:dyDescent="0.25">
      <c r="A815" t="str">
        <f t="shared" si="73"/>
        <v/>
      </c>
      <c r="B815" t="str">
        <f t="shared" si="74"/>
        <v/>
      </c>
      <c r="C815" s="55" t="str">
        <f>IF(LEN(TRIM(A815))=0,"",get_string_val(RIGHT(B815,4)))</f>
        <v/>
      </c>
      <c r="D815" t="str">
        <f>IF(LEN(TRIM(A815))=0,"",GetItemValueFromSpecimenHeader("timepoint"))</f>
        <v/>
      </c>
      <c r="E815" t="str">
        <f t="shared" si="75"/>
        <v/>
      </c>
      <c r="F815" t="str">
        <f t="shared" si="76"/>
        <v/>
      </c>
      <c r="G815" t="str">
        <f t="shared" si="72"/>
        <v/>
      </c>
      <c r="H815" t="str">
        <f>IF(LEN(TRIM(A815))=0,"",GetConfigParameterValue("Collection Site"))</f>
        <v/>
      </c>
      <c r="I815" t="str">
        <f t="shared" si="77"/>
        <v/>
      </c>
      <c r="M815" t="str">
        <f>IF(LEN(TRIM(B815))=0,"",IF(ISERROR(VLOOKUP(RIGHT(B815,4),study_demographic!A:A,1,FALSE)),"NOT FOUND!!!", "OK"))</f>
        <v/>
      </c>
    </row>
    <row r="816" spans="1:13" x14ac:dyDescent="0.25">
      <c r="A816" t="str">
        <f t="shared" si="73"/>
        <v/>
      </c>
      <c r="B816" t="str">
        <f t="shared" si="74"/>
        <v/>
      </c>
      <c r="C816" s="55" t="str">
        <f>IF(LEN(TRIM(A816))=0,"",get_string_val(RIGHT(B816,4)))</f>
        <v/>
      </c>
      <c r="D816" t="str">
        <f>IF(LEN(TRIM(A816))=0,"",GetItemValueFromSpecimenHeader("timepoint"))</f>
        <v/>
      </c>
      <c r="E816" t="str">
        <f t="shared" si="75"/>
        <v/>
      </c>
      <c r="F816" t="str">
        <f t="shared" si="76"/>
        <v/>
      </c>
      <c r="G816" t="str">
        <f t="shared" si="72"/>
        <v/>
      </c>
      <c r="H816" t="str">
        <f>IF(LEN(TRIM(A816))=0,"",GetConfigParameterValue("Collection Site"))</f>
        <v/>
      </c>
      <c r="I816" t="str">
        <f t="shared" si="77"/>
        <v/>
      </c>
      <c r="M816" t="str">
        <f>IF(LEN(TRIM(B816))=0,"",IF(ISERROR(VLOOKUP(RIGHT(B816,4),study_demographic!A:A,1,FALSE)),"NOT FOUND!!!", "OK"))</f>
        <v/>
      </c>
    </row>
    <row r="817" spans="1:13" x14ac:dyDescent="0.25">
      <c r="A817" t="str">
        <f t="shared" si="73"/>
        <v/>
      </c>
      <c r="B817" t="str">
        <f t="shared" si="74"/>
        <v/>
      </c>
      <c r="C817" s="55" t="str">
        <f>IF(LEN(TRIM(A817))=0,"",get_string_val(RIGHT(B817,4)))</f>
        <v/>
      </c>
      <c r="D817" t="str">
        <f>IF(LEN(TRIM(A817))=0,"",GetItemValueFromSpecimenHeader("timepoint"))</f>
        <v/>
      </c>
      <c r="E817" t="str">
        <f t="shared" si="75"/>
        <v/>
      </c>
      <c r="F817" t="str">
        <f t="shared" si="76"/>
        <v/>
      </c>
      <c r="G817" t="str">
        <f t="shared" si="72"/>
        <v/>
      </c>
      <c r="H817" t="str">
        <f>IF(LEN(TRIM(A817))=0,"",GetConfigParameterValue("Collection Site"))</f>
        <v/>
      </c>
      <c r="I817" t="str">
        <f t="shared" si="77"/>
        <v/>
      </c>
      <c r="M817" t="str">
        <f>IF(LEN(TRIM(B817))=0,"",IF(ISERROR(VLOOKUP(RIGHT(B817,4),study_demographic!A:A,1,FALSE)),"NOT FOUND!!!", "OK"))</f>
        <v/>
      </c>
    </row>
    <row r="818" spans="1:13" x14ac:dyDescent="0.25">
      <c r="A818" t="str">
        <f t="shared" si="73"/>
        <v/>
      </c>
      <c r="B818" t="str">
        <f t="shared" si="74"/>
        <v/>
      </c>
      <c r="C818" s="55" t="str">
        <f>IF(LEN(TRIM(A818))=0,"",get_string_val(RIGHT(B818,4)))</f>
        <v/>
      </c>
      <c r="D818" t="str">
        <f>IF(LEN(TRIM(A818))=0,"",GetItemValueFromSpecimenHeader("timepoint"))</f>
        <v/>
      </c>
      <c r="E818" t="str">
        <f t="shared" si="75"/>
        <v/>
      </c>
      <c r="F818" t="str">
        <f t="shared" si="76"/>
        <v/>
      </c>
      <c r="G818" t="str">
        <f t="shared" si="72"/>
        <v/>
      </c>
      <c r="H818" t="str">
        <f>IF(LEN(TRIM(A818))=0,"",GetConfigParameterValue("Collection Site"))</f>
        <v/>
      </c>
      <c r="I818" t="str">
        <f t="shared" si="77"/>
        <v/>
      </c>
      <c r="M818" t="str">
        <f>IF(LEN(TRIM(B818))=0,"",IF(ISERROR(VLOOKUP(RIGHT(B818,4),study_demographic!A:A,1,FALSE)),"NOT FOUND!!!", "OK"))</f>
        <v/>
      </c>
    </row>
    <row r="819" spans="1:13" x14ac:dyDescent="0.25">
      <c r="A819" t="str">
        <f t="shared" si="73"/>
        <v/>
      </c>
      <c r="B819" t="str">
        <f t="shared" si="74"/>
        <v/>
      </c>
      <c r="C819" s="55" t="str">
        <f>IF(LEN(TRIM(A819))=0,"",get_string_val(RIGHT(B819,4)))</f>
        <v/>
      </c>
      <c r="D819" t="str">
        <f>IF(LEN(TRIM(A819))=0,"",GetItemValueFromSpecimenHeader("timepoint"))</f>
        <v/>
      </c>
      <c r="E819" t="str">
        <f t="shared" si="75"/>
        <v/>
      </c>
      <c r="F819" t="str">
        <f t="shared" si="76"/>
        <v/>
      </c>
      <c r="G819" t="str">
        <f t="shared" si="72"/>
        <v/>
      </c>
      <c r="H819" t="str">
        <f>IF(LEN(TRIM(A819))=0,"",GetConfigParameterValue("Collection Site"))</f>
        <v/>
      </c>
      <c r="I819" t="str">
        <f t="shared" si="77"/>
        <v/>
      </c>
      <c r="M819" t="str">
        <f>IF(LEN(TRIM(B819))=0,"",IF(ISERROR(VLOOKUP(RIGHT(B819,4),study_demographic!A:A,1,FALSE)),"NOT FOUND!!!", "OK"))</f>
        <v/>
      </c>
    </row>
    <row r="820" spans="1:13" x14ac:dyDescent="0.25">
      <c r="A820" t="str">
        <f t="shared" si="73"/>
        <v/>
      </c>
      <c r="B820" t="str">
        <f t="shared" si="74"/>
        <v/>
      </c>
      <c r="C820" s="55" t="str">
        <f>IF(LEN(TRIM(A820))=0,"",get_string_val(RIGHT(B820,4)))</f>
        <v/>
      </c>
      <c r="D820" t="str">
        <f>IF(LEN(TRIM(A820))=0,"",GetItemValueFromSpecimenHeader("timepoint"))</f>
        <v/>
      </c>
      <c r="E820" t="str">
        <f t="shared" si="75"/>
        <v/>
      </c>
      <c r="F820" t="str">
        <f t="shared" si="76"/>
        <v/>
      </c>
      <c r="G820" t="str">
        <f t="shared" si="72"/>
        <v/>
      </c>
      <c r="H820" t="str">
        <f>IF(LEN(TRIM(A820))=0,"",GetConfigParameterValue("Collection Site"))</f>
        <v/>
      </c>
      <c r="I820" t="str">
        <f t="shared" si="77"/>
        <v/>
      </c>
      <c r="M820" t="str">
        <f>IF(LEN(TRIM(B820))=0,"",IF(ISERROR(VLOOKUP(RIGHT(B820,4),study_demographic!A:A,1,FALSE)),"NOT FOUND!!!", "OK"))</f>
        <v/>
      </c>
    </row>
    <row r="821" spans="1:13" x14ac:dyDescent="0.25">
      <c r="A821" t="str">
        <f t="shared" si="73"/>
        <v/>
      </c>
      <c r="B821" t="str">
        <f t="shared" si="74"/>
        <v/>
      </c>
      <c r="C821" s="55" t="str">
        <f>IF(LEN(TRIM(A821))=0,"",get_string_val(RIGHT(B821,4)))</f>
        <v/>
      </c>
      <c r="D821" t="str">
        <f>IF(LEN(TRIM(A821))=0,"",GetItemValueFromSpecimenHeader("timepoint"))</f>
        <v/>
      </c>
      <c r="E821" t="str">
        <f t="shared" si="75"/>
        <v/>
      </c>
      <c r="F821" t="str">
        <f t="shared" si="76"/>
        <v/>
      </c>
      <c r="G821" t="str">
        <f t="shared" si="72"/>
        <v/>
      </c>
      <c r="H821" t="str">
        <f>IF(LEN(TRIM(A821))=0,"",GetConfigParameterValue("Collection Site"))</f>
        <v/>
      </c>
      <c r="I821" t="str">
        <f t="shared" si="77"/>
        <v/>
      </c>
      <c r="M821" t="str">
        <f>IF(LEN(TRIM(B821))=0,"",IF(ISERROR(VLOOKUP(RIGHT(B821,4),study_demographic!A:A,1,FALSE)),"NOT FOUND!!!", "OK"))</f>
        <v/>
      </c>
    </row>
    <row r="822" spans="1:13" x14ac:dyDescent="0.25">
      <c r="A822" t="str">
        <f t="shared" si="73"/>
        <v/>
      </c>
      <c r="B822" t="str">
        <f t="shared" si="74"/>
        <v/>
      </c>
      <c r="C822" s="55" t="str">
        <f>IF(LEN(TRIM(A822))=0,"",get_string_val(RIGHT(B822,4)))</f>
        <v/>
      </c>
      <c r="D822" t="str">
        <f>IF(LEN(TRIM(A822))=0,"",GetItemValueFromSpecimenHeader("timepoint"))</f>
        <v/>
      </c>
      <c r="E822" t="str">
        <f t="shared" si="75"/>
        <v/>
      </c>
      <c r="F822" t="str">
        <f t="shared" si="76"/>
        <v/>
      </c>
      <c r="G822" t="str">
        <f t="shared" si="72"/>
        <v/>
      </c>
      <c r="H822" t="str">
        <f>IF(LEN(TRIM(A822))=0,"",GetConfigParameterValue("Collection Site"))</f>
        <v/>
      </c>
      <c r="I822" t="str">
        <f t="shared" si="77"/>
        <v/>
      </c>
      <c r="M822" t="str">
        <f>IF(LEN(TRIM(B822))=0,"",IF(ISERROR(VLOOKUP(RIGHT(B822,4),study_demographic!A:A,1,FALSE)),"NOT FOUND!!!", "OK"))</f>
        <v/>
      </c>
    </row>
    <row r="823" spans="1:13" x14ac:dyDescent="0.25">
      <c r="A823" t="str">
        <f t="shared" si="73"/>
        <v/>
      </c>
      <c r="B823" t="str">
        <f t="shared" si="74"/>
        <v/>
      </c>
      <c r="C823" s="55" t="str">
        <f>IF(LEN(TRIM(A823))=0,"",get_string_val(RIGHT(B823,4)))</f>
        <v/>
      </c>
      <c r="D823" t="str">
        <f>IF(LEN(TRIM(A823))=0,"",GetItemValueFromSpecimenHeader("timepoint"))</f>
        <v/>
      </c>
      <c r="E823" t="str">
        <f t="shared" si="75"/>
        <v/>
      </c>
      <c r="F823" t="str">
        <f t="shared" si="76"/>
        <v/>
      </c>
      <c r="G823" t="str">
        <f t="shared" si="72"/>
        <v/>
      </c>
      <c r="H823" t="str">
        <f>IF(LEN(TRIM(A823))=0,"",GetConfigParameterValue("Collection Site"))</f>
        <v/>
      </c>
      <c r="I823" t="str">
        <f t="shared" si="77"/>
        <v/>
      </c>
      <c r="M823" t="str">
        <f>IF(LEN(TRIM(B823))=0,"",IF(ISERROR(VLOOKUP(RIGHT(B823,4),study_demographic!A:A,1,FALSE)),"NOT FOUND!!!", "OK"))</f>
        <v/>
      </c>
    </row>
    <row r="824" spans="1:13" x14ac:dyDescent="0.25">
      <c r="A824" t="str">
        <f t="shared" si="73"/>
        <v/>
      </c>
      <c r="B824" t="str">
        <f t="shared" si="74"/>
        <v/>
      </c>
      <c r="C824" s="55" t="str">
        <f>IF(LEN(TRIM(A824))=0,"",get_string_val(RIGHT(B824,4)))</f>
        <v/>
      </c>
      <c r="D824" t="str">
        <f>IF(LEN(TRIM(A824))=0,"",GetItemValueFromSpecimenHeader("timepoint"))</f>
        <v/>
      </c>
      <c r="E824" t="str">
        <f t="shared" si="75"/>
        <v/>
      </c>
      <c r="F824" t="str">
        <f t="shared" si="76"/>
        <v/>
      </c>
      <c r="G824" t="str">
        <f t="shared" si="72"/>
        <v/>
      </c>
      <c r="H824" t="str">
        <f>IF(LEN(TRIM(A824))=0,"",GetConfigParameterValue("Collection Site"))</f>
        <v/>
      </c>
      <c r="I824" t="str">
        <f t="shared" si="77"/>
        <v/>
      </c>
      <c r="M824" t="str">
        <f>IF(LEN(TRIM(B824))=0,"",IF(ISERROR(VLOOKUP(RIGHT(B824,4),study_demographic!A:A,1,FALSE)),"NOT FOUND!!!", "OK"))</f>
        <v/>
      </c>
    </row>
    <row r="825" spans="1:13" x14ac:dyDescent="0.25">
      <c r="A825" t="str">
        <f t="shared" si="73"/>
        <v/>
      </c>
      <c r="B825" t="str">
        <f t="shared" si="74"/>
        <v/>
      </c>
      <c r="C825" s="55" t="str">
        <f>IF(LEN(TRIM(A825))=0,"",get_string_val(RIGHT(B825,4)))</f>
        <v/>
      </c>
      <c r="D825" t="str">
        <f>IF(LEN(TRIM(A825))=0,"",GetItemValueFromSpecimenHeader("timepoint"))</f>
        <v/>
      </c>
      <c r="E825" t="str">
        <f t="shared" si="75"/>
        <v/>
      </c>
      <c r="F825" t="str">
        <f t="shared" si="76"/>
        <v/>
      </c>
      <c r="G825" t="str">
        <f t="shared" si="72"/>
        <v/>
      </c>
      <c r="H825" t="str">
        <f>IF(LEN(TRIM(A825))=0,"",GetConfigParameterValue("Collection Site"))</f>
        <v/>
      </c>
      <c r="I825" t="str">
        <f t="shared" si="77"/>
        <v/>
      </c>
      <c r="M825" t="str">
        <f>IF(LEN(TRIM(B825))=0,"",IF(ISERROR(VLOOKUP(RIGHT(B825,4),study_demographic!A:A,1,FALSE)),"NOT FOUND!!!", "OK"))</f>
        <v/>
      </c>
    </row>
    <row r="826" spans="1:13" x14ac:dyDescent="0.25">
      <c r="A826" t="str">
        <f t="shared" si="73"/>
        <v/>
      </c>
      <c r="B826" t="str">
        <f t="shared" si="74"/>
        <v/>
      </c>
      <c r="C826" s="55" t="str">
        <f>IF(LEN(TRIM(A826))=0,"",get_string_val(RIGHT(B826,4)))</f>
        <v/>
      </c>
      <c r="D826" t="str">
        <f>IF(LEN(TRIM(A826))=0,"",GetItemValueFromSpecimenHeader("timepoint"))</f>
        <v/>
      </c>
      <c r="E826" t="str">
        <f t="shared" si="75"/>
        <v/>
      </c>
      <c r="F826" t="str">
        <f t="shared" si="76"/>
        <v/>
      </c>
      <c r="G826" t="str">
        <f t="shared" si="72"/>
        <v/>
      </c>
      <c r="H826" t="str">
        <f>IF(LEN(TRIM(A826))=0,"",GetConfigParameterValue("Collection Site"))</f>
        <v/>
      </c>
      <c r="I826" t="str">
        <f t="shared" si="77"/>
        <v/>
      </c>
      <c r="M826" t="str">
        <f>IF(LEN(TRIM(B826))=0,"",IF(ISERROR(VLOOKUP(RIGHT(B826,4),study_demographic!A:A,1,FALSE)),"NOT FOUND!!!", "OK"))</f>
        <v/>
      </c>
    </row>
    <row r="827" spans="1:13" x14ac:dyDescent="0.25">
      <c r="A827" t="str">
        <f t="shared" si="73"/>
        <v/>
      </c>
      <c r="B827" t="str">
        <f t="shared" si="74"/>
        <v/>
      </c>
      <c r="C827" s="55" t="str">
        <f>IF(LEN(TRIM(A827))=0,"",get_string_val(RIGHT(B827,4)))</f>
        <v/>
      </c>
      <c r="D827" t="str">
        <f>IF(LEN(TRIM(A827))=0,"",GetItemValueFromSpecimenHeader("timepoint"))</f>
        <v/>
      </c>
      <c r="E827" t="str">
        <f t="shared" si="75"/>
        <v/>
      </c>
      <c r="F827" t="str">
        <f t="shared" si="76"/>
        <v/>
      </c>
      <c r="G827" t="str">
        <f t="shared" si="72"/>
        <v/>
      </c>
      <c r="H827" t="str">
        <f>IF(LEN(TRIM(A827))=0,"",GetConfigParameterValue("Collection Site"))</f>
        <v/>
      </c>
      <c r="I827" t="str">
        <f t="shared" si="77"/>
        <v/>
      </c>
      <c r="M827" t="str">
        <f>IF(LEN(TRIM(B827))=0,"",IF(ISERROR(VLOOKUP(RIGHT(B827,4),study_demographic!A:A,1,FALSE)),"NOT FOUND!!!", "OK"))</f>
        <v/>
      </c>
    </row>
    <row r="828" spans="1:13" x14ac:dyDescent="0.25">
      <c r="A828" t="str">
        <f t="shared" si="73"/>
        <v/>
      </c>
      <c r="B828" t="str">
        <f t="shared" si="74"/>
        <v/>
      </c>
      <c r="C828" s="55" t="str">
        <f>IF(LEN(TRIM(A828))=0,"",get_string_val(RIGHT(B828,4)))</f>
        <v/>
      </c>
      <c r="D828" t="str">
        <f>IF(LEN(TRIM(A828))=0,"",GetItemValueFromSpecimenHeader("timepoint"))</f>
        <v/>
      </c>
      <c r="E828" t="str">
        <f t="shared" si="75"/>
        <v/>
      </c>
      <c r="F828" t="str">
        <f t="shared" si="76"/>
        <v/>
      </c>
      <c r="G828" t="str">
        <f t="shared" si="72"/>
        <v/>
      </c>
      <c r="H828" t="str">
        <f>IF(LEN(TRIM(A828))=0,"",GetConfigParameterValue("Collection Site"))</f>
        <v/>
      </c>
      <c r="I828" t="str">
        <f t="shared" si="77"/>
        <v/>
      </c>
      <c r="M828" t="str">
        <f>IF(LEN(TRIM(B828))=0,"",IF(ISERROR(VLOOKUP(RIGHT(B828,4),study_demographic!A:A,1,FALSE)),"NOT FOUND!!!", "OK"))</f>
        <v/>
      </c>
    </row>
    <row r="829" spans="1:13" x14ac:dyDescent="0.25">
      <c r="A829" t="str">
        <f t="shared" si="73"/>
        <v/>
      </c>
      <c r="B829" t="str">
        <f t="shared" si="74"/>
        <v/>
      </c>
      <c r="C829" s="55" t="str">
        <f>IF(LEN(TRIM(A829))=0,"",get_string_val(RIGHT(B829,4)))</f>
        <v/>
      </c>
      <c r="D829" t="str">
        <f>IF(LEN(TRIM(A829))=0,"",GetItemValueFromSpecimenHeader("timepoint"))</f>
        <v/>
      </c>
      <c r="E829" t="str">
        <f t="shared" si="75"/>
        <v/>
      </c>
      <c r="F829" t="str">
        <f t="shared" si="76"/>
        <v/>
      </c>
      <c r="G829" t="str">
        <f t="shared" si="72"/>
        <v/>
      </c>
      <c r="H829" t="str">
        <f>IF(LEN(TRIM(A829))=0,"",GetConfigParameterValue("Collection Site"))</f>
        <v/>
      </c>
      <c r="I829" t="str">
        <f t="shared" si="77"/>
        <v/>
      </c>
      <c r="M829" t="str">
        <f>IF(LEN(TRIM(B829))=0,"",IF(ISERROR(VLOOKUP(RIGHT(B829,4),study_demographic!A:A,1,FALSE)),"NOT FOUND!!!", "OK"))</f>
        <v/>
      </c>
    </row>
    <row r="830" spans="1:13" x14ac:dyDescent="0.25">
      <c r="A830" t="str">
        <f t="shared" si="73"/>
        <v/>
      </c>
      <c r="B830" t="str">
        <f t="shared" si="74"/>
        <v/>
      </c>
      <c r="C830" s="55" t="str">
        <f>IF(LEN(TRIM(A830))=0,"",get_string_val(RIGHT(B830,4)))</f>
        <v/>
      </c>
      <c r="D830" t="str">
        <f>IF(LEN(TRIM(A830))=0,"",GetItemValueFromSpecimenHeader("timepoint"))</f>
        <v/>
      </c>
      <c r="E830" t="str">
        <f t="shared" si="75"/>
        <v/>
      </c>
      <c r="F830" t="str">
        <f t="shared" si="76"/>
        <v/>
      </c>
      <c r="G830" t="str">
        <f t="shared" si="72"/>
        <v/>
      </c>
      <c r="H830" t="str">
        <f>IF(LEN(TRIM(A830))=0,"",GetConfigParameterValue("Collection Site"))</f>
        <v/>
      </c>
      <c r="I830" t="str">
        <f t="shared" si="77"/>
        <v/>
      </c>
      <c r="M830" t="str">
        <f>IF(LEN(TRIM(B830))=0,"",IF(ISERROR(VLOOKUP(RIGHT(B830,4),study_demographic!A:A,1,FALSE)),"NOT FOUND!!!", "OK"))</f>
        <v/>
      </c>
    </row>
    <row r="831" spans="1:13" x14ac:dyDescent="0.25">
      <c r="A831" t="str">
        <f t="shared" si="73"/>
        <v/>
      </c>
      <c r="B831" t="str">
        <f t="shared" si="74"/>
        <v/>
      </c>
      <c r="C831" s="55" t="str">
        <f>IF(LEN(TRIM(A831))=0,"",get_string_val(RIGHT(B831,4)))</f>
        <v/>
      </c>
      <c r="D831" t="str">
        <f>IF(LEN(TRIM(A831))=0,"",GetItemValueFromSpecimenHeader("timepoint"))</f>
        <v/>
      </c>
      <c r="E831" t="str">
        <f t="shared" si="75"/>
        <v/>
      </c>
      <c r="F831" t="str">
        <f t="shared" si="76"/>
        <v/>
      </c>
      <c r="G831" t="str">
        <f t="shared" si="72"/>
        <v/>
      </c>
      <c r="H831" t="str">
        <f>IF(LEN(TRIM(A831))=0,"",GetConfigParameterValue("Collection Site"))</f>
        <v/>
      </c>
      <c r="I831" t="str">
        <f t="shared" si="77"/>
        <v/>
      </c>
      <c r="M831" t="str">
        <f>IF(LEN(TRIM(B831))=0,"",IF(ISERROR(VLOOKUP(RIGHT(B831,4),study_demographic!A:A,1,FALSE)),"NOT FOUND!!!", "OK"))</f>
        <v/>
      </c>
    </row>
    <row r="832" spans="1:13" x14ac:dyDescent="0.25">
      <c r="A832" t="str">
        <f t="shared" si="73"/>
        <v/>
      </c>
      <c r="B832" t="str">
        <f t="shared" si="74"/>
        <v/>
      </c>
      <c r="C832" s="55" t="str">
        <f>IF(LEN(TRIM(A832))=0,"",get_string_val(RIGHT(B832,4)))</f>
        <v/>
      </c>
      <c r="D832" t="str">
        <f>IF(LEN(TRIM(A832))=0,"",GetItemValueFromSpecimenHeader("timepoint"))</f>
        <v/>
      </c>
      <c r="E832" t="str">
        <f t="shared" si="75"/>
        <v/>
      </c>
      <c r="F832" t="str">
        <f t="shared" si="76"/>
        <v/>
      </c>
      <c r="G832" t="str">
        <f t="shared" si="72"/>
        <v/>
      </c>
      <c r="H832" t="str">
        <f>IF(LEN(TRIM(A832))=0,"",GetConfigParameterValue("Collection Site"))</f>
        <v/>
      </c>
      <c r="I832" t="str">
        <f t="shared" si="77"/>
        <v/>
      </c>
      <c r="M832" t="str">
        <f>IF(LEN(TRIM(B832))=0,"",IF(ISERROR(VLOOKUP(RIGHT(B832,4),study_demographic!A:A,1,FALSE)),"NOT FOUND!!!", "OK"))</f>
        <v/>
      </c>
    </row>
    <row r="833" spans="1:13" x14ac:dyDescent="0.25">
      <c r="A833" t="str">
        <f t="shared" si="73"/>
        <v/>
      </c>
      <c r="B833" t="str">
        <f t="shared" si="74"/>
        <v/>
      </c>
      <c r="C833" s="55" t="str">
        <f>IF(LEN(TRIM(A833))=0,"",get_string_val(RIGHT(B833,4)))</f>
        <v/>
      </c>
      <c r="D833" t="str">
        <f>IF(LEN(TRIM(A833))=0,"",GetItemValueFromSpecimenHeader("timepoint"))</f>
        <v/>
      </c>
      <c r="E833" t="str">
        <f t="shared" si="75"/>
        <v/>
      </c>
      <c r="F833" t="str">
        <f t="shared" si="76"/>
        <v/>
      </c>
      <c r="G833" t="str">
        <f t="shared" si="72"/>
        <v/>
      </c>
      <c r="H833" t="str">
        <f>IF(LEN(TRIM(A833))=0,"",GetConfigParameterValue("Collection Site"))</f>
        <v/>
      </c>
      <c r="I833" t="str">
        <f t="shared" si="77"/>
        <v/>
      </c>
      <c r="M833" t="str">
        <f>IF(LEN(TRIM(B833))=0,"",IF(ISERROR(VLOOKUP(RIGHT(B833,4),study_demographic!A:A,1,FALSE)),"NOT FOUND!!!", "OK"))</f>
        <v/>
      </c>
    </row>
    <row r="834" spans="1:13" x14ac:dyDescent="0.25">
      <c r="A834" t="str">
        <f t="shared" si="73"/>
        <v/>
      </c>
      <c r="B834" t="str">
        <f t="shared" si="74"/>
        <v/>
      </c>
      <c r="C834" s="55" t="str">
        <f>IF(LEN(TRIM(A834))=0,"",get_string_val(RIGHT(B834,4)))</f>
        <v/>
      </c>
      <c r="D834" t="str">
        <f>IF(LEN(TRIM(A834))=0,"",GetItemValueFromSpecimenHeader("timepoint"))</f>
        <v/>
      </c>
      <c r="E834" t="str">
        <f t="shared" si="75"/>
        <v/>
      </c>
      <c r="F834" t="str">
        <f t="shared" si="76"/>
        <v/>
      </c>
      <c r="G834" t="str">
        <f t="shared" ref="G834:G897" si="78">IF(LEN(TRIM(A834))=0,"",IF(TRIM(F834)="1","Male", IF(TRIM(F834)="2","Female", "NA")))</f>
        <v/>
      </c>
      <c r="H834" t="str">
        <f>IF(LEN(TRIM(A834))=0,"",GetConfigParameterValue("Collection Site"))</f>
        <v/>
      </c>
      <c r="I834" t="str">
        <f t="shared" si="77"/>
        <v/>
      </c>
      <c r="M834" t="str">
        <f>IF(LEN(TRIM(B834))=0,"",IF(ISERROR(VLOOKUP(RIGHT(B834,4),study_demographic!A:A,1,FALSE)),"NOT FOUND!!!", "OK"))</f>
        <v/>
      </c>
    </row>
    <row r="835" spans="1:13" x14ac:dyDescent="0.25">
      <c r="A835" t="str">
        <f t="shared" ref="A835:A898" si="79">GetSampleId((ROW()))</f>
        <v/>
      </c>
      <c r="B835" t="str">
        <f t="shared" ref="B835:B898" si="80">IF(LEN(TRIM(A835))=0,"",LEFT(A835,7))</f>
        <v/>
      </c>
      <c r="C835" s="55" t="str">
        <f>IF(LEN(TRIM(A835))=0,"",get_string_val(RIGHT(B835,4)))</f>
        <v/>
      </c>
      <c r="D835" t="str">
        <f>IF(LEN(TRIM(A835))=0,"",GetItemValueFromSpecimenHeader("timepoint"))</f>
        <v/>
      </c>
      <c r="E835" t="str">
        <f t="shared" ref="E835:E898" si="81">getColumnValueBySubjectID("Age",RIGHT(B835,4))</f>
        <v/>
      </c>
      <c r="F835" t="str">
        <f t="shared" ref="F835:F898" si="82">getColumnValueBySubjectID("Sex",RIGHT(B835,4))</f>
        <v/>
      </c>
      <c r="G835" t="str">
        <f t="shared" si="78"/>
        <v/>
      </c>
      <c r="H835" t="str">
        <f>IF(LEN(TRIM(A835))=0,"",GetConfigParameterValue("Collection Site"))</f>
        <v/>
      </c>
      <c r="I835" t="str">
        <f t="shared" ref="I835:I898" si="83">getColumnValueBySubjectID("Comments",B835)</f>
        <v/>
      </c>
      <c r="M835" t="str">
        <f>IF(LEN(TRIM(B835))=0,"",IF(ISERROR(VLOOKUP(RIGHT(B835,4),study_demographic!A:A,1,FALSE)),"NOT FOUND!!!", "OK"))</f>
        <v/>
      </c>
    </row>
    <row r="836" spans="1:13" x14ac:dyDescent="0.25">
      <c r="A836" t="str">
        <f t="shared" si="79"/>
        <v/>
      </c>
      <c r="B836" t="str">
        <f t="shared" si="80"/>
        <v/>
      </c>
      <c r="C836" s="55" t="str">
        <f>IF(LEN(TRIM(A836))=0,"",get_string_val(RIGHT(B836,4)))</f>
        <v/>
      </c>
      <c r="D836" t="str">
        <f>IF(LEN(TRIM(A836))=0,"",GetItemValueFromSpecimenHeader("timepoint"))</f>
        <v/>
      </c>
      <c r="E836" t="str">
        <f t="shared" si="81"/>
        <v/>
      </c>
      <c r="F836" t="str">
        <f t="shared" si="82"/>
        <v/>
      </c>
      <c r="G836" t="str">
        <f t="shared" si="78"/>
        <v/>
      </c>
      <c r="H836" t="str">
        <f>IF(LEN(TRIM(A836))=0,"",GetConfigParameterValue("Collection Site"))</f>
        <v/>
      </c>
      <c r="I836" t="str">
        <f t="shared" si="83"/>
        <v/>
      </c>
      <c r="M836" t="str">
        <f>IF(LEN(TRIM(B836))=0,"",IF(ISERROR(VLOOKUP(RIGHT(B836,4),study_demographic!A:A,1,FALSE)),"NOT FOUND!!!", "OK"))</f>
        <v/>
      </c>
    </row>
    <row r="837" spans="1:13" x14ac:dyDescent="0.25">
      <c r="A837" t="str">
        <f t="shared" si="79"/>
        <v/>
      </c>
      <c r="B837" t="str">
        <f t="shared" si="80"/>
        <v/>
      </c>
      <c r="C837" s="55" t="str">
        <f>IF(LEN(TRIM(A837))=0,"",get_string_val(RIGHT(B837,4)))</f>
        <v/>
      </c>
      <c r="D837" t="str">
        <f>IF(LEN(TRIM(A837))=0,"",GetItemValueFromSpecimenHeader("timepoint"))</f>
        <v/>
      </c>
      <c r="E837" t="str">
        <f t="shared" si="81"/>
        <v/>
      </c>
      <c r="F837" t="str">
        <f t="shared" si="82"/>
        <v/>
      </c>
      <c r="G837" t="str">
        <f t="shared" si="78"/>
        <v/>
      </c>
      <c r="H837" t="str">
        <f>IF(LEN(TRIM(A837))=0,"",GetConfigParameterValue("Collection Site"))</f>
        <v/>
      </c>
      <c r="I837" t="str">
        <f t="shared" si="83"/>
        <v/>
      </c>
      <c r="M837" t="str">
        <f>IF(LEN(TRIM(B837))=0,"",IF(ISERROR(VLOOKUP(RIGHT(B837,4),study_demographic!A:A,1,FALSE)),"NOT FOUND!!!", "OK"))</f>
        <v/>
      </c>
    </row>
    <row r="838" spans="1:13" x14ac:dyDescent="0.25">
      <c r="A838" t="str">
        <f t="shared" si="79"/>
        <v/>
      </c>
      <c r="B838" t="str">
        <f t="shared" si="80"/>
        <v/>
      </c>
      <c r="C838" s="55" t="str">
        <f>IF(LEN(TRIM(A838))=0,"",get_string_val(RIGHT(B838,4)))</f>
        <v/>
      </c>
      <c r="D838" t="str">
        <f>IF(LEN(TRIM(A838))=0,"",GetItemValueFromSpecimenHeader("timepoint"))</f>
        <v/>
      </c>
      <c r="E838" t="str">
        <f t="shared" si="81"/>
        <v/>
      </c>
      <c r="F838" t="str">
        <f t="shared" si="82"/>
        <v/>
      </c>
      <c r="G838" t="str">
        <f t="shared" si="78"/>
        <v/>
      </c>
      <c r="H838" t="str">
        <f>IF(LEN(TRIM(A838))=0,"",GetConfigParameterValue("Collection Site"))</f>
        <v/>
      </c>
      <c r="I838" t="str">
        <f t="shared" si="83"/>
        <v/>
      </c>
      <c r="M838" t="str">
        <f>IF(LEN(TRIM(B838))=0,"",IF(ISERROR(VLOOKUP(RIGHT(B838,4),study_demographic!A:A,1,FALSE)),"NOT FOUND!!!", "OK"))</f>
        <v/>
      </c>
    </row>
    <row r="839" spans="1:13" x14ac:dyDescent="0.25">
      <c r="A839" t="str">
        <f t="shared" si="79"/>
        <v/>
      </c>
      <c r="B839" t="str">
        <f t="shared" si="80"/>
        <v/>
      </c>
      <c r="C839" s="55" t="str">
        <f>IF(LEN(TRIM(A839))=0,"",get_string_val(RIGHT(B839,4)))</f>
        <v/>
      </c>
      <c r="D839" t="str">
        <f>IF(LEN(TRIM(A839))=0,"",GetItemValueFromSpecimenHeader("timepoint"))</f>
        <v/>
      </c>
      <c r="E839" t="str">
        <f t="shared" si="81"/>
        <v/>
      </c>
      <c r="F839" t="str">
        <f t="shared" si="82"/>
        <v/>
      </c>
      <c r="G839" t="str">
        <f t="shared" si="78"/>
        <v/>
      </c>
      <c r="H839" t="str">
        <f>IF(LEN(TRIM(A839))=0,"",GetConfigParameterValue("Collection Site"))</f>
        <v/>
      </c>
      <c r="I839" t="str">
        <f t="shared" si="83"/>
        <v/>
      </c>
      <c r="M839" t="str">
        <f>IF(LEN(TRIM(B839))=0,"",IF(ISERROR(VLOOKUP(RIGHT(B839,4),study_demographic!A:A,1,FALSE)),"NOT FOUND!!!", "OK"))</f>
        <v/>
      </c>
    </row>
    <row r="840" spans="1:13" x14ac:dyDescent="0.25">
      <c r="A840" t="str">
        <f t="shared" si="79"/>
        <v/>
      </c>
      <c r="B840" t="str">
        <f t="shared" si="80"/>
        <v/>
      </c>
      <c r="C840" s="55" t="str">
        <f>IF(LEN(TRIM(A840))=0,"",get_string_val(RIGHT(B840,4)))</f>
        <v/>
      </c>
      <c r="D840" t="str">
        <f>IF(LEN(TRIM(A840))=0,"",GetItemValueFromSpecimenHeader("timepoint"))</f>
        <v/>
      </c>
      <c r="E840" t="str">
        <f t="shared" si="81"/>
        <v/>
      </c>
      <c r="F840" t="str">
        <f t="shared" si="82"/>
        <v/>
      </c>
      <c r="G840" t="str">
        <f t="shared" si="78"/>
        <v/>
      </c>
      <c r="H840" t="str">
        <f>IF(LEN(TRIM(A840))=0,"",GetConfigParameterValue("Collection Site"))</f>
        <v/>
      </c>
      <c r="I840" t="str">
        <f t="shared" si="83"/>
        <v/>
      </c>
      <c r="M840" t="str">
        <f>IF(LEN(TRIM(B840))=0,"",IF(ISERROR(VLOOKUP(RIGHT(B840,4),study_demographic!A:A,1,FALSE)),"NOT FOUND!!!", "OK"))</f>
        <v/>
      </c>
    </row>
    <row r="841" spans="1:13" x14ac:dyDescent="0.25">
      <c r="A841" t="str">
        <f t="shared" si="79"/>
        <v/>
      </c>
      <c r="B841" t="str">
        <f t="shared" si="80"/>
        <v/>
      </c>
      <c r="C841" s="55" t="str">
        <f>IF(LEN(TRIM(A841))=0,"",get_string_val(RIGHT(B841,4)))</f>
        <v/>
      </c>
      <c r="D841" t="str">
        <f>IF(LEN(TRIM(A841))=0,"",GetItemValueFromSpecimenHeader("timepoint"))</f>
        <v/>
      </c>
      <c r="E841" t="str">
        <f t="shared" si="81"/>
        <v/>
      </c>
      <c r="F841" t="str">
        <f t="shared" si="82"/>
        <v/>
      </c>
      <c r="G841" t="str">
        <f t="shared" si="78"/>
        <v/>
      </c>
      <c r="H841" t="str">
        <f>IF(LEN(TRIM(A841))=0,"",GetConfigParameterValue("Collection Site"))</f>
        <v/>
      </c>
      <c r="I841" t="str">
        <f t="shared" si="83"/>
        <v/>
      </c>
      <c r="M841" t="str">
        <f>IF(LEN(TRIM(B841))=0,"",IF(ISERROR(VLOOKUP(RIGHT(B841,4),study_demographic!A:A,1,FALSE)),"NOT FOUND!!!", "OK"))</f>
        <v/>
      </c>
    </row>
    <row r="842" spans="1:13" x14ac:dyDescent="0.25">
      <c r="A842" t="str">
        <f t="shared" si="79"/>
        <v/>
      </c>
      <c r="B842" t="str">
        <f t="shared" si="80"/>
        <v/>
      </c>
      <c r="C842" s="55" t="str">
        <f>IF(LEN(TRIM(A842))=0,"",get_string_val(RIGHT(B842,4)))</f>
        <v/>
      </c>
      <c r="D842" t="str">
        <f>IF(LEN(TRIM(A842))=0,"",GetItemValueFromSpecimenHeader("timepoint"))</f>
        <v/>
      </c>
      <c r="E842" t="str">
        <f t="shared" si="81"/>
        <v/>
      </c>
      <c r="F842" t="str">
        <f t="shared" si="82"/>
        <v/>
      </c>
      <c r="G842" t="str">
        <f t="shared" si="78"/>
        <v/>
      </c>
      <c r="H842" t="str">
        <f>IF(LEN(TRIM(A842))=0,"",GetConfigParameterValue("Collection Site"))</f>
        <v/>
      </c>
      <c r="I842" t="str">
        <f t="shared" si="83"/>
        <v/>
      </c>
      <c r="M842" t="str">
        <f>IF(LEN(TRIM(B842))=0,"",IF(ISERROR(VLOOKUP(RIGHT(B842,4),study_demographic!A:A,1,FALSE)),"NOT FOUND!!!", "OK"))</f>
        <v/>
      </c>
    </row>
    <row r="843" spans="1:13" x14ac:dyDescent="0.25">
      <c r="A843" t="str">
        <f t="shared" si="79"/>
        <v/>
      </c>
      <c r="B843" t="str">
        <f t="shared" si="80"/>
        <v/>
      </c>
      <c r="C843" s="55" t="str">
        <f>IF(LEN(TRIM(A843))=0,"",get_string_val(RIGHT(B843,4)))</f>
        <v/>
      </c>
      <c r="D843" t="str">
        <f>IF(LEN(TRIM(A843))=0,"",GetItemValueFromSpecimenHeader("timepoint"))</f>
        <v/>
      </c>
      <c r="E843" t="str">
        <f t="shared" si="81"/>
        <v/>
      </c>
      <c r="F843" t="str">
        <f t="shared" si="82"/>
        <v/>
      </c>
      <c r="G843" t="str">
        <f t="shared" si="78"/>
        <v/>
      </c>
      <c r="H843" t="str">
        <f>IF(LEN(TRIM(A843))=0,"",GetConfigParameterValue("Collection Site"))</f>
        <v/>
      </c>
      <c r="I843" t="str">
        <f t="shared" si="83"/>
        <v/>
      </c>
      <c r="M843" t="str">
        <f>IF(LEN(TRIM(B843))=0,"",IF(ISERROR(VLOOKUP(RIGHT(B843,4),study_demographic!A:A,1,FALSE)),"NOT FOUND!!!", "OK"))</f>
        <v/>
      </c>
    </row>
    <row r="844" spans="1:13" x14ac:dyDescent="0.25">
      <c r="A844" t="str">
        <f t="shared" si="79"/>
        <v/>
      </c>
      <c r="B844" t="str">
        <f t="shared" si="80"/>
        <v/>
      </c>
      <c r="C844" s="55" t="str">
        <f>IF(LEN(TRIM(A844))=0,"",get_string_val(RIGHT(B844,4)))</f>
        <v/>
      </c>
      <c r="D844" t="str">
        <f>IF(LEN(TRIM(A844))=0,"",GetItemValueFromSpecimenHeader("timepoint"))</f>
        <v/>
      </c>
      <c r="E844" t="str">
        <f t="shared" si="81"/>
        <v/>
      </c>
      <c r="F844" t="str">
        <f t="shared" si="82"/>
        <v/>
      </c>
      <c r="G844" t="str">
        <f t="shared" si="78"/>
        <v/>
      </c>
      <c r="H844" t="str">
        <f>IF(LEN(TRIM(A844))=0,"",GetConfigParameterValue("Collection Site"))</f>
        <v/>
      </c>
      <c r="I844" t="str">
        <f t="shared" si="83"/>
        <v/>
      </c>
      <c r="M844" t="str">
        <f>IF(LEN(TRIM(B844))=0,"",IF(ISERROR(VLOOKUP(RIGHT(B844,4),study_demographic!A:A,1,FALSE)),"NOT FOUND!!!", "OK"))</f>
        <v/>
      </c>
    </row>
    <row r="845" spans="1:13" x14ac:dyDescent="0.25">
      <c r="A845" t="str">
        <f t="shared" si="79"/>
        <v/>
      </c>
      <c r="B845" t="str">
        <f t="shared" si="80"/>
        <v/>
      </c>
      <c r="C845" s="55" t="str">
        <f>IF(LEN(TRIM(A845))=0,"",get_string_val(RIGHT(B845,4)))</f>
        <v/>
      </c>
      <c r="D845" t="str">
        <f>IF(LEN(TRIM(A845))=0,"",GetItemValueFromSpecimenHeader("timepoint"))</f>
        <v/>
      </c>
      <c r="E845" t="str">
        <f t="shared" si="81"/>
        <v/>
      </c>
      <c r="F845" t="str">
        <f t="shared" si="82"/>
        <v/>
      </c>
      <c r="G845" t="str">
        <f t="shared" si="78"/>
        <v/>
      </c>
      <c r="H845" t="str">
        <f>IF(LEN(TRIM(A845))=0,"",GetConfigParameterValue("Collection Site"))</f>
        <v/>
      </c>
      <c r="I845" t="str">
        <f t="shared" si="83"/>
        <v/>
      </c>
      <c r="M845" t="str">
        <f>IF(LEN(TRIM(B845))=0,"",IF(ISERROR(VLOOKUP(RIGHT(B845,4),study_demographic!A:A,1,FALSE)),"NOT FOUND!!!", "OK"))</f>
        <v/>
      </c>
    </row>
    <row r="846" spans="1:13" x14ac:dyDescent="0.25">
      <c r="A846" t="str">
        <f t="shared" si="79"/>
        <v/>
      </c>
      <c r="B846" t="str">
        <f t="shared" si="80"/>
        <v/>
      </c>
      <c r="C846" s="55" t="str">
        <f>IF(LEN(TRIM(A846))=0,"",get_string_val(RIGHT(B846,4)))</f>
        <v/>
      </c>
      <c r="D846" t="str">
        <f>IF(LEN(TRIM(A846))=0,"",GetItemValueFromSpecimenHeader("timepoint"))</f>
        <v/>
      </c>
      <c r="E846" t="str">
        <f t="shared" si="81"/>
        <v/>
      </c>
      <c r="F846" t="str">
        <f t="shared" si="82"/>
        <v/>
      </c>
      <c r="G846" t="str">
        <f t="shared" si="78"/>
        <v/>
      </c>
      <c r="H846" t="str">
        <f>IF(LEN(TRIM(A846))=0,"",GetConfigParameterValue("Collection Site"))</f>
        <v/>
      </c>
      <c r="I846" t="str">
        <f t="shared" si="83"/>
        <v/>
      </c>
      <c r="M846" t="str">
        <f>IF(LEN(TRIM(B846))=0,"",IF(ISERROR(VLOOKUP(RIGHT(B846,4),study_demographic!A:A,1,FALSE)),"NOT FOUND!!!", "OK"))</f>
        <v/>
      </c>
    </row>
    <row r="847" spans="1:13" x14ac:dyDescent="0.25">
      <c r="A847" t="str">
        <f t="shared" si="79"/>
        <v/>
      </c>
      <c r="B847" t="str">
        <f t="shared" si="80"/>
        <v/>
      </c>
      <c r="C847" s="55" t="str">
        <f>IF(LEN(TRIM(A847))=0,"",get_string_val(RIGHT(B847,4)))</f>
        <v/>
      </c>
      <c r="D847" t="str">
        <f>IF(LEN(TRIM(A847))=0,"",GetItemValueFromSpecimenHeader("timepoint"))</f>
        <v/>
      </c>
      <c r="E847" t="str">
        <f t="shared" si="81"/>
        <v/>
      </c>
      <c r="F847" t="str">
        <f t="shared" si="82"/>
        <v/>
      </c>
      <c r="G847" t="str">
        <f t="shared" si="78"/>
        <v/>
      </c>
      <c r="H847" t="str">
        <f>IF(LEN(TRIM(A847))=0,"",GetConfigParameterValue("Collection Site"))</f>
        <v/>
      </c>
      <c r="I847" t="str">
        <f t="shared" si="83"/>
        <v/>
      </c>
      <c r="M847" t="str">
        <f>IF(LEN(TRIM(B847))=0,"",IF(ISERROR(VLOOKUP(RIGHT(B847,4),study_demographic!A:A,1,FALSE)),"NOT FOUND!!!", "OK"))</f>
        <v/>
      </c>
    </row>
    <row r="848" spans="1:13" x14ac:dyDescent="0.25">
      <c r="A848" t="str">
        <f t="shared" si="79"/>
        <v/>
      </c>
      <c r="B848" t="str">
        <f t="shared" si="80"/>
        <v/>
      </c>
      <c r="C848" s="55" t="str">
        <f>IF(LEN(TRIM(A848))=0,"",get_string_val(RIGHT(B848,4)))</f>
        <v/>
      </c>
      <c r="D848" t="str">
        <f>IF(LEN(TRIM(A848))=0,"",GetItemValueFromSpecimenHeader("timepoint"))</f>
        <v/>
      </c>
      <c r="E848" t="str">
        <f t="shared" si="81"/>
        <v/>
      </c>
      <c r="F848" t="str">
        <f t="shared" si="82"/>
        <v/>
      </c>
      <c r="G848" t="str">
        <f t="shared" si="78"/>
        <v/>
      </c>
      <c r="H848" t="str">
        <f>IF(LEN(TRIM(A848))=0,"",GetConfigParameterValue("Collection Site"))</f>
        <v/>
      </c>
      <c r="I848" t="str">
        <f t="shared" si="83"/>
        <v/>
      </c>
      <c r="M848" t="str">
        <f>IF(LEN(TRIM(B848))=0,"",IF(ISERROR(VLOOKUP(RIGHT(B848,4),study_demographic!A:A,1,FALSE)),"NOT FOUND!!!", "OK"))</f>
        <v/>
      </c>
    </row>
    <row r="849" spans="1:13" x14ac:dyDescent="0.25">
      <c r="A849" t="str">
        <f t="shared" si="79"/>
        <v/>
      </c>
      <c r="B849" t="str">
        <f t="shared" si="80"/>
        <v/>
      </c>
      <c r="C849" s="55" t="str">
        <f>IF(LEN(TRIM(A849))=0,"",get_string_val(RIGHT(B849,4)))</f>
        <v/>
      </c>
      <c r="D849" t="str">
        <f>IF(LEN(TRIM(A849))=0,"",GetItemValueFromSpecimenHeader("timepoint"))</f>
        <v/>
      </c>
      <c r="E849" t="str">
        <f t="shared" si="81"/>
        <v/>
      </c>
      <c r="F849" t="str">
        <f t="shared" si="82"/>
        <v/>
      </c>
      <c r="G849" t="str">
        <f t="shared" si="78"/>
        <v/>
      </c>
      <c r="H849" t="str">
        <f>IF(LEN(TRIM(A849))=0,"",GetConfigParameterValue("Collection Site"))</f>
        <v/>
      </c>
      <c r="I849" t="str">
        <f t="shared" si="83"/>
        <v/>
      </c>
      <c r="M849" t="str">
        <f>IF(LEN(TRIM(B849))=0,"",IF(ISERROR(VLOOKUP(RIGHT(B849,4),study_demographic!A:A,1,FALSE)),"NOT FOUND!!!", "OK"))</f>
        <v/>
      </c>
    </row>
    <row r="850" spans="1:13" x14ac:dyDescent="0.25">
      <c r="A850" t="str">
        <f t="shared" si="79"/>
        <v/>
      </c>
      <c r="B850" t="str">
        <f t="shared" si="80"/>
        <v/>
      </c>
      <c r="C850" s="55" t="str">
        <f>IF(LEN(TRIM(A850))=0,"",get_string_val(RIGHT(B850,4)))</f>
        <v/>
      </c>
      <c r="D850" t="str">
        <f>IF(LEN(TRIM(A850))=0,"",GetItemValueFromSpecimenHeader("timepoint"))</f>
        <v/>
      </c>
      <c r="E850" t="str">
        <f t="shared" si="81"/>
        <v/>
      </c>
      <c r="F850" t="str">
        <f t="shared" si="82"/>
        <v/>
      </c>
      <c r="G850" t="str">
        <f t="shared" si="78"/>
        <v/>
      </c>
      <c r="H850" t="str">
        <f>IF(LEN(TRIM(A850))=0,"",GetConfigParameterValue("Collection Site"))</f>
        <v/>
      </c>
      <c r="I850" t="str">
        <f t="shared" si="83"/>
        <v/>
      </c>
      <c r="M850" t="str">
        <f>IF(LEN(TRIM(B850))=0,"",IF(ISERROR(VLOOKUP(RIGHT(B850,4),study_demographic!A:A,1,FALSE)),"NOT FOUND!!!", "OK"))</f>
        <v/>
      </c>
    </row>
    <row r="851" spans="1:13" x14ac:dyDescent="0.25">
      <c r="A851" t="str">
        <f t="shared" si="79"/>
        <v/>
      </c>
      <c r="B851" t="str">
        <f t="shared" si="80"/>
        <v/>
      </c>
      <c r="C851" s="55" t="str">
        <f>IF(LEN(TRIM(A851))=0,"",get_string_val(RIGHT(B851,4)))</f>
        <v/>
      </c>
      <c r="D851" t="str">
        <f>IF(LEN(TRIM(A851))=0,"",GetItemValueFromSpecimenHeader("timepoint"))</f>
        <v/>
      </c>
      <c r="E851" t="str">
        <f t="shared" si="81"/>
        <v/>
      </c>
      <c r="F851" t="str">
        <f t="shared" si="82"/>
        <v/>
      </c>
      <c r="G851" t="str">
        <f t="shared" si="78"/>
        <v/>
      </c>
      <c r="H851" t="str">
        <f>IF(LEN(TRIM(A851))=0,"",GetConfigParameterValue("Collection Site"))</f>
        <v/>
      </c>
      <c r="I851" t="str">
        <f t="shared" si="83"/>
        <v/>
      </c>
      <c r="M851" t="str">
        <f>IF(LEN(TRIM(B851))=0,"",IF(ISERROR(VLOOKUP(RIGHT(B851,4),study_demographic!A:A,1,FALSE)),"NOT FOUND!!!", "OK"))</f>
        <v/>
      </c>
    </row>
    <row r="852" spans="1:13" x14ac:dyDescent="0.25">
      <c r="A852" t="str">
        <f t="shared" si="79"/>
        <v/>
      </c>
      <c r="B852" t="str">
        <f t="shared" si="80"/>
        <v/>
      </c>
      <c r="C852" s="55" t="str">
        <f>IF(LEN(TRIM(A852))=0,"",get_string_val(RIGHT(B852,4)))</f>
        <v/>
      </c>
      <c r="D852" t="str">
        <f>IF(LEN(TRIM(A852))=0,"",GetItemValueFromSpecimenHeader("timepoint"))</f>
        <v/>
      </c>
      <c r="E852" t="str">
        <f t="shared" si="81"/>
        <v/>
      </c>
      <c r="F852" t="str">
        <f t="shared" si="82"/>
        <v/>
      </c>
      <c r="G852" t="str">
        <f t="shared" si="78"/>
        <v/>
      </c>
      <c r="H852" t="str">
        <f>IF(LEN(TRIM(A852))=0,"",GetConfigParameterValue("Collection Site"))</f>
        <v/>
      </c>
      <c r="I852" t="str">
        <f t="shared" si="83"/>
        <v/>
      </c>
      <c r="M852" t="str">
        <f>IF(LEN(TRIM(B852))=0,"",IF(ISERROR(VLOOKUP(RIGHT(B852,4),study_demographic!A:A,1,FALSE)),"NOT FOUND!!!", "OK"))</f>
        <v/>
      </c>
    </row>
    <row r="853" spans="1:13" x14ac:dyDescent="0.25">
      <c r="A853" t="str">
        <f t="shared" si="79"/>
        <v/>
      </c>
      <c r="B853" t="str">
        <f t="shared" si="80"/>
        <v/>
      </c>
      <c r="C853" s="55" t="str">
        <f>IF(LEN(TRIM(A853))=0,"",get_string_val(RIGHT(B853,4)))</f>
        <v/>
      </c>
      <c r="D853" t="str">
        <f>IF(LEN(TRIM(A853))=0,"",GetItemValueFromSpecimenHeader("timepoint"))</f>
        <v/>
      </c>
      <c r="E853" t="str">
        <f t="shared" si="81"/>
        <v/>
      </c>
      <c r="F853" t="str">
        <f t="shared" si="82"/>
        <v/>
      </c>
      <c r="G853" t="str">
        <f t="shared" si="78"/>
        <v/>
      </c>
      <c r="H853" t="str">
        <f>IF(LEN(TRIM(A853))=0,"",GetConfigParameterValue("Collection Site"))</f>
        <v/>
      </c>
      <c r="I853" t="str">
        <f t="shared" si="83"/>
        <v/>
      </c>
      <c r="M853" t="str">
        <f>IF(LEN(TRIM(B853))=0,"",IF(ISERROR(VLOOKUP(RIGHT(B853,4),study_demographic!A:A,1,FALSE)),"NOT FOUND!!!", "OK"))</f>
        <v/>
      </c>
    </row>
    <row r="854" spans="1:13" x14ac:dyDescent="0.25">
      <c r="A854" t="str">
        <f t="shared" si="79"/>
        <v/>
      </c>
      <c r="B854" t="str">
        <f t="shared" si="80"/>
        <v/>
      </c>
      <c r="C854" s="55" t="str">
        <f>IF(LEN(TRIM(A854))=0,"",get_string_val(RIGHT(B854,4)))</f>
        <v/>
      </c>
      <c r="D854" t="str">
        <f>IF(LEN(TRIM(A854))=0,"",GetItemValueFromSpecimenHeader("timepoint"))</f>
        <v/>
      </c>
      <c r="E854" t="str">
        <f t="shared" si="81"/>
        <v/>
      </c>
      <c r="F854" t="str">
        <f t="shared" si="82"/>
        <v/>
      </c>
      <c r="G854" t="str">
        <f t="shared" si="78"/>
        <v/>
      </c>
      <c r="H854" t="str">
        <f>IF(LEN(TRIM(A854))=0,"",GetConfigParameterValue("Collection Site"))</f>
        <v/>
      </c>
      <c r="I854" t="str">
        <f t="shared" si="83"/>
        <v/>
      </c>
      <c r="M854" t="str">
        <f>IF(LEN(TRIM(B854))=0,"",IF(ISERROR(VLOOKUP(RIGHT(B854,4),study_demographic!A:A,1,FALSE)),"NOT FOUND!!!", "OK"))</f>
        <v/>
      </c>
    </row>
    <row r="855" spans="1:13" x14ac:dyDescent="0.25">
      <c r="A855" t="str">
        <f t="shared" si="79"/>
        <v/>
      </c>
      <c r="B855" t="str">
        <f t="shared" si="80"/>
        <v/>
      </c>
      <c r="C855" s="55" t="str">
        <f>IF(LEN(TRIM(A855))=0,"",get_string_val(RIGHT(B855,4)))</f>
        <v/>
      </c>
      <c r="D855" t="str">
        <f>IF(LEN(TRIM(A855))=0,"",GetItemValueFromSpecimenHeader("timepoint"))</f>
        <v/>
      </c>
      <c r="E855" t="str">
        <f t="shared" si="81"/>
        <v/>
      </c>
      <c r="F855" t="str">
        <f t="shared" si="82"/>
        <v/>
      </c>
      <c r="G855" t="str">
        <f t="shared" si="78"/>
        <v/>
      </c>
      <c r="H855" t="str">
        <f>IF(LEN(TRIM(A855))=0,"",GetConfigParameterValue("Collection Site"))</f>
        <v/>
      </c>
      <c r="I855" t="str">
        <f t="shared" si="83"/>
        <v/>
      </c>
      <c r="M855" t="str">
        <f>IF(LEN(TRIM(B855))=0,"",IF(ISERROR(VLOOKUP(RIGHT(B855,4),study_demographic!A:A,1,FALSE)),"NOT FOUND!!!", "OK"))</f>
        <v/>
      </c>
    </row>
    <row r="856" spans="1:13" x14ac:dyDescent="0.25">
      <c r="A856" t="str">
        <f t="shared" si="79"/>
        <v/>
      </c>
      <c r="B856" t="str">
        <f t="shared" si="80"/>
        <v/>
      </c>
      <c r="C856" s="55" t="str">
        <f>IF(LEN(TRIM(A856))=0,"",get_string_val(RIGHT(B856,4)))</f>
        <v/>
      </c>
      <c r="D856" t="str">
        <f>IF(LEN(TRIM(A856))=0,"",GetItemValueFromSpecimenHeader("timepoint"))</f>
        <v/>
      </c>
      <c r="E856" t="str">
        <f t="shared" si="81"/>
        <v/>
      </c>
      <c r="F856" t="str">
        <f t="shared" si="82"/>
        <v/>
      </c>
      <c r="G856" t="str">
        <f t="shared" si="78"/>
        <v/>
      </c>
      <c r="H856" t="str">
        <f>IF(LEN(TRIM(A856))=0,"",GetConfigParameterValue("Collection Site"))</f>
        <v/>
      </c>
      <c r="I856" t="str">
        <f t="shared" si="83"/>
        <v/>
      </c>
      <c r="M856" t="str">
        <f>IF(LEN(TRIM(B856))=0,"",IF(ISERROR(VLOOKUP(RIGHT(B856,4),study_demographic!A:A,1,FALSE)),"NOT FOUND!!!", "OK"))</f>
        <v/>
      </c>
    </row>
    <row r="857" spans="1:13" x14ac:dyDescent="0.25">
      <c r="A857" t="str">
        <f t="shared" si="79"/>
        <v/>
      </c>
      <c r="B857" t="str">
        <f t="shared" si="80"/>
        <v/>
      </c>
      <c r="C857" s="55" t="str">
        <f>IF(LEN(TRIM(A857))=0,"",get_string_val(RIGHT(B857,4)))</f>
        <v/>
      </c>
      <c r="D857" t="str">
        <f>IF(LEN(TRIM(A857))=0,"",GetItemValueFromSpecimenHeader("timepoint"))</f>
        <v/>
      </c>
      <c r="E857" t="str">
        <f t="shared" si="81"/>
        <v/>
      </c>
      <c r="F857" t="str">
        <f t="shared" si="82"/>
        <v/>
      </c>
      <c r="G857" t="str">
        <f t="shared" si="78"/>
        <v/>
      </c>
      <c r="H857" t="str">
        <f>IF(LEN(TRIM(A857))=0,"",GetConfigParameterValue("Collection Site"))</f>
        <v/>
      </c>
      <c r="I857" t="str">
        <f t="shared" si="83"/>
        <v/>
      </c>
      <c r="M857" t="str">
        <f>IF(LEN(TRIM(B857))=0,"",IF(ISERROR(VLOOKUP(RIGHT(B857,4),study_demographic!A:A,1,FALSE)),"NOT FOUND!!!", "OK"))</f>
        <v/>
      </c>
    </row>
    <row r="858" spans="1:13" x14ac:dyDescent="0.25">
      <c r="A858" t="str">
        <f t="shared" si="79"/>
        <v/>
      </c>
      <c r="B858" t="str">
        <f t="shared" si="80"/>
        <v/>
      </c>
      <c r="C858" s="55" t="str">
        <f>IF(LEN(TRIM(A858))=0,"",get_string_val(RIGHT(B858,4)))</f>
        <v/>
      </c>
      <c r="D858" t="str">
        <f>IF(LEN(TRIM(A858))=0,"",GetItemValueFromSpecimenHeader("timepoint"))</f>
        <v/>
      </c>
      <c r="E858" t="str">
        <f t="shared" si="81"/>
        <v/>
      </c>
      <c r="F858" t="str">
        <f t="shared" si="82"/>
        <v/>
      </c>
      <c r="G858" t="str">
        <f t="shared" si="78"/>
        <v/>
      </c>
      <c r="H858" t="str">
        <f>IF(LEN(TRIM(A858))=0,"",GetConfigParameterValue("Collection Site"))</f>
        <v/>
      </c>
      <c r="I858" t="str">
        <f t="shared" si="83"/>
        <v/>
      </c>
      <c r="M858" t="str">
        <f>IF(LEN(TRIM(B858))=0,"",IF(ISERROR(VLOOKUP(RIGHT(B858,4),study_demographic!A:A,1,FALSE)),"NOT FOUND!!!", "OK"))</f>
        <v/>
      </c>
    </row>
    <row r="859" spans="1:13" x14ac:dyDescent="0.25">
      <c r="A859" t="str">
        <f t="shared" si="79"/>
        <v/>
      </c>
      <c r="B859" t="str">
        <f t="shared" si="80"/>
        <v/>
      </c>
      <c r="C859" s="55" t="str">
        <f>IF(LEN(TRIM(A859))=0,"",get_string_val(RIGHT(B859,4)))</f>
        <v/>
      </c>
      <c r="D859" t="str">
        <f>IF(LEN(TRIM(A859))=0,"",GetItemValueFromSpecimenHeader("timepoint"))</f>
        <v/>
      </c>
      <c r="E859" t="str">
        <f t="shared" si="81"/>
        <v/>
      </c>
      <c r="F859" t="str">
        <f t="shared" si="82"/>
        <v/>
      </c>
      <c r="G859" t="str">
        <f t="shared" si="78"/>
        <v/>
      </c>
      <c r="H859" t="str">
        <f>IF(LEN(TRIM(A859))=0,"",GetConfigParameterValue("Collection Site"))</f>
        <v/>
      </c>
      <c r="I859" t="str">
        <f t="shared" si="83"/>
        <v/>
      </c>
      <c r="M859" t="str">
        <f>IF(LEN(TRIM(B859))=0,"",IF(ISERROR(VLOOKUP(RIGHT(B859,4),study_demographic!A:A,1,FALSE)),"NOT FOUND!!!", "OK"))</f>
        <v/>
      </c>
    </row>
    <row r="860" spans="1:13" x14ac:dyDescent="0.25">
      <c r="A860" t="str">
        <f t="shared" si="79"/>
        <v/>
      </c>
      <c r="B860" t="str">
        <f t="shared" si="80"/>
        <v/>
      </c>
      <c r="C860" s="55" t="str">
        <f>IF(LEN(TRIM(A860))=0,"",get_string_val(RIGHT(B860,4)))</f>
        <v/>
      </c>
      <c r="D860" t="str">
        <f>IF(LEN(TRIM(A860))=0,"",GetItemValueFromSpecimenHeader("timepoint"))</f>
        <v/>
      </c>
      <c r="E860" t="str">
        <f t="shared" si="81"/>
        <v/>
      </c>
      <c r="F860" t="str">
        <f t="shared" si="82"/>
        <v/>
      </c>
      <c r="G860" t="str">
        <f t="shared" si="78"/>
        <v/>
      </c>
      <c r="H860" t="str">
        <f>IF(LEN(TRIM(A860))=0,"",GetConfigParameterValue("Collection Site"))</f>
        <v/>
      </c>
      <c r="I860" t="str">
        <f t="shared" si="83"/>
        <v/>
      </c>
      <c r="M860" t="str">
        <f>IF(LEN(TRIM(B860))=0,"",IF(ISERROR(VLOOKUP(RIGHT(B860,4),study_demographic!A:A,1,FALSE)),"NOT FOUND!!!", "OK"))</f>
        <v/>
      </c>
    </row>
    <row r="861" spans="1:13" x14ac:dyDescent="0.25">
      <c r="A861" t="str">
        <f t="shared" si="79"/>
        <v/>
      </c>
      <c r="B861" t="str">
        <f t="shared" si="80"/>
        <v/>
      </c>
      <c r="C861" s="55" t="str">
        <f>IF(LEN(TRIM(A861))=0,"",get_string_val(RIGHT(B861,4)))</f>
        <v/>
      </c>
      <c r="D861" t="str">
        <f>IF(LEN(TRIM(A861))=0,"",GetItemValueFromSpecimenHeader("timepoint"))</f>
        <v/>
      </c>
      <c r="E861" t="str">
        <f t="shared" si="81"/>
        <v/>
      </c>
      <c r="F861" t="str">
        <f t="shared" si="82"/>
        <v/>
      </c>
      <c r="G861" t="str">
        <f t="shared" si="78"/>
        <v/>
      </c>
      <c r="H861" t="str">
        <f>IF(LEN(TRIM(A861))=0,"",GetConfigParameterValue("Collection Site"))</f>
        <v/>
      </c>
      <c r="I861" t="str">
        <f t="shared" si="83"/>
        <v/>
      </c>
      <c r="M861" t="str">
        <f>IF(LEN(TRIM(B861))=0,"",IF(ISERROR(VLOOKUP(RIGHT(B861,4),study_demographic!A:A,1,FALSE)),"NOT FOUND!!!", "OK"))</f>
        <v/>
      </c>
    </row>
    <row r="862" spans="1:13" x14ac:dyDescent="0.25">
      <c r="A862" t="str">
        <f t="shared" si="79"/>
        <v/>
      </c>
      <c r="B862" t="str">
        <f t="shared" si="80"/>
        <v/>
      </c>
      <c r="C862" s="55" t="str">
        <f>IF(LEN(TRIM(A862))=0,"",get_string_val(RIGHT(B862,4)))</f>
        <v/>
      </c>
      <c r="D862" t="str">
        <f>IF(LEN(TRIM(A862))=0,"",GetItemValueFromSpecimenHeader("timepoint"))</f>
        <v/>
      </c>
      <c r="E862" t="str">
        <f t="shared" si="81"/>
        <v/>
      </c>
      <c r="F862" t="str">
        <f t="shared" si="82"/>
        <v/>
      </c>
      <c r="G862" t="str">
        <f t="shared" si="78"/>
        <v/>
      </c>
      <c r="H862" t="str">
        <f>IF(LEN(TRIM(A862))=0,"",GetConfigParameterValue("Collection Site"))</f>
        <v/>
      </c>
      <c r="I862" t="str">
        <f t="shared" si="83"/>
        <v/>
      </c>
      <c r="M862" t="str">
        <f>IF(LEN(TRIM(B862))=0,"",IF(ISERROR(VLOOKUP(RIGHT(B862,4),study_demographic!A:A,1,FALSE)),"NOT FOUND!!!", "OK"))</f>
        <v/>
      </c>
    </row>
    <row r="863" spans="1:13" x14ac:dyDescent="0.25">
      <c r="A863" t="str">
        <f t="shared" si="79"/>
        <v/>
      </c>
      <c r="B863" t="str">
        <f t="shared" si="80"/>
        <v/>
      </c>
      <c r="C863" s="55" t="str">
        <f>IF(LEN(TRIM(A863))=0,"",get_string_val(RIGHT(B863,4)))</f>
        <v/>
      </c>
      <c r="D863" t="str">
        <f>IF(LEN(TRIM(A863))=0,"",GetItemValueFromSpecimenHeader("timepoint"))</f>
        <v/>
      </c>
      <c r="E863" t="str">
        <f t="shared" si="81"/>
        <v/>
      </c>
      <c r="F863" t="str">
        <f t="shared" si="82"/>
        <v/>
      </c>
      <c r="G863" t="str">
        <f t="shared" si="78"/>
        <v/>
      </c>
      <c r="H863" t="str">
        <f>IF(LEN(TRIM(A863))=0,"",GetConfigParameterValue("Collection Site"))</f>
        <v/>
      </c>
      <c r="I863" t="str">
        <f t="shared" si="83"/>
        <v/>
      </c>
      <c r="M863" t="str">
        <f>IF(LEN(TRIM(B863))=0,"",IF(ISERROR(VLOOKUP(RIGHT(B863,4),study_demographic!A:A,1,FALSE)),"NOT FOUND!!!", "OK"))</f>
        <v/>
      </c>
    </row>
    <row r="864" spans="1:13" x14ac:dyDescent="0.25">
      <c r="A864" t="str">
        <f t="shared" si="79"/>
        <v/>
      </c>
      <c r="B864" t="str">
        <f t="shared" si="80"/>
        <v/>
      </c>
      <c r="C864" s="55" t="str">
        <f>IF(LEN(TRIM(A864))=0,"",get_string_val(RIGHT(B864,4)))</f>
        <v/>
      </c>
      <c r="D864" t="str">
        <f>IF(LEN(TRIM(A864))=0,"",GetItemValueFromSpecimenHeader("timepoint"))</f>
        <v/>
      </c>
      <c r="E864" t="str">
        <f t="shared" si="81"/>
        <v/>
      </c>
      <c r="F864" t="str">
        <f t="shared" si="82"/>
        <v/>
      </c>
      <c r="G864" t="str">
        <f t="shared" si="78"/>
        <v/>
      </c>
      <c r="H864" t="str">
        <f>IF(LEN(TRIM(A864))=0,"",GetConfigParameterValue("Collection Site"))</f>
        <v/>
      </c>
      <c r="I864" t="str">
        <f t="shared" si="83"/>
        <v/>
      </c>
      <c r="M864" t="str">
        <f>IF(LEN(TRIM(B864))=0,"",IF(ISERROR(VLOOKUP(RIGHT(B864,4),study_demographic!A:A,1,FALSE)),"NOT FOUND!!!", "OK"))</f>
        <v/>
      </c>
    </row>
    <row r="865" spans="1:13" x14ac:dyDescent="0.25">
      <c r="A865" t="str">
        <f t="shared" si="79"/>
        <v/>
      </c>
      <c r="B865" t="str">
        <f t="shared" si="80"/>
        <v/>
      </c>
      <c r="C865" s="55" t="str">
        <f>IF(LEN(TRIM(A865))=0,"",get_string_val(RIGHT(B865,4)))</f>
        <v/>
      </c>
      <c r="D865" t="str">
        <f>IF(LEN(TRIM(A865))=0,"",GetItemValueFromSpecimenHeader("timepoint"))</f>
        <v/>
      </c>
      <c r="E865" t="str">
        <f t="shared" si="81"/>
        <v/>
      </c>
      <c r="F865" t="str">
        <f t="shared" si="82"/>
        <v/>
      </c>
      <c r="G865" t="str">
        <f t="shared" si="78"/>
        <v/>
      </c>
      <c r="H865" t="str">
        <f>IF(LEN(TRIM(A865))=0,"",GetConfigParameterValue("Collection Site"))</f>
        <v/>
      </c>
      <c r="I865" t="str">
        <f t="shared" si="83"/>
        <v/>
      </c>
      <c r="M865" t="str">
        <f>IF(LEN(TRIM(B865))=0,"",IF(ISERROR(VLOOKUP(RIGHT(B865,4),study_demographic!A:A,1,FALSE)),"NOT FOUND!!!", "OK"))</f>
        <v/>
      </c>
    </row>
    <row r="866" spans="1:13" x14ac:dyDescent="0.25">
      <c r="A866" t="str">
        <f t="shared" si="79"/>
        <v/>
      </c>
      <c r="B866" t="str">
        <f t="shared" si="80"/>
        <v/>
      </c>
      <c r="C866" s="55" t="str">
        <f>IF(LEN(TRIM(A866))=0,"",get_string_val(RIGHT(B866,4)))</f>
        <v/>
      </c>
      <c r="D866" t="str">
        <f>IF(LEN(TRIM(A866))=0,"",GetItemValueFromSpecimenHeader("timepoint"))</f>
        <v/>
      </c>
      <c r="E866" t="str">
        <f t="shared" si="81"/>
        <v/>
      </c>
      <c r="F866" t="str">
        <f t="shared" si="82"/>
        <v/>
      </c>
      <c r="G866" t="str">
        <f t="shared" si="78"/>
        <v/>
      </c>
      <c r="H866" t="str">
        <f>IF(LEN(TRIM(A866))=0,"",GetConfigParameterValue("Collection Site"))</f>
        <v/>
      </c>
      <c r="I866" t="str">
        <f t="shared" si="83"/>
        <v/>
      </c>
      <c r="M866" t="str">
        <f>IF(LEN(TRIM(B866))=0,"",IF(ISERROR(VLOOKUP(RIGHT(B866,4),study_demographic!A:A,1,FALSE)),"NOT FOUND!!!", "OK"))</f>
        <v/>
      </c>
    </row>
    <row r="867" spans="1:13" x14ac:dyDescent="0.25">
      <c r="A867" t="str">
        <f t="shared" si="79"/>
        <v/>
      </c>
      <c r="B867" t="str">
        <f t="shared" si="80"/>
        <v/>
      </c>
      <c r="C867" s="55" t="str">
        <f>IF(LEN(TRIM(A867))=0,"",get_string_val(RIGHT(B867,4)))</f>
        <v/>
      </c>
      <c r="D867" t="str">
        <f>IF(LEN(TRIM(A867))=0,"",GetItemValueFromSpecimenHeader("timepoint"))</f>
        <v/>
      </c>
      <c r="E867" t="str">
        <f t="shared" si="81"/>
        <v/>
      </c>
      <c r="F867" t="str">
        <f t="shared" si="82"/>
        <v/>
      </c>
      <c r="G867" t="str">
        <f t="shared" si="78"/>
        <v/>
      </c>
      <c r="H867" t="str">
        <f>IF(LEN(TRIM(A867))=0,"",GetConfigParameterValue("Collection Site"))</f>
        <v/>
      </c>
      <c r="I867" t="str">
        <f t="shared" si="83"/>
        <v/>
      </c>
      <c r="M867" t="str">
        <f>IF(LEN(TRIM(B867))=0,"",IF(ISERROR(VLOOKUP(RIGHT(B867,4),study_demographic!A:A,1,FALSE)),"NOT FOUND!!!", "OK"))</f>
        <v/>
      </c>
    </row>
    <row r="868" spans="1:13" x14ac:dyDescent="0.25">
      <c r="A868" t="str">
        <f t="shared" si="79"/>
        <v/>
      </c>
      <c r="B868" t="str">
        <f t="shared" si="80"/>
        <v/>
      </c>
      <c r="C868" s="55" t="str">
        <f>IF(LEN(TRIM(A868))=0,"",get_string_val(RIGHT(B868,4)))</f>
        <v/>
      </c>
      <c r="D868" t="str">
        <f>IF(LEN(TRIM(A868))=0,"",GetItemValueFromSpecimenHeader("timepoint"))</f>
        <v/>
      </c>
      <c r="E868" t="str">
        <f t="shared" si="81"/>
        <v/>
      </c>
      <c r="F868" t="str">
        <f t="shared" si="82"/>
        <v/>
      </c>
      <c r="G868" t="str">
        <f t="shared" si="78"/>
        <v/>
      </c>
      <c r="H868" t="str">
        <f>IF(LEN(TRIM(A868))=0,"",GetConfigParameterValue("Collection Site"))</f>
        <v/>
      </c>
      <c r="I868" t="str">
        <f t="shared" si="83"/>
        <v/>
      </c>
      <c r="M868" t="str">
        <f>IF(LEN(TRIM(B868))=0,"",IF(ISERROR(VLOOKUP(RIGHT(B868,4),study_demographic!A:A,1,FALSE)),"NOT FOUND!!!", "OK"))</f>
        <v/>
      </c>
    </row>
    <row r="869" spans="1:13" x14ac:dyDescent="0.25">
      <c r="A869" t="str">
        <f t="shared" si="79"/>
        <v/>
      </c>
      <c r="B869" t="str">
        <f t="shared" si="80"/>
        <v/>
      </c>
      <c r="C869" s="55" t="str">
        <f>IF(LEN(TRIM(A869))=0,"",get_string_val(RIGHT(B869,4)))</f>
        <v/>
      </c>
      <c r="D869" t="str">
        <f>IF(LEN(TRIM(A869))=0,"",GetItemValueFromSpecimenHeader("timepoint"))</f>
        <v/>
      </c>
      <c r="E869" t="str">
        <f t="shared" si="81"/>
        <v/>
      </c>
      <c r="F869" t="str">
        <f t="shared" si="82"/>
        <v/>
      </c>
      <c r="G869" t="str">
        <f t="shared" si="78"/>
        <v/>
      </c>
      <c r="H869" t="str">
        <f>IF(LEN(TRIM(A869))=0,"",GetConfigParameterValue("Collection Site"))</f>
        <v/>
      </c>
      <c r="I869" t="str">
        <f t="shared" si="83"/>
        <v/>
      </c>
      <c r="M869" t="str">
        <f>IF(LEN(TRIM(B869))=0,"",IF(ISERROR(VLOOKUP(RIGHT(B869,4),study_demographic!A:A,1,FALSE)),"NOT FOUND!!!", "OK"))</f>
        <v/>
      </c>
    </row>
    <row r="870" spans="1:13" x14ac:dyDescent="0.25">
      <c r="A870" t="str">
        <f t="shared" si="79"/>
        <v/>
      </c>
      <c r="B870" t="str">
        <f t="shared" si="80"/>
        <v/>
      </c>
      <c r="C870" s="55" t="str">
        <f>IF(LEN(TRIM(A870))=0,"",get_string_val(RIGHT(B870,4)))</f>
        <v/>
      </c>
      <c r="D870" t="str">
        <f>IF(LEN(TRIM(A870))=0,"",GetItemValueFromSpecimenHeader("timepoint"))</f>
        <v/>
      </c>
      <c r="E870" t="str">
        <f t="shared" si="81"/>
        <v/>
      </c>
      <c r="F870" t="str">
        <f t="shared" si="82"/>
        <v/>
      </c>
      <c r="G870" t="str">
        <f t="shared" si="78"/>
        <v/>
      </c>
      <c r="H870" t="str">
        <f>IF(LEN(TRIM(A870))=0,"",GetConfigParameterValue("Collection Site"))</f>
        <v/>
      </c>
      <c r="I870" t="str">
        <f t="shared" si="83"/>
        <v/>
      </c>
      <c r="M870" t="str">
        <f>IF(LEN(TRIM(B870))=0,"",IF(ISERROR(VLOOKUP(RIGHT(B870,4),study_demographic!A:A,1,FALSE)),"NOT FOUND!!!", "OK"))</f>
        <v/>
      </c>
    </row>
    <row r="871" spans="1:13" x14ac:dyDescent="0.25">
      <c r="A871" t="str">
        <f t="shared" si="79"/>
        <v/>
      </c>
      <c r="B871" t="str">
        <f t="shared" si="80"/>
        <v/>
      </c>
      <c r="C871" s="55" t="str">
        <f>IF(LEN(TRIM(A871))=0,"",get_string_val(RIGHT(B871,4)))</f>
        <v/>
      </c>
      <c r="D871" t="str">
        <f>IF(LEN(TRIM(A871))=0,"",GetItemValueFromSpecimenHeader("timepoint"))</f>
        <v/>
      </c>
      <c r="E871" t="str">
        <f t="shared" si="81"/>
        <v/>
      </c>
      <c r="F871" t="str">
        <f t="shared" si="82"/>
        <v/>
      </c>
      <c r="G871" t="str">
        <f t="shared" si="78"/>
        <v/>
      </c>
      <c r="H871" t="str">
        <f>IF(LEN(TRIM(A871))=0,"",GetConfigParameterValue("Collection Site"))</f>
        <v/>
      </c>
      <c r="I871" t="str">
        <f t="shared" si="83"/>
        <v/>
      </c>
      <c r="M871" t="str">
        <f>IF(LEN(TRIM(B871))=0,"",IF(ISERROR(VLOOKUP(RIGHT(B871,4),study_demographic!A:A,1,FALSE)),"NOT FOUND!!!", "OK"))</f>
        <v/>
      </c>
    </row>
    <row r="872" spans="1:13" x14ac:dyDescent="0.25">
      <c r="A872" t="str">
        <f t="shared" si="79"/>
        <v/>
      </c>
      <c r="B872" t="str">
        <f t="shared" si="80"/>
        <v/>
      </c>
      <c r="C872" s="55" t="str">
        <f>IF(LEN(TRIM(A872))=0,"",get_string_val(RIGHT(B872,4)))</f>
        <v/>
      </c>
      <c r="D872" t="str">
        <f>IF(LEN(TRIM(A872))=0,"",GetItemValueFromSpecimenHeader("timepoint"))</f>
        <v/>
      </c>
      <c r="E872" t="str">
        <f t="shared" si="81"/>
        <v/>
      </c>
      <c r="F872" t="str">
        <f t="shared" si="82"/>
        <v/>
      </c>
      <c r="G872" t="str">
        <f t="shared" si="78"/>
        <v/>
      </c>
      <c r="H872" t="str">
        <f>IF(LEN(TRIM(A872))=0,"",GetConfigParameterValue("Collection Site"))</f>
        <v/>
      </c>
      <c r="I872" t="str">
        <f t="shared" si="83"/>
        <v/>
      </c>
      <c r="M872" t="str">
        <f>IF(LEN(TRIM(B872))=0,"",IF(ISERROR(VLOOKUP(RIGHT(B872,4),study_demographic!A:A,1,FALSE)),"NOT FOUND!!!", "OK"))</f>
        <v/>
      </c>
    </row>
    <row r="873" spans="1:13" x14ac:dyDescent="0.25">
      <c r="A873" t="str">
        <f t="shared" si="79"/>
        <v/>
      </c>
      <c r="B873" t="str">
        <f t="shared" si="80"/>
        <v/>
      </c>
      <c r="C873" s="55" t="str">
        <f>IF(LEN(TRIM(A873))=0,"",get_string_val(RIGHT(B873,4)))</f>
        <v/>
      </c>
      <c r="D873" t="str">
        <f>IF(LEN(TRIM(A873))=0,"",GetItemValueFromSpecimenHeader("timepoint"))</f>
        <v/>
      </c>
      <c r="E873" t="str">
        <f t="shared" si="81"/>
        <v/>
      </c>
      <c r="F873" t="str">
        <f t="shared" si="82"/>
        <v/>
      </c>
      <c r="G873" t="str">
        <f t="shared" si="78"/>
        <v/>
      </c>
      <c r="H873" t="str">
        <f>IF(LEN(TRIM(A873))=0,"",GetConfigParameterValue("Collection Site"))</f>
        <v/>
      </c>
      <c r="I873" t="str">
        <f t="shared" si="83"/>
        <v/>
      </c>
      <c r="M873" t="str">
        <f>IF(LEN(TRIM(B873))=0,"",IF(ISERROR(VLOOKUP(RIGHT(B873,4),study_demographic!A:A,1,FALSE)),"NOT FOUND!!!", "OK"))</f>
        <v/>
      </c>
    </row>
    <row r="874" spans="1:13" x14ac:dyDescent="0.25">
      <c r="A874" t="str">
        <f t="shared" si="79"/>
        <v/>
      </c>
      <c r="B874" t="str">
        <f t="shared" si="80"/>
        <v/>
      </c>
      <c r="C874" s="55" t="str">
        <f>IF(LEN(TRIM(A874))=0,"",get_string_val(RIGHT(B874,4)))</f>
        <v/>
      </c>
      <c r="D874" t="str">
        <f>IF(LEN(TRIM(A874))=0,"",GetItemValueFromSpecimenHeader("timepoint"))</f>
        <v/>
      </c>
      <c r="E874" t="str">
        <f t="shared" si="81"/>
        <v/>
      </c>
      <c r="F874" t="str">
        <f t="shared" si="82"/>
        <v/>
      </c>
      <c r="G874" t="str">
        <f t="shared" si="78"/>
        <v/>
      </c>
      <c r="H874" t="str">
        <f>IF(LEN(TRIM(A874))=0,"",GetConfigParameterValue("Collection Site"))</f>
        <v/>
      </c>
      <c r="I874" t="str">
        <f t="shared" si="83"/>
        <v/>
      </c>
      <c r="M874" t="str">
        <f>IF(LEN(TRIM(B874))=0,"",IF(ISERROR(VLOOKUP(RIGHT(B874,4),study_demographic!A:A,1,FALSE)),"NOT FOUND!!!", "OK"))</f>
        <v/>
      </c>
    </row>
    <row r="875" spans="1:13" x14ac:dyDescent="0.25">
      <c r="A875" t="str">
        <f t="shared" si="79"/>
        <v/>
      </c>
      <c r="B875" t="str">
        <f t="shared" si="80"/>
        <v/>
      </c>
      <c r="C875" s="55" t="str">
        <f>IF(LEN(TRIM(A875))=0,"",get_string_val(RIGHT(B875,4)))</f>
        <v/>
      </c>
      <c r="D875" t="str">
        <f>IF(LEN(TRIM(A875))=0,"",GetItemValueFromSpecimenHeader("timepoint"))</f>
        <v/>
      </c>
      <c r="E875" t="str">
        <f t="shared" si="81"/>
        <v/>
      </c>
      <c r="F875" t="str">
        <f t="shared" si="82"/>
        <v/>
      </c>
      <c r="G875" t="str">
        <f t="shared" si="78"/>
        <v/>
      </c>
      <c r="H875" t="str">
        <f>IF(LEN(TRIM(A875))=0,"",GetConfigParameterValue("Collection Site"))</f>
        <v/>
      </c>
      <c r="I875" t="str">
        <f t="shared" si="83"/>
        <v/>
      </c>
      <c r="M875" t="str">
        <f>IF(LEN(TRIM(B875))=0,"",IF(ISERROR(VLOOKUP(RIGHT(B875,4),study_demographic!A:A,1,FALSE)),"NOT FOUND!!!", "OK"))</f>
        <v/>
      </c>
    </row>
    <row r="876" spans="1:13" x14ac:dyDescent="0.25">
      <c r="A876" t="str">
        <f t="shared" si="79"/>
        <v/>
      </c>
      <c r="B876" t="str">
        <f t="shared" si="80"/>
        <v/>
      </c>
      <c r="C876" s="55" t="str">
        <f>IF(LEN(TRIM(A876))=0,"",get_string_val(RIGHT(B876,4)))</f>
        <v/>
      </c>
      <c r="D876" t="str">
        <f>IF(LEN(TRIM(A876))=0,"",GetItemValueFromSpecimenHeader("timepoint"))</f>
        <v/>
      </c>
      <c r="E876" t="str">
        <f t="shared" si="81"/>
        <v/>
      </c>
      <c r="F876" t="str">
        <f t="shared" si="82"/>
        <v/>
      </c>
      <c r="G876" t="str">
        <f t="shared" si="78"/>
        <v/>
      </c>
      <c r="H876" t="str">
        <f>IF(LEN(TRIM(A876))=0,"",GetConfigParameterValue("Collection Site"))</f>
        <v/>
      </c>
      <c r="I876" t="str">
        <f t="shared" si="83"/>
        <v/>
      </c>
      <c r="M876" t="str">
        <f>IF(LEN(TRIM(B876))=0,"",IF(ISERROR(VLOOKUP(RIGHT(B876,4),study_demographic!A:A,1,FALSE)),"NOT FOUND!!!", "OK"))</f>
        <v/>
      </c>
    </row>
    <row r="877" spans="1:13" x14ac:dyDescent="0.25">
      <c r="A877" t="str">
        <f t="shared" si="79"/>
        <v/>
      </c>
      <c r="B877" t="str">
        <f t="shared" si="80"/>
        <v/>
      </c>
      <c r="C877" s="55" t="str">
        <f>IF(LEN(TRIM(A877))=0,"",get_string_val(RIGHT(B877,4)))</f>
        <v/>
      </c>
      <c r="D877" t="str">
        <f>IF(LEN(TRIM(A877))=0,"",GetItemValueFromSpecimenHeader("timepoint"))</f>
        <v/>
      </c>
      <c r="E877" t="str">
        <f t="shared" si="81"/>
        <v/>
      </c>
      <c r="F877" t="str">
        <f t="shared" si="82"/>
        <v/>
      </c>
      <c r="G877" t="str">
        <f t="shared" si="78"/>
        <v/>
      </c>
      <c r="H877" t="str">
        <f>IF(LEN(TRIM(A877))=0,"",GetConfigParameterValue("Collection Site"))</f>
        <v/>
      </c>
      <c r="I877" t="str">
        <f t="shared" si="83"/>
        <v/>
      </c>
      <c r="M877" t="str">
        <f>IF(LEN(TRIM(B877))=0,"",IF(ISERROR(VLOOKUP(RIGHT(B877,4),study_demographic!A:A,1,FALSE)),"NOT FOUND!!!", "OK"))</f>
        <v/>
      </c>
    </row>
    <row r="878" spans="1:13" x14ac:dyDescent="0.25">
      <c r="A878" t="str">
        <f t="shared" si="79"/>
        <v/>
      </c>
      <c r="B878" t="str">
        <f t="shared" si="80"/>
        <v/>
      </c>
      <c r="C878" s="55" t="str">
        <f>IF(LEN(TRIM(A878))=0,"",get_string_val(RIGHT(B878,4)))</f>
        <v/>
      </c>
      <c r="D878" t="str">
        <f>IF(LEN(TRIM(A878))=0,"",GetItemValueFromSpecimenHeader("timepoint"))</f>
        <v/>
      </c>
      <c r="E878" t="str">
        <f t="shared" si="81"/>
        <v/>
      </c>
      <c r="F878" t="str">
        <f t="shared" si="82"/>
        <v/>
      </c>
      <c r="G878" t="str">
        <f t="shared" si="78"/>
        <v/>
      </c>
      <c r="H878" t="str">
        <f>IF(LEN(TRIM(A878))=0,"",GetConfigParameterValue("Collection Site"))</f>
        <v/>
      </c>
      <c r="I878" t="str">
        <f t="shared" si="83"/>
        <v/>
      </c>
      <c r="M878" t="str">
        <f>IF(LEN(TRIM(B878))=0,"",IF(ISERROR(VLOOKUP(RIGHT(B878,4),study_demographic!A:A,1,FALSE)),"NOT FOUND!!!", "OK"))</f>
        <v/>
      </c>
    </row>
    <row r="879" spans="1:13" x14ac:dyDescent="0.25">
      <c r="A879" t="str">
        <f t="shared" si="79"/>
        <v/>
      </c>
      <c r="B879" t="str">
        <f t="shared" si="80"/>
        <v/>
      </c>
      <c r="C879" s="55" t="str">
        <f>IF(LEN(TRIM(A879))=0,"",get_string_val(RIGHT(B879,4)))</f>
        <v/>
      </c>
      <c r="D879" t="str">
        <f>IF(LEN(TRIM(A879))=0,"",GetItemValueFromSpecimenHeader("timepoint"))</f>
        <v/>
      </c>
      <c r="E879" t="str">
        <f t="shared" si="81"/>
        <v/>
      </c>
      <c r="F879" t="str">
        <f t="shared" si="82"/>
        <v/>
      </c>
      <c r="G879" t="str">
        <f t="shared" si="78"/>
        <v/>
      </c>
      <c r="H879" t="str">
        <f>IF(LEN(TRIM(A879))=0,"",GetConfigParameterValue("Collection Site"))</f>
        <v/>
      </c>
      <c r="I879" t="str">
        <f t="shared" si="83"/>
        <v/>
      </c>
      <c r="M879" t="str">
        <f>IF(LEN(TRIM(B879))=0,"",IF(ISERROR(VLOOKUP(RIGHT(B879,4),study_demographic!A:A,1,FALSE)),"NOT FOUND!!!", "OK"))</f>
        <v/>
      </c>
    </row>
    <row r="880" spans="1:13" x14ac:dyDescent="0.25">
      <c r="A880" t="str">
        <f t="shared" si="79"/>
        <v/>
      </c>
      <c r="B880" t="str">
        <f t="shared" si="80"/>
        <v/>
      </c>
      <c r="C880" s="55" t="str">
        <f>IF(LEN(TRIM(A880))=0,"",get_string_val(RIGHT(B880,4)))</f>
        <v/>
      </c>
      <c r="D880" t="str">
        <f>IF(LEN(TRIM(A880))=0,"",GetItemValueFromSpecimenHeader("timepoint"))</f>
        <v/>
      </c>
      <c r="E880" t="str">
        <f t="shared" si="81"/>
        <v/>
      </c>
      <c r="F880" t="str">
        <f t="shared" si="82"/>
        <v/>
      </c>
      <c r="G880" t="str">
        <f t="shared" si="78"/>
        <v/>
      </c>
      <c r="H880" t="str">
        <f>IF(LEN(TRIM(A880))=0,"",GetConfigParameterValue("Collection Site"))</f>
        <v/>
      </c>
      <c r="I880" t="str">
        <f t="shared" si="83"/>
        <v/>
      </c>
      <c r="M880" t="str">
        <f>IF(LEN(TRIM(B880))=0,"",IF(ISERROR(VLOOKUP(RIGHT(B880,4),study_demographic!A:A,1,FALSE)),"NOT FOUND!!!", "OK"))</f>
        <v/>
      </c>
    </row>
    <row r="881" spans="1:13" x14ac:dyDescent="0.25">
      <c r="A881" t="str">
        <f t="shared" si="79"/>
        <v/>
      </c>
      <c r="B881" t="str">
        <f t="shared" si="80"/>
        <v/>
      </c>
      <c r="C881" s="55" t="str">
        <f>IF(LEN(TRIM(A881))=0,"",get_string_val(RIGHT(B881,4)))</f>
        <v/>
      </c>
      <c r="D881" t="str">
        <f>IF(LEN(TRIM(A881))=0,"",GetItemValueFromSpecimenHeader("timepoint"))</f>
        <v/>
      </c>
      <c r="E881" t="str">
        <f t="shared" si="81"/>
        <v/>
      </c>
      <c r="F881" t="str">
        <f t="shared" si="82"/>
        <v/>
      </c>
      <c r="G881" t="str">
        <f t="shared" si="78"/>
        <v/>
      </c>
      <c r="H881" t="str">
        <f>IF(LEN(TRIM(A881))=0,"",GetConfigParameterValue("Collection Site"))</f>
        <v/>
      </c>
      <c r="I881" t="str">
        <f t="shared" si="83"/>
        <v/>
      </c>
      <c r="M881" t="str">
        <f>IF(LEN(TRIM(B881))=0,"",IF(ISERROR(VLOOKUP(RIGHT(B881,4),study_demographic!A:A,1,FALSE)),"NOT FOUND!!!", "OK"))</f>
        <v/>
      </c>
    </row>
    <row r="882" spans="1:13" x14ac:dyDescent="0.25">
      <c r="A882" t="str">
        <f t="shared" si="79"/>
        <v/>
      </c>
      <c r="B882" t="str">
        <f t="shared" si="80"/>
        <v/>
      </c>
      <c r="C882" s="55" t="str">
        <f>IF(LEN(TRIM(A882))=0,"",get_string_val(RIGHT(B882,4)))</f>
        <v/>
      </c>
      <c r="D882" t="str">
        <f>IF(LEN(TRIM(A882))=0,"",GetItemValueFromSpecimenHeader("timepoint"))</f>
        <v/>
      </c>
      <c r="E882" t="str">
        <f t="shared" si="81"/>
        <v/>
      </c>
      <c r="F882" t="str">
        <f t="shared" si="82"/>
        <v/>
      </c>
      <c r="G882" t="str">
        <f t="shared" si="78"/>
        <v/>
      </c>
      <c r="H882" t="str">
        <f>IF(LEN(TRIM(A882))=0,"",GetConfigParameterValue("Collection Site"))</f>
        <v/>
      </c>
      <c r="I882" t="str">
        <f t="shared" si="83"/>
        <v/>
      </c>
      <c r="M882" t="str">
        <f>IF(LEN(TRIM(B882))=0,"",IF(ISERROR(VLOOKUP(RIGHT(B882,4),study_demographic!A:A,1,FALSE)),"NOT FOUND!!!", "OK"))</f>
        <v/>
      </c>
    </row>
    <row r="883" spans="1:13" x14ac:dyDescent="0.25">
      <c r="A883" t="str">
        <f t="shared" si="79"/>
        <v/>
      </c>
      <c r="B883" t="str">
        <f t="shared" si="80"/>
        <v/>
      </c>
      <c r="C883" s="55" t="str">
        <f>IF(LEN(TRIM(A883))=0,"",get_string_val(RIGHT(B883,4)))</f>
        <v/>
      </c>
      <c r="D883" t="str">
        <f>IF(LEN(TRIM(A883))=0,"",GetItemValueFromSpecimenHeader("timepoint"))</f>
        <v/>
      </c>
      <c r="E883" t="str">
        <f t="shared" si="81"/>
        <v/>
      </c>
      <c r="F883" t="str">
        <f t="shared" si="82"/>
        <v/>
      </c>
      <c r="G883" t="str">
        <f t="shared" si="78"/>
        <v/>
      </c>
      <c r="H883" t="str">
        <f>IF(LEN(TRIM(A883))=0,"",GetConfigParameterValue("Collection Site"))</f>
        <v/>
      </c>
      <c r="I883" t="str">
        <f t="shared" si="83"/>
        <v/>
      </c>
      <c r="M883" t="str">
        <f>IF(LEN(TRIM(B883))=0,"",IF(ISERROR(VLOOKUP(RIGHT(B883,4),study_demographic!A:A,1,FALSE)),"NOT FOUND!!!", "OK"))</f>
        <v/>
      </c>
    </row>
    <row r="884" spans="1:13" x14ac:dyDescent="0.25">
      <c r="A884" t="str">
        <f t="shared" si="79"/>
        <v/>
      </c>
      <c r="B884" t="str">
        <f t="shared" si="80"/>
        <v/>
      </c>
      <c r="C884" s="55" t="str">
        <f>IF(LEN(TRIM(A884))=0,"",get_string_val(RIGHT(B884,4)))</f>
        <v/>
      </c>
      <c r="D884" t="str">
        <f>IF(LEN(TRIM(A884))=0,"",GetItemValueFromSpecimenHeader("timepoint"))</f>
        <v/>
      </c>
      <c r="E884" t="str">
        <f t="shared" si="81"/>
        <v/>
      </c>
      <c r="F884" t="str">
        <f t="shared" si="82"/>
        <v/>
      </c>
      <c r="G884" t="str">
        <f t="shared" si="78"/>
        <v/>
      </c>
      <c r="H884" t="str">
        <f>IF(LEN(TRIM(A884))=0,"",GetConfigParameterValue("Collection Site"))</f>
        <v/>
      </c>
      <c r="I884" t="str">
        <f t="shared" si="83"/>
        <v/>
      </c>
      <c r="M884" t="str">
        <f>IF(LEN(TRIM(B884))=0,"",IF(ISERROR(VLOOKUP(RIGHT(B884,4),study_demographic!A:A,1,FALSE)),"NOT FOUND!!!", "OK"))</f>
        <v/>
      </c>
    </row>
    <row r="885" spans="1:13" x14ac:dyDescent="0.25">
      <c r="A885" t="str">
        <f t="shared" si="79"/>
        <v/>
      </c>
      <c r="B885" t="str">
        <f t="shared" si="80"/>
        <v/>
      </c>
      <c r="C885" s="55" t="str">
        <f>IF(LEN(TRIM(A885))=0,"",get_string_val(RIGHT(B885,4)))</f>
        <v/>
      </c>
      <c r="D885" t="str">
        <f>IF(LEN(TRIM(A885))=0,"",GetItemValueFromSpecimenHeader("timepoint"))</f>
        <v/>
      </c>
      <c r="E885" t="str">
        <f t="shared" si="81"/>
        <v/>
      </c>
      <c r="F885" t="str">
        <f t="shared" si="82"/>
        <v/>
      </c>
      <c r="G885" t="str">
        <f t="shared" si="78"/>
        <v/>
      </c>
      <c r="H885" t="str">
        <f>IF(LEN(TRIM(A885))=0,"",GetConfigParameterValue("Collection Site"))</f>
        <v/>
      </c>
      <c r="I885" t="str">
        <f t="shared" si="83"/>
        <v/>
      </c>
      <c r="M885" t="str">
        <f>IF(LEN(TRIM(B885))=0,"",IF(ISERROR(VLOOKUP(RIGHT(B885,4),study_demographic!A:A,1,FALSE)),"NOT FOUND!!!", "OK"))</f>
        <v/>
      </c>
    </row>
    <row r="886" spans="1:13" x14ac:dyDescent="0.25">
      <c r="A886" t="str">
        <f t="shared" si="79"/>
        <v/>
      </c>
      <c r="B886" t="str">
        <f t="shared" si="80"/>
        <v/>
      </c>
      <c r="C886" s="55" t="str">
        <f>IF(LEN(TRIM(A886))=0,"",get_string_val(RIGHT(B886,4)))</f>
        <v/>
      </c>
      <c r="D886" t="str">
        <f>IF(LEN(TRIM(A886))=0,"",GetItemValueFromSpecimenHeader("timepoint"))</f>
        <v/>
      </c>
      <c r="E886" t="str">
        <f t="shared" si="81"/>
        <v/>
      </c>
      <c r="F886" t="str">
        <f t="shared" si="82"/>
        <v/>
      </c>
      <c r="G886" t="str">
        <f t="shared" si="78"/>
        <v/>
      </c>
      <c r="H886" t="str">
        <f>IF(LEN(TRIM(A886))=0,"",GetConfigParameterValue("Collection Site"))</f>
        <v/>
      </c>
      <c r="I886" t="str">
        <f t="shared" si="83"/>
        <v/>
      </c>
      <c r="M886" t="str">
        <f>IF(LEN(TRIM(B886))=0,"",IF(ISERROR(VLOOKUP(RIGHT(B886,4),study_demographic!A:A,1,FALSE)),"NOT FOUND!!!", "OK"))</f>
        <v/>
      </c>
    </row>
    <row r="887" spans="1:13" x14ac:dyDescent="0.25">
      <c r="A887" t="str">
        <f t="shared" si="79"/>
        <v/>
      </c>
      <c r="B887" t="str">
        <f t="shared" si="80"/>
        <v/>
      </c>
      <c r="C887" s="55" t="str">
        <f>IF(LEN(TRIM(A887))=0,"",get_string_val(RIGHT(B887,4)))</f>
        <v/>
      </c>
      <c r="D887" t="str">
        <f>IF(LEN(TRIM(A887))=0,"",GetItemValueFromSpecimenHeader("timepoint"))</f>
        <v/>
      </c>
      <c r="E887" t="str">
        <f t="shared" si="81"/>
        <v/>
      </c>
      <c r="F887" t="str">
        <f t="shared" si="82"/>
        <v/>
      </c>
      <c r="G887" t="str">
        <f t="shared" si="78"/>
        <v/>
      </c>
      <c r="H887" t="str">
        <f>IF(LEN(TRIM(A887))=0,"",GetConfigParameterValue("Collection Site"))</f>
        <v/>
      </c>
      <c r="I887" t="str">
        <f t="shared" si="83"/>
        <v/>
      </c>
      <c r="M887" t="str">
        <f>IF(LEN(TRIM(B887))=0,"",IF(ISERROR(VLOOKUP(RIGHT(B887,4),study_demographic!A:A,1,FALSE)),"NOT FOUND!!!", "OK"))</f>
        <v/>
      </c>
    </row>
    <row r="888" spans="1:13" x14ac:dyDescent="0.25">
      <c r="A888" t="str">
        <f t="shared" si="79"/>
        <v/>
      </c>
      <c r="B888" t="str">
        <f t="shared" si="80"/>
        <v/>
      </c>
      <c r="C888" s="55" t="str">
        <f>IF(LEN(TRIM(A888))=0,"",get_string_val(RIGHT(B888,4)))</f>
        <v/>
      </c>
      <c r="D888" t="str">
        <f>IF(LEN(TRIM(A888))=0,"",GetItemValueFromSpecimenHeader("timepoint"))</f>
        <v/>
      </c>
      <c r="E888" t="str">
        <f t="shared" si="81"/>
        <v/>
      </c>
      <c r="F888" t="str">
        <f t="shared" si="82"/>
        <v/>
      </c>
      <c r="G888" t="str">
        <f t="shared" si="78"/>
        <v/>
      </c>
      <c r="H888" t="str">
        <f>IF(LEN(TRIM(A888))=0,"",GetConfigParameterValue("Collection Site"))</f>
        <v/>
      </c>
      <c r="I888" t="str">
        <f t="shared" si="83"/>
        <v/>
      </c>
      <c r="M888" t="str">
        <f>IF(LEN(TRIM(B888))=0,"",IF(ISERROR(VLOOKUP(RIGHT(B888,4),study_demographic!A:A,1,FALSE)),"NOT FOUND!!!", "OK"))</f>
        <v/>
      </c>
    </row>
    <row r="889" spans="1:13" x14ac:dyDescent="0.25">
      <c r="A889" t="str">
        <f t="shared" si="79"/>
        <v/>
      </c>
      <c r="B889" t="str">
        <f t="shared" si="80"/>
        <v/>
      </c>
      <c r="C889" s="55" t="str">
        <f>IF(LEN(TRIM(A889))=0,"",get_string_val(RIGHT(B889,4)))</f>
        <v/>
      </c>
      <c r="D889" t="str">
        <f>IF(LEN(TRIM(A889))=0,"",GetItemValueFromSpecimenHeader("timepoint"))</f>
        <v/>
      </c>
      <c r="E889" t="str">
        <f t="shared" si="81"/>
        <v/>
      </c>
      <c r="F889" t="str">
        <f t="shared" si="82"/>
        <v/>
      </c>
      <c r="G889" t="str">
        <f t="shared" si="78"/>
        <v/>
      </c>
      <c r="H889" t="str">
        <f>IF(LEN(TRIM(A889))=0,"",GetConfigParameterValue("Collection Site"))</f>
        <v/>
      </c>
      <c r="I889" t="str">
        <f t="shared" si="83"/>
        <v/>
      </c>
      <c r="M889" t="str">
        <f>IF(LEN(TRIM(B889))=0,"",IF(ISERROR(VLOOKUP(RIGHT(B889,4),study_demographic!A:A,1,FALSE)),"NOT FOUND!!!", "OK"))</f>
        <v/>
      </c>
    </row>
    <row r="890" spans="1:13" x14ac:dyDescent="0.25">
      <c r="A890" t="str">
        <f t="shared" si="79"/>
        <v/>
      </c>
      <c r="B890" t="str">
        <f t="shared" si="80"/>
        <v/>
      </c>
      <c r="C890" s="55" t="str">
        <f>IF(LEN(TRIM(A890))=0,"",get_string_val(RIGHT(B890,4)))</f>
        <v/>
      </c>
      <c r="D890" t="str">
        <f>IF(LEN(TRIM(A890))=0,"",GetItemValueFromSpecimenHeader("timepoint"))</f>
        <v/>
      </c>
      <c r="E890" t="str">
        <f t="shared" si="81"/>
        <v/>
      </c>
      <c r="F890" t="str">
        <f t="shared" si="82"/>
        <v/>
      </c>
      <c r="G890" t="str">
        <f t="shared" si="78"/>
        <v/>
      </c>
      <c r="H890" t="str">
        <f>IF(LEN(TRIM(A890))=0,"",GetConfigParameterValue("Collection Site"))</f>
        <v/>
      </c>
      <c r="I890" t="str">
        <f t="shared" si="83"/>
        <v/>
      </c>
      <c r="M890" t="str">
        <f>IF(LEN(TRIM(B890))=0,"",IF(ISERROR(VLOOKUP(RIGHT(B890,4),study_demographic!A:A,1,FALSE)),"NOT FOUND!!!", "OK"))</f>
        <v/>
      </c>
    </row>
    <row r="891" spans="1:13" x14ac:dyDescent="0.25">
      <c r="A891" t="str">
        <f t="shared" si="79"/>
        <v/>
      </c>
      <c r="B891" t="str">
        <f t="shared" si="80"/>
        <v/>
      </c>
      <c r="C891" s="55" t="str">
        <f>IF(LEN(TRIM(A891))=0,"",get_string_val(RIGHT(B891,4)))</f>
        <v/>
      </c>
      <c r="D891" t="str">
        <f>IF(LEN(TRIM(A891))=0,"",GetItemValueFromSpecimenHeader("timepoint"))</f>
        <v/>
      </c>
      <c r="E891" t="str">
        <f t="shared" si="81"/>
        <v/>
      </c>
      <c r="F891" t="str">
        <f t="shared" si="82"/>
        <v/>
      </c>
      <c r="G891" t="str">
        <f t="shared" si="78"/>
        <v/>
      </c>
      <c r="H891" t="str">
        <f>IF(LEN(TRIM(A891))=0,"",GetConfigParameterValue("Collection Site"))</f>
        <v/>
      </c>
      <c r="I891" t="str">
        <f t="shared" si="83"/>
        <v/>
      </c>
      <c r="M891" t="str">
        <f>IF(LEN(TRIM(B891))=0,"",IF(ISERROR(VLOOKUP(RIGHT(B891,4),study_demographic!A:A,1,FALSE)),"NOT FOUND!!!", "OK"))</f>
        <v/>
      </c>
    </row>
    <row r="892" spans="1:13" x14ac:dyDescent="0.25">
      <c r="A892" t="str">
        <f t="shared" si="79"/>
        <v/>
      </c>
      <c r="B892" t="str">
        <f t="shared" si="80"/>
        <v/>
      </c>
      <c r="C892" s="55" t="str">
        <f>IF(LEN(TRIM(A892))=0,"",get_string_val(RIGHT(B892,4)))</f>
        <v/>
      </c>
      <c r="D892" t="str">
        <f>IF(LEN(TRIM(A892))=0,"",GetItemValueFromSpecimenHeader("timepoint"))</f>
        <v/>
      </c>
      <c r="E892" t="str">
        <f t="shared" si="81"/>
        <v/>
      </c>
      <c r="F892" t="str">
        <f t="shared" si="82"/>
        <v/>
      </c>
      <c r="G892" t="str">
        <f t="shared" si="78"/>
        <v/>
      </c>
      <c r="H892" t="str">
        <f>IF(LEN(TRIM(A892))=0,"",GetConfigParameterValue("Collection Site"))</f>
        <v/>
      </c>
      <c r="I892" t="str">
        <f t="shared" si="83"/>
        <v/>
      </c>
      <c r="M892" t="str">
        <f>IF(LEN(TRIM(B892))=0,"",IF(ISERROR(VLOOKUP(RIGHT(B892,4),study_demographic!A:A,1,FALSE)),"NOT FOUND!!!", "OK"))</f>
        <v/>
      </c>
    </row>
    <row r="893" spans="1:13" x14ac:dyDescent="0.25">
      <c r="A893" t="str">
        <f t="shared" si="79"/>
        <v/>
      </c>
      <c r="B893" t="str">
        <f t="shared" si="80"/>
        <v/>
      </c>
      <c r="C893" s="55" t="str">
        <f>IF(LEN(TRIM(A893))=0,"",get_string_val(RIGHT(B893,4)))</f>
        <v/>
      </c>
      <c r="D893" t="str">
        <f>IF(LEN(TRIM(A893))=0,"",GetItemValueFromSpecimenHeader("timepoint"))</f>
        <v/>
      </c>
      <c r="E893" t="str">
        <f t="shared" si="81"/>
        <v/>
      </c>
      <c r="F893" t="str">
        <f t="shared" si="82"/>
        <v/>
      </c>
      <c r="G893" t="str">
        <f t="shared" si="78"/>
        <v/>
      </c>
      <c r="H893" t="str">
        <f>IF(LEN(TRIM(A893))=0,"",GetConfigParameterValue("Collection Site"))</f>
        <v/>
      </c>
      <c r="I893" t="str">
        <f t="shared" si="83"/>
        <v/>
      </c>
      <c r="M893" t="str">
        <f>IF(LEN(TRIM(B893))=0,"",IF(ISERROR(VLOOKUP(RIGHT(B893,4),study_demographic!A:A,1,FALSE)),"NOT FOUND!!!", "OK"))</f>
        <v/>
      </c>
    </row>
    <row r="894" spans="1:13" x14ac:dyDescent="0.25">
      <c r="A894" t="str">
        <f t="shared" si="79"/>
        <v/>
      </c>
      <c r="B894" t="str">
        <f t="shared" si="80"/>
        <v/>
      </c>
      <c r="C894" s="55" t="str">
        <f>IF(LEN(TRIM(A894))=0,"",get_string_val(RIGHT(B894,4)))</f>
        <v/>
      </c>
      <c r="D894" t="str">
        <f>IF(LEN(TRIM(A894))=0,"",GetItemValueFromSpecimenHeader("timepoint"))</f>
        <v/>
      </c>
      <c r="E894" t="str">
        <f t="shared" si="81"/>
        <v/>
      </c>
      <c r="F894" t="str">
        <f t="shared" si="82"/>
        <v/>
      </c>
      <c r="G894" t="str">
        <f t="shared" si="78"/>
        <v/>
      </c>
      <c r="H894" t="str">
        <f>IF(LEN(TRIM(A894))=0,"",GetConfigParameterValue("Collection Site"))</f>
        <v/>
      </c>
      <c r="I894" t="str">
        <f t="shared" si="83"/>
        <v/>
      </c>
      <c r="M894" t="str">
        <f>IF(LEN(TRIM(B894))=0,"",IF(ISERROR(VLOOKUP(RIGHT(B894,4),study_demographic!A:A,1,FALSE)),"NOT FOUND!!!", "OK"))</f>
        <v/>
      </c>
    </row>
    <row r="895" spans="1:13" x14ac:dyDescent="0.25">
      <c r="A895" t="str">
        <f t="shared" si="79"/>
        <v/>
      </c>
      <c r="B895" t="str">
        <f t="shared" si="80"/>
        <v/>
      </c>
      <c r="C895" s="55" t="str">
        <f>IF(LEN(TRIM(A895))=0,"",get_string_val(RIGHT(B895,4)))</f>
        <v/>
      </c>
      <c r="D895" t="str">
        <f>IF(LEN(TRIM(A895))=0,"",GetItemValueFromSpecimenHeader("timepoint"))</f>
        <v/>
      </c>
      <c r="E895" t="str">
        <f t="shared" si="81"/>
        <v/>
      </c>
      <c r="F895" t="str">
        <f t="shared" si="82"/>
        <v/>
      </c>
      <c r="G895" t="str">
        <f t="shared" si="78"/>
        <v/>
      </c>
      <c r="H895" t="str">
        <f>IF(LEN(TRIM(A895))=0,"",GetConfigParameterValue("Collection Site"))</f>
        <v/>
      </c>
      <c r="I895" t="str">
        <f t="shared" si="83"/>
        <v/>
      </c>
      <c r="M895" t="str">
        <f>IF(LEN(TRIM(B895))=0,"",IF(ISERROR(VLOOKUP(RIGHT(B895,4),study_demographic!A:A,1,FALSE)),"NOT FOUND!!!", "OK"))</f>
        <v/>
      </c>
    </row>
    <row r="896" spans="1:13" x14ac:dyDescent="0.25">
      <c r="A896" t="str">
        <f t="shared" si="79"/>
        <v/>
      </c>
      <c r="B896" t="str">
        <f t="shared" si="80"/>
        <v/>
      </c>
      <c r="C896" s="55" t="str">
        <f>IF(LEN(TRIM(A896))=0,"",get_string_val(RIGHT(B896,4)))</f>
        <v/>
      </c>
      <c r="D896" t="str">
        <f>IF(LEN(TRIM(A896))=0,"",GetItemValueFromSpecimenHeader("timepoint"))</f>
        <v/>
      </c>
      <c r="E896" t="str">
        <f t="shared" si="81"/>
        <v/>
      </c>
      <c r="F896" t="str">
        <f t="shared" si="82"/>
        <v/>
      </c>
      <c r="G896" t="str">
        <f t="shared" si="78"/>
        <v/>
      </c>
      <c r="H896" t="str">
        <f>IF(LEN(TRIM(A896))=0,"",GetConfigParameterValue("Collection Site"))</f>
        <v/>
      </c>
      <c r="I896" t="str">
        <f t="shared" si="83"/>
        <v/>
      </c>
      <c r="M896" t="str">
        <f>IF(LEN(TRIM(B896))=0,"",IF(ISERROR(VLOOKUP(RIGHT(B896,4),study_demographic!A:A,1,FALSE)),"NOT FOUND!!!", "OK"))</f>
        <v/>
      </c>
    </row>
    <row r="897" spans="1:13" x14ac:dyDescent="0.25">
      <c r="A897" t="str">
        <f t="shared" si="79"/>
        <v/>
      </c>
      <c r="B897" t="str">
        <f t="shared" si="80"/>
        <v/>
      </c>
      <c r="C897" s="55" t="str">
        <f>IF(LEN(TRIM(A897))=0,"",get_string_val(RIGHT(B897,4)))</f>
        <v/>
      </c>
      <c r="D897" t="str">
        <f>IF(LEN(TRIM(A897))=0,"",GetItemValueFromSpecimenHeader("timepoint"))</f>
        <v/>
      </c>
      <c r="E897" t="str">
        <f t="shared" si="81"/>
        <v/>
      </c>
      <c r="F897" t="str">
        <f t="shared" si="82"/>
        <v/>
      </c>
      <c r="G897" t="str">
        <f t="shared" si="78"/>
        <v/>
      </c>
      <c r="H897" t="str">
        <f>IF(LEN(TRIM(A897))=0,"",GetConfigParameterValue("Collection Site"))</f>
        <v/>
      </c>
      <c r="I897" t="str">
        <f t="shared" si="83"/>
        <v/>
      </c>
      <c r="M897" t="str">
        <f>IF(LEN(TRIM(B897))=0,"",IF(ISERROR(VLOOKUP(RIGHT(B897,4),study_demographic!A:A,1,FALSE)),"NOT FOUND!!!", "OK"))</f>
        <v/>
      </c>
    </row>
    <row r="898" spans="1:13" x14ac:dyDescent="0.25">
      <c r="A898" t="str">
        <f t="shared" si="79"/>
        <v/>
      </c>
      <c r="B898" t="str">
        <f t="shared" si="80"/>
        <v/>
      </c>
      <c r="C898" s="55" t="str">
        <f>IF(LEN(TRIM(A898))=0,"",get_string_val(RIGHT(B898,4)))</f>
        <v/>
      </c>
      <c r="D898" t="str">
        <f>IF(LEN(TRIM(A898))=0,"",GetItemValueFromSpecimenHeader("timepoint"))</f>
        <v/>
      </c>
      <c r="E898" t="str">
        <f t="shared" si="81"/>
        <v/>
      </c>
      <c r="F898" t="str">
        <f t="shared" si="82"/>
        <v/>
      </c>
      <c r="G898" t="str">
        <f t="shared" ref="G898:G961" si="84">IF(LEN(TRIM(A898))=0,"",IF(TRIM(F898)="1","Male", IF(TRIM(F898)="2","Female", "NA")))</f>
        <v/>
      </c>
      <c r="H898" t="str">
        <f>IF(LEN(TRIM(A898))=0,"",GetConfigParameterValue("Collection Site"))</f>
        <v/>
      </c>
      <c r="I898" t="str">
        <f t="shared" si="83"/>
        <v/>
      </c>
      <c r="M898" t="str">
        <f>IF(LEN(TRIM(B898))=0,"",IF(ISERROR(VLOOKUP(RIGHT(B898,4),study_demographic!A:A,1,FALSE)),"NOT FOUND!!!", "OK"))</f>
        <v/>
      </c>
    </row>
    <row r="899" spans="1:13" x14ac:dyDescent="0.25">
      <c r="A899" t="str">
        <f t="shared" ref="A899:A962" si="85">GetSampleId((ROW()))</f>
        <v/>
      </c>
      <c r="B899" t="str">
        <f t="shared" ref="B899:B962" si="86">IF(LEN(TRIM(A899))=0,"",LEFT(A899,7))</f>
        <v/>
      </c>
      <c r="C899" s="55" t="str">
        <f>IF(LEN(TRIM(A899))=0,"",get_string_val(RIGHT(B899,4)))</f>
        <v/>
      </c>
      <c r="D899" t="str">
        <f>IF(LEN(TRIM(A899))=0,"",GetItemValueFromSpecimenHeader("timepoint"))</f>
        <v/>
      </c>
      <c r="E899" t="str">
        <f t="shared" ref="E899:E962" si="87">getColumnValueBySubjectID("Age",RIGHT(B899,4))</f>
        <v/>
      </c>
      <c r="F899" t="str">
        <f t="shared" ref="F899:F962" si="88">getColumnValueBySubjectID("Sex",RIGHT(B899,4))</f>
        <v/>
      </c>
      <c r="G899" t="str">
        <f t="shared" si="84"/>
        <v/>
      </c>
      <c r="H899" t="str">
        <f>IF(LEN(TRIM(A899))=0,"",GetConfigParameterValue("Collection Site"))</f>
        <v/>
      </c>
      <c r="I899" t="str">
        <f t="shared" ref="I899:I962" si="89">getColumnValueBySubjectID("Comments",B899)</f>
        <v/>
      </c>
      <c r="M899" t="str">
        <f>IF(LEN(TRIM(B899))=0,"",IF(ISERROR(VLOOKUP(RIGHT(B899,4),study_demographic!A:A,1,FALSE)),"NOT FOUND!!!", "OK"))</f>
        <v/>
      </c>
    </row>
    <row r="900" spans="1:13" x14ac:dyDescent="0.25">
      <c r="A900" t="str">
        <f t="shared" si="85"/>
        <v/>
      </c>
      <c r="B900" t="str">
        <f t="shared" si="86"/>
        <v/>
      </c>
      <c r="C900" s="55" t="str">
        <f>IF(LEN(TRIM(A900))=0,"",get_string_val(RIGHT(B900,4)))</f>
        <v/>
      </c>
      <c r="D900" t="str">
        <f>IF(LEN(TRIM(A900))=0,"",GetItemValueFromSpecimenHeader("timepoint"))</f>
        <v/>
      </c>
      <c r="E900" t="str">
        <f t="shared" si="87"/>
        <v/>
      </c>
      <c r="F900" t="str">
        <f t="shared" si="88"/>
        <v/>
      </c>
      <c r="G900" t="str">
        <f t="shared" si="84"/>
        <v/>
      </c>
      <c r="H900" t="str">
        <f>IF(LEN(TRIM(A900))=0,"",GetConfigParameterValue("Collection Site"))</f>
        <v/>
      </c>
      <c r="I900" t="str">
        <f t="shared" si="89"/>
        <v/>
      </c>
      <c r="M900" t="str">
        <f>IF(LEN(TRIM(B900))=0,"",IF(ISERROR(VLOOKUP(RIGHT(B900,4),study_demographic!A:A,1,FALSE)),"NOT FOUND!!!", "OK"))</f>
        <v/>
      </c>
    </row>
    <row r="901" spans="1:13" x14ac:dyDescent="0.25">
      <c r="A901" t="str">
        <f t="shared" si="85"/>
        <v/>
      </c>
      <c r="B901" t="str">
        <f t="shared" si="86"/>
        <v/>
      </c>
      <c r="C901" s="55" t="str">
        <f>IF(LEN(TRIM(A901))=0,"",get_string_val(RIGHT(B901,4)))</f>
        <v/>
      </c>
      <c r="D901" t="str">
        <f>IF(LEN(TRIM(A901))=0,"",GetItemValueFromSpecimenHeader("timepoint"))</f>
        <v/>
      </c>
      <c r="E901" t="str">
        <f t="shared" si="87"/>
        <v/>
      </c>
      <c r="F901" t="str">
        <f t="shared" si="88"/>
        <v/>
      </c>
      <c r="G901" t="str">
        <f t="shared" si="84"/>
        <v/>
      </c>
      <c r="H901" t="str">
        <f>IF(LEN(TRIM(A901))=0,"",GetConfigParameterValue("Collection Site"))</f>
        <v/>
      </c>
      <c r="I901" t="str">
        <f t="shared" si="89"/>
        <v/>
      </c>
      <c r="M901" t="str">
        <f>IF(LEN(TRIM(B901))=0,"",IF(ISERROR(VLOOKUP(RIGHT(B901,4),study_demographic!A:A,1,FALSE)),"NOT FOUND!!!", "OK"))</f>
        <v/>
      </c>
    </row>
    <row r="902" spans="1:13" x14ac:dyDescent="0.25">
      <c r="A902" t="str">
        <f t="shared" si="85"/>
        <v/>
      </c>
      <c r="B902" t="str">
        <f t="shared" si="86"/>
        <v/>
      </c>
      <c r="C902" s="55" t="str">
        <f>IF(LEN(TRIM(A902))=0,"",get_string_val(RIGHT(B902,4)))</f>
        <v/>
      </c>
      <c r="D902" t="str">
        <f>IF(LEN(TRIM(A902))=0,"",GetItemValueFromSpecimenHeader("timepoint"))</f>
        <v/>
      </c>
      <c r="E902" t="str">
        <f t="shared" si="87"/>
        <v/>
      </c>
      <c r="F902" t="str">
        <f t="shared" si="88"/>
        <v/>
      </c>
      <c r="G902" t="str">
        <f t="shared" si="84"/>
        <v/>
      </c>
      <c r="H902" t="str">
        <f>IF(LEN(TRIM(A902))=0,"",GetConfigParameterValue("Collection Site"))</f>
        <v/>
      </c>
      <c r="I902" t="str">
        <f t="shared" si="89"/>
        <v/>
      </c>
      <c r="M902" t="str">
        <f>IF(LEN(TRIM(B902))=0,"",IF(ISERROR(VLOOKUP(RIGHT(B902,4),study_demographic!A:A,1,FALSE)),"NOT FOUND!!!", "OK"))</f>
        <v/>
      </c>
    </row>
    <row r="903" spans="1:13" x14ac:dyDescent="0.25">
      <c r="A903" t="str">
        <f t="shared" si="85"/>
        <v/>
      </c>
      <c r="B903" t="str">
        <f t="shared" si="86"/>
        <v/>
      </c>
      <c r="C903" s="55" t="str">
        <f>IF(LEN(TRIM(A903))=0,"",get_string_val(RIGHT(B903,4)))</f>
        <v/>
      </c>
      <c r="D903" t="str">
        <f>IF(LEN(TRIM(A903))=0,"",GetItemValueFromSpecimenHeader("timepoint"))</f>
        <v/>
      </c>
      <c r="E903" t="str">
        <f t="shared" si="87"/>
        <v/>
      </c>
      <c r="F903" t="str">
        <f t="shared" si="88"/>
        <v/>
      </c>
      <c r="G903" t="str">
        <f t="shared" si="84"/>
        <v/>
      </c>
      <c r="H903" t="str">
        <f>IF(LEN(TRIM(A903))=0,"",GetConfigParameterValue("Collection Site"))</f>
        <v/>
      </c>
      <c r="I903" t="str">
        <f t="shared" si="89"/>
        <v/>
      </c>
      <c r="M903" t="str">
        <f>IF(LEN(TRIM(B903))=0,"",IF(ISERROR(VLOOKUP(RIGHT(B903,4),study_demographic!A:A,1,FALSE)),"NOT FOUND!!!", "OK"))</f>
        <v/>
      </c>
    </row>
    <row r="904" spans="1:13" x14ac:dyDescent="0.25">
      <c r="A904" t="str">
        <f t="shared" si="85"/>
        <v/>
      </c>
      <c r="B904" t="str">
        <f t="shared" si="86"/>
        <v/>
      </c>
      <c r="C904" s="55" t="str">
        <f>IF(LEN(TRIM(A904))=0,"",get_string_val(RIGHT(B904,4)))</f>
        <v/>
      </c>
      <c r="D904" t="str">
        <f>IF(LEN(TRIM(A904))=0,"",GetItemValueFromSpecimenHeader("timepoint"))</f>
        <v/>
      </c>
      <c r="E904" t="str">
        <f t="shared" si="87"/>
        <v/>
      </c>
      <c r="F904" t="str">
        <f t="shared" si="88"/>
        <v/>
      </c>
      <c r="G904" t="str">
        <f t="shared" si="84"/>
        <v/>
      </c>
      <c r="H904" t="str">
        <f>IF(LEN(TRIM(A904))=0,"",GetConfigParameterValue("Collection Site"))</f>
        <v/>
      </c>
      <c r="I904" t="str">
        <f t="shared" si="89"/>
        <v/>
      </c>
      <c r="M904" t="str">
        <f>IF(LEN(TRIM(B904))=0,"",IF(ISERROR(VLOOKUP(RIGHT(B904,4),study_demographic!A:A,1,FALSE)),"NOT FOUND!!!", "OK"))</f>
        <v/>
      </c>
    </row>
    <row r="905" spans="1:13" x14ac:dyDescent="0.25">
      <c r="A905" t="str">
        <f t="shared" si="85"/>
        <v/>
      </c>
      <c r="B905" t="str">
        <f t="shared" si="86"/>
        <v/>
      </c>
      <c r="C905" s="55" t="str">
        <f>IF(LEN(TRIM(A905))=0,"",get_string_val(RIGHT(B905,4)))</f>
        <v/>
      </c>
      <c r="D905" t="str">
        <f>IF(LEN(TRIM(A905))=0,"",GetItemValueFromSpecimenHeader("timepoint"))</f>
        <v/>
      </c>
      <c r="E905" t="str">
        <f t="shared" si="87"/>
        <v/>
      </c>
      <c r="F905" t="str">
        <f t="shared" si="88"/>
        <v/>
      </c>
      <c r="G905" t="str">
        <f t="shared" si="84"/>
        <v/>
      </c>
      <c r="H905" t="str">
        <f>IF(LEN(TRIM(A905))=0,"",GetConfigParameterValue("Collection Site"))</f>
        <v/>
      </c>
      <c r="I905" t="str">
        <f t="shared" si="89"/>
        <v/>
      </c>
      <c r="M905" t="str">
        <f>IF(LEN(TRIM(B905))=0,"",IF(ISERROR(VLOOKUP(RIGHT(B905,4),study_demographic!A:A,1,FALSE)),"NOT FOUND!!!", "OK"))</f>
        <v/>
      </c>
    </row>
    <row r="906" spans="1:13" x14ac:dyDescent="0.25">
      <c r="A906" t="str">
        <f t="shared" si="85"/>
        <v/>
      </c>
      <c r="B906" t="str">
        <f t="shared" si="86"/>
        <v/>
      </c>
      <c r="C906" s="55" t="str">
        <f>IF(LEN(TRIM(A906))=0,"",get_string_val(RIGHT(B906,4)))</f>
        <v/>
      </c>
      <c r="D906" t="str">
        <f>IF(LEN(TRIM(A906))=0,"",GetItemValueFromSpecimenHeader("timepoint"))</f>
        <v/>
      </c>
      <c r="E906" t="str">
        <f t="shared" si="87"/>
        <v/>
      </c>
      <c r="F906" t="str">
        <f t="shared" si="88"/>
        <v/>
      </c>
      <c r="G906" t="str">
        <f t="shared" si="84"/>
        <v/>
      </c>
      <c r="H906" t="str">
        <f>IF(LEN(TRIM(A906))=0,"",GetConfigParameterValue("Collection Site"))</f>
        <v/>
      </c>
      <c r="I906" t="str">
        <f t="shared" si="89"/>
        <v/>
      </c>
      <c r="M906" t="str">
        <f>IF(LEN(TRIM(B906))=0,"",IF(ISERROR(VLOOKUP(RIGHT(B906,4),study_demographic!A:A,1,FALSE)),"NOT FOUND!!!", "OK"))</f>
        <v/>
      </c>
    </row>
    <row r="907" spans="1:13" x14ac:dyDescent="0.25">
      <c r="A907" t="str">
        <f t="shared" si="85"/>
        <v/>
      </c>
      <c r="B907" t="str">
        <f t="shared" si="86"/>
        <v/>
      </c>
      <c r="C907" s="55" t="str">
        <f>IF(LEN(TRIM(A907))=0,"",get_string_val(RIGHT(B907,4)))</f>
        <v/>
      </c>
      <c r="D907" t="str">
        <f>IF(LEN(TRIM(A907))=0,"",GetItemValueFromSpecimenHeader("timepoint"))</f>
        <v/>
      </c>
      <c r="E907" t="str">
        <f t="shared" si="87"/>
        <v/>
      </c>
      <c r="F907" t="str">
        <f t="shared" si="88"/>
        <v/>
      </c>
      <c r="G907" t="str">
        <f t="shared" si="84"/>
        <v/>
      </c>
      <c r="H907" t="str">
        <f>IF(LEN(TRIM(A907))=0,"",GetConfigParameterValue("Collection Site"))</f>
        <v/>
      </c>
      <c r="I907" t="str">
        <f t="shared" si="89"/>
        <v/>
      </c>
      <c r="M907" t="str">
        <f>IF(LEN(TRIM(B907))=0,"",IF(ISERROR(VLOOKUP(RIGHT(B907,4),study_demographic!A:A,1,FALSE)),"NOT FOUND!!!", "OK"))</f>
        <v/>
      </c>
    </row>
    <row r="908" spans="1:13" x14ac:dyDescent="0.25">
      <c r="A908" t="str">
        <f t="shared" si="85"/>
        <v/>
      </c>
      <c r="B908" t="str">
        <f t="shared" si="86"/>
        <v/>
      </c>
      <c r="C908" s="55" t="str">
        <f>IF(LEN(TRIM(A908))=0,"",get_string_val(RIGHT(B908,4)))</f>
        <v/>
      </c>
      <c r="D908" t="str">
        <f>IF(LEN(TRIM(A908))=0,"",GetItemValueFromSpecimenHeader("timepoint"))</f>
        <v/>
      </c>
      <c r="E908" t="str">
        <f t="shared" si="87"/>
        <v/>
      </c>
      <c r="F908" t="str">
        <f t="shared" si="88"/>
        <v/>
      </c>
      <c r="G908" t="str">
        <f t="shared" si="84"/>
        <v/>
      </c>
      <c r="H908" t="str">
        <f>IF(LEN(TRIM(A908))=0,"",GetConfigParameterValue("Collection Site"))</f>
        <v/>
      </c>
      <c r="I908" t="str">
        <f t="shared" si="89"/>
        <v/>
      </c>
      <c r="M908" t="str">
        <f>IF(LEN(TRIM(B908))=0,"",IF(ISERROR(VLOOKUP(RIGHT(B908,4),study_demographic!A:A,1,FALSE)),"NOT FOUND!!!", "OK"))</f>
        <v/>
      </c>
    </row>
    <row r="909" spans="1:13" x14ac:dyDescent="0.25">
      <c r="A909" t="str">
        <f t="shared" si="85"/>
        <v/>
      </c>
      <c r="B909" t="str">
        <f t="shared" si="86"/>
        <v/>
      </c>
      <c r="C909" s="55" t="str">
        <f>IF(LEN(TRIM(A909))=0,"",get_string_val(RIGHT(B909,4)))</f>
        <v/>
      </c>
      <c r="D909" t="str">
        <f>IF(LEN(TRIM(A909))=0,"",GetItemValueFromSpecimenHeader("timepoint"))</f>
        <v/>
      </c>
      <c r="E909" t="str">
        <f t="shared" si="87"/>
        <v/>
      </c>
      <c r="F909" t="str">
        <f t="shared" si="88"/>
        <v/>
      </c>
      <c r="G909" t="str">
        <f t="shared" si="84"/>
        <v/>
      </c>
      <c r="H909" t="str">
        <f>IF(LEN(TRIM(A909))=0,"",GetConfigParameterValue("Collection Site"))</f>
        <v/>
      </c>
      <c r="I909" t="str">
        <f t="shared" si="89"/>
        <v/>
      </c>
      <c r="M909" t="str">
        <f>IF(LEN(TRIM(B909))=0,"",IF(ISERROR(VLOOKUP(RIGHT(B909,4),study_demographic!A:A,1,FALSE)),"NOT FOUND!!!", "OK"))</f>
        <v/>
      </c>
    </row>
    <row r="910" spans="1:13" x14ac:dyDescent="0.25">
      <c r="A910" t="str">
        <f t="shared" si="85"/>
        <v/>
      </c>
      <c r="B910" t="str">
        <f t="shared" si="86"/>
        <v/>
      </c>
      <c r="C910" s="55" t="str">
        <f>IF(LEN(TRIM(A910))=0,"",get_string_val(RIGHT(B910,4)))</f>
        <v/>
      </c>
      <c r="D910" t="str">
        <f>IF(LEN(TRIM(A910))=0,"",GetItemValueFromSpecimenHeader("timepoint"))</f>
        <v/>
      </c>
      <c r="E910" t="str">
        <f t="shared" si="87"/>
        <v/>
      </c>
      <c r="F910" t="str">
        <f t="shared" si="88"/>
        <v/>
      </c>
      <c r="G910" t="str">
        <f t="shared" si="84"/>
        <v/>
      </c>
      <c r="H910" t="str">
        <f>IF(LEN(TRIM(A910))=0,"",GetConfigParameterValue("Collection Site"))</f>
        <v/>
      </c>
      <c r="I910" t="str">
        <f t="shared" si="89"/>
        <v/>
      </c>
      <c r="M910" t="str">
        <f>IF(LEN(TRIM(B910))=0,"",IF(ISERROR(VLOOKUP(RIGHT(B910,4),study_demographic!A:A,1,FALSE)),"NOT FOUND!!!", "OK"))</f>
        <v/>
      </c>
    </row>
    <row r="911" spans="1:13" x14ac:dyDescent="0.25">
      <c r="A911" t="str">
        <f t="shared" si="85"/>
        <v/>
      </c>
      <c r="B911" t="str">
        <f t="shared" si="86"/>
        <v/>
      </c>
      <c r="C911" s="55" t="str">
        <f>IF(LEN(TRIM(A911))=0,"",get_string_val(RIGHT(B911,4)))</f>
        <v/>
      </c>
      <c r="D911" t="str">
        <f>IF(LEN(TRIM(A911))=0,"",GetItemValueFromSpecimenHeader("timepoint"))</f>
        <v/>
      </c>
      <c r="E911" t="str">
        <f t="shared" si="87"/>
        <v/>
      </c>
      <c r="F911" t="str">
        <f t="shared" si="88"/>
        <v/>
      </c>
      <c r="G911" t="str">
        <f t="shared" si="84"/>
        <v/>
      </c>
      <c r="H911" t="str">
        <f>IF(LEN(TRIM(A911))=0,"",GetConfigParameterValue("Collection Site"))</f>
        <v/>
      </c>
      <c r="I911" t="str">
        <f t="shared" si="89"/>
        <v/>
      </c>
      <c r="M911" t="str">
        <f>IF(LEN(TRIM(B911))=0,"",IF(ISERROR(VLOOKUP(RIGHT(B911,4),study_demographic!A:A,1,FALSE)),"NOT FOUND!!!", "OK"))</f>
        <v/>
      </c>
    </row>
    <row r="912" spans="1:13" x14ac:dyDescent="0.25">
      <c r="A912" t="str">
        <f t="shared" si="85"/>
        <v/>
      </c>
      <c r="B912" t="str">
        <f t="shared" si="86"/>
        <v/>
      </c>
      <c r="C912" s="55" t="str">
        <f>IF(LEN(TRIM(A912))=0,"",get_string_val(RIGHT(B912,4)))</f>
        <v/>
      </c>
      <c r="D912" t="str">
        <f>IF(LEN(TRIM(A912))=0,"",GetItemValueFromSpecimenHeader("timepoint"))</f>
        <v/>
      </c>
      <c r="E912" t="str">
        <f t="shared" si="87"/>
        <v/>
      </c>
      <c r="F912" t="str">
        <f t="shared" si="88"/>
        <v/>
      </c>
      <c r="G912" t="str">
        <f t="shared" si="84"/>
        <v/>
      </c>
      <c r="H912" t="str">
        <f>IF(LEN(TRIM(A912))=0,"",GetConfigParameterValue("Collection Site"))</f>
        <v/>
      </c>
      <c r="I912" t="str">
        <f t="shared" si="89"/>
        <v/>
      </c>
      <c r="M912" t="str">
        <f>IF(LEN(TRIM(B912))=0,"",IF(ISERROR(VLOOKUP(RIGHT(B912,4),study_demographic!A:A,1,FALSE)),"NOT FOUND!!!", "OK"))</f>
        <v/>
      </c>
    </row>
    <row r="913" spans="1:13" x14ac:dyDescent="0.25">
      <c r="A913" t="str">
        <f t="shared" si="85"/>
        <v/>
      </c>
      <c r="B913" t="str">
        <f t="shared" si="86"/>
        <v/>
      </c>
      <c r="C913" s="55" t="str">
        <f>IF(LEN(TRIM(A913))=0,"",get_string_val(RIGHT(B913,4)))</f>
        <v/>
      </c>
      <c r="D913" t="str">
        <f>IF(LEN(TRIM(A913))=0,"",GetItemValueFromSpecimenHeader("timepoint"))</f>
        <v/>
      </c>
      <c r="E913" t="str">
        <f t="shared" si="87"/>
        <v/>
      </c>
      <c r="F913" t="str">
        <f t="shared" si="88"/>
        <v/>
      </c>
      <c r="G913" t="str">
        <f t="shared" si="84"/>
        <v/>
      </c>
      <c r="H913" t="str">
        <f>IF(LEN(TRIM(A913))=0,"",GetConfigParameterValue("Collection Site"))</f>
        <v/>
      </c>
      <c r="I913" t="str">
        <f t="shared" si="89"/>
        <v/>
      </c>
      <c r="M913" t="str">
        <f>IF(LEN(TRIM(B913))=0,"",IF(ISERROR(VLOOKUP(RIGHT(B913,4),study_demographic!A:A,1,FALSE)),"NOT FOUND!!!", "OK"))</f>
        <v/>
      </c>
    </row>
    <row r="914" spans="1:13" x14ac:dyDescent="0.25">
      <c r="A914" t="str">
        <f t="shared" si="85"/>
        <v/>
      </c>
      <c r="B914" t="str">
        <f t="shared" si="86"/>
        <v/>
      </c>
      <c r="C914" s="55" t="str">
        <f>IF(LEN(TRIM(A914))=0,"",get_string_val(RIGHT(B914,4)))</f>
        <v/>
      </c>
      <c r="D914" t="str">
        <f>IF(LEN(TRIM(A914))=0,"",GetItemValueFromSpecimenHeader("timepoint"))</f>
        <v/>
      </c>
      <c r="E914" t="str">
        <f t="shared" si="87"/>
        <v/>
      </c>
      <c r="F914" t="str">
        <f t="shared" si="88"/>
        <v/>
      </c>
      <c r="G914" t="str">
        <f t="shared" si="84"/>
        <v/>
      </c>
      <c r="H914" t="str">
        <f>IF(LEN(TRIM(A914))=0,"",GetConfigParameterValue("Collection Site"))</f>
        <v/>
      </c>
      <c r="I914" t="str">
        <f t="shared" si="89"/>
        <v/>
      </c>
      <c r="M914" t="str">
        <f>IF(LEN(TRIM(B914))=0,"",IF(ISERROR(VLOOKUP(RIGHT(B914,4),study_demographic!A:A,1,FALSE)),"NOT FOUND!!!", "OK"))</f>
        <v/>
      </c>
    </row>
    <row r="915" spans="1:13" x14ac:dyDescent="0.25">
      <c r="A915" t="str">
        <f t="shared" si="85"/>
        <v/>
      </c>
      <c r="B915" t="str">
        <f t="shared" si="86"/>
        <v/>
      </c>
      <c r="C915" s="55" t="str">
        <f>IF(LEN(TRIM(A915))=0,"",get_string_val(RIGHT(B915,4)))</f>
        <v/>
      </c>
      <c r="D915" t="str">
        <f>IF(LEN(TRIM(A915))=0,"",GetItemValueFromSpecimenHeader("timepoint"))</f>
        <v/>
      </c>
      <c r="E915" t="str">
        <f t="shared" si="87"/>
        <v/>
      </c>
      <c r="F915" t="str">
        <f t="shared" si="88"/>
        <v/>
      </c>
      <c r="G915" t="str">
        <f t="shared" si="84"/>
        <v/>
      </c>
      <c r="H915" t="str">
        <f>IF(LEN(TRIM(A915))=0,"",GetConfigParameterValue("Collection Site"))</f>
        <v/>
      </c>
      <c r="I915" t="str">
        <f t="shared" si="89"/>
        <v/>
      </c>
      <c r="M915" t="str">
        <f>IF(LEN(TRIM(B915))=0,"",IF(ISERROR(VLOOKUP(RIGHT(B915,4),study_demographic!A:A,1,FALSE)),"NOT FOUND!!!", "OK"))</f>
        <v/>
      </c>
    </row>
    <row r="916" spans="1:13" x14ac:dyDescent="0.25">
      <c r="A916" t="str">
        <f t="shared" si="85"/>
        <v/>
      </c>
      <c r="B916" t="str">
        <f t="shared" si="86"/>
        <v/>
      </c>
      <c r="C916" s="55" t="str">
        <f>IF(LEN(TRIM(A916))=0,"",get_string_val(RIGHT(B916,4)))</f>
        <v/>
      </c>
      <c r="D916" t="str">
        <f>IF(LEN(TRIM(A916))=0,"",GetItemValueFromSpecimenHeader("timepoint"))</f>
        <v/>
      </c>
      <c r="E916" t="str">
        <f t="shared" si="87"/>
        <v/>
      </c>
      <c r="F916" t="str">
        <f t="shared" si="88"/>
        <v/>
      </c>
      <c r="G916" t="str">
        <f t="shared" si="84"/>
        <v/>
      </c>
      <c r="H916" t="str">
        <f>IF(LEN(TRIM(A916))=0,"",GetConfigParameterValue("Collection Site"))</f>
        <v/>
      </c>
      <c r="I916" t="str">
        <f t="shared" si="89"/>
        <v/>
      </c>
      <c r="M916" t="str">
        <f>IF(LEN(TRIM(B916))=0,"",IF(ISERROR(VLOOKUP(RIGHT(B916,4),study_demographic!A:A,1,FALSE)),"NOT FOUND!!!", "OK"))</f>
        <v/>
      </c>
    </row>
    <row r="917" spans="1:13" x14ac:dyDescent="0.25">
      <c r="A917" t="str">
        <f t="shared" si="85"/>
        <v/>
      </c>
      <c r="B917" t="str">
        <f t="shared" si="86"/>
        <v/>
      </c>
      <c r="C917" s="55" t="str">
        <f>IF(LEN(TRIM(A917))=0,"",get_string_val(RIGHT(B917,4)))</f>
        <v/>
      </c>
      <c r="D917" t="str">
        <f>IF(LEN(TRIM(A917))=0,"",GetItemValueFromSpecimenHeader("timepoint"))</f>
        <v/>
      </c>
      <c r="E917" t="str">
        <f t="shared" si="87"/>
        <v/>
      </c>
      <c r="F917" t="str">
        <f t="shared" si="88"/>
        <v/>
      </c>
      <c r="G917" t="str">
        <f t="shared" si="84"/>
        <v/>
      </c>
      <c r="H917" t="str">
        <f>IF(LEN(TRIM(A917))=0,"",GetConfigParameterValue("Collection Site"))</f>
        <v/>
      </c>
      <c r="I917" t="str">
        <f t="shared" si="89"/>
        <v/>
      </c>
      <c r="M917" t="str">
        <f>IF(LEN(TRIM(B917))=0,"",IF(ISERROR(VLOOKUP(RIGHT(B917,4),study_demographic!A:A,1,FALSE)),"NOT FOUND!!!", "OK"))</f>
        <v/>
      </c>
    </row>
    <row r="918" spans="1:13" x14ac:dyDescent="0.25">
      <c r="A918" t="str">
        <f t="shared" si="85"/>
        <v/>
      </c>
      <c r="B918" t="str">
        <f t="shared" si="86"/>
        <v/>
      </c>
      <c r="C918" s="55" t="str">
        <f>IF(LEN(TRIM(A918))=0,"",get_string_val(RIGHT(B918,4)))</f>
        <v/>
      </c>
      <c r="D918" t="str">
        <f>IF(LEN(TRIM(A918))=0,"",GetItemValueFromSpecimenHeader("timepoint"))</f>
        <v/>
      </c>
      <c r="E918" t="str">
        <f t="shared" si="87"/>
        <v/>
      </c>
      <c r="F918" t="str">
        <f t="shared" si="88"/>
        <v/>
      </c>
      <c r="G918" t="str">
        <f t="shared" si="84"/>
        <v/>
      </c>
      <c r="H918" t="str">
        <f>IF(LEN(TRIM(A918))=0,"",GetConfigParameterValue("Collection Site"))</f>
        <v/>
      </c>
      <c r="I918" t="str">
        <f t="shared" si="89"/>
        <v/>
      </c>
      <c r="M918" t="str">
        <f>IF(LEN(TRIM(B918))=0,"",IF(ISERROR(VLOOKUP(RIGHT(B918,4),study_demographic!A:A,1,FALSE)),"NOT FOUND!!!", "OK"))</f>
        <v/>
      </c>
    </row>
    <row r="919" spans="1:13" x14ac:dyDescent="0.25">
      <c r="A919" t="str">
        <f t="shared" si="85"/>
        <v/>
      </c>
      <c r="B919" t="str">
        <f t="shared" si="86"/>
        <v/>
      </c>
      <c r="C919" s="55" t="str">
        <f>IF(LEN(TRIM(A919))=0,"",get_string_val(RIGHT(B919,4)))</f>
        <v/>
      </c>
      <c r="D919" t="str">
        <f>IF(LEN(TRIM(A919))=0,"",GetItemValueFromSpecimenHeader("timepoint"))</f>
        <v/>
      </c>
      <c r="E919" t="str">
        <f t="shared" si="87"/>
        <v/>
      </c>
      <c r="F919" t="str">
        <f t="shared" si="88"/>
        <v/>
      </c>
      <c r="G919" t="str">
        <f t="shared" si="84"/>
        <v/>
      </c>
      <c r="H919" t="str">
        <f>IF(LEN(TRIM(A919))=0,"",GetConfigParameterValue("Collection Site"))</f>
        <v/>
      </c>
      <c r="I919" t="str">
        <f t="shared" si="89"/>
        <v/>
      </c>
      <c r="M919" t="str">
        <f>IF(LEN(TRIM(B919))=0,"",IF(ISERROR(VLOOKUP(RIGHT(B919,4),study_demographic!A:A,1,FALSE)),"NOT FOUND!!!", "OK"))</f>
        <v/>
      </c>
    </row>
    <row r="920" spans="1:13" x14ac:dyDescent="0.25">
      <c r="A920" t="str">
        <f t="shared" si="85"/>
        <v/>
      </c>
      <c r="B920" t="str">
        <f t="shared" si="86"/>
        <v/>
      </c>
      <c r="C920" s="55" t="str">
        <f>IF(LEN(TRIM(A920))=0,"",get_string_val(RIGHT(B920,4)))</f>
        <v/>
      </c>
      <c r="D920" t="str">
        <f>IF(LEN(TRIM(A920))=0,"",GetItemValueFromSpecimenHeader("timepoint"))</f>
        <v/>
      </c>
      <c r="E920" t="str">
        <f t="shared" si="87"/>
        <v/>
      </c>
      <c r="F920" t="str">
        <f t="shared" si="88"/>
        <v/>
      </c>
      <c r="G920" t="str">
        <f t="shared" si="84"/>
        <v/>
      </c>
      <c r="H920" t="str">
        <f>IF(LEN(TRIM(A920))=0,"",GetConfigParameterValue("Collection Site"))</f>
        <v/>
      </c>
      <c r="I920" t="str">
        <f t="shared" si="89"/>
        <v/>
      </c>
      <c r="M920" t="str">
        <f>IF(LEN(TRIM(B920))=0,"",IF(ISERROR(VLOOKUP(RIGHT(B920,4),study_demographic!A:A,1,FALSE)),"NOT FOUND!!!", "OK"))</f>
        <v/>
      </c>
    </row>
    <row r="921" spans="1:13" x14ac:dyDescent="0.25">
      <c r="A921" t="str">
        <f t="shared" si="85"/>
        <v/>
      </c>
      <c r="B921" t="str">
        <f t="shared" si="86"/>
        <v/>
      </c>
      <c r="C921" s="55" t="str">
        <f>IF(LEN(TRIM(A921))=0,"",get_string_val(RIGHT(B921,4)))</f>
        <v/>
      </c>
      <c r="D921" t="str">
        <f>IF(LEN(TRIM(A921))=0,"",GetItemValueFromSpecimenHeader("timepoint"))</f>
        <v/>
      </c>
      <c r="E921" t="str">
        <f t="shared" si="87"/>
        <v/>
      </c>
      <c r="F921" t="str">
        <f t="shared" si="88"/>
        <v/>
      </c>
      <c r="G921" t="str">
        <f t="shared" si="84"/>
        <v/>
      </c>
      <c r="H921" t="str">
        <f>IF(LEN(TRIM(A921))=0,"",GetConfigParameterValue("Collection Site"))</f>
        <v/>
      </c>
      <c r="I921" t="str">
        <f t="shared" si="89"/>
        <v/>
      </c>
      <c r="M921" t="str">
        <f>IF(LEN(TRIM(B921))=0,"",IF(ISERROR(VLOOKUP(RIGHT(B921,4),study_demographic!A:A,1,FALSE)),"NOT FOUND!!!", "OK"))</f>
        <v/>
      </c>
    </row>
    <row r="922" spans="1:13" x14ac:dyDescent="0.25">
      <c r="A922" t="str">
        <f t="shared" si="85"/>
        <v/>
      </c>
      <c r="B922" t="str">
        <f t="shared" si="86"/>
        <v/>
      </c>
      <c r="C922" s="55" t="str">
        <f>IF(LEN(TRIM(A922))=0,"",get_string_val(RIGHT(B922,4)))</f>
        <v/>
      </c>
      <c r="D922" t="str">
        <f>IF(LEN(TRIM(A922))=0,"",GetItemValueFromSpecimenHeader("timepoint"))</f>
        <v/>
      </c>
      <c r="E922" t="str">
        <f t="shared" si="87"/>
        <v/>
      </c>
      <c r="F922" t="str">
        <f t="shared" si="88"/>
        <v/>
      </c>
      <c r="G922" t="str">
        <f t="shared" si="84"/>
        <v/>
      </c>
      <c r="H922" t="str">
        <f>IF(LEN(TRIM(A922))=0,"",GetConfigParameterValue("Collection Site"))</f>
        <v/>
      </c>
      <c r="I922" t="str">
        <f t="shared" si="89"/>
        <v/>
      </c>
      <c r="M922" t="str">
        <f>IF(LEN(TRIM(B922))=0,"",IF(ISERROR(VLOOKUP(RIGHT(B922,4),study_demographic!A:A,1,FALSE)),"NOT FOUND!!!", "OK"))</f>
        <v/>
      </c>
    </row>
    <row r="923" spans="1:13" x14ac:dyDescent="0.25">
      <c r="A923" t="str">
        <f t="shared" si="85"/>
        <v/>
      </c>
      <c r="B923" t="str">
        <f t="shared" si="86"/>
        <v/>
      </c>
      <c r="C923" s="55" t="str">
        <f>IF(LEN(TRIM(A923))=0,"",get_string_val(RIGHT(B923,4)))</f>
        <v/>
      </c>
      <c r="D923" t="str">
        <f>IF(LEN(TRIM(A923))=0,"",GetItemValueFromSpecimenHeader("timepoint"))</f>
        <v/>
      </c>
      <c r="E923" t="str">
        <f t="shared" si="87"/>
        <v/>
      </c>
      <c r="F923" t="str">
        <f t="shared" si="88"/>
        <v/>
      </c>
      <c r="G923" t="str">
        <f t="shared" si="84"/>
        <v/>
      </c>
      <c r="H923" t="str">
        <f>IF(LEN(TRIM(A923))=0,"",GetConfigParameterValue("Collection Site"))</f>
        <v/>
      </c>
      <c r="I923" t="str">
        <f t="shared" si="89"/>
        <v/>
      </c>
      <c r="M923" t="str">
        <f>IF(LEN(TRIM(B923))=0,"",IF(ISERROR(VLOOKUP(RIGHT(B923,4),study_demographic!A:A,1,FALSE)),"NOT FOUND!!!", "OK"))</f>
        <v/>
      </c>
    </row>
    <row r="924" spans="1:13" x14ac:dyDescent="0.25">
      <c r="A924" t="str">
        <f t="shared" si="85"/>
        <v/>
      </c>
      <c r="B924" t="str">
        <f t="shared" si="86"/>
        <v/>
      </c>
      <c r="C924" s="55" t="str">
        <f>IF(LEN(TRIM(A924))=0,"",get_string_val(RIGHT(B924,4)))</f>
        <v/>
      </c>
      <c r="D924" t="str">
        <f>IF(LEN(TRIM(A924))=0,"",GetItemValueFromSpecimenHeader("timepoint"))</f>
        <v/>
      </c>
      <c r="E924" t="str">
        <f t="shared" si="87"/>
        <v/>
      </c>
      <c r="F924" t="str">
        <f t="shared" si="88"/>
        <v/>
      </c>
      <c r="G924" t="str">
        <f t="shared" si="84"/>
        <v/>
      </c>
      <c r="H924" t="str">
        <f>IF(LEN(TRIM(A924))=0,"",GetConfigParameterValue("Collection Site"))</f>
        <v/>
      </c>
      <c r="I924" t="str">
        <f t="shared" si="89"/>
        <v/>
      </c>
      <c r="M924" t="str">
        <f>IF(LEN(TRIM(B924))=0,"",IF(ISERROR(VLOOKUP(RIGHT(B924,4),study_demographic!A:A,1,FALSE)),"NOT FOUND!!!", "OK"))</f>
        <v/>
      </c>
    </row>
    <row r="925" spans="1:13" x14ac:dyDescent="0.25">
      <c r="A925" t="str">
        <f t="shared" si="85"/>
        <v/>
      </c>
      <c r="B925" t="str">
        <f t="shared" si="86"/>
        <v/>
      </c>
      <c r="C925" s="55" t="str">
        <f>IF(LEN(TRIM(A925))=0,"",get_string_val(RIGHT(B925,4)))</f>
        <v/>
      </c>
      <c r="D925" t="str">
        <f>IF(LEN(TRIM(A925))=0,"",GetItemValueFromSpecimenHeader("timepoint"))</f>
        <v/>
      </c>
      <c r="E925" t="str">
        <f t="shared" si="87"/>
        <v/>
      </c>
      <c r="F925" t="str">
        <f t="shared" si="88"/>
        <v/>
      </c>
      <c r="G925" t="str">
        <f t="shared" si="84"/>
        <v/>
      </c>
      <c r="H925" t="str">
        <f>IF(LEN(TRIM(A925))=0,"",GetConfigParameterValue("Collection Site"))</f>
        <v/>
      </c>
      <c r="I925" t="str">
        <f t="shared" si="89"/>
        <v/>
      </c>
      <c r="M925" t="str">
        <f>IF(LEN(TRIM(B925))=0,"",IF(ISERROR(VLOOKUP(RIGHT(B925,4),study_demographic!A:A,1,FALSE)),"NOT FOUND!!!", "OK"))</f>
        <v/>
      </c>
    </row>
    <row r="926" spans="1:13" x14ac:dyDescent="0.25">
      <c r="A926" t="str">
        <f t="shared" si="85"/>
        <v/>
      </c>
      <c r="B926" t="str">
        <f t="shared" si="86"/>
        <v/>
      </c>
      <c r="C926" s="55" t="str">
        <f>IF(LEN(TRIM(A926))=0,"",get_string_val(RIGHT(B926,4)))</f>
        <v/>
      </c>
      <c r="D926" t="str">
        <f>IF(LEN(TRIM(A926))=0,"",GetItemValueFromSpecimenHeader("timepoint"))</f>
        <v/>
      </c>
      <c r="E926" t="str">
        <f t="shared" si="87"/>
        <v/>
      </c>
      <c r="F926" t="str">
        <f t="shared" si="88"/>
        <v/>
      </c>
      <c r="G926" t="str">
        <f t="shared" si="84"/>
        <v/>
      </c>
      <c r="H926" t="str">
        <f>IF(LEN(TRIM(A926))=0,"",GetConfigParameterValue("Collection Site"))</f>
        <v/>
      </c>
      <c r="I926" t="str">
        <f t="shared" si="89"/>
        <v/>
      </c>
      <c r="M926" t="str">
        <f>IF(LEN(TRIM(B926))=0,"",IF(ISERROR(VLOOKUP(RIGHT(B926,4),study_demographic!A:A,1,FALSE)),"NOT FOUND!!!", "OK"))</f>
        <v/>
      </c>
    </row>
    <row r="927" spans="1:13" x14ac:dyDescent="0.25">
      <c r="A927" t="str">
        <f t="shared" si="85"/>
        <v/>
      </c>
      <c r="B927" t="str">
        <f t="shared" si="86"/>
        <v/>
      </c>
      <c r="C927" s="55" t="str">
        <f>IF(LEN(TRIM(A927))=0,"",get_string_val(RIGHT(B927,4)))</f>
        <v/>
      </c>
      <c r="D927" t="str">
        <f>IF(LEN(TRIM(A927))=0,"",GetItemValueFromSpecimenHeader("timepoint"))</f>
        <v/>
      </c>
      <c r="E927" t="str">
        <f t="shared" si="87"/>
        <v/>
      </c>
      <c r="F927" t="str">
        <f t="shared" si="88"/>
        <v/>
      </c>
      <c r="G927" t="str">
        <f t="shared" si="84"/>
        <v/>
      </c>
      <c r="H927" t="str">
        <f>IF(LEN(TRIM(A927))=0,"",GetConfigParameterValue("Collection Site"))</f>
        <v/>
      </c>
      <c r="I927" t="str">
        <f t="shared" si="89"/>
        <v/>
      </c>
      <c r="M927" t="str">
        <f>IF(LEN(TRIM(B927))=0,"",IF(ISERROR(VLOOKUP(RIGHT(B927,4),study_demographic!A:A,1,FALSE)),"NOT FOUND!!!", "OK"))</f>
        <v/>
      </c>
    </row>
    <row r="928" spans="1:13" x14ac:dyDescent="0.25">
      <c r="A928" t="str">
        <f t="shared" si="85"/>
        <v/>
      </c>
      <c r="B928" t="str">
        <f t="shared" si="86"/>
        <v/>
      </c>
      <c r="C928" s="55" t="str">
        <f>IF(LEN(TRIM(A928))=0,"",get_string_val(RIGHT(B928,4)))</f>
        <v/>
      </c>
      <c r="D928" t="str">
        <f>IF(LEN(TRIM(A928))=0,"",GetItemValueFromSpecimenHeader("timepoint"))</f>
        <v/>
      </c>
      <c r="E928" t="str">
        <f t="shared" si="87"/>
        <v/>
      </c>
      <c r="F928" t="str">
        <f t="shared" si="88"/>
        <v/>
      </c>
      <c r="G928" t="str">
        <f t="shared" si="84"/>
        <v/>
      </c>
      <c r="H928" t="str">
        <f>IF(LEN(TRIM(A928))=0,"",GetConfigParameterValue("Collection Site"))</f>
        <v/>
      </c>
      <c r="I928" t="str">
        <f t="shared" si="89"/>
        <v/>
      </c>
      <c r="M928" t="str">
        <f>IF(LEN(TRIM(B928))=0,"",IF(ISERROR(VLOOKUP(RIGHT(B928,4),study_demographic!A:A,1,FALSE)),"NOT FOUND!!!", "OK"))</f>
        <v/>
      </c>
    </row>
    <row r="929" spans="1:13" x14ac:dyDescent="0.25">
      <c r="A929" t="str">
        <f t="shared" si="85"/>
        <v/>
      </c>
      <c r="B929" t="str">
        <f t="shared" si="86"/>
        <v/>
      </c>
      <c r="C929" s="55" t="str">
        <f>IF(LEN(TRIM(A929))=0,"",get_string_val(RIGHT(B929,4)))</f>
        <v/>
      </c>
      <c r="D929" t="str">
        <f>IF(LEN(TRIM(A929))=0,"",GetItemValueFromSpecimenHeader("timepoint"))</f>
        <v/>
      </c>
      <c r="E929" t="str">
        <f t="shared" si="87"/>
        <v/>
      </c>
      <c r="F929" t="str">
        <f t="shared" si="88"/>
        <v/>
      </c>
      <c r="G929" t="str">
        <f t="shared" si="84"/>
        <v/>
      </c>
      <c r="H929" t="str">
        <f>IF(LEN(TRIM(A929))=0,"",GetConfigParameterValue("Collection Site"))</f>
        <v/>
      </c>
      <c r="I929" t="str">
        <f t="shared" si="89"/>
        <v/>
      </c>
      <c r="M929" t="str">
        <f>IF(LEN(TRIM(B929))=0,"",IF(ISERROR(VLOOKUP(RIGHT(B929,4),study_demographic!A:A,1,FALSE)),"NOT FOUND!!!", "OK"))</f>
        <v/>
      </c>
    </row>
    <row r="930" spans="1:13" x14ac:dyDescent="0.25">
      <c r="A930" t="str">
        <f t="shared" si="85"/>
        <v/>
      </c>
      <c r="B930" t="str">
        <f t="shared" si="86"/>
        <v/>
      </c>
      <c r="C930" s="55" t="str">
        <f>IF(LEN(TRIM(A930))=0,"",get_string_val(RIGHT(B930,4)))</f>
        <v/>
      </c>
      <c r="D930" t="str">
        <f>IF(LEN(TRIM(A930))=0,"",GetItemValueFromSpecimenHeader("timepoint"))</f>
        <v/>
      </c>
      <c r="E930" t="str">
        <f t="shared" si="87"/>
        <v/>
      </c>
      <c r="F930" t="str">
        <f t="shared" si="88"/>
        <v/>
      </c>
      <c r="G930" t="str">
        <f t="shared" si="84"/>
        <v/>
      </c>
      <c r="H930" t="str">
        <f>IF(LEN(TRIM(A930))=0,"",GetConfigParameterValue("Collection Site"))</f>
        <v/>
      </c>
      <c r="I930" t="str">
        <f t="shared" si="89"/>
        <v/>
      </c>
      <c r="M930" t="str">
        <f>IF(LEN(TRIM(B930))=0,"",IF(ISERROR(VLOOKUP(RIGHT(B930,4),study_demographic!A:A,1,FALSE)),"NOT FOUND!!!", "OK"))</f>
        <v/>
      </c>
    </row>
    <row r="931" spans="1:13" x14ac:dyDescent="0.25">
      <c r="A931" t="str">
        <f t="shared" si="85"/>
        <v/>
      </c>
      <c r="B931" t="str">
        <f t="shared" si="86"/>
        <v/>
      </c>
      <c r="C931" s="55" t="str">
        <f>IF(LEN(TRIM(A931))=0,"",get_string_val(RIGHT(B931,4)))</f>
        <v/>
      </c>
      <c r="D931" t="str">
        <f>IF(LEN(TRIM(A931))=0,"",GetItemValueFromSpecimenHeader("timepoint"))</f>
        <v/>
      </c>
      <c r="E931" t="str">
        <f t="shared" si="87"/>
        <v/>
      </c>
      <c r="F931" t="str">
        <f t="shared" si="88"/>
        <v/>
      </c>
      <c r="G931" t="str">
        <f t="shared" si="84"/>
        <v/>
      </c>
      <c r="H931" t="str">
        <f>IF(LEN(TRIM(A931))=0,"",GetConfigParameterValue("Collection Site"))</f>
        <v/>
      </c>
      <c r="I931" t="str">
        <f t="shared" si="89"/>
        <v/>
      </c>
      <c r="M931" t="str">
        <f>IF(LEN(TRIM(B931))=0,"",IF(ISERROR(VLOOKUP(RIGHT(B931,4),study_demographic!A:A,1,FALSE)),"NOT FOUND!!!", "OK"))</f>
        <v/>
      </c>
    </row>
    <row r="932" spans="1:13" x14ac:dyDescent="0.25">
      <c r="A932" t="str">
        <f t="shared" si="85"/>
        <v/>
      </c>
      <c r="B932" t="str">
        <f t="shared" si="86"/>
        <v/>
      </c>
      <c r="C932" s="55" t="str">
        <f>IF(LEN(TRIM(A932))=0,"",get_string_val(RIGHT(B932,4)))</f>
        <v/>
      </c>
      <c r="D932" t="str">
        <f>IF(LEN(TRIM(A932))=0,"",GetItemValueFromSpecimenHeader("timepoint"))</f>
        <v/>
      </c>
      <c r="E932" t="str">
        <f t="shared" si="87"/>
        <v/>
      </c>
      <c r="F932" t="str">
        <f t="shared" si="88"/>
        <v/>
      </c>
      <c r="G932" t="str">
        <f t="shared" si="84"/>
        <v/>
      </c>
      <c r="H932" t="str">
        <f>IF(LEN(TRIM(A932))=0,"",GetConfigParameterValue("Collection Site"))</f>
        <v/>
      </c>
      <c r="I932" t="str">
        <f t="shared" si="89"/>
        <v/>
      </c>
      <c r="M932" t="str">
        <f>IF(LEN(TRIM(B932))=0,"",IF(ISERROR(VLOOKUP(RIGHT(B932,4),study_demographic!A:A,1,FALSE)),"NOT FOUND!!!", "OK"))</f>
        <v/>
      </c>
    </row>
    <row r="933" spans="1:13" x14ac:dyDescent="0.25">
      <c r="A933" t="str">
        <f t="shared" si="85"/>
        <v/>
      </c>
      <c r="B933" t="str">
        <f t="shared" si="86"/>
        <v/>
      </c>
      <c r="C933" s="55" t="str">
        <f>IF(LEN(TRIM(A933))=0,"",get_string_val(RIGHT(B933,4)))</f>
        <v/>
      </c>
      <c r="D933" t="str">
        <f>IF(LEN(TRIM(A933))=0,"",GetItemValueFromSpecimenHeader("timepoint"))</f>
        <v/>
      </c>
      <c r="E933" t="str">
        <f t="shared" si="87"/>
        <v/>
      </c>
      <c r="F933" t="str">
        <f t="shared" si="88"/>
        <v/>
      </c>
      <c r="G933" t="str">
        <f t="shared" si="84"/>
        <v/>
      </c>
      <c r="H933" t="str">
        <f>IF(LEN(TRIM(A933))=0,"",GetConfigParameterValue("Collection Site"))</f>
        <v/>
      </c>
      <c r="I933" t="str">
        <f t="shared" si="89"/>
        <v/>
      </c>
      <c r="M933" t="str">
        <f>IF(LEN(TRIM(B933))=0,"",IF(ISERROR(VLOOKUP(RIGHT(B933,4),study_demographic!A:A,1,FALSE)),"NOT FOUND!!!", "OK"))</f>
        <v/>
      </c>
    </row>
    <row r="934" spans="1:13" x14ac:dyDescent="0.25">
      <c r="A934" t="str">
        <f t="shared" si="85"/>
        <v/>
      </c>
      <c r="B934" t="str">
        <f t="shared" si="86"/>
        <v/>
      </c>
      <c r="C934" s="55" t="str">
        <f>IF(LEN(TRIM(A934))=0,"",get_string_val(RIGHT(B934,4)))</f>
        <v/>
      </c>
      <c r="D934" t="str">
        <f>IF(LEN(TRIM(A934))=0,"",GetItemValueFromSpecimenHeader("timepoint"))</f>
        <v/>
      </c>
      <c r="E934" t="str">
        <f t="shared" si="87"/>
        <v/>
      </c>
      <c r="F934" t="str">
        <f t="shared" si="88"/>
        <v/>
      </c>
      <c r="G934" t="str">
        <f t="shared" si="84"/>
        <v/>
      </c>
      <c r="H934" t="str">
        <f>IF(LEN(TRIM(A934))=0,"",GetConfigParameterValue("Collection Site"))</f>
        <v/>
      </c>
      <c r="I934" t="str">
        <f t="shared" si="89"/>
        <v/>
      </c>
      <c r="M934" t="str">
        <f>IF(LEN(TRIM(B934))=0,"",IF(ISERROR(VLOOKUP(RIGHT(B934,4),study_demographic!A:A,1,FALSE)),"NOT FOUND!!!", "OK"))</f>
        <v/>
      </c>
    </row>
    <row r="935" spans="1:13" x14ac:dyDescent="0.25">
      <c r="A935" t="str">
        <f t="shared" si="85"/>
        <v/>
      </c>
      <c r="B935" t="str">
        <f t="shared" si="86"/>
        <v/>
      </c>
      <c r="C935" s="55" t="str">
        <f>IF(LEN(TRIM(A935))=0,"",get_string_val(RIGHT(B935,4)))</f>
        <v/>
      </c>
      <c r="D935" t="str">
        <f>IF(LEN(TRIM(A935))=0,"",GetItemValueFromSpecimenHeader("timepoint"))</f>
        <v/>
      </c>
      <c r="E935" t="str">
        <f t="shared" si="87"/>
        <v/>
      </c>
      <c r="F935" t="str">
        <f t="shared" si="88"/>
        <v/>
      </c>
      <c r="G935" t="str">
        <f t="shared" si="84"/>
        <v/>
      </c>
      <c r="H935" t="str">
        <f>IF(LEN(TRIM(A935))=0,"",GetConfigParameterValue("Collection Site"))</f>
        <v/>
      </c>
      <c r="I935" t="str">
        <f t="shared" si="89"/>
        <v/>
      </c>
      <c r="M935" t="str">
        <f>IF(LEN(TRIM(B935))=0,"",IF(ISERROR(VLOOKUP(RIGHT(B935,4),study_demographic!A:A,1,FALSE)),"NOT FOUND!!!", "OK"))</f>
        <v/>
      </c>
    </row>
    <row r="936" spans="1:13" x14ac:dyDescent="0.25">
      <c r="A936" t="str">
        <f t="shared" si="85"/>
        <v/>
      </c>
      <c r="B936" t="str">
        <f t="shared" si="86"/>
        <v/>
      </c>
      <c r="C936" s="55" t="str">
        <f>IF(LEN(TRIM(A936))=0,"",get_string_val(RIGHT(B936,4)))</f>
        <v/>
      </c>
      <c r="D936" t="str">
        <f>IF(LEN(TRIM(A936))=0,"",GetItemValueFromSpecimenHeader("timepoint"))</f>
        <v/>
      </c>
      <c r="E936" t="str">
        <f t="shared" si="87"/>
        <v/>
      </c>
      <c r="F936" t="str">
        <f t="shared" si="88"/>
        <v/>
      </c>
      <c r="G936" t="str">
        <f t="shared" si="84"/>
        <v/>
      </c>
      <c r="H936" t="str">
        <f>IF(LEN(TRIM(A936))=0,"",GetConfigParameterValue("Collection Site"))</f>
        <v/>
      </c>
      <c r="I936" t="str">
        <f t="shared" si="89"/>
        <v/>
      </c>
      <c r="M936" t="str">
        <f>IF(LEN(TRIM(B936))=0,"",IF(ISERROR(VLOOKUP(RIGHT(B936,4),study_demographic!A:A,1,FALSE)),"NOT FOUND!!!", "OK"))</f>
        <v/>
      </c>
    </row>
    <row r="937" spans="1:13" x14ac:dyDescent="0.25">
      <c r="A937" t="str">
        <f t="shared" si="85"/>
        <v/>
      </c>
      <c r="B937" t="str">
        <f t="shared" si="86"/>
        <v/>
      </c>
      <c r="C937" s="55" t="str">
        <f>IF(LEN(TRIM(A937))=0,"",get_string_val(RIGHT(B937,4)))</f>
        <v/>
      </c>
      <c r="D937" t="str">
        <f>IF(LEN(TRIM(A937))=0,"",GetItemValueFromSpecimenHeader("timepoint"))</f>
        <v/>
      </c>
      <c r="E937" t="str">
        <f t="shared" si="87"/>
        <v/>
      </c>
      <c r="F937" t="str">
        <f t="shared" si="88"/>
        <v/>
      </c>
      <c r="G937" t="str">
        <f t="shared" si="84"/>
        <v/>
      </c>
      <c r="H937" t="str">
        <f>IF(LEN(TRIM(A937))=0,"",GetConfigParameterValue("Collection Site"))</f>
        <v/>
      </c>
      <c r="I937" t="str">
        <f t="shared" si="89"/>
        <v/>
      </c>
      <c r="M937" t="str">
        <f>IF(LEN(TRIM(B937))=0,"",IF(ISERROR(VLOOKUP(RIGHT(B937,4),study_demographic!A:A,1,FALSE)),"NOT FOUND!!!", "OK"))</f>
        <v/>
      </c>
    </row>
    <row r="938" spans="1:13" x14ac:dyDescent="0.25">
      <c r="A938" t="str">
        <f t="shared" si="85"/>
        <v/>
      </c>
      <c r="B938" t="str">
        <f t="shared" si="86"/>
        <v/>
      </c>
      <c r="C938" s="55" t="str">
        <f>IF(LEN(TRIM(A938))=0,"",get_string_val(RIGHT(B938,4)))</f>
        <v/>
      </c>
      <c r="D938" t="str">
        <f>IF(LEN(TRIM(A938))=0,"",GetItemValueFromSpecimenHeader("timepoint"))</f>
        <v/>
      </c>
      <c r="E938" t="str">
        <f t="shared" si="87"/>
        <v/>
      </c>
      <c r="F938" t="str">
        <f t="shared" si="88"/>
        <v/>
      </c>
      <c r="G938" t="str">
        <f t="shared" si="84"/>
        <v/>
      </c>
      <c r="H938" t="str">
        <f>IF(LEN(TRIM(A938))=0,"",GetConfigParameterValue("Collection Site"))</f>
        <v/>
      </c>
      <c r="I938" t="str">
        <f t="shared" si="89"/>
        <v/>
      </c>
      <c r="M938" t="str">
        <f>IF(LEN(TRIM(B938))=0,"",IF(ISERROR(VLOOKUP(RIGHT(B938,4),study_demographic!A:A,1,FALSE)),"NOT FOUND!!!", "OK"))</f>
        <v/>
      </c>
    </row>
    <row r="939" spans="1:13" x14ac:dyDescent="0.25">
      <c r="A939" t="str">
        <f t="shared" si="85"/>
        <v/>
      </c>
      <c r="B939" t="str">
        <f t="shared" si="86"/>
        <v/>
      </c>
      <c r="C939" s="55" t="str">
        <f>IF(LEN(TRIM(A939))=0,"",get_string_val(RIGHT(B939,4)))</f>
        <v/>
      </c>
      <c r="D939" t="str">
        <f>IF(LEN(TRIM(A939))=0,"",GetItemValueFromSpecimenHeader("timepoint"))</f>
        <v/>
      </c>
      <c r="E939" t="str">
        <f t="shared" si="87"/>
        <v/>
      </c>
      <c r="F939" t="str">
        <f t="shared" si="88"/>
        <v/>
      </c>
      <c r="G939" t="str">
        <f t="shared" si="84"/>
        <v/>
      </c>
      <c r="H939" t="str">
        <f>IF(LEN(TRIM(A939))=0,"",GetConfigParameterValue("Collection Site"))</f>
        <v/>
      </c>
      <c r="I939" t="str">
        <f t="shared" si="89"/>
        <v/>
      </c>
      <c r="M939" t="str">
        <f>IF(LEN(TRIM(B939))=0,"",IF(ISERROR(VLOOKUP(RIGHT(B939,4),study_demographic!A:A,1,FALSE)),"NOT FOUND!!!", "OK"))</f>
        <v/>
      </c>
    </row>
    <row r="940" spans="1:13" x14ac:dyDescent="0.25">
      <c r="A940" t="str">
        <f t="shared" si="85"/>
        <v/>
      </c>
      <c r="B940" t="str">
        <f t="shared" si="86"/>
        <v/>
      </c>
      <c r="C940" s="55" t="str">
        <f>IF(LEN(TRIM(A940))=0,"",get_string_val(RIGHT(B940,4)))</f>
        <v/>
      </c>
      <c r="D940" t="str">
        <f>IF(LEN(TRIM(A940))=0,"",GetItemValueFromSpecimenHeader("timepoint"))</f>
        <v/>
      </c>
      <c r="E940" t="str">
        <f t="shared" si="87"/>
        <v/>
      </c>
      <c r="F940" t="str">
        <f t="shared" si="88"/>
        <v/>
      </c>
      <c r="G940" t="str">
        <f t="shared" si="84"/>
        <v/>
      </c>
      <c r="H940" t="str">
        <f>IF(LEN(TRIM(A940))=0,"",GetConfigParameterValue("Collection Site"))</f>
        <v/>
      </c>
      <c r="I940" t="str">
        <f t="shared" si="89"/>
        <v/>
      </c>
      <c r="M940" t="str">
        <f>IF(LEN(TRIM(B940))=0,"",IF(ISERROR(VLOOKUP(RIGHT(B940,4),study_demographic!A:A,1,FALSE)),"NOT FOUND!!!", "OK"))</f>
        <v/>
      </c>
    </row>
    <row r="941" spans="1:13" x14ac:dyDescent="0.25">
      <c r="A941" t="str">
        <f t="shared" si="85"/>
        <v/>
      </c>
      <c r="B941" t="str">
        <f t="shared" si="86"/>
        <v/>
      </c>
      <c r="C941" s="55" t="str">
        <f>IF(LEN(TRIM(A941))=0,"",get_string_val(RIGHT(B941,4)))</f>
        <v/>
      </c>
      <c r="D941" t="str">
        <f>IF(LEN(TRIM(A941))=0,"",GetItemValueFromSpecimenHeader("timepoint"))</f>
        <v/>
      </c>
      <c r="E941" t="str">
        <f t="shared" si="87"/>
        <v/>
      </c>
      <c r="F941" t="str">
        <f t="shared" si="88"/>
        <v/>
      </c>
      <c r="G941" t="str">
        <f t="shared" si="84"/>
        <v/>
      </c>
      <c r="H941" t="str">
        <f>IF(LEN(TRIM(A941))=0,"",GetConfigParameterValue("Collection Site"))</f>
        <v/>
      </c>
      <c r="I941" t="str">
        <f t="shared" si="89"/>
        <v/>
      </c>
      <c r="M941" t="str">
        <f>IF(LEN(TRIM(B941))=0,"",IF(ISERROR(VLOOKUP(RIGHT(B941,4),study_demographic!A:A,1,FALSE)),"NOT FOUND!!!", "OK"))</f>
        <v/>
      </c>
    </row>
    <row r="942" spans="1:13" x14ac:dyDescent="0.25">
      <c r="A942" t="str">
        <f t="shared" si="85"/>
        <v/>
      </c>
      <c r="B942" t="str">
        <f t="shared" si="86"/>
        <v/>
      </c>
      <c r="C942" s="55" t="str">
        <f>IF(LEN(TRIM(A942))=0,"",get_string_val(RIGHT(B942,4)))</f>
        <v/>
      </c>
      <c r="D942" t="str">
        <f>IF(LEN(TRIM(A942))=0,"",GetItemValueFromSpecimenHeader("timepoint"))</f>
        <v/>
      </c>
      <c r="E942" t="str">
        <f t="shared" si="87"/>
        <v/>
      </c>
      <c r="F942" t="str">
        <f t="shared" si="88"/>
        <v/>
      </c>
      <c r="G942" t="str">
        <f t="shared" si="84"/>
        <v/>
      </c>
      <c r="H942" t="str">
        <f>IF(LEN(TRIM(A942))=0,"",GetConfigParameterValue("Collection Site"))</f>
        <v/>
      </c>
      <c r="I942" t="str">
        <f t="shared" si="89"/>
        <v/>
      </c>
      <c r="M942" t="str">
        <f>IF(LEN(TRIM(B942))=0,"",IF(ISERROR(VLOOKUP(RIGHT(B942,4),study_demographic!A:A,1,FALSE)),"NOT FOUND!!!", "OK"))</f>
        <v/>
      </c>
    </row>
    <row r="943" spans="1:13" x14ac:dyDescent="0.25">
      <c r="A943" t="str">
        <f t="shared" si="85"/>
        <v/>
      </c>
      <c r="B943" t="str">
        <f t="shared" si="86"/>
        <v/>
      </c>
      <c r="C943" s="55" t="str">
        <f>IF(LEN(TRIM(A943))=0,"",get_string_val(RIGHT(B943,4)))</f>
        <v/>
      </c>
      <c r="D943" t="str">
        <f>IF(LEN(TRIM(A943))=0,"",GetItemValueFromSpecimenHeader("timepoint"))</f>
        <v/>
      </c>
      <c r="E943" t="str">
        <f t="shared" si="87"/>
        <v/>
      </c>
      <c r="F943" t="str">
        <f t="shared" si="88"/>
        <v/>
      </c>
      <c r="G943" t="str">
        <f t="shared" si="84"/>
        <v/>
      </c>
      <c r="H943" t="str">
        <f>IF(LEN(TRIM(A943))=0,"",GetConfigParameterValue("Collection Site"))</f>
        <v/>
      </c>
      <c r="I943" t="str">
        <f t="shared" si="89"/>
        <v/>
      </c>
      <c r="M943" t="str">
        <f>IF(LEN(TRIM(B943))=0,"",IF(ISERROR(VLOOKUP(RIGHT(B943,4),study_demographic!A:A,1,FALSE)),"NOT FOUND!!!", "OK"))</f>
        <v/>
      </c>
    </row>
    <row r="944" spans="1:13" x14ac:dyDescent="0.25">
      <c r="A944" t="str">
        <f t="shared" si="85"/>
        <v/>
      </c>
      <c r="B944" t="str">
        <f t="shared" si="86"/>
        <v/>
      </c>
      <c r="C944" s="55" t="str">
        <f>IF(LEN(TRIM(A944))=0,"",get_string_val(RIGHT(B944,4)))</f>
        <v/>
      </c>
      <c r="D944" t="str">
        <f>IF(LEN(TRIM(A944))=0,"",GetItemValueFromSpecimenHeader("timepoint"))</f>
        <v/>
      </c>
      <c r="E944" t="str">
        <f t="shared" si="87"/>
        <v/>
      </c>
      <c r="F944" t="str">
        <f t="shared" si="88"/>
        <v/>
      </c>
      <c r="G944" t="str">
        <f t="shared" si="84"/>
        <v/>
      </c>
      <c r="H944" t="str">
        <f>IF(LEN(TRIM(A944))=0,"",GetConfigParameterValue("Collection Site"))</f>
        <v/>
      </c>
      <c r="I944" t="str">
        <f t="shared" si="89"/>
        <v/>
      </c>
      <c r="M944" t="str">
        <f>IF(LEN(TRIM(B944))=0,"",IF(ISERROR(VLOOKUP(RIGHT(B944,4),study_demographic!A:A,1,FALSE)),"NOT FOUND!!!", "OK"))</f>
        <v/>
      </c>
    </row>
    <row r="945" spans="1:13" x14ac:dyDescent="0.25">
      <c r="A945" t="str">
        <f t="shared" si="85"/>
        <v/>
      </c>
      <c r="B945" t="str">
        <f t="shared" si="86"/>
        <v/>
      </c>
      <c r="C945" s="55" t="str">
        <f>IF(LEN(TRIM(A945))=0,"",get_string_val(RIGHT(B945,4)))</f>
        <v/>
      </c>
      <c r="D945" t="str">
        <f>IF(LEN(TRIM(A945))=0,"",GetItemValueFromSpecimenHeader("timepoint"))</f>
        <v/>
      </c>
      <c r="E945" t="str">
        <f t="shared" si="87"/>
        <v/>
      </c>
      <c r="F945" t="str">
        <f t="shared" si="88"/>
        <v/>
      </c>
      <c r="G945" t="str">
        <f t="shared" si="84"/>
        <v/>
      </c>
      <c r="H945" t="str">
        <f>IF(LEN(TRIM(A945))=0,"",GetConfigParameterValue("Collection Site"))</f>
        <v/>
      </c>
      <c r="I945" t="str">
        <f t="shared" si="89"/>
        <v/>
      </c>
      <c r="M945" t="str">
        <f>IF(LEN(TRIM(B945))=0,"",IF(ISERROR(VLOOKUP(RIGHT(B945,4),study_demographic!A:A,1,FALSE)),"NOT FOUND!!!", "OK"))</f>
        <v/>
      </c>
    </row>
    <row r="946" spans="1:13" x14ac:dyDescent="0.25">
      <c r="A946" t="str">
        <f t="shared" si="85"/>
        <v/>
      </c>
      <c r="B946" t="str">
        <f t="shared" si="86"/>
        <v/>
      </c>
      <c r="C946" s="55" t="str">
        <f>IF(LEN(TRIM(A946))=0,"",get_string_val(RIGHT(B946,4)))</f>
        <v/>
      </c>
      <c r="D946" t="str">
        <f>IF(LEN(TRIM(A946))=0,"",GetItemValueFromSpecimenHeader("timepoint"))</f>
        <v/>
      </c>
      <c r="E946" t="str">
        <f t="shared" si="87"/>
        <v/>
      </c>
      <c r="F946" t="str">
        <f t="shared" si="88"/>
        <v/>
      </c>
      <c r="G946" t="str">
        <f t="shared" si="84"/>
        <v/>
      </c>
      <c r="H946" t="str">
        <f>IF(LEN(TRIM(A946))=0,"",GetConfigParameterValue("Collection Site"))</f>
        <v/>
      </c>
      <c r="I946" t="str">
        <f t="shared" si="89"/>
        <v/>
      </c>
      <c r="M946" t="str">
        <f>IF(LEN(TRIM(B946))=0,"",IF(ISERROR(VLOOKUP(RIGHT(B946,4),study_demographic!A:A,1,FALSE)),"NOT FOUND!!!", "OK"))</f>
        <v/>
      </c>
    </row>
    <row r="947" spans="1:13" x14ac:dyDescent="0.25">
      <c r="A947" t="str">
        <f t="shared" si="85"/>
        <v/>
      </c>
      <c r="B947" t="str">
        <f t="shared" si="86"/>
        <v/>
      </c>
      <c r="C947" s="55" t="str">
        <f>IF(LEN(TRIM(A947))=0,"",get_string_val(RIGHT(B947,4)))</f>
        <v/>
      </c>
      <c r="D947" t="str">
        <f>IF(LEN(TRIM(A947))=0,"",GetItemValueFromSpecimenHeader("timepoint"))</f>
        <v/>
      </c>
      <c r="E947" t="str">
        <f t="shared" si="87"/>
        <v/>
      </c>
      <c r="F947" t="str">
        <f t="shared" si="88"/>
        <v/>
      </c>
      <c r="G947" t="str">
        <f t="shared" si="84"/>
        <v/>
      </c>
      <c r="H947" t="str">
        <f>IF(LEN(TRIM(A947))=0,"",GetConfigParameterValue("Collection Site"))</f>
        <v/>
      </c>
      <c r="I947" t="str">
        <f t="shared" si="89"/>
        <v/>
      </c>
      <c r="M947" t="str">
        <f>IF(LEN(TRIM(B947))=0,"",IF(ISERROR(VLOOKUP(RIGHT(B947,4),study_demographic!A:A,1,FALSE)),"NOT FOUND!!!", "OK"))</f>
        <v/>
      </c>
    </row>
    <row r="948" spans="1:13" x14ac:dyDescent="0.25">
      <c r="A948" t="str">
        <f t="shared" si="85"/>
        <v/>
      </c>
      <c r="B948" t="str">
        <f t="shared" si="86"/>
        <v/>
      </c>
      <c r="C948" s="55" t="str">
        <f>IF(LEN(TRIM(A948))=0,"",get_string_val(RIGHT(B948,4)))</f>
        <v/>
      </c>
      <c r="D948" t="str">
        <f>IF(LEN(TRIM(A948))=0,"",GetItemValueFromSpecimenHeader("timepoint"))</f>
        <v/>
      </c>
      <c r="E948" t="str">
        <f t="shared" si="87"/>
        <v/>
      </c>
      <c r="F948" t="str">
        <f t="shared" si="88"/>
        <v/>
      </c>
      <c r="G948" t="str">
        <f t="shared" si="84"/>
        <v/>
      </c>
      <c r="H948" t="str">
        <f>IF(LEN(TRIM(A948))=0,"",GetConfigParameterValue("Collection Site"))</f>
        <v/>
      </c>
      <c r="I948" t="str">
        <f t="shared" si="89"/>
        <v/>
      </c>
      <c r="M948" t="str">
        <f>IF(LEN(TRIM(B948))=0,"",IF(ISERROR(VLOOKUP(RIGHT(B948,4),study_demographic!A:A,1,FALSE)),"NOT FOUND!!!", "OK"))</f>
        <v/>
      </c>
    </row>
    <row r="949" spans="1:13" x14ac:dyDescent="0.25">
      <c r="A949" t="str">
        <f t="shared" si="85"/>
        <v/>
      </c>
      <c r="B949" t="str">
        <f t="shared" si="86"/>
        <v/>
      </c>
      <c r="C949" s="55" t="str">
        <f>IF(LEN(TRIM(A949))=0,"",get_string_val(RIGHT(B949,4)))</f>
        <v/>
      </c>
      <c r="D949" t="str">
        <f>IF(LEN(TRIM(A949))=0,"",GetItemValueFromSpecimenHeader("timepoint"))</f>
        <v/>
      </c>
      <c r="E949" t="str">
        <f t="shared" si="87"/>
        <v/>
      </c>
      <c r="F949" t="str">
        <f t="shared" si="88"/>
        <v/>
      </c>
      <c r="G949" t="str">
        <f t="shared" si="84"/>
        <v/>
      </c>
      <c r="H949" t="str">
        <f>IF(LEN(TRIM(A949))=0,"",GetConfigParameterValue("Collection Site"))</f>
        <v/>
      </c>
      <c r="I949" t="str">
        <f t="shared" si="89"/>
        <v/>
      </c>
      <c r="M949" t="str">
        <f>IF(LEN(TRIM(B949))=0,"",IF(ISERROR(VLOOKUP(RIGHT(B949,4),study_demographic!A:A,1,FALSE)),"NOT FOUND!!!", "OK"))</f>
        <v/>
      </c>
    </row>
    <row r="950" spans="1:13" x14ac:dyDescent="0.25">
      <c r="A950" t="str">
        <f t="shared" si="85"/>
        <v/>
      </c>
      <c r="B950" t="str">
        <f t="shared" si="86"/>
        <v/>
      </c>
      <c r="C950" s="55" t="str">
        <f>IF(LEN(TRIM(A950))=0,"",get_string_val(RIGHT(B950,4)))</f>
        <v/>
      </c>
      <c r="D950" t="str">
        <f>IF(LEN(TRIM(A950))=0,"",GetItemValueFromSpecimenHeader("timepoint"))</f>
        <v/>
      </c>
      <c r="E950" t="str">
        <f t="shared" si="87"/>
        <v/>
      </c>
      <c r="F950" t="str">
        <f t="shared" si="88"/>
        <v/>
      </c>
      <c r="G950" t="str">
        <f t="shared" si="84"/>
        <v/>
      </c>
      <c r="H950" t="str">
        <f>IF(LEN(TRIM(A950))=0,"",GetConfigParameterValue("Collection Site"))</f>
        <v/>
      </c>
      <c r="I950" t="str">
        <f t="shared" si="89"/>
        <v/>
      </c>
      <c r="M950" t="str">
        <f>IF(LEN(TRIM(B950))=0,"",IF(ISERROR(VLOOKUP(RIGHT(B950,4),study_demographic!A:A,1,FALSE)),"NOT FOUND!!!", "OK"))</f>
        <v/>
      </c>
    </row>
    <row r="951" spans="1:13" x14ac:dyDescent="0.25">
      <c r="A951" t="str">
        <f t="shared" si="85"/>
        <v/>
      </c>
      <c r="B951" t="str">
        <f t="shared" si="86"/>
        <v/>
      </c>
      <c r="C951" s="55" t="str">
        <f>IF(LEN(TRIM(A951))=0,"",get_string_val(RIGHT(B951,4)))</f>
        <v/>
      </c>
      <c r="D951" t="str">
        <f>IF(LEN(TRIM(A951))=0,"",GetItemValueFromSpecimenHeader("timepoint"))</f>
        <v/>
      </c>
      <c r="E951" t="str">
        <f t="shared" si="87"/>
        <v/>
      </c>
      <c r="F951" t="str">
        <f t="shared" si="88"/>
        <v/>
      </c>
      <c r="G951" t="str">
        <f t="shared" si="84"/>
        <v/>
      </c>
      <c r="H951" t="str">
        <f>IF(LEN(TRIM(A951))=0,"",GetConfigParameterValue("Collection Site"))</f>
        <v/>
      </c>
      <c r="I951" t="str">
        <f t="shared" si="89"/>
        <v/>
      </c>
      <c r="M951" t="str">
        <f>IF(LEN(TRIM(B951))=0,"",IF(ISERROR(VLOOKUP(RIGHT(B951,4),study_demographic!A:A,1,FALSE)),"NOT FOUND!!!", "OK"))</f>
        <v/>
      </c>
    </row>
    <row r="952" spans="1:13" x14ac:dyDescent="0.25">
      <c r="A952" t="str">
        <f t="shared" si="85"/>
        <v/>
      </c>
      <c r="B952" t="str">
        <f t="shared" si="86"/>
        <v/>
      </c>
      <c r="C952" s="55" t="str">
        <f>IF(LEN(TRIM(A952))=0,"",get_string_val(RIGHT(B952,4)))</f>
        <v/>
      </c>
      <c r="D952" t="str">
        <f>IF(LEN(TRIM(A952))=0,"",GetItemValueFromSpecimenHeader("timepoint"))</f>
        <v/>
      </c>
      <c r="E952" t="str">
        <f t="shared" si="87"/>
        <v/>
      </c>
      <c r="F952" t="str">
        <f t="shared" si="88"/>
        <v/>
      </c>
      <c r="G952" t="str">
        <f t="shared" si="84"/>
        <v/>
      </c>
      <c r="H952" t="str">
        <f>IF(LEN(TRIM(A952))=0,"",GetConfigParameterValue("Collection Site"))</f>
        <v/>
      </c>
      <c r="I952" t="str">
        <f t="shared" si="89"/>
        <v/>
      </c>
      <c r="M952" t="str">
        <f>IF(LEN(TRIM(B952))=0,"",IF(ISERROR(VLOOKUP(RIGHT(B952,4),study_demographic!A:A,1,FALSE)),"NOT FOUND!!!", "OK"))</f>
        <v/>
      </c>
    </row>
    <row r="953" spans="1:13" x14ac:dyDescent="0.25">
      <c r="A953" t="str">
        <f t="shared" si="85"/>
        <v/>
      </c>
      <c r="B953" t="str">
        <f t="shared" si="86"/>
        <v/>
      </c>
      <c r="C953" s="55" t="str">
        <f>IF(LEN(TRIM(A953))=0,"",get_string_val(RIGHT(B953,4)))</f>
        <v/>
      </c>
      <c r="D953" t="str">
        <f>IF(LEN(TRIM(A953))=0,"",GetItemValueFromSpecimenHeader("timepoint"))</f>
        <v/>
      </c>
      <c r="E953" t="str">
        <f t="shared" si="87"/>
        <v/>
      </c>
      <c r="F953" t="str">
        <f t="shared" si="88"/>
        <v/>
      </c>
      <c r="G953" t="str">
        <f t="shared" si="84"/>
        <v/>
      </c>
      <c r="H953" t="str">
        <f>IF(LEN(TRIM(A953))=0,"",GetConfigParameterValue("Collection Site"))</f>
        <v/>
      </c>
      <c r="I953" t="str">
        <f t="shared" si="89"/>
        <v/>
      </c>
      <c r="M953" t="str">
        <f>IF(LEN(TRIM(B953))=0,"",IF(ISERROR(VLOOKUP(RIGHT(B953,4),study_demographic!A:A,1,FALSE)),"NOT FOUND!!!", "OK"))</f>
        <v/>
      </c>
    </row>
    <row r="954" spans="1:13" x14ac:dyDescent="0.25">
      <c r="A954" t="str">
        <f t="shared" si="85"/>
        <v/>
      </c>
      <c r="B954" t="str">
        <f t="shared" si="86"/>
        <v/>
      </c>
      <c r="C954" s="55" t="str">
        <f>IF(LEN(TRIM(A954))=0,"",get_string_val(RIGHT(B954,4)))</f>
        <v/>
      </c>
      <c r="D954" t="str">
        <f>IF(LEN(TRIM(A954))=0,"",GetItemValueFromSpecimenHeader("timepoint"))</f>
        <v/>
      </c>
      <c r="E954" t="str">
        <f t="shared" si="87"/>
        <v/>
      </c>
      <c r="F954" t="str">
        <f t="shared" si="88"/>
        <v/>
      </c>
      <c r="G954" t="str">
        <f t="shared" si="84"/>
        <v/>
      </c>
      <c r="H954" t="str">
        <f>IF(LEN(TRIM(A954))=0,"",GetConfigParameterValue("Collection Site"))</f>
        <v/>
      </c>
      <c r="I954" t="str">
        <f t="shared" si="89"/>
        <v/>
      </c>
      <c r="M954" t="str">
        <f>IF(LEN(TRIM(B954))=0,"",IF(ISERROR(VLOOKUP(RIGHT(B954,4),study_demographic!A:A,1,FALSE)),"NOT FOUND!!!", "OK"))</f>
        <v/>
      </c>
    </row>
    <row r="955" spans="1:13" x14ac:dyDescent="0.25">
      <c r="A955" t="str">
        <f t="shared" si="85"/>
        <v/>
      </c>
      <c r="B955" t="str">
        <f t="shared" si="86"/>
        <v/>
      </c>
      <c r="C955" s="55" t="str">
        <f>IF(LEN(TRIM(A955))=0,"",get_string_val(RIGHT(B955,4)))</f>
        <v/>
      </c>
      <c r="D955" t="str">
        <f>IF(LEN(TRIM(A955))=0,"",GetItemValueFromSpecimenHeader("timepoint"))</f>
        <v/>
      </c>
      <c r="E955" t="str">
        <f t="shared" si="87"/>
        <v/>
      </c>
      <c r="F955" t="str">
        <f t="shared" si="88"/>
        <v/>
      </c>
      <c r="G955" t="str">
        <f t="shared" si="84"/>
        <v/>
      </c>
      <c r="H955" t="str">
        <f>IF(LEN(TRIM(A955))=0,"",GetConfigParameterValue("Collection Site"))</f>
        <v/>
      </c>
      <c r="I955" t="str">
        <f t="shared" si="89"/>
        <v/>
      </c>
      <c r="M955" t="str">
        <f>IF(LEN(TRIM(B955))=0,"",IF(ISERROR(VLOOKUP(RIGHT(B955,4),study_demographic!A:A,1,FALSE)),"NOT FOUND!!!", "OK"))</f>
        <v/>
      </c>
    </row>
    <row r="956" spans="1:13" x14ac:dyDescent="0.25">
      <c r="A956" t="str">
        <f t="shared" si="85"/>
        <v/>
      </c>
      <c r="B956" t="str">
        <f t="shared" si="86"/>
        <v/>
      </c>
      <c r="C956" s="55" t="str">
        <f>IF(LEN(TRIM(A956))=0,"",get_string_val(RIGHT(B956,4)))</f>
        <v/>
      </c>
      <c r="D956" t="str">
        <f>IF(LEN(TRIM(A956))=0,"",GetItemValueFromSpecimenHeader("timepoint"))</f>
        <v/>
      </c>
      <c r="E956" t="str">
        <f t="shared" si="87"/>
        <v/>
      </c>
      <c r="F956" t="str">
        <f t="shared" si="88"/>
        <v/>
      </c>
      <c r="G956" t="str">
        <f t="shared" si="84"/>
        <v/>
      </c>
      <c r="H956" t="str">
        <f>IF(LEN(TRIM(A956))=0,"",GetConfigParameterValue("Collection Site"))</f>
        <v/>
      </c>
      <c r="I956" t="str">
        <f t="shared" si="89"/>
        <v/>
      </c>
      <c r="M956" t="str">
        <f>IF(LEN(TRIM(B956))=0,"",IF(ISERROR(VLOOKUP(RIGHT(B956,4),study_demographic!A:A,1,FALSE)),"NOT FOUND!!!", "OK"))</f>
        <v/>
      </c>
    </row>
    <row r="957" spans="1:13" x14ac:dyDescent="0.25">
      <c r="A957" t="str">
        <f t="shared" si="85"/>
        <v/>
      </c>
      <c r="B957" t="str">
        <f t="shared" si="86"/>
        <v/>
      </c>
      <c r="C957" s="55" t="str">
        <f>IF(LEN(TRIM(A957))=0,"",get_string_val(RIGHT(B957,4)))</f>
        <v/>
      </c>
      <c r="D957" t="str">
        <f>IF(LEN(TRIM(A957))=0,"",GetItemValueFromSpecimenHeader("timepoint"))</f>
        <v/>
      </c>
      <c r="E957" t="str">
        <f t="shared" si="87"/>
        <v/>
      </c>
      <c r="F957" t="str">
        <f t="shared" si="88"/>
        <v/>
      </c>
      <c r="G957" t="str">
        <f t="shared" si="84"/>
        <v/>
      </c>
      <c r="H957" t="str">
        <f>IF(LEN(TRIM(A957))=0,"",GetConfigParameterValue("Collection Site"))</f>
        <v/>
      </c>
      <c r="I957" t="str">
        <f t="shared" si="89"/>
        <v/>
      </c>
      <c r="M957" t="str">
        <f>IF(LEN(TRIM(B957))=0,"",IF(ISERROR(VLOOKUP(RIGHT(B957,4),study_demographic!A:A,1,FALSE)),"NOT FOUND!!!", "OK"))</f>
        <v/>
      </c>
    </row>
    <row r="958" spans="1:13" x14ac:dyDescent="0.25">
      <c r="A958" t="str">
        <f t="shared" si="85"/>
        <v/>
      </c>
      <c r="B958" t="str">
        <f t="shared" si="86"/>
        <v/>
      </c>
      <c r="C958" s="55" t="str">
        <f>IF(LEN(TRIM(A958))=0,"",get_string_val(RIGHT(B958,4)))</f>
        <v/>
      </c>
      <c r="D958" t="str">
        <f>IF(LEN(TRIM(A958))=0,"",GetItemValueFromSpecimenHeader("timepoint"))</f>
        <v/>
      </c>
      <c r="E958" t="str">
        <f t="shared" si="87"/>
        <v/>
      </c>
      <c r="F958" t="str">
        <f t="shared" si="88"/>
        <v/>
      </c>
      <c r="G958" t="str">
        <f t="shared" si="84"/>
        <v/>
      </c>
      <c r="H958" t="str">
        <f>IF(LEN(TRIM(A958))=0,"",GetConfigParameterValue("Collection Site"))</f>
        <v/>
      </c>
      <c r="I958" t="str">
        <f t="shared" si="89"/>
        <v/>
      </c>
      <c r="M958" t="str">
        <f>IF(LEN(TRIM(B958))=0,"",IF(ISERROR(VLOOKUP(RIGHT(B958,4),study_demographic!A:A,1,FALSE)),"NOT FOUND!!!", "OK"))</f>
        <v/>
      </c>
    </row>
    <row r="959" spans="1:13" x14ac:dyDescent="0.25">
      <c r="A959" t="str">
        <f t="shared" si="85"/>
        <v/>
      </c>
      <c r="B959" t="str">
        <f t="shared" si="86"/>
        <v/>
      </c>
      <c r="C959" s="55" t="str">
        <f>IF(LEN(TRIM(A959))=0,"",get_string_val(RIGHT(B959,4)))</f>
        <v/>
      </c>
      <c r="D959" t="str">
        <f>IF(LEN(TRIM(A959))=0,"",GetItemValueFromSpecimenHeader("timepoint"))</f>
        <v/>
      </c>
      <c r="E959" t="str">
        <f t="shared" si="87"/>
        <v/>
      </c>
      <c r="F959" t="str">
        <f t="shared" si="88"/>
        <v/>
      </c>
      <c r="G959" t="str">
        <f t="shared" si="84"/>
        <v/>
      </c>
      <c r="H959" t="str">
        <f>IF(LEN(TRIM(A959))=0,"",GetConfigParameterValue("Collection Site"))</f>
        <v/>
      </c>
      <c r="I959" t="str">
        <f t="shared" si="89"/>
        <v/>
      </c>
      <c r="M959" t="str">
        <f>IF(LEN(TRIM(B959))=0,"",IF(ISERROR(VLOOKUP(RIGHT(B959,4),study_demographic!A:A,1,FALSE)),"NOT FOUND!!!", "OK"))</f>
        <v/>
      </c>
    </row>
    <row r="960" spans="1:13" x14ac:dyDescent="0.25">
      <c r="A960" t="str">
        <f t="shared" si="85"/>
        <v/>
      </c>
      <c r="B960" t="str">
        <f t="shared" si="86"/>
        <v/>
      </c>
      <c r="C960" s="55" t="str">
        <f>IF(LEN(TRIM(A960))=0,"",get_string_val(RIGHT(B960,4)))</f>
        <v/>
      </c>
      <c r="D960" t="str">
        <f>IF(LEN(TRIM(A960))=0,"",GetItemValueFromSpecimenHeader("timepoint"))</f>
        <v/>
      </c>
      <c r="E960" t="str">
        <f t="shared" si="87"/>
        <v/>
      </c>
      <c r="F960" t="str">
        <f t="shared" si="88"/>
        <v/>
      </c>
      <c r="G960" t="str">
        <f t="shared" si="84"/>
        <v/>
      </c>
      <c r="H960" t="str">
        <f>IF(LEN(TRIM(A960))=0,"",GetConfigParameterValue("Collection Site"))</f>
        <v/>
      </c>
      <c r="I960" t="str">
        <f t="shared" si="89"/>
        <v/>
      </c>
      <c r="M960" t="str">
        <f>IF(LEN(TRIM(B960))=0,"",IF(ISERROR(VLOOKUP(RIGHT(B960,4),study_demographic!A:A,1,FALSE)),"NOT FOUND!!!", "OK"))</f>
        <v/>
      </c>
    </row>
    <row r="961" spans="1:13" x14ac:dyDescent="0.25">
      <c r="A961" t="str">
        <f t="shared" si="85"/>
        <v/>
      </c>
      <c r="B961" t="str">
        <f t="shared" si="86"/>
        <v/>
      </c>
      <c r="C961" s="55" t="str">
        <f>IF(LEN(TRIM(A961))=0,"",get_string_val(RIGHT(B961,4)))</f>
        <v/>
      </c>
      <c r="D961" t="str">
        <f>IF(LEN(TRIM(A961))=0,"",GetItemValueFromSpecimenHeader("timepoint"))</f>
        <v/>
      </c>
      <c r="E961" t="str">
        <f t="shared" si="87"/>
        <v/>
      </c>
      <c r="F961" t="str">
        <f t="shared" si="88"/>
        <v/>
      </c>
      <c r="G961" t="str">
        <f t="shared" si="84"/>
        <v/>
      </c>
      <c r="H961" t="str">
        <f>IF(LEN(TRIM(A961))=0,"",GetConfigParameterValue("Collection Site"))</f>
        <v/>
      </c>
      <c r="I961" t="str">
        <f t="shared" si="89"/>
        <v/>
      </c>
      <c r="M961" t="str">
        <f>IF(LEN(TRIM(B961))=0,"",IF(ISERROR(VLOOKUP(RIGHT(B961,4),study_demographic!A:A,1,FALSE)),"NOT FOUND!!!", "OK"))</f>
        <v/>
      </c>
    </row>
    <row r="962" spans="1:13" x14ac:dyDescent="0.25">
      <c r="A962" t="str">
        <f t="shared" si="85"/>
        <v/>
      </c>
      <c r="B962" t="str">
        <f t="shared" si="86"/>
        <v/>
      </c>
      <c r="C962" s="55" t="str">
        <f>IF(LEN(TRIM(A962))=0,"",get_string_val(RIGHT(B962,4)))</f>
        <v/>
      </c>
      <c r="D962" t="str">
        <f>IF(LEN(TRIM(A962))=0,"",GetItemValueFromSpecimenHeader("timepoint"))</f>
        <v/>
      </c>
      <c r="E962" t="str">
        <f t="shared" si="87"/>
        <v/>
      </c>
      <c r="F962" t="str">
        <f t="shared" si="88"/>
        <v/>
      </c>
      <c r="G962" t="str">
        <f t="shared" ref="G962:G1001" si="90">IF(LEN(TRIM(A962))=0,"",IF(TRIM(F962)="1","Male", IF(TRIM(F962)="2","Female", "NA")))</f>
        <v/>
      </c>
      <c r="H962" t="str">
        <f>IF(LEN(TRIM(A962))=0,"",GetConfigParameterValue("Collection Site"))</f>
        <v/>
      </c>
      <c r="I962" t="str">
        <f t="shared" si="89"/>
        <v/>
      </c>
      <c r="M962" t="str">
        <f>IF(LEN(TRIM(B962))=0,"",IF(ISERROR(VLOOKUP(RIGHT(B962,4),study_demographic!A:A,1,FALSE)),"NOT FOUND!!!", "OK"))</f>
        <v/>
      </c>
    </row>
    <row r="963" spans="1:13" x14ac:dyDescent="0.25">
      <c r="A963" t="str">
        <f t="shared" ref="A963:A1001" si="91">GetSampleId((ROW()))</f>
        <v/>
      </c>
      <c r="B963" t="str">
        <f t="shared" ref="B963:B1001" si="92">IF(LEN(TRIM(A963))=0,"",LEFT(A963,7))</f>
        <v/>
      </c>
      <c r="C963" s="55" t="str">
        <f>IF(LEN(TRIM(A963))=0,"",get_string_val(RIGHT(B963,4)))</f>
        <v/>
      </c>
      <c r="D963" t="str">
        <f>IF(LEN(TRIM(A963))=0,"",GetItemValueFromSpecimenHeader("timepoint"))</f>
        <v/>
      </c>
      <c r="E963" t="str">
        <f t="shared" ref="E963:E1001" si="93">getColumnValueBySubjectID("Age",RIGHT(B963,4))</f>
        <v/>
      </c>
      <c r="F963" t="str">
        <f t="shared" ref="F963:F1001" si="94">getColumnValueBySubjectID("Sex",RIGHT(B963,4))</f>
        <v/>
      </c>
      <c r="G963" t="str">
        <f t="shared" si="90"/>
        <v/>
      </c>
      <c r="H963" t="str">
        <f>IF(LEN(TRIM(A963))=0,"",GetConfigParameterValue("Collection Site"))</f>
        <v/>
      </c>
      <c r="I963" t="str">
        <f t="shared" ref="I963:I1001" si="95">getColumnValueBySubjectID("Comments",B963)</f>
        <v/>
      </c>
      <c r="M963" t="str">
        <f>IF(LEN(TRIM(B963))=0,"",IF(ISERROR(VLOOKUP(RIGHT(B963,4),study_demographic!A:A,1,FALSE)),"NOT FOUND!!!", "OK"))</f>
        <v/>
      </c>
    </row>
    <row r="964" spans="1:13" x14ac:dyDescent="0.25">
      <c r="A964" t="str">
        <f t="shared" si="91"/>
        <v/>
      </c>
      <c r="B964" t="str">
        <f t="shared" si="92"/>
        <v/>
      </c>
      <c r="C964" s="55" t="str">
        <f>IF(LEN(TRIM(A964))=0,"",get_string_val(RIGHT(B964,4)))</f>
        <v/>
      </c>
      <c r="D964" t="str">
        <f>IF(LEN(TRIM(A964))=0,"",GetItemValueFromSpecimenHeader("timepoint"))</f>
        <v/>
      </c>
      <c r="E964" t="str">
        <f t="shared" si="93"/>
        <v/>
      </c>
      <c r="F964" t="str">
        <f t="shared" si="94"/>
        <v/>
      </c>
      <c r="G964" t="str">
        <f t="shared" si="90"/>
        <v/>
      </c>
      <c r="H964" t="str">
        <f>IF(LEN(TRIM(A964))=0,"",GetConfigParameterValue("Collection Site"))</f>
        <v/>
      </c>
      <c r="I964" t="str">
        <f t="shared" si="95"/>
        <v/>
      </c>
      <c r="M964" t="str">
        <f>IF(LEN(TRIM(B964))=0,"",IF(ISERROR(VLOOKUP(RIGHT(B964,4),study_demographic!A:A,1,FALSE)),"NOT FOUND!!!", "OK"))</f>
        <v/>
      </c>
    </row>
    <row r="965" spans="1:13" x14ac:dyDescent="0.25">
      <c r="A965" t="str">
        <f t="shared" si="91"/>
        <v/>
      </c>
      <c r="B965" t="str">
        <f t="shared" si="92"/>
        <v/>
      </c>
      <c r="C965" s="55" t="str">
        <f>IF(LEN(TRIM(A965))=0,"",get_string_val(RIGHT(B965,4)))</f>
        <v/>
      </c>
      <c r="D965" t="str">
        <f>IF(LEN(TRIM(A965))=0,"",GetItemValueFromSpecimenHeader("timepoint"))</f>
        <v/>
      </c>
      <c r="E965" t="str">
        <f t="shared" si="93"/>
        <v/>
      </c>
      <c r="F965" t="str">
        <f t="shared" si="94"/>
        <v/>
      </c>
      <c r="G965" t="str">
        <f t="shared" si="90"/>
        <v/>
      </c>
      <c r="H965" t="str">
        <f>IF(LEN(TRIM(A965))=0,"",GetConfigParameterValue("Collection Site"))</f>
        <v/>
      </c>
      <c r="I965" t="str">
        <f t="shared" si="95"/>
        <v/>
      </c>
      <c r="M965" t="str">
        <f>IF(LEN(TRIM(B965))=0,"",IF(ISERROR(VLOOKUP(RIGHT(B965,4),study_demographic!A:A,1,FALSE)),"NOT FOUND!!!", "OK"))</f>
        <v/>
      </c>
    </row>
    <row r="966" spans="1:13" x14ac:dyDescent="0.25">
      <c r="A966" t="str">
        <f t="shared" si="91"/>
        <v/>
      </c>
      <c r="B966" t="str">
        <f t="shared" si="92"/>
        <v/>
      </c>
      <c r="C966" s="55" t="str">
        <f>IF(LEN(TRIM(A966))=0,"",get_string_val(RIGHT(B966,4)))</f>
        <v/>
      </c>
      <c r="D966" t="str">
        <f>IF(LEN(TRIM(A966))=0,"",GetItemValueFromSpecimenHeader("timepoint"))</f>
        <v/>
      </c>
      <c r="E966" t="str">
        <f t="shared" si="93"/>
        <v/>
      </c>
      <c r="F966" t="str">
        <f t="shared" si="94"/>
        <v/>
      </c>
      <c r="G966" t="str">
        <f t="shared" si="90"/>
        <v/>
      </c>
      <c r="H966" t="str">
        <f>IF(LEN(TRIM(A966))=0,"",GetConfigParameterValue("Collection Site"))</f>
        <v/>
      </c>
      <c r="I966" t="str">
        <f t="shared" si="95"/>
        <v/>
      </c>
      <c r="M966" t="str">
        <f>IF(LEN(TRIM(B966))=0,"",IF(ISERROR(VLOOKUP(RIGHT(B966,4),study_demographic!A:A,1,FALSE)),"NOT FOUND!!!", "OK"))</f>
        <v/>
      </c>
    </row>
    <row r="967" spans="1:13" x14ac:dyDescent="0.25">
      <c r="A967" t="str">
        <f t="shared" si="91"/>
        <v/>
      </c>
      <c r="B967" t="str">
        <f t="shared" si="92"/>
        <v/>
      </c>
      <c r="C967" s="55" t="str">
        <f>IF(LEN(TRIM(A967))=0,"",get_string_val(RIGHT(B967,4)))</f>
        <v/>
      </c>
      <c r="D967" t="str">
        <f>IF(LEN(TRIM(A967))=0,"",GetItemValueFromSpecimenHeader("timepoint"))</f>
        <v/>
      </c>
      <c r="E967" t="str">
        <f t="shared" si="93"/>
        <v/>
      </c>
      <c r="F967" t="str">
        <f t="shared" si="94"/>
        <v/>
      </c>
      <c r="G967" t="str">
        <f t="shared" si="90"/>
        <v/>
      </c>
      <c r="H967" t="str">
        <f>IF(LEN(TRIM(A967))=0,"",GetConfigParameterValue("Collection Site"))</f>
        <v/>
      </c>
      <c r="I967" t="str">
        <f t="shared" si="95"/>
        <v/>
      </c>
      <c r="M967" t="str">
        <f>IF(LEN(TRIM(B967))=0,"",IF(ISERROR(VLOOKUP(RIGHT(B967,4),study_demographic!A:A,1,FALSE)),"NOT FOUND!!!", "OK"))</f>
        <v/>
      </c>
    </row>
    <row r="968" spans="1:13" x14ac:dyDescent="0.25">
      <c r="A968" t="str">
        <f t="shared" si="91"/>
        <v/>
      </c>
      <c r="B968" t="str">
        <f t="shared" si="92"/>
        <v/>
      </c>
      <c r="C968" s="55" t="str">
        <f>IF(LEN(TRIM(A968))=0,"",get_string_val(RIGHT(B968,4)))</f>
        <v/>
      </c>
      <c r="D968" t="str">
        <f>IF(LEN(TRIM(A968))=0,"",GetItemValueFromSpecimenHeader("timepoint"))</f>
        <v/>
      </c>
      <c r="E968" t="str">
        <f t="shared" si="93"/>
        <v/>
      </c>
      <c r="F968" t="str">
        <f t="shared" si="94"/>
        <v/>
      </c>
      <c r="G968" t="str">
        <f t="shared" si="90"/>
        <v/>
      </c>
      <c r="H968" t="str">
        <f>IF(LEN(TRIM(A968))=0,"",GetConfigParameterValue("Collection Site"))</f>
        <v/>
      </c>
      <c r="I968" t="str">
        <f t="shared" si="95"/>
        <v/>
      </c>
      <c r="M968" t="str">
        <f>IF(LEN(TRIM(B968))=0,"",IF(ISERROR(VLOOKUP(RIGHT(B968,4),study_demographic!A:A,1,FALSE)),"NOT FOUND!!!", "OK"))</f>
        <v/>
      </c>
    </row>
    <row r="969" spans="1:13" x14ac:dyDescent="0.25">
      <c r="A969" t="str">
        <f t="shared" si="91"/>
        <v/>
      </c>
      <c r="B969" t="str">
        <f t="shared" si="92"/>
        <v/>
      </c>
      <c r="C969" s="55" t="str">
        <f>IF(LEN(TRIM(A969))=0,"",get_string_val(RIGHT(B969,4)))</f>
        <v/>
      </c>
      <c r="D969" t="str">
        <f>IF(LEN(TRIM(A969))=0,"",GetItemValueFromSpecimenHeader("timepoint"))</f>
        <v/>
      </c>
      <c r="E969" t="str">
        <f t="shared" si="93"/>
        <v/>
      </c>
      <c r="F969" t="str">
        <f t="shared" si="94"/>
        <v/>
      </c>
      <c r="G969" t="str">
        <f t="shared" si="90"/>
        <v/>
      </c>
      <c r="H969" t="str">
        <f>IF(LEN(TRIM(A969))=0,"",GetConfigParameterValue("Collection Site"))</f>
        <v/>
      </c>
      <c r="I969" t="str">
        <f t="shared" si="95"/>
        <v/>
      </c>
      <c r="M969" t="str">
        <f>IF(LEN(TRIM(B969))=0,"",IF(ISERROR(VLOOKUP(RIGHT(B969,4),study_demographic!A:A,1,FALSE)),"NOT FOUND!!!", "OK"))</f>
        <v/>
      </c>
    </row>
    <row r="970" spans="1:13" x14ac:dyDescent="0.25">
      <c r="A970" t="str">
        <f t="shared" si="91"/>
        <v/>
      </c>
      <c r="B970" t="str">
        <f t="shared" si="92"/>
        <v/>
      </c>
      <c r="C970" s="55" t="str">
        <f>IF(LEN(TRIM(A970))=0,"",get_string_val(RIGHT(B970,4)))</f>
        <v/>
      </c>
      <c r="D970" t="str">
        <f>IF(LEN(TRIM(A970))=0,"",GetItemValueFromSpecimenHeader("timepoint"))</f>
        <v/>
      </c>
      <c r="E970" t="str">
        <f t="shared" si="93"/>
        <v/>
      </c>
      <c r="F970" t="str">
        <f t="shared" si="94"/>
        <v/>
      </c>
      <c r="G970" t="str">
        <f t="shared" si="90"/>
        <v/>
      </c>
      <c r="H970" t="str">
        <f>IF(LEN(TRIM(A970))=0,"",GetConfigParameterValue("Collection Site"))</f>
        <v/>
      </c>
      <c r="I970" t="str">
        <f t="shared" si="95"/>
        <v/>
      </c>
      <c r="M970" t="str">
        <f>IF(LEN(TRIM(B970))=0,"",IF(ISERROR(VLOOKUP(RIGHT(B970,4),study_demographic!A:A,1,FALSE)),"NOT FOUND!!!", "OK"))</f>
        <v/>
      </c>
    </row>
    <row r="971" spans="1:13" x14ac:dyDescent="0.25">
      <c r="A971" t="str">
        <f t="shared" si="91"/>
        <v/>
      </c>
      <c r="B971" t="str">
        <f t="shared" si="92"/>
        <v/>
      </c>
      <c r="C971" s="55" t="str">
        <f>IF(LEN(TRIM(A971))=0,"",get_string_val(RIGHT(B971,4)))</f>
        <v/>
      </c>
      <c r="D971" t="str">
        <f>IF(LEN(TRIM(A971))=0,"",GetItemValueFromSpecimenHeader("timepoint"))</f>
        <v/>
      </c>
      <c r="E971" t="str">
        <f t="shared" si="93"/>
        <v/>
      </c>
      <c r="F971" t="str">
        <f t="shared" si="94"/>
        <v/>
      </c>
      <c r="G971" t="str">
        <f t="shared" si="90"/>
        <v/>
      </c>
      <c r="H971" t="str">
        <f>IF(LEN(TRIM(A971))=0,"",GetConfigParameterValue("Collection Site"))</f>
        <v/>
      </c>
      <c r="I971" t="str">
        <f t="shared" si="95"/>
        <v/>
      </c>
      <c r="M971" t="str">
        <f>IF(LEN(TRIM(B971))=0,"",IF(ISERROR(VLOOKUP(RIGHT(B971,4),study_demographic!A:A,1,FALSE)),"NOT FOUND!!!", "OK"))</f>
        <v/>
      </c>
    </row>
    <row r="972" spans="1:13" x14ac:dyDescent="0.25">
      <c r="A972" t="str">
        <f t="shared" si="91"/>
        <v/>
      </c>
      <c r="B972" t="str">
        <f t="shared" si="92"/>
        <v/>
      </c>
      <c r="C972" s="55" t="str">
        <f>IF(LEN(TRIM(A972))=0,"",get_string_val(RIGHT(B972,4)))</f>
        <v/>
      </c>
      <c r="D972" t="str">
        <f>IF(LEN(TRIM(A972))=0,"",GetItemValueFromSpecimenHeader("timepoint"))</f>
        <v/>
      </c>
      <c r="E972" t="str">
        <f t="shared" si="93"/>
        <v/>
      </c>
      <c r="F972" t="str">
        <f t="shared" si="94"/>
        <v/>
      </c>
      <c r="G972" t="str">
        <f t="shared" si="90"/>
        <v/>
      </c>
      <c r="H972" t="str">
        <f>IF(LEN(TRIM(A972))=0,"",GetConfigParameterValue("Collection Site"))</f>
        <v/>
      </c>
      <c r="I972" t="str">
        <f t="shared" si="95"/>
        <v/>
      </c>
      <c r="M972" t="str">
        <f>IF(LEN(TRIM(B972))=0,"",IF(ISERROR(VLOOKUP(RIGHT(B972,4),study_demographic!A:A,1,FALSE)),"NOT FOUND!!!", "OK"))</f>
        <v/>
      </c>
    </row>
    <row r="973" spans="1:13" x14ac:dyDescent="0.25">
      <c r="A973" t="str">
        <f t="shared" si="91"/>
        <v/>
      </c>
      <c r="B973" t="str">
        <f t="shared" si="92"/>
        <v/>
      </c>
      <c r="C973" s="55" t="str">
        <f>IF(LEN(TRIM(A973))=0,"",get_string_val(RIGHT(B973,4)))</f>
        <v/>
      </c>
      <c r="D973" t="str">
        <f>IF(LEN(TRIM(A973))=0,"",GetItemValueFromSpecimenHeader("timepoint"))</f>
        <v/>
      </c>
      <c r="E973" t="str">
        <f t="shared" si="93"/>
        <v/>
      </c>
      <c r="F973" t="str">
        <f t="shared" si="94"/>
        <v/>
      </c>
      <c r="G973" t="str">
        <f t="shared" si="90"/>
        <v/>
      </c>
      <c r="H973" t="str">
        <f>IF(LEN(TRIM(A973))=0,"",GetConfigParameterValue("Collection Site"))</f>
        <v/>
      </c>
      <c r="I973" t="str">
        <f t="shared" si="95"/>
        <v/>
      </c>
      <c r="M973" t="str">
        <f>IF(LEN(TRIM(B973))=0,"",IF(ISERROR(VLOOKUP(RIGHT(B973,4),study_demographic!A:A,1,FALSE)),"NOT FOUND!!!", "OK"))</f>
        <v/>
      </c>
    </row>
    <row r="974" spans="1:13" x14ac:dyDescent="0.25">
      <c r="A974" t="str">
        <f t="shared" si="91"/>
        <v/>
      </c>
      <c r="B974" t="str">
        <f t="shared" si="92"/>
        <v/>
      </c>
      <c r="C974" s="55" t="str">
        <f>IF(LEN(TRIM(A974))=0,"",get_string_val(RIGHT(B974,4)))</f>
        <v/>
      </c>
      <c r="D974" t="str">
        <f>IF(LEN(TRIM(A974))=0,"",GetItemValueFromSpecimenHeader("timepoint"))</f>
        <v/>
      </c>
      <c r="E974" t="str">
        <f t="shared" si="93"/>
        <v/>
      </c>
      <c r="F974" t="str">
        <f t="shared" si="94"/>
        <v/>
      </c>
      <c r="G974" t="str">
        <f t="shared" si="90"/>
        <v/>
      </c>
      <c r="H974" t="str">
        <f>IF(LEN(TRIM(A974))=0,"",GetConfigParameterValue("Collection Site"))</f>
        <v/>
      </c>
      <c r="I974" t="str">
        <f t="shared" si="95"/>
        <v/>
      </c>
      <c r="M974" t="str">
        <f>IF(LEN(TRIM(B974))=0,"",IF(ISERROR(VLOOKUP(RIGHT(B974,4),study_demographic!A:A,1,FALSE)),"NOT FOUND!!!", "OK"))</f>
        <v/>
      </c>
    </row>
    <row r="975" spans="1:13" x14ac:dyDescent="0.25">
      <c r="A975" t="str">
        <f t="shared" si="91"/>
        <v/>
      </c>
      <c r="B975" t="str">
        <f t="shared" si="92"/>
        <v/>
      </c>
      <c r="C975" s="55" t="str">
        <f>IF(LEN(TRIM(A975))=0,"",get_string_val(RIGHT(B975,4)))</f>
        <v/>
      </c>
      <c r="D975" t="str">
        <f>IF(LEN(TRIM(A975))=0,"",GetItemValueFromSpecimenHeader("timepoint"))</f>
        <v/>
      </c>
      <c r="E975" t="str">
        <f t="shared" si="93"/>
        <v/>
      </c>
      <c r="F975" t="str">
        <f t="shared" si="94"/>
        <v/>
      </c>
      <c r="G975" t="str">
        <f t="shared" si="90"/>
        <v/>
      </c>
      <c r="H975" t="str">
        <f>IF(LEN(TRIM(A975))=0,"",GetConfigParameterValue("Collection Site"))</f>
        <v/>
      </c>
      <c r="I975" t="str">
        <f t="shared" si="95"/>
        <v/>
      </c>
      <c r="M975" t="str">
        <f>IF(LEN(TRIM(B975))=0,"",IF(ISERROR(VLOOKUP(RIGHT(B975,4),study_demographic!A:A,1,FALSE)),"NOT FOUND!!!", "OK"))</f>
        <v/>
      </c>
    </row>
    <row r="976" spans="1:13" x14ac:dyDescent="0.25">
      <c r="A976" t="str">
        <f t="shared" si="91"/>
        <v/>
      </c>
      <c r="B976" t="str">
        <f t="shared" si="92"/>
        <v/>
      </c>
      <c r="C976" s="55" t="str">
        <f>IF(LEN(TRIM(A976))=0,"",get_string_val(RIGHT(B976,4)))</f>
        <v/>
      </c>
      <c r="D976" t="str">
        <f>IF(LEN(TRIM(A976))=0,"",GetItemValueFromSpecimenHeader("timepoint"))</f>
        <v/>
      </c>
      <c r="E976" t="str">
        <f t="shared" si="93"/>
        <v/>
      </c>
      <c r="F976" t="str">
        <f t="shared" si="94"/>
        <v/>
      </c>
      <c r="G976" t="str">
        <f t="shared" si="90"/>
        <v/>
      </c>
      <c r="H976" t="str">
        <f>IF(LEN(TRIM(A976))=0,"",GetConfigParameterValue("Collection Site"))</f>
        <v/>
      </c>
      <c r="I976" t="str">
        <f t="shared" si="95"/>
        <v/>
      </c>
      <c r="M976" t="str">
        <f>IF(LEN(TRIM(B976))=0,"",IF(ISERROR(VLOOKUP(RIGHT(B976,4),study_demographic!A:A,1,FALSE)),"NOT FOUND!!!", "OK"))</f>
        <v/>
      </c>
    </row>
    <row r="977" spans="1:13" x14ac:dyDescent="0.25">
      <c r="A977" t="str">
        <f t="shared" si="91"/>
        <v/>
      </c>
      <c r="B977" t="str">
        <f t="shared" si="92"/>
        <v/>
      </c>
      <c r="C977" s="55" t="str">
        <f>IF(LEN(TRIM(A977))=0,"",get_string_val(RIGHT(B977,4)))</f>
        <v/>
      </c>
      <c r="D977" t="str">
        <f>IF(LEN(TRIM(A977))=0,"",GetItemValueFromSpecimenHeader("timepoint"))</f>
        <v/>
      </c>
      <c r="E977" t="str">
        <f t="shared" si="93"/>
        <v/>
      </c>
      <c r="F977" t="str">
        <f t="shared" si="94"/>
        <v/>
      </c>
      <c r="G977" t="str">
        <f t="shared" si="90"/>
        <v/>
      </c>
      <c r="H977" t="str">
        <f>IF(LEN(TRIM(A977))=0,"",GetConfigParameterValue("Collection Site"))</f>
        <v/>
      </c>
      <c r="I977" t="str">
        <f t="shared" si="95"/>
        <v/>
      </c>
      <c r="M977" t="str">
        <f>IF(LEN(TRIM(B977))=0,"",IF(ISERROR(VLOOKUP(RIGHT(B977,4),study_demographic!A:A,1,FALSE)),"NOT FOUND!!!", "OK"))</f>
        <v/>
      </c>
    </row>
    <row r="978" spans="1:13" x14ac:dyDescent="0.25">
      <c r="A978" t="str">
        <f t="shared" si="91"/>
        <v/>
      </c>
      <c r="B978" t="str">
        <f t="shared" si="92"/>
        <v/>
      </c>
      <c r="C978" s="55" t="str">
        <f>IF(LEN(TRIM(A978))=0,"",get_string_val(RIGHT(B978,4)))</f>
        <v/>
      </c>
      <c r="D978" t="str">
        <f>IF(LEN(TRIM(A978))=0,"",GetItemValueFromSpecimenHeader("timepoint"))</f>
        <v/>
      </c>
      <c r="E978" t="str">
        <f t="shared" si="93"/>
        <v/>
      </c>
      <c r="F978" t="str">
        <f t="shared" si="94"/>
        <v/>
      </c>
      <c r="G978" t="str">
        <f t="shared" si="90"/>
        <v/>
      </c>
      <c r="H978" t="str">
        <f>IF(LEN(TRIM(A978))=0,"",GetConfigParameterValue("Collection Site"))</f>
        <v/>
      </c>
      <c r="I978" t="str">
        <f t="shared" si="95"/>
        <v/>
      </c>
      <c r="M978" t="str">
        <f>IF(LEN(TRIM(B978))=0,"",IF(ISERROR(VLOOKUP(RIGHT(B978,4),study_demographic!A:A,1,FALSE)),"NOT FOUND!!!", "OK"))</f>
        <v/>
      </c>
    </row>
    <row r="979" spans="1:13" x14ac:dyDescent="0.25">
      <c r="A979" t="str">
        <f t="shared" si="91"/>
        <v/>
      </c>
      <c r="B979" t="str">
        <f t="shared" si="92"/>
        <v/>
      </c>
      <c r="C979" s="55" t="str">
        <f>IF(LEN(TRIM(A979))=0,"",get_string_val(RIGHT(B979,4)))</f>
        <v/>
      </c>
      <c r="D979" t="str">
        <f>IF(LEN(TRIM(A979))=0,"",GetItemValueFromSpecimenHeader("timepoint"))</f>
        <v/>
      </c>
      <c r="E979" t="str">
        <f t="shared" si="93"/>
        <v/>
      </c>
      <c r="F979" t="str">
        <f t="shared" si="94"/>
        <v/>
      </c>
      <c r="G979" t="str">
        <f t="shared" si="90"/>
        <v/>
      </c>
      <c r="H979" t="str">
        <f>IF(LEN(TRIM(A979))=0,"",GetConfigParameterValue("Collection Site"))</f>
        <v/>
      </c>
      <c r="I979" t="str">
        <f t="shared" si="95"/>
        <v/>
      </c>
      <c r="M979" t="str">
        <f>IF(LEN(TRIM(B979))=0,"",IF(ISERROR(VLOOKUP(RIGHT(B979,4),study_demographic!A:A,1,FALSE)),"NOT FOUND!!!", "OK"))</f>
        <v/>
      </c>
    </row>
    <row r="980" spans="1:13" x14ac:dyDescent="0.25">
      <c r="A980" t="str">
        <f t="shared" si="91"/>
        <v/>
      </c>
      <c r="B980" t="str">
        <f t="shared" si="92"/>
        <v/>
      </c>
      <c r="C980" s="55" t="str">
        <f>IF(LEN(TRIM(A980))=0,"",get_string_val(RIGHT(B980,4)))</f>
        <v/>
      </c>
      <c r="D980" t="str">
        <f>IF(LEN(TRIM(A980))=0,"",GetItemValueFromSpecimenHeader("timepoint"))</f>
        <v/>
      </c>
      <c r="E980" t="str">
        <f t="shared" si="93"/>
        <v/>
      </c>
      <c r="F980" t="str">
        <f t="shared" si="94"/>
        <v/>
      </c>
      <c r="G980" t="str">
        <f t="shared" si="90"/>
        <v/>
      </c>
      <c r="H980" t="str">
        <f>IF(LEN(TRIM(A980))=0,"",GetConfigParameterValue("Collection Site"))</f>
        <v/>
      </c>
      <c r="I980" t="str">
        <f t="shared" si="95"/>
        <v/>
      </c>
      <c r="M980" t="str">
        <f>IF(LEN(TRIM(B980))=0,"",IF(ISERROR(VLOOKUP(RIGHT(B980,4),study_demographic!A:A,1,FALSE)),"NOT FOUND!!!", "OK"))</f>
        <v/>
      </c>
    </row>
    <row r="981" spans="1:13" x14ac:dyDescent="0.25">
      <c r="A981" t="str">
        <f t="shared" si="91"/>
        <v/>
      </c>
      <c r="B981" t="str">
        <f t="shared" si="92"/>
        <v/>
      </c>
      <c r="C981" s="55" t="str">
        <f>IF(LEN(TRIM(A981))=0,"",get_string_val(RIGHT(B981,4)))</f>
        <v/>
      </c>
      <c r="D981" t="str">
        <f>IF(LEN(TRIM(A981))=0,"",GetItemValueFromSpecimenHeader("timepoint"))</f>
        <v/>
      </c>
      <c r="E981" t="str">
        <f t="shared" si="93"/>
        <v/>
      </c>
      <c r="F981" t="str">
        <f t="shared" si="94"/>
        <v/>
      </c>
      <c r="G981" t="str">
        <f t="shared" si="90"/>
        <v/>
      </c>
      <c r="H981" t="str">
        <f>IF(LEN(TRIM(A981))=0,"",GetConfigParameterValue("Collection Site"))</f>
        <v/>
      </c>
      <c r="I981" t="str">
        <f t="shared" si="95"/>
        <v/>
      </c>
      <c r="M981" t="str">
        <f>IF(LEN(TRIM(B981))=0,"",IF(ISERROR(VLOOKUP(RIGHT(B981,4),study_demographic!A:A,1,FALSE)),"NOT FOUND!!!", "OK"))</f>
        <v/>
      </c>
    </row>
    <row r="982" spans="1:13" x14ac:dyDescent="0.25">
      <c r="A982" t="str">
        <f t="shared" si="91"/>
        <v/>
      </c>
      <c r="B982" t="str">
        <f t="shared" si="92"/>
        <v/>
      </c>
      <c r="C982" s="55" t="str">
        <f>IF(LEN(TRIM(A982))=0,"",get_string_val(RIGHT(B982,4)))</f>
        <v/>
      </c>
      <c r="D982" t="str">
        <f>IF(LEN(TRIM(A982))=0,"",GetItemValueFromSpecimenHeader("timepoint"))</f>
        <v/>
      </c>
      <c r="E982" t="str">
        <f t="shared" si="93"/>
        <v/>
      </c>
      <c r="F982" t="str">
        <f t="shared" si="94"/>
        <v/>
      </c>
      <c r="G982" t="str">
        <f t="shared" si="90"/>
        <v/>
      </c>
      <c r="H982" t="str">
        <f>IF(LEN(TRIM(A982))=0,"",GetConfigParameterValue("Collection Site"))</f>
        <v/>
      </c>
      <c r="I982" t="str">
        <f t="shared" si="95"/>
        <v/>
      </c>
      <c r="M982" t="str">
        <f>IF(LEN(TRIM(B982))=0,"",IF(ISERROR(VLOOKUP(RIGHT(B982,4),study_demographic!A:A,1,FALSE)),"NOT FOUND!!!", "OK"))</f>
        <v/>
      </c>
    </row>
    <row r="983" spans="1:13" x14ac:dyDescent="0.25">
      <c r="A983" t="str">
        <f t="shared" si="91"/>
        <v/>
      </c>
      <c r="B983" t="str">
        <f t="shared" si="92"/>
        <v/>
      </c>
      <c r="C983" s="55" t="str">
        <f>IF(LEN(TRIM(A983))=0,"",get_string_val(RIGHT(B983,4)))</f>
        <v/>
      </c>
      <c r="D983" t="str">
        <f>IF(LEN(TRIM(A983))=0,"",GetItemValueFromSpecimenHeader("timepoint"))</f>
        <v/>
      </c>
      <c r="E983" t="str">
        <f t="shared" si="93"/>
        <v/>
      </c>
      <c r="F983" t="str">
        <f t="shared" si="94"/>
        <v/>
      </c>
      <c r="G983" t="str">
        <f t="shared" si="90"/>
        <v/>
      </c>
      <c r="H983" t="str">
        <f>IF(LEN(TRIM(A983))=0,"",GetConfigParameterValue("Collection Site"))</f>
        <v/>
      </c>
      <c r="I983" t="str">
        <f t="shared" si="95"/>
        <v/>
      </c>
      <c r="M983" t="str">
        <f>IF(LEN(TRIM(B983))=0,"",IF(ISERROR(VLOOKUP(RIGHT(B983,4),study_demographic!A:A,1,FALSE)),"NOT FOUND!!!", "OK"))</f>
        <v/>
      </c>
    </row>
    <row r="984" spans="1:13" x14ac:dyDescent="0.25">
      <c r="A984" t="str">
        <f t="shared" si="91"/>
        <v/>
      </c>
      <c r="B984" t="str">
        <f t="shared" si="92"/>
        <v/>
      </c>
      <c r="C984" s="55" t="str">
        <f>IF(LEN(TRIM(A984))=0,"",get_string_val(RIGHT(B984,4)))</f>
        <v/>
      </c>
      <c r="D984" t="str">
        <f>IF(LEN(TRIM(A984))=0,"",GetItemValueFromSpecimenHeader("timepoint"))</f>
        <v/>
      </c>
      <c r="E984" t="str">
        <f t="shared" si="93"/>
        <v/>
      </c>
      <c r="F984" t="str">
        <f t="shared" si="94"/>
        <v/>
      </c>
      <c r="G984" t="str">
        <f t="shared" si="90"/>
        <v/>
      </c>
      <c r="H984" t="str">
        <f>IF(LEN(TRIM(A984))=0,"",GetConfigParameterValue("Collection Site"))</f>
        <v/>
      </c>
      <c r="I984" t="str">
        <f t="shared" si="95"/>
        <v/>
      </c>
      <c r="M984" t="str">
        <f>IF(LEN(TRIM(B984))=0,"",IF(ISERROR(VLOOKUP(RIGHT(B984,4),study_demographic!A:A,1,FALSE)),"NOT FOUND!!!", "OK"))</f>
        <v/>
      </c>
    </row>
    <row r="985" spans="1:13" x14ac:dyDescent="0.25">
      <c r="A985" t="str">
        <f t="shared" si="91"/>
        <v/>
      </c>
      <c r="B985" t="str">
        <f t="shared" si="92"/>
        <v/>
      </c>
      <c r="C985" s="55" t="str">
        <f>IF(LEN(TRIM(A985))=0,"",get_string_val(RIGHT(B985,4)))</f>
        <v/>
      </c>
      <c r="D985" t="str">
        <f>IF(LEN(TRIM(A985))=0,"",GetItemValueFromSpecimenHeader("timepoint"))</f>
        <v/>
      </c>
      <c r="E985" t="str">
        <f t="shared" si="93"/>
        <v/>
      </c>
      <c r="F985" t="str">
        <f t="shared" si="94"/>
        <v/>
      </c>
      <c r="G985" t="str">
        <f t="shared" si="90"/>
        <v/>
      </c>
      <c r="H985" t="str">
        <f>IF(LEN(TRIM(A985))=0,"",GetConfigParameterValue("Collection Site"))</f>
        <v/>
      </c>
      <c r="I985" t="str">
        <f t="shared" si="95"/>
        <v/>
      </c>
      <c r="M985" t="str">
        <f>IF(LEN(TRIM(B985))=0,"",IF(ISERROR(VLOOKUP(RIGHT(B985,4),study_demographic!A:A,1,FALSE)),"NOT FOUND!!!", "OK"))</f>
        <v/>
      </c>
    </row>
    <row r="986" spans="1:13" x14ac:dyDescent="0.25">
      <c r="A986" t="str">
        <f t="shared" si="91"/>
        <v/>
      </c>
      <c r="B986" t="str">
        <f t="shared" si="92"/>
        <v/>
      </c>
      <c r="C986" s="55" t="str">
        <f>IF(LEN(TRIM(A986))=0,"",get_string_val(RIGHT(B986,4)))</f>
        <v/>
      </c>
      <c r="D986" t="str">
        <f>IF(LEN(TRIM(A986))=0,"",GetItemValueFromSpecimenHeader("timepoint"))</f>
        <v/>
      </c>
      <c r="E986" t="str">
        <f t="shared" si="93"/>
        <v/>
      </c>
      <c r="F986" t="str">
        <f t="shared" si="94"/>
        <v/>
      </c>
      <c r="G986" t="str">
        <f t="shared" si="90"/>
        <v/>
      </c>
      <c r="H986" t="str">
        <f>IF(LEN(TRIM(A986))=0,"",GetConfigParameterValue("Collection Site"))</f>
        <v/>
      </c>
      <c r="I986" t="str">
        <f t="shared" si="95"/>
        <v/>
      </c>
      <c r="M986" t="str">
        <f>IF(LEN(TRIM(B986))=0,"",IF(ISERROR(VLOOKUP(RIGHT(B986,4),study_demographic!A:A,1,FALSE)),"NOT FOUND!!!", "OK"))</f>
        <v/>
      </c>
    </row>
    <row r="987" spans="1:13" x14ac:dyDescent="0.25">
      <c r="A987" t="str">
        <f t="shared" si="91"/>
        <v/>
      </c>
      <c r="B987" t="str">
        <f t="shared" si="92"/>
        <v/>
      </c>
      <c r="C987" s="55" t="str">
        <f>IF(LEN(TRIM(A987))=0,"",get_string_val(RIGHT(B987,4)))</f>
        <v/>
      </c>
      <c r="D987" t="str">
        <f>IF(LEN(TRIM(A987))=0,"",GetItemValueFromSpecimenHeader("timepoint"))</f>
        <v/>
      </c>
      <c r="E987" t="str">
        <f t="shared" si="93"/>
        <v/>
      </c>
      <c r="F987" t="str">
        <f t="shared" si="94"/>
        <v/>
      </c>
      <c r="G987" t="str">
        <f t="shared" si="90"/>
        <v/>
      </c>
      <c r="H987" t="str">
        <f>IF(LEN(TRIM(A987))=0,"",GetConfigParameterValue("Collection Site"))</f>
        <v/>
      </c>
      <c r="I987" t="str">
        <f t="shared" si="95"/>
        <v/>
      </c>
      <c r="M987" t="str">
        <f>IF(LEN(TRIM(B987))=0,"",IF(ISERROR(VLOOKUP(RIGHT(B987,4),study_demographic!A:A,1,FALSE)),"NOT FOUND!!!", "OK"))</f>
        <v/>
      </c>
    </row>
    <row r="988" spans="1:13" x14ac:dyDescent="0.25">
      <c r="A988" t="str">
        <f t="shared" si="91"/>
        <v/>
      </c>
      <c r="B988" t="str">
        <f t="shared" si="92"/>
        <v/>
      </c>
      <c r="C988" s="55" t="str">
        <f>IF(LEN(TRIM(A988))=0,"",get_string_val(RIGHT(B988,4)))</f>
        <v/>
      </c>
      <c r="D988" t="str">
        <f>IF(LEN(TRIM(A988))=0,"",GetItemValueFromSpecimenHeader("timepoint"))</f>
        <v/>
      </c>
      <c r="E988" t="str">
        <f t="shared" si="93"/>
        <v/>
      </c>
      <c r="F988" t="str">
        <f t="shared" si="94"/>
        <v/>
      </c>
      <c r="G988" t="str">
        <f t="shared" si="90"/>
        <v/>
      </c>
      <c r="H988" t="str">
        <f>IF(LEN(TRIM(A988))=0,"",GetConfigParameterValue("Collection Site"))</f>
        <v/>
      </c>
      <c r="I988" t="str">
        <f t="shared" si="95"/>
        <v/>
      </c>
      <c r="M988" t="str">
        <f>IF(LEN(TRIM(B988))=0,"",IF(ISERROR(VLOOKUP(RIGHT(B988,4),study_demographic!A:A,1,FALSE)),"NOT FOUND!!!", "OK"))</f>
        <v/>
      </c>
    </row>
    <row r="989" spans="1:13" x14ac:dyDescent="0.25">
      <c r="A989" t="str">
        <f t="shared" si="91"/>
        <v/>
      </c>
      <c r="B989" t="str">
        <f t="shared" si="92"/>
        <v/>
      </c>
      <c r="C989" s="55" t="str">
        <f>IF(LEN(TRIM(A989))=0,"",get_string_val(RIGHT(B989,4)))</f>
        <v/>
      </c>
      <c r="D989" t="str">
        <f>IF(LEN(TRIM(A989))=0,"",GetItemValueFromSpecimenHeader("timepoint"))</f>
        <v/>
      </c>
      <c r="E989" t="str">
        <f t="shared" si="93"/>
        <v/>
      </c>
      <c r="F989" t="str">
        <f t="shared" si="94"/>
        <v/>
      </c>
      <c r="G989" t="str">
        <f t="shared" si="90"/>
        <v/>
      </c>
      <c r="H989" t="str">
        <f>IF(LEN(TRIM(A989))=0,"",GetConfigParameterValue("Collection Site"))</f>
        <v/>
      </c>
      <c r="I989" t="str">
        <f t="shared" si="95"/>
        <v/>
      </c>
      <c r="M989" t="str">
        <f>IF(LEN(TRIM(B989))=0,"",IF(ISERROR(VLOOKUP(RIGHT(B989,4),study_demographic!A:A,1,FALSE)),"NOT FOUND!!!", "OK"))</f>
        <v/>
      </c>
    </row>
    <row r="990" spans="1:13" x14ac:dyDescent="0.25">
      <c r="A990" t="str">
        <f t="shared" si="91"/>
        <v/>
      </c>
      <c r="B990" t="str">
        <f t="shared" si="92"/>
        <v/>
      </c>
      <c r="C990" s="55" t="str">
        <f>IF(LEN(TRIM(A990))=0,"",get_string_val(RIGHT(B990,4)))</f>
        <v/>
      </c>
      <c r="D990" t="str">
        <f>IF(LEN(TRIM(A990))=0,"",GetItemValueFromSpecimenHeader("timepoint"))</f>
        <v/>
      </c>
      <c r="E990" t="str">
        <f t="shared" si="93"/>
        <v/>
      </c>
      <c r="F990" t="str">
        <f t="shared" si="94"/>
        <v/>
      </c>
      <c r="G990" t="str">
        <f t="shared" si="90"/>
        <v/>
      </c>
      <c r="H990" t="str">
        <f>IF(LEN(TRIM(A990))=0,"",GetConfigParameterValue("Collection Site"))</f>
        <v/>
      </c>
      <c r="I990" t="str">
        <f t="shared" si="95"/>
        <v/>
      </c>
      <c r="M990" t="str">
        <f>IF(LEN(TRIM(B990))=0,"",IF(ISERROR(VLOOKUP(RIGHT(B990,4),study_demographic!A:A,1,FALSE)),"NOT FOUND!!!", "OK"))</f>
        <v/>
      </c>
    </row>
    <row r="991" spans="1:13" x14ac:dyDescent="0.25">
      <c r="A991" t="str">
        <f t="shared" si="91"/>
        <v/>
      </c>
      <c r="B991" t="str">
        <f t="shared" si="92"/>
        <v/>
      </c>
      <c r="C991" s="55" t="str">
        <f>IF(LEN(TRIM(A991))=0,"",get_string_val(RIGHT(B991,4)))</f>
        <v/>
      </c>
      <c r="D991" t="str">
        <f>IF(LEN(TRIM(A991))=0,"",GetItemValueFromSpecimenHeader("timepoint"))</f>
        <v/>
      </c>
      <c r="E991" t="str">
        <f t="shared" si="93"/>
        <v/>
      </c>
      <c r="F991" t="str">
        <f t="shared" si="94"/>
        <v/>
      </c>
      <c r="G991" t="str">
        <f t="shared" si="90"/>
        <v/>
      </c>
      <c r="H991" t="str">
        <f>IF(LEN(TRIM(A991))=0,"",GetConfigParameterValue("Collection Site"))</f>
        <v/>
      </c>
      <c r="I991" t="str">
        <f t="shared" si="95"/>
        <v/>
      </c>
      <c r="M991" t="str">
        <f>IF(LEN(TRIM(B991))=0,"",IF(ISERROR(VLOOKUP(RIGHT(B991,4),study_demographic!A:A,1,FALSE)),"NOT FOUND!!!", "OK"))</f>
        <v/>
      </c>
    </row>
    <row r="992" spans="1:13" x14ac:dyDescent="0.25">
      <c r="A992" t="str">
        <f t="shared" si="91"/>
        <v/>
      </c>
      <c r="B992" t="str">
        <f t="shared" si="92"/>
        <v/>
      </c>
      <c r="C992" s="55" t="str">
        <f>IF(LEN(TRIM(A992))=0,"",get_string_val(RIGHT(B992,4)))</f>
        <v/>
      </c>
      <c r="D992" t="str">
        <f>IF(LEN(TRIM(A992))=0,"",GetItemValueFromSpecimenHeader("timepoint"))</f>
        <v/>
      </c>
      <c r="E992" t="str">
        <f t="shared" si="93"/>
        <v/>
      </c>
      <c r="F992" t="str">
        <f t="shared" si="94"/>
        <v/>
      </c>
      <c r="G992" t="str">
        <f t="shared" si="90"/>
        <v/>
      </c>
      <c r="H992" t="str">
        <f>IF(LEN(TRIM(A992))=0,"",GetConfigParameterValue("Collection Site"))</f>
        <v/>
      </c>
      <c r="I992" t="str">
        <f t="shared" si="95"/>
        <v/>
      </c>
      <c r="M992" t="str">
        <f>IF(LEN(TRIM(B992))=0,"",IF(ISERROR(VLOOKUP(RIGHT(B992,4),study_demographic!A:A,1,FALSE)),"NOT FOUND!!!", "OK"))</f>
        <v/>
      </c>
    </row>
    <row r="993" spans="1:13" x14ac:dyDescent="0.25">
      <c r="A993" t="str">
        <f t="shared" si="91"/>
        <v/>
      </c>
      <c r="B993" t="str">
        <f t="shared" si="92"/>
        <v/>
      </c>
      <c r="C993" s="55" t="str">
        <f>IF(LEN(TRIM(A993))=0,"",get_string_val(RIGHT(B993,4)))</f>
        <v/>
      </c>
      <c r="D993" t="str">
        <f>IF(LEN(TRIM(A993))=0,"",GetItemValueFromSpecimenHeader("timepoint"))</f>
        <v/>
      </c>
      <c r="E993" t="str">
        <f t="shared" si="93"/>
        <v/>
      </c>
      <c r="F993" t="str">
        <f t="shared" si="94"/>
        <v/>
      </c>
      <c r="G993" t="str">
        <f t="shared" si="90"/>
        <v/>
      </c>
      <c r="H993" t="str">
        <f>IF(LEN(TRIM(A993))=0,"",GetConfigParameterValue("Collection Site"))</f>
        <v/>
      </c>
      <c r="I993" t="str">
        <f t="shared" si="95"/>
        <v/>
      </c>
      <c r="M993" t="str">
        <f>IF(LEN(TRIM(B993))=0,"",IF(ISERROR(VLOOKUP(RIGHT(B993,4),study_demographic!A:A,1,FALSE)),"NOT FOUND!!!", "OK"))</f>
        <v/>
      </c>
    </row>
    <row r="994" spans="1:13" x14ac:dyDescent="0.25">
      <c r="A994" t="str">
        <f t="shared" si="91"/>
        <v/>
      </c>
      <c r="B994" t="str">
        <f t="shared" si="92"/>
        <v/>
      </c>
      <c r="C994" s="55" t="str">
        <f>IF(LEN(TRIM(A994))=0,"",get_string_val(RIGHT(B994,4)))</f>
        <v/>
      </c>
      <c r="D994" t="str">
        <f>IF(LEN(TRIM(A994))=0,"",GetItemValueFromSpecimenHeader("timepoint"))</f>
        <v/>
      </c>
      <c r="E994" t="str">
        <f t="shared" si="93"/>
        <v/>
      </c>
      <c r="F994" t="str">
        <f t="shared" si="94"/>
        <v/>
      </c>
      <c r="G994" t="str">
        <f t="shared" si="90"/>
        <v/>
      </c>
      <c r="H994" t="str">
        <f>IF(LEN(TRIM(A994))=0,"",GetConfigParameterValue("Collection Site"))</f>
        <v/>
      </c>
      <c r="I994" t="str">
        <f t="shared" si="95"/>
        <v/>
      </c>
      <c r="M994" t="str">
        <f>IF(LEN(TRIM(B994))=0,"",IF(ISERROR(VLOOKUP(RIGHT(B994,4),study_demographic!A:A,1,FALSE)),"NOT FOUND!!!", "OK"))</f>
        <v/>
      </c>
    </row>
    <row r="995" spans="1:13" x14ac:dyDescent="0.25">
      <c r="A995" t="str">
        <f t="shared" si="91"/>
        <v/>
      </c>
      <c r="B995" t="str">
        <f t="shared" si="92"/>
        <v/>
      </c>
      <c r="C995" s="55" t="str">
        <f>IF(LEN(TRIM(A995))=0,"",get_string_val(RIGHT(B995,4)))</f>
        <v/>
      </c>
      <c r="D995" t="str">
        <f>IF(LEN(TRIM(A995))=0,"",GetItemValueFromSpecimenHeader("timepoint"))</f>
        <v/>
      </c>
      <c r="E995" t="str">
        <f t="shared" si="93"/>
        <v/>
      </c>
      <c r="F995" t="str">
        <f t="shared" si="94"/>
        <v/>
      </c>
      <c r="G995" t="str">
        <f t="shared" si="90"/>
        <v/>
      </c>
      <c r="H995" t="str">
        <f>IF(LEN(TRIM(A995))=0,"",GetConfigParameterValue("Collection Site"))</f>
        <v/>
      </c>
      <c r="I995" t="str">
        <f t="shared" si="95"/>
        <v/>
      </c>
      <c r="M995" t="str">
        <f>IF(LEN(TRIM(B995))=0,"",IF(ISERROR(VLOOKUP(RIGHT(B995,4),study_demographic!A:A,1,FALSE)),"NOT FOUND!!!", "OK"))</f>
        <v/>
      </c>
    </row>
    <row r="996" spans="1:13" x14ac:dyDescent="0.25">
      <c r="A996" t="str">
        <f t="shared" si="91"/>
        <v/>
      </c>
      <c r="B996" t="str">
        <f t="shared" si="92"/>
        <v/>
      </c>
      <c r="C996" s="55" t="str">
        <f>IF(LEN(TRIM(A996))=0,"",get_string_val(RIGHT(B996,4)))</f>
        <v/>
      </c>
      <c r="D996" t="str">
        <f>IF(LEN(TRIM(A996))=0,"",GetItemValueFromSpecimenHeader("timepoint"))</f>
        <v/>
      </c>
      <c r="E996" t="str">
        <f t="shared" si="93"/>
        <v/>
      </c>
      <c r="F996" t="str">
        <f t="shared" si="94"/>
        <v/>
      </c>
      <c r="G996" t="str">
        <f t="shared" si="90"/>
        <v/>
      </c>
      <c r="H996" t="str">
        <f>IF(LEN(TRIM(A996))=0,"",GetConfigParameterValue("Collection Site"))</f>
        <v/>
      </c>
      <c r="I996" t="str">
        <f t="shared" si="95"/>
        <v/>
      </c>
      <c r="M996" t="str">
        <f>IF(LEN(TRIM(B996))=0,"",IF(ISERROR(VLOOKUP(RIGHT(B996,4),study_demographic!A:A,1,FALSE)),"NOT FOUND!!!", "OK"))</f>
        <v/>
      </c>
    </row>
    <row r="997" spans="1:13" x14ac:dyDescent="0.25">
      <c r="A997" t="str">
        <f t="shared" si="91"/>
        <v/>
      </c>
      <c r="B997" t="str">
        <f t="shared" si="92"/>
        <v/>
      </c>
      <c r="C997" s="55" t="str">
        <f>IF(LEN(TRIM(A997))=0,"",get_string_val(RIGHT(B997,4)))</f>
        <v/>
      </c>
      <c r="D997" t="str">
        <f>IF(LEN(TRIM(A997))=0,"",GetItemValueFromSpecimenHeader("timepoint"))</f>
        <v/>
      </c>
      <c r="E997" t="str">
        <f t="shared" si="93"/>
        <v/>
      </c>
      <c r="F997" t="str">
        <f t="shared" si="94"/>
        <v/>
      </c>
      <c r="G997" t="str">
        <f t="shared" si="90"/>
        <v/>
      </c>
      <c r="H997" t="str">
        <f>IF(LEN(TRIM(A997))=0,"",GetConfigParameterValue("Collection Site"))</f>
        <v/>
      </c>
      <c r="I997" t="str">
        <f t="shared" si="95"/>
        <v/>
      </c>
      <c r="M997" t="str">
        <f>IF(LEN(TRIM(B997))=0,"",IF(ISERROR(VLOOKUP(RIGHT(B997,4),study_demographic!A:A,1,FALSE)),"NOT FOUND!!!", "OK"))</f>
        <v/>
      </c>
    </row>
    <row r="998" spans="1:13" x14ac:dyDescent="0.25">
      <c r="A998" t="str">
        <f t="shared" si="91"/>
        <v/>
      </c>
      <c r="B998" t="str">
        <f t="shared" si="92"/>
        <v/>
      </c>
      <c r="C998" s="55" t="str">
        <f>IF(LEN(TRIM(A998))=0,"",get_string_val(RIGHT(B998,4)))</f>
        <v/>
      </c>
      <c r="D998" t="str">
        <f>IF(LEN(TRIM(A998))=0,"",GetItemValueFromSpecimenHeader("timepoint"))</f>
        <v/>
      </c>
      <c r="E998" t="str">
        <f t="shared" si="93"/>
        <v/>
      </c>
      <c r="F998" t="str">
        <f t="shared" si="94"/>
        <v/>
      </c>
      <c r="G998" t="str">
        <f t="shared" si="90"/>
        <v/>
      </c>
      <c r="H998" t="str">
        <f>IF(LEN(TRIM(A998))=0,"",GetConfigParameterValue("Collection Site"))</f>
        <v/>
      </c>
      <c r="I998" t="str">
        <f t="shared" si="95"/>
        <v/>
      </c>
      <c r="M998" t="str">
        <f>IF(LEN(TRIM(B998))=0,"",IF(ISERROR(VLOOKUP(RIGHT(B998,4),study_demographic!A:A,1,FALSE)),"NOT FOUND!!!", "OK"))</f>
        <v/>
      </c>
    </row>
    <row r="999" spans="1:13" x14ac:dyDescent="0.25">
      <c r="A999" t="str">
        <f t="shared" si="91"/>
        <v/>
      </c>
      <c r="B999" t="str">
        <f t="shared" si="92"/>
        <v/>
      </c>
      <c r="C999" s="55" t="str">
        <f>IF(LEN(TRIM(A999))=0,"",get_string_val(RIGHT(B999,4)))</f>
        <v/>
      </c>
      <c r="D999" t="str">
        <f>IF(LEN(TRIM(A999))=0,"",GetItemValueFromSpecimenHeader("timepoint"))</f>
        <v/>
      </c>
      <c r="E999" t="str">
        <f t="shared" si="93"/>
        <v/>
      </c>
      <c r="F999" t="str">
        <f t="shared" si="94"/>
        <v/>
      </c>
      <c r="G999" t="str">
        <f t="shared" si="90"/>
        <v/>
      </c>
      <c r="H999" t="str">
        <f>IF(LEN(TRIM(A999))=0,"",GetConfigParameterValue("Collection Site"))</f>
        <v/>
      </c>
      <c r="I999" t="str">
        <f t="shared" si="95"/>
        <v/>
      </c>
      <c r="M999" t="str">
        <f>IF(LEN(TRIM(B999))=0,"",IF(ISERROR(VLOOKUP(RIGHT(B999,4),study_demographic!A:A,1,FALSE)),"NOT FOUND!!!", "OK"))</f>
        <v/>
      </c>
    </row>
    <row r="1000" spans="1:13" x14ac:dyDescent="0.25">
      <c r="A1000" t="str">
        <f t="shared" si="91"/>
        <v/>
      </c>
      <c r="B1000" t="str">
        <f t="shared" si="92"/>
        <v/>
      </c>
      <c r="C1000" s="55" t="str">
        <f>IF(LEN(TRIM(A1000))=0,"",get_string_val(RIGHT(B1000,4)))</f>
        <v/>
      </c>
      <c r="D1000" t="str">
        <f>IF(LEN(TRIM(A1000))=0,"",GetItemValueFromSpecimenHeader("timepoint"))</f>
        <v/>
      </c>
      <c r="E1000" t="str">
        <f t="shared" si="93"/>
        <v/>
      </c>
      <c r="F1000" t="str">
        <f t="shared" si="94"/>
        <v/>
      </c>
      <c r="G1000" t="str">
        <f t="shared" si="90"/>
        <v/>
      </c>
      <c r="H1000" t="str">
        <f>IF(LEN(TRIM(A1000))=0,"",GetConfigParameterValue("Collection Site"))</f>
        <v/>
      </c>
      <c r="I1000" t="str">
        <f t="shared" si="95"/>
        <v/>
      </c>
      <c r="M1000" t="str">
        <f>IF(LEN(TRIM(B1000))=0,"",IF(ISERROR(VLOOKUP(RIGHT(B1000,4),study_demographic!A:A,1,FALSE)),"NOT FOUND!!!", "OK"))</f>
        <v/>
      </c>
    </row>
    <row r="1001" spans="1:13" x14ac:dyDescent="0.25">
      <c r="A1001" t="str">
        <f t="shared" si="91"/>
        <v/>
      </c>
      <c r="B1001" t="str">
        <f t="shared" si="92"/>
        <v/>
      </c>
      <c r="C1001" s="55" t="str">
        <f>IF(LEN(TRIM(A1001))=0,"",get_string_val(RIGHT(B1001,4)))</f>
        <v/>
      </c>
      <c r="D1001" t="str">
        <f>IF(LEN(TRIM(A1001))=0,"",GetItemValueFromSpecimenHeader("timepoint"))</f>
        <v/>
      </c>
      <c r="E1001" t="str">
        <f t="shared" si="93"/>
        <v/>
      </c>
      <c r="F1001" t="str">
        <f t="shared" si="94"/>
        <v/>
      </c>
      <c r="G1001" t="str">
        <f t="shared" si="90"/>
        <v/>
      </c>
      <c r="H1001" t="str">
        <f>IF(LEN(TRIM(A1001))=0,"",GetConfigParameterValue("Collection Site"))</f>
        <v/>
      </c>
      <c r="I1001" t="str">
        <f t="shared" si="95"/>
        <v/>
      </c>
      <c r="M1001" t="str">
        <f>IF(LEN(TRIM(B1001))=0,"",IF(ISERROR(VLOOKUP(RIGHT(B1001,4),study_demographic!A:A,1,FALSE)),"NOT FOUND!!!", "OK"))</f>
        <v/>
      </c>
    </row>
  </sheetData>
  <sheetProtection algorithmName="SHA-512" hashValue="bLfWe0XjAqx7mGhjQ0Gi+7cfkGf5r37lvtCEnOzntfbb/n6TZOB94A8aKs6QHDpiQtYvi21J/ZCh3PM63Nq7Mg==" saltValue="DNbpTOjtWoTYI/8oinDqOQ==" spinCount="100000" sheet="1" objects="1" scenarios="1"/>
  <conditionalFormatting sqref="M1:M1048576">
    <cfRule type="containsText" dxfId="2" priority="1" operator="containsText" text="OK">
      <formula>NOT(ISERROR(SEARCH("OK",M1)))</formula>
    </cfRule>
    <cfRule type="containsText" dxfId="1" priority="2" operator="containsText" text="NOT FOUND!!!">
      <formula>NOT(ISERROR(SEARCH("NOT FOUND!!!",M1)))</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1B1FE-1CA9-4EAC-9E02-B6704DBD86D6}">
  <sheetPr codeName="Sheet7"/>
  <dimension ref="A1:C32"/>
  <sheetViews>
    <sheetView zoomScale="110" zoomScaleNormal="110" workbookViewId="0">
      <selection activeCell="C25" sqref="C25"/>
    </sheetView>
  </sheetViews>
  <sheetFormatPr defaultRowHeight="15" x14ac:dyDescent="0.25"/>
  <cols>
    <col min="1" max="1" width="15.42578125" style="1" customWidth="1"/>
    <col min="2" max="2" width="11.140625" style="1" customWidth="1"/>
    <col min="3" max="3" width="8.85546875" style="2"/>
  </cols>
  <sheetData>
    <row r="1" spans="1:3" x14ac:dyDescent="0.25">
      <c r="A1" s="26">
        <v>44259.656875000001</v>
      </c>
      <c r="B1" s="25" t="s">
        <v>116</v>
      </c>
      <c r="C1" s="27" t="s">
        <v>4628</v>
      </c>
    </row>
    <row r="2" spans="1:3" x14ac:dyDescent="0.25">
      <c r="A2" s="26">
        <v>44259.656898148147</v>
      </c>
      <c r="B2" s="25" t="s">
        <v>116</v>
      </c>
      <c r="C2" s="27" t="s">
        <v>4629</v>
      </c>
    </row>
    <row r="3" spans="1:3" x14ac:dyDescent="0.25">
      <c r="A3" s="26">
        <v>44259.656921296293</v>
      </c>
      <c r="B3" s="25" t="s">
        <v>116</v>
      </c>
      <c r="C3" s="27" t="s">
        <v>3760</v>
      </c>
    </row>
    <row r="4" spans="1:3" x14ac:dyDescent="0.25">
      <c r="A4" s="26">
        <v>44259.656921296293</v>
      </c>
      <c r="B4" s="25" t="s">
        <v>116</v>
      </c>
      <c r="C4" s="27" t="s">
        <v>3761</v>
      </c>
    </row>
    <row r="5" spans="1:3" x14ac:dyDescent="0.25">
      <c r="A5" s="26">
        <v>44259.656921296293</v>
      </c>
      <c r="B5" s="25" t="s">
        <v>116</v>
      </c>
      <c r="C5" s="27" t="s">
        <v>3763</v>
      </c>
    </row>
    <row r="6" spans="1:3" x14ac:dyDescent="0.25">
      <c r="A6" s="26">
        <v>44259.656921296293</v>
      </c>
      <c r="B6" s="25" t="s">
        <v>116</v>
      </c>
      <c r="C6" s="27" t="s">
        <v>3764</v>
      </c>
    </row>
    <row r="7" spans="1:3" x14ac:dyDescent="0.25">
      <c r="A7" s="26">
        <v>44259.656921296293</v>
      </c>
      <c r="B7" s="25" t="s">
        <v>116</v>
      </c>
      <c r="C7" s="27" t="s">
        <v>3765</v>
      </c>
    </row>
    <row r="8" spans="1:3" x14ac:dyDescent="0.25">
      <c r="A8" s="26">
        <v>44259.656921296293</v>
      </c>
      <c r="B8" s="25" t="s">
        <v>116</v>
      </c>
      <c r="C8" s="27" t="s">
        <v>3745</v>
      </c>
    </row>
    <row r="9" spans="1:3" x14ac:dyDescent="0.25">
      <c r="A9" s="26">
        <v>44259.656921296293</v>
      </c>
      <c r="B9" s="25" t="s">
        <v>116</v>
      </c>
      <c r="C9" s="27" t="s">
        <v>3766</v>
      </c>
    </row>
    <row r="10" spans="1:3" x14ac:dyDescent="0.25">
      <c r="A10" s="26">
        <v>44259.656921296293</v>
      </c>
      <c r="B10" s="25" t="s">
        <v>116</v>
      </c>
      <c r="C10" s="27" t="s">
        <v>3767</v>
      </c>
    </row>
    <row r="11" spans="1:3" x14ac:dyDescent="0.25">
      <c r="A11" s="26">
        <v>44259.656921296293</v>
      </c>
      <c r="B11" s="25" t="s">
        <v>116</v>
      </c>
      <c r="C11" s="27" t="s">
        <v>3768</v>
      </c>
    </row>
    <row r="12" spans="1:3" x14ac:dyDescent="0.25">
      <c r="A12" s="26">
        <v>44259.656921296293</v>
      </c>
      <c r="B12" s="25" t="s">
        <v>116</v>
      </c>
      <c r="C12" s="27" t="s">
        <v>3769</v>
      </c>
    </row>
    <row r="13" spans="1:3" x14ac:dyDescent="0.25">
      <c r="A13" s="26">
        <v>44259.656921296293</v>
      </c>
      <c r="B13" s="25" t="s">
        <v>116</v>
      </c>
      <c r="C13" s="27" t="s">
        <v>3770</v>
      </c>
    </row>
    <row r="14" spans="1:3" x14ac:dyDescent="0.25">
      <c r="A14" s="26">
        <v>44259.656921296293</v>
      </c>
      <c r="B14" s="25" t="s">
        <v>116</v>
      </c>
      <c r="C14" s="27" t="s">
        <v>3771</v>
      </c>
    </row>
    <row r="15" spans="1:3" x14ac:dyDescent="0.25">
      <c r="A15" s="26">
        <v>44259.656921296293</v>
      </c>
      <c r="B15" s="25" t="s">
        <v>116</v>
      </c>
      <c r="C15" s="27" t="s">
        <v>3790</v>
      </c>
    </row>
    <row r="16" spans="1:3" x14ac:dyDescent="0.25">
      <c r="A16" s="26">
        <v>44259.656921296293</v>
      </c>
      <c r="B16" s="25" t="s">
        <v>116</v>
      </c>
      <c r="C16" s="27" t="s">
        <v>3772</v>
      </c>
    </row>
    <row r="17" spans="1:3" x14ac:dyDescent="0.25">
      <c r="A17" s="26">
        <v>44259.656921296293</v>
      </c>
      <c r="B17" s="25" t="s">
        <v>116</v>
      </c>
      <c r="C17" s="27" t="s">
        <v>154</v>
      </c>
    </row>
    <row r="18" spans="1:3" x14ac:dyDescent="0.25">
      <c r="A18" s="26">
        <v>44259.656921296293</v>
      </c>
      <c r="B18" s="25" t="s">
        <v>116</v>
      </c>
      <c r="C18" s="27" t="s">
        <v>248</v>
      </c>
    </row>
    <row r="19" spans="1:3" x14ac:dyDescent="0.25">
      <c r="A19" s="26">
        <v>44259.656921296293</v>
      </c>
      <c r="B19" s="25" t="s">
        <v>116</v>
      </c>
      <c r="C19" s="27" t="s">
        <v>155</v>
      </c>
    </row>
    <row r="20" spans="1:3" x14ac:dyDescent="0.25">
      <c r="A20" s="26">
        <v>44259.656921296293</v>
      </c>
      <c r="B20" s="25" t="s">
        <v>116</v>
      </c>
      <c r="C20" s="27" t="s">
        <v>156</v>
      </c>
    </row>
    <row r="21" spans="1:3" x14ac:dyDescent="0.25">
      <c r="A21" s="26">
        <v>44259.656921296293</v>
      </c>
      <c r="B21" s="58" t="s">
        <v>3762</v>
      </c>
      <c r="C21" s="59" t="s">
        <v>4623</v>
      </c>
    </row>
    <row r="22" spans="1:3" x14ac:dyDescent="0.25">
      <c r="A22" s="26">
        <v>44259.656921296293</v>
      </c>
      <c r="B22" s="25" t="s">
        <v>116</v>
      </c>
      <c r="C22" s="27" t="s">
        <v>157</v>
      </c>
    </row>
    <row r="23" spans="1:3" x14ac:dyDescent="0.25">
      <c r="A23" s="26">
        <v>44259.656921296293</v>
      </c>
      <c r="B23" s="58" t="s">
        <v>3762</v>
      </c>
      <c r="C23" s="59" t="s">
        <v>4630</v>
      </c>
    </row>
    <row r="24" spans="1:3" x14ac:dyDescent="0.25">
      <c r="A24" s="26">
        <v>44259.656921296293</v>
      </c>
      <c r="B24" s="25" t="s">
        <v>116</v>
      </c>
      <c r="C24" s="27" t="s">
        <v>4631</v>
      </c>
    </row>
    <row r="25" spans="1:3" x14ac:dyDescent="0.25">
      <c r="A25" s="26">
        <v>44259.656921296293</v>
      </c>
      <c r="B25" s="25" t="s">
        <v>116</v>
      </c>
      <c r="C25" s="27" t="s">
        <v>4624</v>
      </c>
    </row>
    <row r="26" spans="1:3" x14ac:dyDescent="0.25">
      <c r="A26" s="26">
        <v>44259.656956018516</v>
      </c>
      <c r="B26" s="25" t="s">
        <v>116</v>
      </c>
      <c r="C26" s="27" t="s">
        <v>4632</v>
      </c>
    </row>
    <row r="27" spans="1:3" x14ac:dyDescent="0.25">
      <c r="A27" s="26">
        <v>44259.656956018516</v>
      </c>
      <c r="B27" s="25" t="s">
        <v>116</v>
      </c>
      <c r="C27" s="27" t="s">
        <v>4625</v>
      </c>
    </row>
    <row r="28" spans="1:3" x14ac:dyDescent="0.25">
      <c r="A28" s="26">
        <v>44259.656956018516</v>
      </c>
      <c r="B28" s="25" t="s">
        <v>116</v>
      </c>
      <c r="C28" s="27" t="s">
        <v>4626</v>
      </c>
    </row>
    <row r="29" spans="1:3" x14ac:dyDescent="0.25">
      <c r="A29" s="26">
        <v>44259.65697916667</v>
      </c>
      <c r="B29" s="25" t="s">
        <v>116</v>
      </c>
      <c r="C29" s="27" t="s">
        <v>4633</v>
      </c>
    </row>
    <row r="30" spans="1:3" x14ac:dyDescent="0.25">
      <c r="A30" s="26">
        <v>44259.65697916667</v>
      </c>
      <c r="B30" s="25" t="s">
        <v>116</v>
      </c>
      <c r="C30" s="27" t="s">
        <v>4627</v>
      </c>
    </row>
    <row r="31" spans="1:3" x14ac:dyDescent="0.25">
      <c r="A31" s="26">
        <v>44259.65697916667</v>
      </c>
      <c r="B31" s="25" t="s">
        <v>116</v>
      </c>
      <c r="C31" s="27" t="s">
        <v>4634</v>
      </c>
    </row>
    <row r="32" spans="1:3" x14ac:dyDescent="0.25">
      <c r="A32" s="26">
        <v>44259.657002314816</v>
      </c>
      <c r="B32" s="25" t="s">
        <v>116</v>
      </c>
      <c r="C32" s="27" t="s">
        <v>4635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55AC0-58E9-46D7-9513-A5EFD1F3AE2E}">
  <sheetPr codeName="Sheet6"/>
  <dimension ref="A1:K21"/>
  <sheetViews>
    <sheetView workbookViewId="0">
      <selection activeCell="J5" sqref="J5"/>
    </sheetView>
  </sheetViews>
  <sheetFormatPr defaultRowHeight="15" x14ac:dyDescent="0.25"/>
  <cols>
    <col min="1" max="1" width="21.85546875" bestFit="1" customWidth="1"/>
    <col min="2" max="2" width="12.5703125" customWidth="1"/>
    <col min="3" max="3" width="18" bestFit="1" customWidth="1"/>
    <col min="4" max="4" width="15.7109375" bestFit="1" customWidth="1"/>
    <col min="5" max="5" width="18.140625" bestFit="1" customWidth="1"/>
    <col min="7" max="7" width="16.140625" customWidth="1"/>
    <col min="8" max="8" width="12.140625" customWidth="1"/>
    <col min="10" max="10" width="13.7109375" bestFit="1" customWidth="1"/>
  </cols>
  <sheetData>
    <row r="1" spans="1:11" x14ac:dyDescent="0.25">
      <c r="A1" s="24" t="s">
        <v>112</v>
      </c>
      <c r="B1" s="23"/>
      <c r="C1" s="11" t="s">
        <v>109</v>
      </c>
      <c r="E1" s="11" t="s">
        <v>111</v>
      </c>
      <c r="G1" s="11" t="s">
        <v>117</v>
      </c>
      <c r="I1" s="11" t="s">
        <v>223</v>
      </c>
    </row>
    <row r="2" spans="1:11" x14ac:dyDescent="0.25">
      <c r="A2" t="s">
        <v>98</v>
      </c>
      <c r="B2" t="s">
        <v>99</v>
      </c>
      <c r="C2" t="s">
        <v>98</v>
      </c>
      <c r="D2" t="s">
        <v>43</v>
      </c>
      <c r="E2" t="s">
        <v>98</v>
      </c>
      <c r="F2">
        <v>1</v>
      </c>
      <c r="G2" t="s">
        <v>98</v>
      </c>
      <c r="H2" t="s">
        <v>118</v>
      </c>
      <c r="I2" t="s">
        <v>143</v>
      </c>
      <c r="J2" t="s">
        <v>233</v>
      </c>
      <c r="K2" t="s">
        <v>222</v>
      </c>
    </row>
    <row r="3" spans="1:11" x14ac:dyDescent="0.25">
      <c r="A3" t="s">
        <v>100</v>
      </c>
      <c r="B3" t="s">
        <v>99</v>
      </c>
      <c r="C3" t="s">
        <v>100</v>
      </c>
      <c r="D3" t="s">
        <v>43</v>
      </c>
      <c r="E3" t="s">
        <v>100</v>
      </c>
      <c r="F3">
        <v>1</v>
      </c>
      <c r="G3" t="s">
        <v>100</v>
      </c>
      <c r="H3" t="s">
        <v>118</v>
      </c>
      <c r="I3" t="s">
        <v>146</v>
      </c>
      <c r="J3" t="s">
        <v>233</v>
      </c>
      <c r="K3" t="s">
        <v>222</v>
      </c>
    </row>
    <row r="4" spans="1:11" x14ac:dyDescent="0.25">
      <c r="A4" t="s">
        <v>101</v>
      </c>
      <c r="B4" t="s">
        <v>103</v>
      </c>
      <c r="C4" t="s">
        <v>101</v>
      </c>
      <c r="D4" t="s">
        <v>42</v>
      </c>
      <c r="E4" t="s">
        <v>101</v>
      </c>
      <c r="F4">
        <v>10</v>
      </c>
      <c r="G4" t="s">
        <v>101</v>
      </c>
      <c r="H4" t="s">
        <v>118</v>
      </c>
      <c r="I4" t="s">
        <v>147</v>
      </c>
      <c r="J4" t="s">
        <v>233</v>
      </c>
      <c r="K4" t="s">
        <v>222</v>
      </c>
    </row>
    <row r="5" spans="1:11" x14ac:dyDescent="0.25">
      <c r="A5" t="s">
        <v>102</v>
      </c>
      <c r="B5" t="s">
        <v>103</v>
      </c>
      <c r="C5" t="s">
        <v>102</v>
      </c>
      <c r="D5" t="s">
        <v>42</v>
      </c>
      <c r="E5" t="s">
        <v>102</v>
      </c>
      <c r="F5">
        <v>10</v>
      </c>
      <c r="G5" t="s">
        <v>102</v>
      </c>
      <c r="H5" t="s">
        <v>118</v>
      </c>
      <c r="I5" t="s">
        <v>229</v>
      </c>
      <c r="K5" t="s">
        <v>233</v>
      </c>
    </row>
    <row r="6" spans="1:11" x14ac:dyDescent="0.25">
      <c r="A6" t="s">
        <v>104</v>
      </c>
      <c r="B6" t="s">
        <v>105</v>
      </c>
      <c r="C6" t="s">
        <v>104</v>
      </c>
      <c r="D6" t="s">
        <v>110</v>
      </c>
      <c r="E6" t="s">
        <v>104</v>
      </c>
      <c r="F6">
        <v>6</v>
      </c>
      <c r="G6" t="s">
        <v>104</v>
      </c>
      <c r="H6" t="s">
        <v>118</v>
      </c>
      <c r="I6" t="s">
        <v>231</v>
      </c>
      <c r="K6" t="s">
        <v>233</v>
      </c>
    </row>
    <row r="7" spans="1:11" x14ac:dyDescent="0.25">
      <c r="A7" t="s">
        <v>106</v>
      </c>
      <c r="B7" t="s">
        <v>105</v>
      </c>
      <c r="C7" t="s">
        <v>106</v>
      </c>
      <c r="D7" t="s">
        <v>110</v>
      </c>
      <c r="E7" t="s">
        <v>106</v>
      </c>
      <c r="F7">
        <v>6</v>
      </c>
      <c r="G7" t="s">
        <v>106</v>
      </c>
      <c r="H7" t="s">
        <v>118</v>
      </c>
    </row>
    <row r="8" spans="1:11" x14ac:dyDescent="0.25">
      <c r="A8" t="s">
        <v>107</v>
      </c>
      <c r="B8" t="s">
        <v>108</v>
      </c>
      <c r="C8" t="s">
        <v>107</v>
      </c>
      <c r="D8" t="s">
        <v>108</v>
      </c>
      <c r="E8" t="s">
        <v>107</v>
      </c>
      <c r="F8">
        <v>0.75</v>
      </c>
      <c r="G8" t="s">
        <v>107</v>
      </c>
      <c r="H8" t="s">
        <v>119</v>
      </c>
    </row>
    <row r="9" spans="1:11" x14ac:dyDescent="0.25">
      <c r="A9" t="s">
        <v>143</v>
      </c>
      <c r="B9" t="s">
        <v>144</v>
      </c>
      <c r="C9" t="s">
        <v>143</v>
      </c>
      <c r="D9" t="s">
        <v>145</v>
      </c>
      <c r="E9" t="s">
        <v>143</v>
      </c>
      <c r="F9">
        <v>2</v>
      </c>
      <c r="G9" t="s">
        <v>143</v>
      </c>
      <c r="H9" t="s">
        <v>118</v>
      </c>
    </row>
    <row r="10" spans="1:11" x14ac:dyDescent="0.25">
      <c r="A10" t="s">
        <v>146</v>
      </c>
      <c r="B10" t="s">
        <v>144</v>
      </c>
      <c r="C10" t="s">
        <v>146</v>
      </c>
      <c r="D10" t="s">
        <v>145</v>
      </c>
      <c r="E10" t="s">
        <v>146</v>
      </c>
      <c r="F10">
        <v>2</v>
      </c>
      <c r="G10" t="s">
        <v>146</v>
      </c>
      <c r="H10" t="s">
        <v>118</v>
      </c>
    </row>
    <row r="11" spans="1:11" x14ac:dyDescent="0.25">
      <c r="A11" t="s">
        <v>147</v>
      </c>
      <c r="B11" t="s">
        <v>144</v>
      </c>
      <c r="C11" t="s">
        <v>147</v>
      </c>
      <c r="D11" t="s">
        <v>145</v>
      </c>
      <c r="E11" t="s">
        <v>147</v>
      </c>
      <c r="F11">
        <v>2</v>
      </c>
      <c r="G11" t="s">
        <v>147</v>
      </c>
      <c r="H11" t="s">
        <v>118</v>
      </c>
    </row>
    <row r="12" spans="1:11" x14ac:dyDescent="0.25">
      <c r="A12" t="s">
        <v>221</v>
      </c>
      <c r="B12" t="s">
        <v>99</v>
      </c>
      <c r="C12" t="s">
        <v>221</v>
      </c>
      <c r="D12" t="s">
        <v>43</v>
      </c>
      <c r="E12" t="s">
        <v>221</v>
      </c>
      <c r="F12">
        <v>1</v>
      </c>
      <c r="G12" t="s">
        <v>221</v>
      </c>
      <c r="H12" t="s">
        <v>118</v>
      </c>
    </row>
    <row r="13" spans="1:11" x14ac:dyDescent="0.25">
      <c r="A13" t="s">
        <v>229</v>
      </c>
      <c r="B13" t="s">
        <v>230</v>
      </c>
      <c r="C13" t="s">
        <v>229</v>
      </c>
      <c r="D13" t="s">
        <v>232</v>
      </c>
      <c r="E13" t="s">
        <v>229</v>
      </c>
      <c r="F13">
        <v>2</v>
      </c>
      <c r="G13" t="s">
        <v>229</v>
      </c>
      <c r="H13" t="s">
        <v>118</v>
      </c>
    </row>
    <row r="14" spans="1:11" x14ac:dyDescent="0.25">
      <c r="A14" t="s">
        <v>231</v>
      </c>
      <c r="B14" t="s">
        <v>230</v>
      </c>
      <c r="C14" t="s">
        <v>231</v>
      </c>
      <c r="D14" t="s">
        <v>232</v>
      </c>
      <c r="E14" t="s">
        <v>231</v>
      </c>
      <c r="F14">
        <v>2</v>
      </c>
      <c r="G14" t="s">
        <v>231</v>
      </c>
      <c r="H14" t="s">
        <v>118</v>
      </c>
    </row>
    <row r="15" spans="1:11" x14ac:dyDescent="0.25">
      <c r="A15" t="s">
        <v>3734</v>
      </c>
      <c r="B15" t="s">
        <v>3736</v>
      </c>
      <c r="C15" t="s">
        <v>3734</v>
      </c>
      <c r="D15" t="s">
        <v>3739</v>
      </c>
      <c r="E15" t="s">
        <v>3734</v>
      </c>
      <c r="F15">
        <v>0.25</v>
      </c>
      <c r="G15" t="s">
        <v>3734</v>
      </c>
      <c r="H15" t="s">
        <v>118</v>
      </c>
    </row>
    <row r="16" spans="1:11" x14ac:dyDescent="0.25">
      <c r="A16" t="s">
        <v>3735</v>
      </c>
      <c r="B16" t="s">
        <v>3736</v>
      </c>
      <c r="C16" t="s">
        <v>3735</v>
      </c>
      <c r="D16" t="s">
        <v>3739</v>
      </c>
      <c r="E16" t="s">
        <v>3735</v>
      </c>
      <c r="F16">
        <v>0.25</v>
      </c>
      <c r="G16" t="s">
        <v>3735</v>
      </c>
      <c r="H16" t="s">
        <v>118</v>
      </c>
    </row>
    <row r="17" spans="1:8" x14ac:dyDescent="0.25">
      <c r="A17" t="s">
        <v>3737</v>
      </c>
      <c r="B17" t="s">
        <v>3738</v>
      </c>
      <c r="C17" t="s">
        <v>3737</v>
      </c>
      <c r="D17" t="s">
        <v>3740</v>
      </c>
      <c r="E17" t="s">
        <v>3737</v>
      </c>
      <c r="F17">
        <v>1</v>
      </c>
      <c r="G17" t="s">
        <v>3737</v>
      </c>
      <c r="H17" t="s">
        <v>118</v>
      </c>
    </row>
    <row r="18" spans="1:8" x14ac:dyDescent="0.25">
      <c r="A18" t="s">
        <v>3773</v>
      </c>
      <c r="B18" t="s">
        <v>3774</v>
      </c>
      <c r="C18" t="s">
        <v>3773</v>
      </c>
      <c r="D18" t="s">
        <v>3776</v>
      </c>
      <c r="E18" t="s">
        <v>3750</v>
      </c>
      <c r="F18">
        <v>0.25</v>
      </c>
      <c r="G18" t="s">
        <v>3750</v>
      </c>
      <c r="H18" t="s">
        <v>118</v>
      </c>
    </row>
    <row r="19" spans="1:8" x14ac:dyDescent="0.25">
      <c r="A19" t="s">
        <v>3775</v>
      </c>
      <c r="B19" t="s">
        <v>3774</v>
      </c>
      <c r="C19" t="s">
        <v>3775</v>
      </c>
      <c r="D19" t="s">
        <v>3776</v>
      </c>
      <c r="E19" t="s">
        <v>3751</v>
      </c>
      <c r="F19">
        <v>1</v>
      </c>
      <c r="G19" t="s">
        <v>3751</v>
      </c>
      <c r="H19" t="s">
        <v>118</v>
      </c>
    </row>
    <row r="20" spans="1:8" x14ac:dyDescent="0.25">
      <c r="E20" t="s">
        <v>3773</v>
      </c>
      <c r="F20">
        <v>1</v>
      </c>
      <c r="G20" t="s">
        <v>3773</v>
      </c>
      <c r="H20" t="s">
        <v>3773</v>
      </c>
    </row>
    <row r="21" spans="1:8" x14ac:dyDescent="0.25">
      <c r="E21" t="s">
        <v>3775</v>
      </c>
      <c r="F21">
        <v>1</v>
      </c>
      <c r="G21" t="s">
        <v>3775</v>
      </c>
      <c r="H21" t="s">
        <v>3773</v>
      </c>
    </row>
  </sheetData>
  <sheetProtection algorithmName="SHA-512" hashValue="wPU6u1v8IDd8uQcvX4PtZTslzA7tv2bGscQiPyY6oyMHcymB5IV9bWbwDY/QKR+3F/hw1V2AN8RG8M10ifbt8Q==" saltValue="Fi8fhPzKoDHGgekCTibAjw==" spinCount="100000" sheet="1" objects="1" scenarios="1"/>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FE467-3C8A-4A92-A603-0B0B3322C950}">
  <sheetPr codeName="Sheet5"/>
  <dimension ref="A1:R616"/>
  <sheetViews>
    <sheetView workbookViewId="0">
      <selection activeCell="A6412" sqref="A6412"/>
    </sheetView>
  </sheetViews>
  <sheetFormatPr defaultRowHeight="15" x14ac:dyDescent="0.25"/>
  <cols>
    <col min="1" max="1" width="23.7109375" bestFit="1" customWidth="1"/>
    <col min="2" max="2" width="13.42578125" bestFit="1" customWidth="1"/>
    <col min="3" max="3" width="14.42578125" bestFit="1" customWidth="1"/>
    <col min="4" max="4" width="17.85546875" bestFit="1" customWidth="1"/>
    <col min="5" max="5" width="11.85546875" bestFit="1" customWidth="1"/>
    <col min="6" max="6" width="15.140625" bestFit="1" customWidth="1"/>
    <col min="7" max="7" width="23.7109375" bestFit="1" customWidth="1"/>
    <col min="8" max="8" width="15.7109375" bestFit="1" customWidth="1"/>
    <col min="9" max="9" width="12.28515625" bestFit="1" customWidth="1"/>
    <col min="10" max="10" width="12.42578125" bestFit="1" customWidth="1"/>
    <col min="11" max="11" width="12" bestFit="1" customWidth="1"/>
    <col min="12" max="12" width="9.85546875" bestFit="1" customWidth="1"/>
    <col min="13" max="13" width="17.140625" bestFit="1" customWidth="1"/>
    <col min="14" max="14" width="10.5703125" bestFit="1" customWidth="1"/>
    <col min="15" max="15" width="10" bestFit="1" customWidth="1"/>
    <col min="16" max="16" width="16.7109375" bestFit="1" customWidth="1"/>
    <col min="17" max="17" width="81.140625" bestFit="1" customWidth="1"/>
    <col min="18" max="18" width="12.5703125" bestFit="1" customWidth="1"/>
    <col min="19" max="19" width="14.7109375" bestFit="1" customWidth="1"/>
    <col min="20" max="20" width="80.85546875" bestFit="1" customWidth="1"/>
  </cols>
  <sheetData>
    <row r="1" spans="1:18" x14ac:dyDescent="0.25">
      <c r="A1" t="s">
        <v>26</v>
      </c>
      <c r="B1" t="s">
        <v>27</v>
      </c>
      <c r="C1" t="s">
        <v>28</v>
      </c>
      <c r="D1" t="s">
        <v>29</v>
      </c>
      <c r="E1" t="s">
        <v>30</v>
      </c>
      <c r="F1" t="s">
        <v>31</v>
      </c>
      <c r="G1" t="s">
        <v>32</v>
      </c>
      <c r="H1" t="s">
        <v>33</v>
      </c>
      <c r="I1" t="s">
        <v>34</v>
      </c>
      <c r="J1" t="s">
        <v>35</v>
      </c>
      <c r="K1" t="s">
        <v>36</v>
      </c>
      <c r="L1" t="s">
        <v>37</v>
      </c>
      <c r="M1" t="s">
        <v>38</v>
      </c>
      <c r="N1" t="s">
        <v>39</v>
      </c>
      <c r="O1" t="s">
        <v>40</v>
      </c>
      <c r="P1" t="s">
        <v>70</v>
      </c>
      <c r="Q1" t="s">
        <v>71</v>
      </c>
      <c r="R1" t="s">
        <v>234</v>
      </c>
    </row>
    <row r="2" spans="1:18" x14ac:dyDescent="0.25">
      <c r="A2" t="s">
        <v>3791</v>
      </c>
      <c r="B2" t="s">
        <v>3792</v>
      </c>
      <c r="C2">
        <v>2</v>
      </c>
      <c r="D2" t="s">
        <v>41</v>
      </c>
      <c r="E2">
        <v>17</v>
      </c>
      <c r="F2" t="s">
        <v>3793</v>
      </c>
      <c r="G2" t="s">
        <v>3791</v>
      </c>
      <c r="H2" t="s">
        <v>3784</v>
      </c>
      <c r="I2" t="s">
        <v>3795</v>
      </c>
      <c r="J2" t="s">
        <v>3792</v>
      </c>
      <c r="K2" t="s">
        <v>3796</v>
      </c>
      <c r="L2" t="s">
        <v>3797</v>
      </c>
      <c r="M2" t="s">
        <v>3739</v>
      </c>
      <c r="N2" t="s">
        <v>118</v>
      </c>
      <c r="O2" t="s">
        <v>3798</v>
      </c>
      <c r="P2" s="9">
        <v>44258.510439814818</v>
      </c>
      <c r="Q2" t="s">
        <v>3799</v>
      </c>
      <c r="R2" t="s">
        <v>3794</v>
      </c>
    </row>
    <row r="3" spans="1:18" x14ac:dyDescent="0.25">
      <c r="A3" t="s">
        <v>3800</v>
      </c>
      <c r="B3" t="s">
        <v>3792</v>
      </c>
      <c r="C3">
        <v>2</v>
      </c>
      <c r="D3" t="s">
        <v>41</v>
      </c>
      <c r="E3">
        <v>17</v>
      </c>
      <c r="F3" t="s">
        <v>3793</v>
      </c>
      <c r="G3" t="s">
        <v>3800</v>
      </c>
      <c r="H3" t="s">
        <v>3784</v>
      </c>
      <c r="I3" t="s">
        <v>3794</v>
      </c>
      <c r="J3" t="s">
        <v>3792</v>
      </c>
      <c r="K3" t="s">
        <v>3796</v>
      </c>
      <c r="L3" t="s">
        <v>3797</v>
      </c>
      <c r="M3" t="s">
        <v>3740</v>
      </c>
      <c r="N3" t="s">
        <v>118</v>
      </c>
      <c r="O3" t="s">
        <v>3801</v>
      </c>
      <c r="P3" s="9">
        <v>44258.510439814818</v>
      </c>
      <c r="Q3" t="s">
        <v>3802</v>
      </c>
      <c r="R3" t="s">
        <v>3794</v>
      </c>
    </row>
    <row r="4" spans="1:18" x14ac:dyDescent="0.25">
      <c r="A4" t="s">
        <v>3803</v>
      </c>
      <c r="B4" t="s">
        <v>3792</v>
      </c>
      <c r="C4">
        <v>2</v>
      </c>
      <c r="D4" t="s">
        <v>41</v>
      </c>
      <c r="E4">
        <v>17</v>
      </c>
      <c r="F4" t="s">
        <v>3793</v>
      </c>
      <c r="G4" t="s">
        <v>3803</v>
      </c>
      <c r="H4" t="s">
        <v>3784</v>
      </c>
      <c r="I4" t="s">
        <v>3794</v>
      </c>
      <c r="J4" t="s">
        <v>3792</v>
      </c>
      <c r="K4" t="s">
        <v>3804</v>
      </c>
      <c r="L4" t="s">
        <v>3797</v>
      </c>
      <c r="M4" t="s">
        <v>42</v>
      </c>
      <c r="N4" t="s">
        <v>118</v>
      </c>
      <c r="O4" t="s">
        <v>3805</v>
      </c>
      <c r="P4" s="9">
        <v>44258.510474537034</v>
      </c>
      <c r="Q4" t="s">
        <v>3806</v>
      </c>
      <c r="R4" t="s">
        <v>3794</v>
      </c>
    </row>
    <row r="5" spans="1:18" x14ac:dyDescent="0.25">
      <c r="A5" t="s">
        <v>3807</v>
      </c>
      <c r="B5" t="s">
        <v>3792</v>
      </c>
      <c r="C5">
        <v>2</v>
      </c>
      <c r="D5" t="s">
        <v>41</v>
      </c>
      <c r="E5">
        <v>17</v>
      </c>
      <c r="F5" t="s">
        <v>3793</v>
      </c>
      <c r="G5" t="s">
        <v>3807</v>
      </c>
      <c r="H5" t="s">
        <v>3784</v>
      </c>
      <c r="I5" t="s">
        <v>3794</v>
      </c>
      <c r="J5" t="s">
        <v>3792</v>
      </c>
      <c r="K5" t="s">
        <v>3804</v>
      </c>
      <c r="L5" t="s">
        <v>3797</v>
      </c>
      <c r="M5" t="s">
        <v>145</v>
      </c>
      <c r="N5" t="s">
        <v>118</v>
      </c>
      <c r="O5" t="s">
        <v>3808</v>
      </c>
      <c r="P5" s="9">
        <v>44258.51048611111</v>
      </c>
      <c r="Q5" t="s">
        <v>3809</v>
      </c>
      <c r="R5" t="s">
        <v>3794</v>
      </c>
    </row>
    <row r="6" spans="1:18" x14ac:dyDescent="0.25">
      <c r="A6" t="s">
        <v>3810</v>
      </c>
      <c r="B6" t="s">
        <v>3792</v>
      </c>
      <c r="C6">
        <v>2</v>
      </c>
      <c r="D6" t="s">
        <v>41</v>
      </c>
      <c r="E6">
        <v>17</v>
      </c>
      <c r="F6" t="s">
        <v>3793</v>
      </c>
      <c r="G6" t="s">
        <v>3810</v>
      </c>
      <c r="H6" t="s">
        <v>3784</v>
      </c>
      <c r="I6" t="s">
        <v>3794</v>
      </c>
      <c r="J6" t="s">
        <v>3792</v>
      </c>
      <c r="K6" t="s">
        <v>3804</v>
      </c>
      <c r="L6" t="s">
        <v>3797</v>
      </c>
      <c r="M6" t="s">
        <v>232</v>
      </c>
      <c r="N6" t="s">
        <v>118</v>
      </c>
      <c r="O6" t="s">
        <v>3808</v>
      </c>
      <c r="P6" s="9">
        <v>44258.51048611111</v>
      </c>
      <c r="Q6" t="s">
        <v>3811</v>
      </c>
      <c r="R6" t="s">
        <v>3794</v>
      </c>
    </row>
    <row r="7" spans="1:18" x14ac:dyDescent="0.25">
      <c r="A7" t="s">
        <v>3812</v>
      </c>
      <c r="B7" t="s">
        <v>3792</v>
      </c>
      <c r="C7">
        <v>2</v>
      </c>
      <c r="D7" t="s">
        <v>41</v>
      </c>
      <c r="E7">
        <v>17</v>
      </c>
      <c r="F7" t="s">
        <v>3793</v>
      </c>
      <c r="G7" t="s">
        <v>3812</v>
      </c>
      <c r="H7" t="s">
        <v>3784</v>
      </c>
      <c r="I7" t="s">
        <v>3794</v>
      </c>
      <c r="J7" t="s">
        <v>3792</v>
      </c>
      <c r="K7" t="s">
        <v>3804</v>
      </c>
      <c r="L7" t="s">
        <v>3797</v>
      </c>
      <c r="M7" t="s">
        <v>43</v>
      </c>
      <c r="N7" t="s">
        <v>118</v>
      </c>
      <c r="O7" t="s">
        <v>3801</v>
      </c>
      <c r="P7" s="9">
        <v>44258.510462962964</v>
      </c>
      <c r="Q7" t="s">
        <v>3813</v>
      </c>
      <c r="R7" t="s">
        <v>3794</v>
      </c>
    </row>
    <row r="8" spans="1:18" x14ac:dyDescent="0.25">
      <c r="A8" t="s">
        <v>3814</v>
      </c>
      <c r="B8" t="s">
        <v>3792</v>
      </c>
      <c r="C8">
        <v>2</v>
      </c>
      <c r="D8" t="s">
        <v>41</v>
      </c>
      <c r="E8">
        <v>17</v>
      </c>
      <c r="F8" t="s">
        <v>3793</v>
      </c>
      <c r="G8" t="s">
        <v>3814</v>
      </c>
      <c r="H8" t="s">
        <v>3784</v>
      </c>
      <c r="I8" t="s">
        <v>3794</v>
      </c>
      <c r="J8" t="s">
        <v>3792</v>
      </c>
      <c r="K8" t="s">
        <v>3804</v>
      </c>
      <c r="L8" t="s">
        <v>3797</v>
      </c>
      <c r="M8" t="s">
        <v>108</v>
      </c>
      <c r="N8" t="s">
        <v>119</v>
      </c>
      <c r="O8" t="s">
        <v>3815</v>
      </c>
      <c r="P8" s="9">
        <v>44258.510451388887</v>
      </c>
      <c r="Q8" t="s">
        <v>3816</v>
      </c>
      <c r="R8" t="s">
        <v>3794</v>
      </c>
    </row>
    <row r="9" spans="1:18" x14ac:dyDescent="0.25">
      <c r="A9" t="s">
        <v>3817</v>
      </c>
      <c r="B9" t="s">
        <v>3818</v>
      </c>
      <c r="C9">
        <v>2</v>
      </c>
      <c r="D9" t="s">
        <v>41</v>
      </c>
      <c r="E9">
        <v>17</v>
      </c>
      <c r="F9" t="s">
        <v>3793</v>
      </c>
      <c r="G9" t="s">
        <v>3817</v>
      </c>
      <c r="H9" t="s">
        <v>3784</v>
      </c>
      <c r="I9" t="s">
        <v>3819</v>
      </c>
      <c r="J9" t="s">
        <v>3818</v>
      </c>
      <c r="K9" t="s">
        <v>3796</v>
      </c>
      <c r="L9" t="s">
        <v>3797</v>
      </c>
      <c r="M9" t="s">
        <v>3739</v>
      </c>
      <c r="N9" t="s">
        <v>118</v>
      </c>
      <c r="O9" t="s">
        <v>3820</v>
      </c>
      <c r="P9" s="9">
        <v>44258.510439814818</v>
      </c>
      <c r="Q9" t="s">
        <v>3799</v>
      </c>
      <c r="R9" t="s">
        <v>3794</v>
      </c>
    </row>
    <row r="10" spans="1:18" x14ac:dyDescent="0.25">
      <c r="A10" t="s">
        <v>3821</v>
      </c>
      <c r="B10" t="s">
        <v>3818</v>
      </c>
      <c r="C10">
        <v>2</v>
      </c>
      <c r="D10" t="s">
        <v>41</v>
      </c>
      <c r="E10">
        <v>17</v>
      </c>
      <c r="F10" t="s">
        <v>3793</v>
      </c>
      <c r="G10" t="s">
        <v>3821</v>
      </c>
      <c r="H10" t="s">
        <v>3784</v>
      </c>
      <c r="I10" t="s">
        <v>3794</v>
      </c>
      <c r="J10" t="s">
        <v>3818</v>
      </c>
      <c r="K10" t="s">
        <v>3796</v>
      </c>
      <c r="L10" t="s">
        <v>3797</v>
      </c>
      <c r="M10" t="s">
        <v>3740</v>
      </c>
      <c r="N10" t="s">
        <v>118</v>
      </c>
      <c r="O10" t="s">
        <v>3801</v>
      </c>
      <c r="P10" s="9">
        <v>44258.510439814818</v>
      </c>
      <c r="Q10" t="s">
        <v>3802</v>
      </c>
      <c r="R10" t="s">
        <v>3794</v>
      </c>
    </row>
    <row r="11" spans="1:18" x14ac:dyDescent="0.25">
      <c r="A11" t="s">
        <v>3822</v>
      </c>
      <c r="B11" t="s">
        <v>3818</v>
      </c>
      <c r="C11">
        <v>2</v>
      </c>
      <c r="D11" t="s">
        <v>41</v>
      </c>
      <c r="E11">
        <v>17</v>
      </c>
      <c r="F11" t="s">
        <v>3793</v>
      </c>
      <c r="G11" t="s">
        <v>3822</v>
      </c>
      <c r="H11" t="s">
        <v>3784</v>
      </c>
      <c r="I11" t="s">
        <v>3794</v>
      </c>
      <c r="J11" t="s">
        <v>3818</v>
      </c>
      <c r="K11" t="s">
        <v>3804</v>
      </c>
      <c r="L11" t="s">
        <v>3797</v>
      </c>
      <c r="M11" t="s">
        <v>42</v>
      </c>
      <c r="N11" t="s">
        <v>118</v>
      </c>
      <c r="O11" t="s">
        <v>3805</v>
      </c>
      <c r="P11" s="9">
        <v>44258.510474537034</v>
      </c>
      <c r="Q11" t="s">
        <v>3806</v>
      </c>
      <c r="R11" t="s">
        <v>3794</v>
      </c>
    </row>
    <row r="12" spans="1:18" x14ac:dyDescent="0.25">
      <c r="A12" t="s">
        <v>3823</v>
      </c>
      <c r="B12" t="s">
        <v>3818</v>
      </c>
      <c r="C12">
        <v>2</v>
      </c>
      <c r="D12" t="s">
        <v>41</v>
      </c>
      <c r="E12">
        <v>17</v>
      </c>
      <c r="F12" t="s">
        <v>3793</v>
      </c>
      <c r="G12" t="s">
        <v>3823</v>
      </c>
      <c r="H12" t="s">
        <v>3784</v>
      </c>
      <c r="I12" t="s">
        <v>3794</v>
      </c>
      <c r="J12" t="s">
        <v>3818</v>
      </c>
      <c r="K12" t="s">
        <v>3804</v>
      </c>
      <c r="L12" t="s">
        <v>3797</v>
      </c>
      <c r="M12" t="s">
        <v>145</v>
      </c>
      <c r="N12" t="s">
        <v>118</v>
      </c>
      <c r="O12" t="s">
        <v>3808</v>
      </c>
      <c r="P12" s="9">
        <v>44258.51048611111</v>
      </c>
      <c r="Q12" t="s">
        <v>3809</v>
      </c>
      <c r="R12" t="s">
        <v>3794</v>
      </c>
    </row>
    <row r="13" spans="1:18" x14ac:dyDescent="0.25">
      <c r="A13" t="s">
        <v>3824</v>
      </c>
      <c r="B13" t="s">
        <v>3818</v>
      </c>
      <c r="C13">
        <v>2</v>
      </c>
      <c r="D13" t="s">
        <v>41</v>
      </c>
      <c r="E13">
        <v>17</v>
      </c>
      <c r="F13" t="s">
        <v>3793</v>
      </c>
      <c r="G13" t="s">
        <v>3824</v>
      </c>
      <c r="H13" t="s">
        <v>3784</v>
      </c>
      <c r="I13" t="s">
        <v>3794</v>
      </c>
      <c r="J13" t="s">
        <v>3818</v>
      </c>
      <c r="K13" t="s">
        <v>3804</v>
      </c>
      <c r="L13" t="s">
        <v>3797</v>
      </c>
      <c r="M13" t="s">
        <v>232</v>
      </c>
      <c r="N13" t="s">
        <v>118</v>
      </c>
      <c r="O13" t="s">
        <v>3808</v>
      </c>
      <c r="P13" s="9">
        <v>44258.51048611111</v>
      </c>
      <c r="Q13" t="s">
        <v>3811</v>
      </c>
      <c r="R13" t="s">
        <v>3794</v>
      </c>
    </row>
    <row r="14" spans="1:18" x14ac:dyDescent="0.25">
      <c r="A14" t="s">
        <v>3825</v>
      </c>
      <c r="B14" t="s">
        <v>3818</v>
      </c>
      <c r="C14">
        <v>2</v>
      </c>
      <c r="D14" t="s">
        <v>41</v>
      </c>
      <c r="E14">
        <v>17</v>
      </c>
      <c r="F14" t="s">
        <v>3793</v>
      </c>
      <c r="G14" t="s">
        <v>3825</v>
      </c>
      <c r="H14" t="s">
        <v>3784</v>
      </c>
      <c r="I14" t="s">
        <v>3794</v>
      </c>
      <c r="J14" t="s">
        <v>3818</v>
      </c>
      <c r="K14" t="s">
        <v>3804</v>
      </c>
      <c r="L14" t="s">
        <v>3797</v>
      </c>
      <c r="M14" t="s">
        <v>43</v>
      </c>
      <c r="N14" t="s">
        <v>118</v>
      </c>
      <c r="O14" t="s">
        <v>3801</v>
      </c>
      <c r="P14" s="9">
        <v>44258.510462962964</v>
      </c>
      <c r="Q14" t="s">
        <v>3813</v>
      </c>
      <c r="R14" t="s">
        <v>3794</v>
      </c>
    </row>
    <row r="15" spans="1:18" x14ac:dyDescent="0.25">
      <c r="A15" t="s">
        <v>3826</v>
      </c>
      <c r="B15" t="s">
        <v>3818</v>
      </c>
      <c r="C15">
        <v>2</v>
      </c>
      <c r="D15" t="s">
        <v>41</v>
      </c>
      <c r="E15">
        <v>17</v>
      </c>
      <c r="F15" t="s">
        <v>3793</v>
      </c>
      <c r="G15" t="s">
        <v>3826</v>
      </c>
      <c r="H15" t="s">
        <v>3784</v>
      </c>
      <c r="I15" t="s">
        <v>3794</v>
      </c>
      <c r="J15" t="s">
        <v>3818</v>
      </c>
      <c r="K15" t="s">
        <v>3804</v>
      </c>
      <c r="L15" t="s">
        <v>3797</v>
      </c>
      <c r="M15" t="s">
        <v>108</v>
      </c>
      <c r="N15" t="s">
        <v>119</v>
      </c>
      <c r="O15" t="s">
        <v>3815</v>
      </c>
      <c r="P15" s="9">
        <v>44258.510451388887</v>
      </c>
      <c r="Q15" t="s">
        <v>3816</v>
      </c>
      <c r="R15" t="s">
        <v>3794</v>
      </c>
    </row>
    <row r="16" spans="1:18" x14ac:dyDescent="0.25">
      <c r="A16" t="s">
        <v>3827</v>
      </c>
      <c r="B16" t="s">
        <v>3828</v>
      </c>
      <c r="C16">
        <v>2</v>
      </c>
      <c r="D16" t="s">
        <v>41</v>
      </c>
      <c r="E16">
        <v>17</v>
      </c>
      <c r="F16" t="s">
        <v>3793</v>
      </c>
      <c r="G16" t="s">
        <v>3827</v>
      </c>
      <c r="H16" t="s">
        <v>3782</v>
      </c>
      <c r="I16" t="s">
        <v>3794</v>
      </c>
      <c r="J16" t="s">
        <v>3828</v>
      </c>
      <c r="K16" t="s">
        <v>3804</v>
      </c>
      <c r="L16" t="s">
        <v>3797</v>
      </c>
      <c r="M16" t="s">
        <v>42</v>
      </c>
      <c r="N16" t="s">
        <v>118</v>
      </c>
      <c r="O16" t="s">
        <v>3805</v>
      </c>
      <c r="P16" s="9">
        <v>44258.510474537034</v>
      </c>
      <c r="Q16" t="s">
        <v>3806</v>
      </c>
      <c r="R16" t="s">
        <v>3794</v>
      </c>
    </row>
    <row r="17" spans="1:18" x14ac:dyDescent="0.25">
      <c r="A17" t="s">
        <v>3829</v>
      </c>
      <c r="B17" t="s">
        <v>3828</v>
      </c>
      <c r="C17">
        <v>2</v>
      </c>
      <c r="D17" t="s">
        <v>41</v>
      </c>
      <c r="E17">
        <v>17</v>
      </c>
      <c r="F17" t="s">
        <v>3793</v>
      </c>
      <c r="G17" t="s">
        <v>3829</v>
      </c>
      <c r="H17" t="s">
        <v>3782</v>
      </c>
      <c r="I17" t="s">
        <v>3794</v>
      </c>
      <c r="J17" t="s">
        <v>3828</v>
      </c>
      <c r="K17" t="s">
        <v>3804</v>
      </c>
      <c r="L17" t="s">
        <v>3797</v>
      </c>
      <c r="M17" t="s">
        <v>43</v>
      </c>
      <c r="N17" t="s">
        <v>118</v>
      </c>
      <c r="O17" t="s">
        <v>3801</v>
      </c>
      <c r="P17" s="9">
        <v>44258.510462962964</v>
      </c>
      <c r="Q17" t="s">
        <v>3813</v>
      </c>
      <c r="R17" t="s">
        <v>3794</v>
      </c>
    </row>
    <row r="18" spans="1:18" x14ac:dyDescent="0.25">
      <c r="A18" t="s">
        <v>3830</v>
      </c>
      <c r="B18" t="s">
        <v>3828</v>
      </c>
      <c r="C18">
        <v>2</v>
      </c>
      <c r="D18" t="s">
        <v>41</v>
      </c>
      <c r="E18">
        <v>17</v>
      </c>
      <c r="F18" t="s">
        <v>3793</v>
      </c>
      <c r="G18" t="s">
        <v>3830</v>
      </c>
      <c r="H18" t="s">
        <v>3782</v>
      </c>
      <c r="I18" t="s">
        <v>3794</v>
      </c>
      <c r="J18" t="s">
        <v>3828</v>
      </c>
      <c r="K18" t="s">
        <v>3804</v>
      </c>
      <c r="L18" t="s">
        <v>3797</v>
      </c>
      <c r="M18" t="s">
        <v>108</v>
      </c>
      <c r="N18" t="s">
        <v>119</v>
      </c>
      <c r="O18" t="s">
        <v>3815</v>
      </c>
      <c r="P18" s="9">
        <v>44258.510451388887</v>
      </c>
      <c r="Q18" t="s">
        <v>3816</v>
      </c>
      <c r="R18" t="s">
        <v>3794</v>
      </c>
    </row>
    <row r="19" spans="1:18" x14ac:dyDescent="0.25">
      <c r="A19" t="s">
        <v>3831</v>
      </c>
      <c r="B19" t="s">
        <v>3832</v>
      </c>
      <c r="C19">
        <v>2</v>
      </c>
      <c r="D19" t="s">
        <v>41</v>
      </c>
      <c r="E19">
        <v>17</v>
      </c>
      <c r="F19" t="s">
        <v>3793</v>
      </c>
      <c r="G19" t="s">
        <v>3831</v>
      </c>
      <c r="H19" t="s">
        <v>3783</v>
      </c>
      <c r="I19" t="s">
        <v>3794</v>
      </c>
      <c r="J19" t="s">
        <v>3832</v>
      </c>
      <c r="K19" t="s">
        <v>3804</v>
      </c>
      <c r="L19" t="s">
        <v>3797</v>
      </c>
      <c r="M19" t="s">
        <v>42</v>
      </c>
      <c r="N19" t="s">
        <v>118</v>
      </c>
      <c r="O19" t="s">
        <v>3805</v>
      </c>
      <c r="P19" s="9">
        <v>44258.510474537034</v>
      </c>
      <c r="Q19" t="s">
        <v>3806</v>
      </c>
      <c r="R19" t="s">
        <v>3794</v>
      </c>
    </row>
    <row r="20" spans="1:18" x14ac:dyDescent="0.25">
      <c r="A20" t="s">
        <v>3833</v>
      </c>
      <c r="B20" t="s">
        <v>3832</v>
      </c>
      <c r="C20">
        <v>2</v>
      </c>
      <c r="D20" t="s">
        <v>41</v>
      </c>
      <c r="E20">
        <v>17</v>
      </c>
      <c r="F20" t="s">
        <v>3793</v>
      </c>
      <c r="G20" t="s">
        <v>3833</v>
      </c>
      <c r="H20" t="s">
        <v>3783</v>
      </c>
      <c r="I20" t="s">
        <v>3794</v>
      </c>
      <c r="J20" t="s">
        <v>3832</v>
      </c>
      <c r="K20" t="s">
        <v>3804</v>
      </c>
      <c r="L20" t="s">
        <v>3797</v>
      </c>
      <c r="M20" t="s">
        <v>145</v>
      </c>
      <c r="N20" t="s">
        <v>118</v>
      </c>
      <c r="O20" t="s">
        <v>3808</v>
      </c>
      <c r="P20" s="9">
        <v>44258.51048611111</v>
      </c>
      <c r="Q20" t="s">
        <v>3809</v>
      </c>
      <c r="R20" t="s">
        <v>3794</v>
      </c>
    </row>
    <row r="21" spans="1:18" x14ac:dyDescent="0.25">
      <c r="A21" t="s">
        <v>3834</v>
      </c>
      <c r="B21" t="s">
        <v>3832</v>
      </c>
      <c r="C21">
        <v>2</v>
      </c>
      <c r="D21" t="s">
        <v>41</v>
      </c>
      <c r="E21">
        <v>17</v>
      </c>
      <c r="F21" t="s">
        <v>3793</v>
      </c>
      <c r="G21" t="s">
        <v>3834</v>
      </c>
      <c r="H21" t="s">
        <v>3783</v>
      </c>
      <c r="I21" t="s">
        <v>3794</v>
      </c>
      <c r="J21" t="s">
        <v>3832</v>
      </c>
      <c r="K21" t="s">
        <v>3804</v>
      </c>
      <c r="L21" t="s">
        <v>3797</v>
      </c>
      <c r="M21" t="s">
        <v>232</v>
      </c>
      <c r="N21" t="s">
        <v>118</v>
      </c>
      <c r="O21" t="s">
        <v>3808</v>
      </c>
      <c r="P21" s="9">
        <v>44258.51048611111</v>
      </c>
      <c r="Q21" t="s">
        <v>3811</v>
      </c>
      <c r="R21" t="s">
        <v>3794</v>
      </c>
    </row>
    <row r="22" spans="1:18" x14ac:dyDescent="0.25">
      <c r="A22" t="s">
        <v>3835</v>
      </c>
      <c r="B22" t="s">
        <v>3832</v>
      </c>
      <c r="C22">
        <v>2</v>
      </c>
      <c r="D22" t="s">
        <v>41</v>
      </c>
      <c r="E22">
        <v>17</v>
      </c>
      <c r="F22" t="s">
        <v>3793</v>
      </c>
      <c r="G22" t="s">
        <v>3835</v>
      </c>
      <c r="H22" t="s">
        <v>3783</v>
      </c>
      <c r="I22" t="s">
        <v>3794</v>
      </c>
      <c r="J22" t="s">
        <v>3832</v>
      </c>
      <c r="K22" t="s">
        <v>3804</v>
      </c>
      <c r="L22" t="s">
        <v>3797</v>
      </c>
      <c r="M22" t="s">
        <v>43</v>
      </c>
      <c r="N22" t="s">
        <v>118</v>
      </c>
      <c r="O22" t="s">
        <v>3801</v>
      </c>
      <c r="P22" s="9">
        <v>44258.510462962964</v>
      </c>
      <c r="Q22" t="s">
        <v>3813</v>
      </c>
      <c r="R22" t="s">
        <v>3794</v>
      </c>
    </row>
    <row r="23" spans="1:18" x14ac:dyDescent="0.25">
      <c r="A23" t="s">
        <v>3836</v>
      </c>
      <c r="B23" t="s">
        <v>3832</v>
      </c>
      <c r="C23">
        <v>2</v>
      </c>
      <c r="D23" t="s">
        <v>41</v>
      </c>
      <c r="E23">
        <v>17</v>
      </c>
      <c r="F23" t="s">
        <v>3793</v>
      </c>
      <c r="G23" t="s">
        <v>3836</v>
      </c>
      <c r="H23" t="s">
        <v>3783</v>
      </c>
      <c r="I23" t="s">
        <v>3794</v>
      </c>
      <c r="J23" t="s">
        <v>3832</v>
      </c>
      <c r="K23" t="s">
        <v>3804</v>
      </c>
      <c r="L23" t="s">
        <v>3797</v>
      </c>
      <c r="M23" t="s">
        <v>108</v>
      </c>
      <c r="N23" t="s">
        <v>119</v>
      </c>
      <c r="O23" t="s">
        <v>3815</v>
      </c>
      <c r="P23" s="9">
        <v>44258.510451388887</v>
      </c>
      <c r="Q23" t="s">
        <v>3816</v>
      </c>
      <c r="R23" t="s">
        <v>3794</v>
      </c>
    </row>
    <row r="24" spans="1:18" x14ac:dyDescent="0.25">
      <c r="A24" t="s">
        <v>3837</v>
      </c>
      <c r="B24" t="s">
        <v>3838</v>
      </c>
      <c r="C24">
        <v>2</v>
      </c>
      <c r="D24" t="s">
        <v>41</v>
      </c>
      <c r="E24">
        <v>17</v>
      </c>
      <c r="F24" t="s">
        <v>3793</v>
      </c>
      <c r="G24" t="s">
        <v>3837</v>
      </c>
      <c r="H24" t="s">
        <v>3785</v>
      </c>
      <c r="I24" t="s">
        <v>3839</v>
      </c>
      <c r="J24" t="s">
        <v>3838</v>
      </c>
      <c r="K24" t="s">
        <v>3840</v>
      </c>
      <c r="L24" t="s">
        <v>3797</v>
      </c>
      <c r="M24" t="s">
        <v>3739</v>
      </c>
      <c r="N24" t="s">
        <v>118</v>
      </c>
      <c r="O24" t="s">
        <v>3841</v>
      </c>
      <c r="P24" s="9">
        <v>44258.510451388887</v>
      </c>
      <c r="Q24" t="s">
        <v>3842</v>
      </c>
      <c r="R24" t="s">
        <v>3794</v>
      </c>
    </row>
    <row r="25" spans="1:18" x14ac:dyDescent="0.25">
      <c r="A25" t="s">
        <v>3843</v>
      </c>
      <c r="B25" t="s">
        <v>3838</v>
      </c>
      <c r="C25">
        <v>2</v>
      </c>
      <c r="D25" t="s">
        <v>41</v>
      </c>
      <c r="E25">
        <v>17</v>
      </c>
      <c r="F25" t="s">
        <v>3793</v>
      </c>
      <c r="G25" t="s">
        <v>3843</v>
      </c>
      <c r="H25" t="s">
        <v>3785</v>
      </c>
      <c r="I25" t="s">
        <v>3794</v>
      </c>
      <c r="J25" t="s">
        <v>3838</v>
      </c>
      <c r="K25" t="s">
        <v>3840</v>
      </c>
      <c r="L25" t="s">
        <v>3797</v>
      </c>
      <c r="M25" t="s">
        <v>3740</v>
      </c>
      <c r="N25" t="s">
        <v>118</v>
      </c>
      <c r="O25" t="s">
        <v>3801</v>
      </c>
      <c r="P25" s="9">
        <v>44258.510451388887</v>
      </c>
      <c r="Q25" t="s">
        <v>3844</v>
      </c>
      <c r="R25" t="s">
        <v>3794</v>
      </c>
    </row>
    <row r="26" spans="1:18" x14ac:dyDescent="0.25">
      <c r="A26" t="s">
        <v>3845</v>
      </c>
      <c r="B26" t="s">
        <v>3838</v>
      </c>
      <c r="C26">
        <v>2</v>
      </c>
      <c r="D26" t="s">
        <v>41</v>
      </c>
      <c r="E26">
        <v>17</v>
      </c>
      <c r="F26" t="s">
        <v>3793</v>
      </c>
      <c r="G26" t="s">
        <v>3845</v>
      </c>
      <c r="H26" t="s">
        <v>3785</v>
      </c>
      <c r="I26" t="s">
        <v>3794</v>
      </c>
      <c r="J26" t="s">
        <v>3838</v>
      </c>
      <c r="K26" t="s">
        <v>3804</v>
      </c>
      <c r="L26" t="s">
        <v>3797</v>
      </c>
      <c r="M26" t="s">
        <v>42</v>
      </c>
      <c r="N26" t="s">
        <v>118</v>
      </c>
      <c r="O26" t="s">
        <v>3805</v>
      </c>
      <c r="P26" s="9">
        <v>44258.510474537034</v>
      </c>
      <c r="Q26" t="s">
        <v>3806</v>
      </c>
      <c r="R26" t="s">
        <v>3794</v>
      </c>
    </row>
    <row r="27" spans="1:18" x14ac:dyDescent="0.25">
      <c r="A27" t="s">
        <v>3846</v>
      </c>
      <c r="B27" t="s">
        <v>3838</v>
      </c>
      <c r="C27">
        <v>2</v>
      </c>
      <c r="D27" t="s">
        <v>41</v>
      </c>
      <c r="E27">
        <v>17</v>
      </c>
      <c r="F27" t="s">
        <v>3793</v>
      </c>
      <c r="G27" t="s">
        <v>3846</v>
      </c>
      <c r="H27" t="s">
        <v>3785</v>
      </c>
      <c r="I27" t="s">
        <v>3794</v>
      </c>
      <c r="J27" t="s">
        <v>3838</v>
      </c>
      <c r="K27" t="s">
        <v>3804</v>
      </c>
      <c r="L27" t="s">
        <v>3797</v>
      </c>
      <c r="M27" t="s">
        <v>145</v>
      </c>
      <c r="N27" t="s">
        <v>118</v>
      </c>
      <c r="O27" t="s">
        <v>3808</v>
      </c>
      <c r="P27" s="9">
        <v>44258.51048611111</v>
      </c>
      <c r="Q27" t="s">
        <v>3809</v>
      </c>
      <c r="R27" t="s">
        <v>3794</v>
      </c>
    </row>
    <row r="28" spans="1:18" x14ac:dyDescent="0.25">
      <c r="A28" t="s">
        <v>3847</v>
      </c>
      <c r="B28" t="s">
        <v>3838</v>
      </c>
      <c r="C28">
        <v>2</v>
      </c>
      <c r="D28" t="s">
        <v>41</v>
      </c>
      <c r="E28">
        <v>17</v>
      </c>
      <c r="F28" t="s">
        <v>3793</v>
      </c>
      <c r="G28" t="s">
        <v>3847</v>
      </c>
      <c r="H28" t="s">
        <v>3785</v>
      </c>
      <c r="I28" t="s">
        <v>3794</v>
      </c>
      <c r="J28" t="s">
        <v>3838</v>
      </c>
      <c r="K28" t="s">
        <v>3804</v>
      </c>
      <c r="L28" t="s">
        <v>3797</v>
      </c>
      <c r="M28" t="s">
        <v>232</v>
      </c>
      <c r="N28" t="s">
        <v>118</v>
      </c>
      <c r="O28" t="s">
        <v>3808</v>
      </c>
      <c r="P28" s="9">
        <v>44258.51048611111</v>
      </c>
      <c r="Q28" t="s">
        <v>3811</v>
      </c>
      <c r="R28" t="s">
        <v>3794</v>
      </c>
    </row>
    <row r="29" spans="1:18" x14ac:dyDescent="0.25">
      <c r="A29" t="s">
        <v>3848</v>
      </c>
      <c r="B29" t="s">
        <v>3838</v>
      </c>
      <c r="C29">
        <v>2</v>
      </c>
      <c r="D29" t="s">
        <v>41</v>
      </c>
      <c r="E29">
        <v>17</v>
      </c>
      <c r="F29" t="s">
        <v>3793</v>
      </c>
      <c r="G29" t="s">
        <v>3848</v>
      </c>
      <c r="H29" t="s">
        <v>3785</v>
      </c>
      <c r="I29" t="s">
        <v>3794</v>
      </c>
      <c r="J29" t="s">
        <v>3838</v>
      </c>
      <c r="K29" t="s">
        <v>3804</v>
      </c>
      <c r="L29" t="s">
        <v>3797</v>
      </c>
      <c r="M29" t="s">
        <v>43</v>
      </c>
      <c r="N29" t="s">
        <v>118</v>
      </c>
      <c r="O29" t="s">
        <v>3801</v>
      </c>
      <c r="P29" s="9">
        <v>44258.510462962964</v>
      </c>
      <c r="Q29" t="s">
        <v>3813</v>
      </c>
      <c r="R29" t="s">
        <v>3794</v>
      </c>
    </row>
    <row r="30" spans="1:18" x14ac:dyDescent="0.25">
      <c r="A30" t="s">
        <v>3849</v>
      </c>
      <c r="B30" t="s">
        <v>3838</v>
      </c>
      <c r="C30">
        <v>2</v>
      </c>
      <c r="D30" t="s">
        <v>41</v>
      </c>
      <c r="E30">
        <v>17</v>
      </c>
      <c r="F30" t="s">
        <v>3793</v>
      </c>
      <c r="G30" t="s">
        <v>3849</v>
      </c>
      <c r="H30" t="s">
        <v>3785</v>
      </c>
      <c r="I30" t="s">
        <v>3794</v>
      </c>
      <c r="J30" t="s">
        <v>3838</v>
      </c>
      <c r="K30" t="s">
        <v>3804</v>
      </c>
      <c r="L30" t="s">
        <v>3797</v>
      </c>
      <c r="M30" t="s">
        <v>108</v>
      </c>
      <c r="N30" t="s">
        <v>119</v>
      </c>
      <c r="O30" t="s">
        <v>3815</v>
      </c>
      <c r="P30" s="9">
        <v>44258.510451388887</v>
      </c>
      <c r="Q30" t="s">
        <v>3816</v>
      </c>
      <c r="R30" t="s">
        <v>3794</v>
      </c>
    </row>
    <row r="31" spans="1:18" x14ac:dyDescent="0.25">
      <c r="A31" t="s">
        <v>3850</v>
      </c>
      <c r="B31" t="s">
        <v>3851</v>
      </c>
      <c r="C31">
        <v>2</v>
      </c>
      <c r="D31" t="s">
        <v>41</v>
      </c>
      <c r="E31">
        <v>17</v>
      </c>
      <c r="F31" t="s">
        <v>3793</v>
      </c>
      <c r="G31" t="s">
        <v>3850</v>
      </c>
      <c r="H31" t="s">
        <v>3785</v>
      </c>
      <c r="I31" t="s">
        <v>3852</v>
      </c>
      <c r="J31" t="s">
        <v>3851</v>
      </c>
      <c r="K31" t="s">
        <v>3840</v>
      </c>
      <c r="L31" t="s">
        <v>3797</v>
      </c>
      <c r="M31" t="s">
        <v>3739</v>
      </c>
      <c r="N31" t="s">
        <v>118</v>
      </c>
      <c r="O31" t="s">
        <v>3853</v>
      </c>
      <c r="P31" s="9">
        <v>44258.510451388887</v>
      </c>
      <c r="Q31" t="s">
        <v>3842</v>
      </c>
      <c r="R31" t="s">
        <v>3794</v>
      </c>
    </row>
    <row r="32" spans="1:18" x14ac:dyDescent="0.25">
      <c r="A32" t="s">
        <v>3854</v>
      </c>
      <c r="B32" t="s">
        <v>3851</v>
      </c>
      <c r="C32">
        <v>2</v>
      </c>
      <c r="D32" t="s">
        <v>41</v>
      </c>
      <c r="E32">
        <v>17</v>
      </c>
      <c r="F32" t="s">
        <v>3793</v>
      </c>
      <c r="G32" t="s">
        <v>3854</v>
      </c>
      <c r="H32" t="s">
        <v>3785</v>
      </c>
      <c r="I32" t="s">
        <v>3794</v>
      </c>
      <c r="J32" t="s">
        <v>3851</v>
      </c>
      <c r="K32" t="s">
        <v>3840</v>
      </c>
      <c r="L32" t="s">
        <v>3797</v>
      </c>
      <c r="M32" t="s">
        <v>3740</v>
      </c>
      <c r="N32" t="s">
        <v>118</v>
      </c>
      <c r="O32" t="s">
        <v>3801</v>
      </c>
      <c r="P32" s="9">
        <v>44258.510451388887</v>
      </c>
      <c r="Q32" t="s">
        <v>3844</v>
      </c>
      <c r="R32" t="s">
        <v>3794</v>
      </c>
    </row>
    <row r="33" spans="1:18" x14ac:dyDescent="0.25">
      <c r="A33" t="s">
        <v>3855</v>
      </c>
      <c r="B33" t="s">
        <v>3851</v>
      </c>
      <c r="C33">
        <v>2</v>
      </c>
      <c r="D33" t="s">
        <v>41</v>
      </c>
      <c r="E33">
        <v>17</v>
      </c>
      <c r="F33" t="s">
        <v>3793</v>
      </c>
      <c r="G33" t="s">
        <v>3855</v>
      </c>
      <c r="H33" t="s">
        <v>3785</v>
      </c>
      <c r="I33" t="s">
        <v>3794</v>
      </c>
      <c r="J33" t="s">
        <v>3851</v>
      </c>
      <c r="K33" t="s">
        <v>3804</v>
      </c>
      <c r="L33" t="s">
        <v>3797</v>
      </c>
      <c r="M33" t="s">
        <v>42</v>
      </c>
      <c r="N33" t="s">
        <v>118</v>
      </c>
      <c r="O33" t="s">
        <v>3805</v>
      </c>
      <c r="P33" s="9">
        <v>44258.510474537034</v>
      </c>
      <c r="Q33" t="s">
        <v>3806</v>
      </c>
      <c r="R33" t="s">
        <v>3794</v>
      </c>
    </row>
    <row r="34" spans="1:18" x14ac:dyDescent="0.25">
      <c r="A34" t="s">
        <v>3856</v>
      </c>
      <c r="B34" t="s">
        <v>3851</v>
      </c>
      <c r="C34">
        <v>2</v>
      </c>
      <c r="D34" t="s">
        <v>41</v>
      </c>
      <c r="E34">
        <v>17</v>
      </c>
      <c r="F34" t="s">
        <v>3793</v>
      </c>
      <c r="G34" t="s">
        <v>3856</v>
      </c>
      <c r="H34" t="s">
        <v>3785</v>
      </c>
      <c r="I34" t="s">
        <v>3794</v>
      </c>
      <c r="J34" t="s">
        <v>3851</v>
      </c>
      <c r="K34" t="s">
        <v>3804</v>
      </c>
      <c r="L34" t="s">
        <v>3797</v>
      </c>
      <c r="M34" t="s">
        <v>145</v>
      </c>
      <c r="N34" t="s">
        <v>118</v>
      </c>
      <c r="O34" t="s">
        <v>3808</v>
      </c>
      <c r="P34" s="9">
        <v>44258.51048611111</v>
      </c>
      <c r="Q34" t="s">
        <v>3809</v>
      </c>
      <c r="R34" t="s">
        <v>3794</v>
      </c>
    </row>
    <row r="35" spans="1:18" x14ac:dyDescent="0.25">
      <c r="A35" t="s">
        <v>3857</v>
      </c>
      <c r="B35" t="s">
        <v>3851</v>
      </c>
      <c r="C35">
        <v>2</v>
      </c>
      <c r="D35" t="s">
        <v>41</v>
      </c>
      <c r="E35">
        <v>17</v>
      </c>
      <c r="F35" t="s">
        <v>3793</v>
      </c>
      <c r="G35" t="s">
        <v>3857</v>
      </c>
      <c r="H35" t="s">
        <v>3785</v>
      </c>
      <c r="I35" t="s">
        <v>3794</v>
      </c>
      <c r="J35" t="s">
        <v>3851</v>
      </c>
      <c r="K35" t="s">
        <v>3804</v>
      </c>
      <c r="L35" t="s">
        <v>3797</v>
      </c>
      <c r="M35" t="s">
        <v>232</v>
      </c>
      <c r="N35" t="s">
        <v>118</v>
      </c>
      <c r="O35" t="s">
        <v>3808</v>
      </c>
      <c r="P35" s="9">
        <v>44258.51048611111</v>
      </c>
      <c r="Q35" t="s">
        <v>3811</v>
      </c>
      <c r="R35" t="s">
        <v>3794</v>
      </c>
    </row>
    <row r="36" spans="1:18" x14ac:dyDescent="0.25">
      <c r="A36" t="s">
        <v>3858</v>
      </c>
      <c r="B36" t="s">
        <v>3851</v>
      </c>
      <c r="C36">
        <v>2</v>
      </c>
      <c r="D36" t="s">
        <v>41</v>
      </c>
      <c r="E36">
        <v>17</v>
      </c>
      <c r="F36" t="s">
        <v>3793</v>
      </c>
      <c r="G36" t="s">
        <v>3858</v>
      </c>
      <c r="H36" t="s">
        <v>3785</v>
      </c>
      <c r="I36" t="s">
        <v>3794</v>
      </c>
      <c r="J36" t="s">
        <v>3851</v>
      </c>
      <c r="K36" t="s">
        <v>3804</v>
      </c>
      <c r="L36" t="s">
        <v>3797</v>
      </c>
      <c r="M36" t="s">
        <v>43</v>
      </c>
      <c r="N36" t="s">
        <v>118</v>
      </c>
      <c r="O36" t="s">
        <v>3801</v>
      </c>
      <c r="P36" s="9">
        <v>44258.510462962964</v>
      </c>
      <c r="Q36" t="s">
        <v>3813</v>
      </c>
      <c r="R36" t="s">
        <v>3794</v>
      </c>
    </row>
    <row r="37" spans="1:18" x14ac:dyDescent="0.25">
      <c r="A37" t="s">
        <v>3859</v>
      </c>
      <c r="B37" t="s">
        <v>3851</v>
      </c>
      <c r="C37">
        <v>2</v>
      </c>
      <c r="D37" t="s">
        <v>41</v>
      </c>
      <c r="E37">
        <v>17</v>
      </c>
      <c r="F37" t="s">
        <v>3793</v>
      </c>
      <c r="G37" t="s">
        <v>3859</v>
      </c>
      <c r="H37" t="s">
        <v>3785</v>
      </c>
      <c r="I37" t="s">
        <v>3794</v>
      </c>
      <c r="J37" t="s">
        <v>3851</v>
      </c>
      <c r="K37" t="s">
        <v>3804</v>
      </c>
      <c r="L37" t="s">
        <v>3797</v>
      </c>
      <c r="M37" t="s">
        <v>108</v>
      </c>
      <c r="N37" t="s">
        <v>119</v>
      </c>
      <c r="O37" t="s">
        <v>3815</v>
      </c>
      <c r="P37" s="9">
        <v>44258.510451388887</v>
      </c>
      <c r="Q37" t="s">
        <v>3816</v>
      </c>
      <c r="R37" t="s">
        <v>3794</v>
      </c>
    </row>
    <row r="38" spans="1:18" x14ac:dyDescent="0.25">
      <c r="A38" t="s">
        <v>3860</v>
      </c>
      <c r="B38" t="s">
        <v>3861</v>
      </c>
      <c r="C38">
        <v>2</v>
      </c>
      <c r="D38" t="s">
        <v>41</v>
      </c>
      <c r="E38">
        <v>17</v>
      </c>
      <c r="F38" t="s">
        <v>3793</v>
      </c>
      <c r="G38" t="s">
        <v>3860</v>
      </c>
      <c r="H38" t="s">
        <v>3783</v>
      </c>
      <c r="I38" t="s">
        <v>3794</v>
      </c>
      <c r="J38" t="s">
        <v>3861</v>
      </c>
      <c r="K38" t="s">
        <v>3804</v>
      </c>
      <c r="L38" t="s">
        <v>3797</v>
      </c>
      <c r="M38" t="s">
        <v>42</v>
      </c>
      <c r="N38" t="s">
        <v>118</v>
      </c>
      <c r="O38" t="s">
        <v>3805</v>
      </c>
      <c r="P38" s="9">
        <v>44258.510474537034</v>
      </c>
      <c r="Q38" t="s">
        <v>3806</v>
      </c>
      <c r="R38" t="s">
        <v>3794</v>
      </c>
    </row>
    <row r="39" spans="1:18" x14ac:dyDescent="0.25">
      <c r="A39" t="s">
        <v>3862</v>
      </c>
      <c r="B39" t="s">
        <v>3861</v>
      </c>
      <c r="C39">
        <v>2</v>
      </c>
      <c r="D39" t="s">
        <v>41</v>
      </c>
      <c r="E39">
        <v>17</v>
      </c>
      <c r="F39" t="s">
        <v>3793</v>
      </c>
      <c r="G39" t="s">
        <v>3862</v>
      </c>
      <c r="H39" t="s">
        <v>3783</v>
      </c>
      <c r="I39" t="s">
        <v>3794</v>
      </c>
      <c r="J39" t="s">
        <v>3861</v>
      </c>
      <c r="K39" t="s">
        <v>3804</v>
      </c>
      <c r="L39" t="s">
        <v>3797</v>
      </c>
      <c r="M39" t="s">
        <v>145</v>
      </c>
      <c r="N39" t="s">
        <v>118</v>
      </c>
      <c r="O39" t="s">
        <v>3808</v>
      </c>
      <c r="P39" s="9">
        <v>44258.51048611111</v>
      </c>
      <c r="Q39" t="s">
        <v>3809</v>
      </c>
      <c r="R39" t="s">
        <v>3794</v>
      </c>
    </row>
    <row r="40" spans="1:18" x14ac:dyDescent="0.25">
      <c r="A40" t="s">
        <v>3863</v>
      </c>
      <c r="B40" t="s">
        <v>3861</v>
      </c>
      <c r="C40">
        <v>2</v>
      </c>
      <c r="D40" t="s">
        <v>41</v>
      </c>
      <c r="E40">
        <v>17</v>
      </c>
      <c r="F40" t="s">
        <v>3793</v>
      </c>
      <c r="G40" t="s">
        <v>3863</v>
      </c>
      <c r="H40" t="s">
        <v>3783</v>
      </c>
      <c r="I40" t="s">
        <v>3794</v>
      </c>
      <c r="J40" t="s">
        <v>3861</v>
      </c>
      <c r="K40" t="s">
        <v>3804</v>
      </c>
      <c r="L40" t="s">
        <v>3797</v>
      </c>
      <c r="M40" t="s">
        <v>232</v>
      </c>
      <c r="N40" t="s">
        <v>118</v>
      </c>
      <c r="O40" t="s">
        <v>3808</v>
      </c>
      <c r="P40" s="9">
        <v>44258.51048611111</v>
      </c>
      <c r="Q40" t="s">
        <v>3811</v>
      </c>
      <c r="R40" t="s">
        <v>3794</v>
      </c>
    </row>
    <row r="41" spans="1:18" x14ac:dyDescent="0.25">
      <c r="A41" t="s">
        <v>3864</v>
      </c>
      <c r="B41" t="s">
        <v>3861</v>
      </c>
      <c r="C41">
        <v>2</v>
      </c>
      <c r="D41" t="s">
        <v>41</v>
      </c>
      <c r="E41">
        <v>17</v>
      </c>
      <c r="F41" t="s">
        <v>3793</v>
      </c>
      <c r="G41" t="s">
        <v>3864</v>
      </c>
      <c r="H41" t="s">
        <v>3783</v>
      </c>
      <c r="I41" t="s">
        <v>3794</v>
      </c>
      <c r="J41" t="s">
        <v>3861</v>
      </c>
      <c r="K41" t="s">
        <v>3804</v>
      </c>
      <c r="L41" t="s">
        <v>3797</v>
      </c>
      <c r="M41" t="s">
        <v>43</v>
      </c>
      <c r="N41" t="s">
        <v>118</v>
      </c>
      <c r="O41" t="s">
        <v>3801</v>
      </c>
      <c r="P41" s="9">
        <v>44258.510462962964</v>
      </c>
      <c r="Q41" t="s">
        <v>3813</v>
      </c>
      <c r="R41" t="s">
        <v>3794</v>
      </c>
    </row>
    <row r="42" spans="1:18" x14ac:dyDescent="0.25">
      <c r="A42" t="s">
        <v>3865</v>
      </c>
      <c r="B42" t="s">
        <v>3861</v>
      </c>
      <c r="C42">
        <v>2</v>
      </c>
      <c r="D42" t="s">
        <v>41</v>
      </c>
      <c r="E42">
        <v>17</v>
      </c>
      <c r="F42" t="s">
        <v>3793</v>
      </c>
      <c r="G42" t="s">
        <v>3865</v>
      </c>
      <c r="H42" t="s">
        <v>3783</v>
      </c>
      <c r="I42" t="s">
        <v>3794</v>
      </c>
      <c r="J42" t="s">
        <v>3861</v>
      </c>
      <c r="K42" t="s">
        <v>3804</v>
      </c>
      <c r="L42" t="s">
        <v>3797</v>
      </c>
      <c r="M42" t="s">
        <v>108</v>
      </c>
      <c r="N42" t="s">
        <v>119</v>
      </c>
      <c r="O42" t="s">
        <v>3815</v>
      </c>
      <c r="P42" s="9">
        <v>44258.510451388887</v>
      </c>
      <c r="Q42" t="s">
        <v>3816</v>
      </c>
      <c r="R42" t="s">
        <v>3794</v>
      </c>
    </row>
    <row r="43" spans="1:18" x14ac:dyDescent="0.25">
      <c r="A43" t="s">
        <v>3866</v>
      </c>
      <c r="B43" t="s">
        <v>3867</v>
      </c>
      <c r="C43">
        <v>2</v>
      </c>
      <c r="D43" t="s">
        <v>41</v>
      </c>
      <c r="E43">
        <v>17</v>
      </c>
      <c r="F43" t="s">
        <v>3793</v>
      </c>
      <c r="G43" t="s">
        <v>3866</v>
      </c>
      <c r="H43" t="s">
        <v>3785</v>
      </c>
      <c r="I43" t="s">
        <v>3868</v>
      </c>
      <c r="J43" t="s">
        <v>3867</v>
      </c>
      <c r="K43" t="s">
        <v>3840</v>
      </c>
      <c r="L43" t="s">
        <v>3797</v>
      </c>
      <c r="M43" t="s">
        <v>3739</v>
      </c>
      <c r="N43" t="s">
        <v>118</v>
      </c>
      <c r="O43" t="s">
        <v>3869</v>
      </c>
      <c r="P43" s="9">
        <v>44258.510451388887</v>
      </c>
      <c r="Q43" t="s">
        <v>3842</v>
      </c>
      <c r="R43" t="s">
        <v>3794</v>
      </c>
    </row>
    <row r="44" spans="1:18" x14ac:dyDescent="0.25">
      <c r="A44" t="s">
        <v>3870</v>
      </c>
      <c r="B44" t="s">
        <v>3867</v>
      </c>
      <c r="C44">
        <v>2</v>
      </c>
      <c r="D44" t="s">
        <v>41</v>
      </c>
      <c r="E44">
        <v>17</v>
      </c>
      <c r="F44" t="s">
        <v>3793</v>
      </c>
      <c r="G44" t="s">
        <v>3870</v>
      </c>
      <c r="H44" t="s">
        <v>3785</v>
      </c>
      <c r="I44" t="s">
        <v>3794</v>
      </c>
      <c r="J44" t="s">
        <v>3867</v>
      </c>
      <c r="K44" t="s">
        <v>3840</v>
      </c>
      <c r="L44" t="s">
        <v>3797</v>
      </c>
      <c r="M44" t="s">
        <v>3740</v>
      </c>
      <c r="N44" t="s">
        <v>118</v>
      </c>
      <c r="O44" t="s">
        <v>3801</v>
      </c>
      <c r="P44" s="9">
        <v>44258.510451388887</v>
      </c>
      <c r="Q44" t="s">
        <v>3844</v>
      </c>
      <c r="R44" t="s">
        <v>3794</v>
      </c>
    </row>
    <row r="45" spans="1:18" x14ac:dyDescent="0.25">
      <c r="A45" t="s">
        <v>3871</v>
      </c>
      <c r="B45" t="s">
        <v>3867</v>
      </c>
      <c r="C45">
        <v>2</v>
      </c>
      <c r="D45" t="s">
        <v>41</v>
      </c>
      <c r="E45">
        <v>17</v>
      </c>
      <c r="F45" t="s">
        <v>3793</v>
      </c>
      <c r="G45" t="s">
        <v>3871</v>
      </c>
      <c r="H45" t="s">
        <v>3785</v>
      </c>
      <c r="I45" t="s">
        <v>3794</v>
      </c>
      <c r="J45" t="s">
        <v>3867</v>
      </c>
      <c r="K45" t="s">
        <v>3804</v>
      </c>
      <c r="L45" t="s">
        <v>3797</v>
      </c>
      <c r="M45" t="s">
        <v>42</v>
      </c>
      <c r="N45" t="s">
        <v>118</v>
      </c>
      <c r="O45" t="s">
        <v>3805</v>
      </c>
      <c r="P45" s="9">
        <v>44258.510474537034</v>
      </c>
      <c r="Q45" t="s">
        <v>3806</v>
      </c>
      <c r="R45" t="s">
        <v>3794</v>
      </c>
    </row>
    <row r="46" spans="1:18" x14ac:dyDescent="0.25">
      <c r="A46" t="s">
        <v>3872</v>
      </c>
      <c r="B46" t="s">
        <v>3867</v>
      </c>
      <c r="C46">
        <v>2</v>
      </c>
      <c r="D46" t="s">
        <v>41</v>
      </c>
      <c r="E46">
        <v>17</v>
      </c>
      <c r="F46" t="s">
        <v>3793</v>
      </c>
      <c r="G46" t="s">
        <v>3872</v>
      </c>
      <c r="H46" t="s">
        <v>3785</v>
      </c>
      <c r="I46" t="s">
        <v>3794</v>
      </c>
      <c r="J46" t="s">
        <v>3867</v>
      </c>
      <c r="K46" t="s">
        <v>3804</v>
      </c>
      <c r="L46" t="s">
        <v>3797</v>
      </c>
      <c r="M46" t="s">
        <v>145</v>
      </c>
      <c r="N46" t="s">
        <v>118</v>
      </c>
      <c r="O46" t="s">
        <v>3808</v>
      </c>
      <c r="P46" s="9">
        <v>44258.51048611111</v>
      </c>
      <c r="Q46" t="s">
        <v>3809</v>
      </c>
      <c r="R46" t="s">
        <v>3794</v>
      </c>
    </row>
    <row r="47" spans="1:18" x14ac:dyDescent="0.25">
      <c r="A47" t="s">
        <v>3873</v>
      </c>
      <c r="B47" t="s">
        <v>3867</v>
      </c>
      <c r="C47">
        <v>2</v>
      </c>
      <c r="D47" t="s">
        <v>41</v>
      </c>
      <c r="E47">
        <v>17</v>
      </c>
      <c r="F47" t="s">
        <v>3793</v>
      </c>
      <c r="G47" t="s">
        <v>3873</v>
      </c>
      <c r="H47" t="s">
        <v>3785</v>
      </c>
      <c r="I47" t="s">
        <v>3794</v>
      </c>
      <c r="J47" t="s">
        <v>3867</v>
      </c>
      <c r="K47" t="s">
        <v>3804</v>
      </c>
      <c r="L47" t="s">
        <v>3797</v>
      </c>
      <c r="M47" t="s">
        <v>232</v>
      </c>
      <c r="N47" t="s">
        <v>118</v>
      </c>
      <c r="O47" t="s">
        <v>3808</v>
      </c>
      <c r="P47" s="9">
        <v>44258.51048611111</v>
      </c>
      <c r="Q47" t="s">
        <v>3811</v>
      </c>
      <c r="R47" t="s">
        <v>3794</v>
      </c>
    </row>
    <row r="48" spans="1:18" x14ac:dyDescent="0.25">
      <c r="A48" t="s">
        <v>3874</v>
      </c>
      <c r="B48" t="s">
        <v>3867</v>
      </c>
      <c r="C48">
        <v>2</v>
      </c>
      <c r="D48" t="s">
        <v>41</v>
      </c>
      <c r="E48">
        <v>17</v>
      </c>
      <c r="F48" t="s">
        <v>3793</v>
      </c>
      <c r="G48" t="s">
        <v>3874</v>
      </c>
      <c r="H48" t="s">
        <v>3785</v>
      </c>
      <c r="I48" t="s">
        <v>3794</v>
      </c>
      <c r="J48" t="s">
        <v>3867</v>
      </c>
      <c r="K48" t="s">
        <v>3804</v>
      </c>
      <c r="L48" t="s">
        <v>3797</v>
      </c>
      <c r="M48" t="s">
        <v>43</v>
      </c>
      <c r="N48" t="s">
        <v>118</v>
      </c>
      <c r="O48" t="s">
        <v>3801</v>
      </c>
      <c r="P48" s="9">
        <v>44258.510462962964</v>
      </c>
      <c r="Q48" t="s">
        <v>3813</v>
      </c>
      <c r="R48" t="s">
        <v>3794</v>
      </c>
    </row>
    <row r="49" spans="1:18" x14ac:dyDescent="0.25">
      <c r="A49" t="s">
        <v>3875</v>
      </c>
      <c r="B49" t="s">
        <v>3867</v>
      </c>
      <c r="C49">
        <v>2</v>
      </c>
      <c r="D49" t="s">
        <v>41</v>
      </c>
      <c r="E49">
        <v>17</v>
      </c>
      <c r="F49" t="s">
        <v>3793</v>
      </c>
      <c r="G49" t="s">
        <v>3875</v>
      </c>
      <c r="H49" t="s">
        <v>3785</v>
      </c>
      <c r="I49" t="s">
        <v>3794</v>
      </c>
      <c r="J49" t="s">
        <v>3867</v>
      </c>
      <c r="K49" t="s">
        <v>3804</v>
      </c>
      <c r="L49" t="s">
        <v>3797</v>
      </c>
      <c r="M49" t="s">
        <v>108</v>
      </c>
      <c r="N49" t="s">
        <v>119</v>
      </c>
      <c r="O49" t="s">
        <v>3815</v>
      </c>
      <c r="P49" s="9">
        <v>44258.510451388887</v>
      </c>
      <c r="Q49" t="s">
        <v>3816</v>
      </c>
      <c r="R49" t="s">
        <v>3794</v>
      </c>
    </row>
    <row r="50" spans="1:18" x14ac:dyDescent="0.25">
      <c r="A50" t="s">
        <v>3876</v>
      </c>
      <c r="B50" t="s">
        <v>3877</v>
      </c>
      <c r="C50">
        <v>2</v>
      </c>
      <c r="D50" t="s">
        <v>41</v>
      </c>
      <c r="E50">
        <v>17</v>
      </c>
      <c r="F50" t="s">
        <v>3793</v>
      </c>
      <c r="G50" t="s">
        <v>3876</v>
      </c>
      <c r="H50" t="s">
        <v>3785</v>
      </c>
      <c r="I50" t="s">
        <v>3878</v>
      </c>
      <c r="J50" t="s">
        <v>3877</v>
      </c>
      <c r="K50" t="s">
        <v>3840</v>
      </c>
      <c r="L50" t="s">
        <v>3797</v>
      </c>
      <c r="M50" t="s">
        <v>3739</v>
      </c>
      <c r="N50" t="s">
        <v>118</v>
      </c>
      <c r="O50" t="s">
        <v>3879</v>
      </c>
      <c r="P50" s="9">
        <v>44258.510451388887</v>
      </c>
      <c r="Q50" t="s">
        <v>3842</v>
      </c>
      <c r="R50" t="s">
        <v>3794</v>
      </c>
    </row>
    <row r="51" spans="1:18" x14ac:dyDescent="0.25">
      <c r="A51" t="s">
        <v>3880</v>
      </c>
      <c r="B51" t="s">
        <v>3877</v>
      </c>
      <c r="C51">
        <v>2</v>
      </c>
      <c r="D51" t="s">
        <v>41</v>
      </c>
      <c r="E51">
        <v>17</v>
      </c>
      <c r="F51" t="s">
        <v>3793</v>
      </c>
      <c r="G51" t="s">
        <v>3880</v>
      </c>
      <c r="H51" t="s">
        <v>3785</v>
      </c>
      <c r="I51" t="s">
        <v>3794</v>
      </c>
      <c r="J51" t="s">
        <v>3877</v>
      </c>
      <c r="K51" t="s">
        <v>3840</v>
      </c>
      <c r="L51" t="s">
        <v>3797</v>
      </c>
      <c r="M51" t="s">
        <v>3740</v>
      </c>
      <c r="N51" t="s">
        <v>118</v>
      </c>
      <c r="O51" t="s">
        <v>3801</v>
      </c>
      <c r="P51" s="9">
        <v>44258.510451388887</v>
      </c>
      <c r="Q51" t="s">
        <v>3844</v>
      </c>
      <c r="R51" t="s">
        <v>3794</v>
      </c>
    </row>
    <row r="52" spans="1:18" x14ac:dyDescent="0.25">
      <c r="A52" t="s">
        <v>3881</v>
      </c>
      <c r="B52" t="s">
        <v>3877</v>
      </c>
      <c r="C52">
        <v>2</v>
      </c>
      <c r="D52" t="s">
        <v>41</v>
      </c>
      <c r="E52">
        <v>17</v>
      </c>
      <c r="F52" t="s">
        <v>3793</v>
      </c>
      <c r="G52" t="s">
        <v>3881</v>
      </c>
      <c r="H52" t="s">
        <v>3785</v>
      </c>
      <c r="I52" t="s">
        <v>3794</v>
      </c>
      <c r="J52" t="s">
        <v>3877</v>
      </c>
      <c r="K52" t="s">
        <v>3804</v>
      </c>
      <c r="L52" t="s">
        <v>3797</v>
      </c>
      <c r="M52" t="s">
        <v>42</v>
      </c>
      <c r="N52" t="s">
        <v>118</v>
      </c>
      <c r="O52" t="s">
        <v>3805</v>
      </c>
      <c r="P52" s="9">
        <v>44258.510474537034</v>
      </c>
      <c r="Q52" t="s">
        <v>3806</v>
      </c>
      <c r="R52" t="s">
        <v>3794</v>
      </c>
    </row>
    <row r="53" spans="1:18" x14ac:dyDescent="0.25">
      <c r="A53" t="s">
        <v>3882</v>
      </c>
      <c r="B53" t="s">
        <v>3877</v>
      </c>
      <c r="C53">
        <v>2</v>
      </c>
      <c r="D53" t="s">
        <v>41</v>
      </c>
      <c r="E53">
        <v>17</v>
      </c>
      <c r="F53" t="s">
        <v>3793</v>
      </c>
      <c r="G53" t="s">
        <v>3882</v>
      </c>
      <c r="H53" t="s">
        <v>3785</v>
      </c>
      <c r="I53" t="s">
        <v>3794</v>
      </c>
      <c r="J53" t="s">
        <v>3877</v>
      </c>
      <c r="K53" t="s">
        <v>3804</v>
      </c>
      <c r="L53" t="s">
        <v>3797</v>
      </c>
      <c r="M53" t="s">
        <v>145</v>
      </c>
      <c r="N53" t="s">
        <v>118</v>
      </c>
      <c r="O53" t="s">
        <v>3808</v>
      </c>
      <c r="P53" s="9">
        <v>44258.51048611111</v>
      </c>
      <c r="Q53" t="s">
        <v>3809</v>
      </c>
      <c r="R53" t="s">
        <v>3794</v>
      </c>
    </row>
    <row r="54" spans="1:18" x14ac:dyDescent="0.25">
      <c r="A54" t="s">
        <v>3883</v>
      </c>
      <c r="B54" t="s">
        <v>3877</v>
      </c>
      <c r="C54">
        <v>2</v>
      </c>
      <c r="D54" t="s">
        <v>41</v>
      </c>
      <c r="E54">
        <v>17</v>
      </c>
      <c r="F54" t="s">
        <v>3793</v>
      </c>
      <c r="G54" t="s">
        <v>3883</v>
      </c>
      <c r="H54" t="s">
        <v>3785</v>
      </c>
      <c r="I54" t="s">
        <v>3794</v>
      </c>
      <c r="J54" t="s">
        <v>3877</v>
      </c>
      <c r="K54" t="s">
        <v>3804</v>
      </c>
      <c r="L54" t="s">
        <v>3797</v>
      </c>
      <c r="M54" t="s">
        <v>232</v>
      </c>
      <c r="N54" t="s">
        <v>118</v>
      </c>
      <c r="O54" t="s">
        <v>3808</v>
      </c>
      <c r="P54" s="9">
        <v>44258.51048611111</v>
      </c>
      <c r="Q54" t="s">
        <v>3811</v>
      </c>
      <c r="R54" t="s">
        <v>3794</v>
      </c>
    </row>
    <row r="55" spans="1:18" x14ac:dyDescent="0.25">
      <c r="A55" t="s">
        <v>3884</v>
      </c>
      <c r="B55" t="s">
        <v>3877</v>
      </c>
      <c r="C55">
        <v>2</v>
      </c>
      <c r="D55" t="s">
        <v>41</v>
      </c>
      <c r="E55">
        <v>17</v>
      </c>
      <c r="F55" t="s">
        <v>3793</v>
      </c>
      <c r="G55" t="s">
        <v>3884</v>
      </c>
      <c r="H55" t="s">
        <v>3785</v>
      </c>
      <c r="I55" t="s">
        <v>3794</v>
      </c>
      <c r="J55" t="s">
        <v>3877</v>
      </c>
      <c r="K55" t="s">
        <v>3804</v>
      </c>
      <c r="L55" t="s">
        <v>3797</v>
      </c>
      <c r="M55" t="s">
        <v>43</v>
      </c>
      <c r="N55" t="s">
        <v>118</v>
      </c>
      <c r="O55" t="s">
        <v>3801</v>
      </c>
      <c r="P55" s="9">
        <v>44258.510462962964</v>
      </c>
      <c r="Q55" t="s">
        <v>3813</v>
      </c>
      <c r="R55" t="s">
        <v>3794</v>
      </c>
    </row>
    <row r="56" spans="1:18" x14ac:dyDescent="0.25">
      <c r="A56" t="s">
        <v>3885</v>
      </c>
      <c r="B56" t="s">
        <v>3877</v>
      </c>
      <c r="C56">
        <v>2</v>
      </c>
      <c r="D56" t="s">
        <v>41</v>
      </c>
      <c r="E56">
        <v>17</v>
      </c>
      <c r="F56" t="s">
        <v>3793</v>
      </c>
      <c r="G56" t="s">
        <v>3885</v>
      </c>
      <c r="H56" t="s">
        <v>3785</v>
      </c>
      <c r="I56" t="s">
        <v>3794</v>
      </c>
      <c r="J56" t="s">
        <v>3877</v>
      </c>
      <c r="K56" t="s">
        <v>3804</v>
      </c>
      <c r="L56" t="s">
        <v>3797</v>
      </c>
      <c r="M56" t="s">
        <v>108</v>
      </c>
      <c r="N56" t="s">
        <v>119</v>
      </c>
      <c r="O56" t="s">
        <v>3815</v>
      </c>
      <c r="P56" s="9">
        <v>44258.510462962964</v>
      </c>
      <c r="Q56" t="s">
        <v>3816</v>
      </c>
      <c r="R56" t="s">
        <v>3794</v>
      </c>
    </row>
    <row r="57" spans="1:18" x14ac:dyDescent="0.25">
      <c r="A57" t="s">
        <v>3886</v>
      </c>
      <c r="B57" t="s">
        <v>3887</v>
      </c>
      <c r="C57">
        <v>2</v>
      </c>
      <c r="D57" t="s">
        <v>41</v>
      </c>
      <c r="E57">
        <v>17</v>
      </c>
      <c r="F57" t="s">
        <v>3793</v>
      </c>
      <c r="G57" t="s">
        <v>3886</v>
      </c>
      <c r="H57" t="s">
        <v>3784</v>
      </c>
      <c r="I57" t="s">
        <v>3888</v>
      </c>
      <c r="J57" t="s">
        <v>3887</v>
      </c>
      <c r="K57" t="s">
        <v>3796</v>
      </c>
      <c r="L57" t="s">
        <v>3797</v>
      </c>
      <c r="M57" t="s">
        <v>3739</v>
      </c>
      <c r="N57" t="s">
        <v>118</v>
      </c>
      <c r="O57" t="s">
        <v>3889</v>
      </c>
      <c r="P57" s="9">
        <v>44258.510439814818</v>
      </c>
      <c r="Q57" t="s">
        <v>3799</v>
      </c>
      <c r="R57" t="s">
        <v>3794</v>
      </c>
    </row>
    <row r="58" spans="1:18" x14ac:dyDescent="0.25">
      <c r="A58" t="s">
        <v>3890</v>
      </c>
      <c r="B58" t="s">
        <v>3887</v>
      </c>
      <c r="C58">
        <v>2</v>
      </c>
      <c r="D58" t="s">
        <v>41</v>
      </c>
      <c r="E58">
        <v>17</v>
      </c>
      <c r="F58" t="s">
        <v>3793</v>
      </c>
      <c r="G58" t="s">
        <v>3890</v>
      </c>
      <c r="H58" t="s">
        <v>3784</v>
      </c>
      <c r="I58" t="s">
        <v>3794</v>
      </c>
      <c r="J58" t="s">
        <v>3887</v>
      </c>
      <c r="K58" t="s">
        <v>3796</v>
      </c>
      <c r="L58" t="s">
        <v>3797</v>
      </c>
      <c r="M58" t="s">
        <v>3740</v>
      </c>
      <c r="N58" t="s">
        <v>118</v>
      </c>
      <c r="O58" t="s">
        <v>3801</v>
      </c>
      <c r="P58" s="9">
        <v>44258.510439814818</v>
      </c>
      <c r="Q58" t="s">
        <v>3802</v>
      </c>
      <c r="R58" t="s">
        <v>3794</v>
      </c>
    </row>
    <row r="59" spans="1:18" x14ac:dyDescent="0.25">
      <c r="A59" t="s">
        <v>3891</v>
      </c>
      <c r="B59" t="s">
        <v>3887</v>
      </c>
      <c r="C59">
        <v>2</v>
      </c>
      <c r="D59" t="s">
        <v>41</v>
      </c>
      <c r="E59">
        <v>17</v>
      </c>
      <c r="F59" t="s">
        <v>3793</v>
      </c>
      <c r="G59" t="s">
        <v>3891</v>
      </c>
      <c r="H59" t="s">
        <v>3784</v>
      </c>
      <c r="I59" t="s">
        <v>3794</v>
      </c>
      <c r="J59" t="s">
        <v>3887</v>
      </c>
      <c r="K59" t="s">
        <v>3804</v>
      </c>
      <c r="L59" t="s">
        <v>3797</v>
      </c>
      <c r="M59" t="s">
        <v>42</v>
      </c>
      <c r="N59" t="s">
        <v>118</v>
      </c>
      <c r="O59" t="s">
        <v>3805</v>
      </c>
      <c r="P59" s="9">
        <v>44258.510474537034</v>
      </c>
      <c r="Q59" t="s">
        <v>3806</v>
      </c>
      <c r="R59" t="s">
        <v>3794</v>
      </c>
    </row>
    <row r="60" spans="1:18" x14ac:dyDescent="0.25">
      <c r="A60" t="s">
        <v>3892</v>
      </c>
      <c r="B60" t="s">
        <v>3887</v>
      </c>
      <c r="C60">
        <v>2</v>
      </c>
      <c r="D60" t="s">
        <v>41</v>
      </c>
      <c r="E60">
        <v>17</v>
      </c>
      <c r="F60" t="s">
        <v>3793</v>
      </c>
      <c r="G60" t="s">
        <v>3892</v>
      </c>
      <c r="H60" t="s">
        <v>3784</v>
      </c>
      <c r="I60" t="s">
        <v>3794</v>
      </c>
      <c r="J60" t="s">
        <v>3887</v>
      </c>
      <c r="K60" t="s">
        <v>3804</v>
      </c>
      <c r="L60" t="s">
        <v>3797</v>
      </c>
      <c r="M60" t="s">
        <v>145</v>
      </c>
      <c r="N60" t="s">
        <v>118</v>
      </c>
      <c r="O60" t="s">
        <v>3808</v>
      </c>
      <c r="P60" s="9">
        <v>44258.51048611111</v>
      </c>
      <c r="Q60" t="s">
        <v>3809</v>
      </c>
      <c r="R60" t="s">
        <v>3794</v>
      </c>
    </row>
    <row r="61" spans="1:18" x14ac:dyDescent="0.25">
      <c r="A61" t="s">
        <v>3893</v>
      </c>
      <c r="B61" t="s">
        <v>3887</v>
      </c>
      <c r="C61">
        <v>2</v>
      </c>
      <c r="D61" t="s">
        <v>41</v>
      </c>
      <c r="E61">
        <v>17</v>
      </c>
      <c r="F61" t="s">
        <v>3793</v>
      </c>
      <c r="G61" t="s">
        <v>3893</v>
      </c>
      <c r="H61" t="s">
        <v>3784</v>
      </c>
      <c r="I61" t="s">
        <v>3794</v>
      </c>
      <c r="J61" t="s">
        <v>3887</v>
      </c>
      <c r="K61" t="s">
        <v>3804</v>
      </c>
      <c r="L61" t="s">
        <v>3797</v>
      </c>
      <c r="M61" t="s">
        <v>232</v>
      </c>
      <c r="N61" t="s">
        <v>118</v>
      </c>
      <c r="O61" t="s">
        <v>3808</v>
      </c>
      <c r="P61" s="9">
        <v>44258.51048611111</v>
      </c>
      <c r="Q61" t="s">
        <v>3811</v>
      </c>
      <c r="R61" t="s">
        <v>3794</v>
      </c>
    </row>
    <row r="62" spans="1:18" x14ac:dyDescent="0.25">
      <c r="A62" t="s">
        <v>3894</v>
      </c>
      <c r="B62" t="s">
        <v>3887</v>
      </c>
      <c r="C62">
        <v>2</v>
      </c>
      <c r="D62" t="s">
        <v>41</v>
      </c>
      <c r="E62">
        <v>17</v>
      </c>
      <c r="F62" t="s">
        <v>3793</v>
      </c>
      <c r="G62" t="s">
        <v>3894</v>
      </c>
      <c r="H62" t="s">
        <v>3784</v>
      </c>
      <c r="I62" t="s">
        <v>3794</v>
      </c>
      <c r="J62" t="s">
        <v>3887</v>
      </c>
      <c r="K62" t="s">
        <v>3804</v>
      </c>
      <c r="L62" t="s">
        <v>3797</v>
      </c>
      <c r="M62" t="s">
        <v>43</v>
      </c>
      <c r="N62" t="s">
        <v>118</v>
      </c>
      <c r="O62" t="s">
        <v>3801</v>
      </c>
      <c r="P62" s="9">
        <v>44258.510462962964</v>
      </c>
      <c r="Q62" t="s">
        <v>3813</v>
      </c>
      <c r="R62" t="s">
        <v>3794</v>
      </c>
    </row>
    <row r="63" spans="1:18" x14ac:dyDescent="0.25">
      <c r="A63" t="s">
        <v>3895</v>
      </c>
      <c r="B63" t="s">
        <v>3887</v>
      </c>
      <c r="C63">
        <v>2</v>
      </c>
      <c r="D63" t="s">
        <v>41</v>
      </c>
      <c r="E63">
        <v>17</v>
      </c>
      <c r="F63" t="s">
        <v>3793</v>
      </c>
      <c r="G63" t="s">
        <v>3895</v>
      </c>
      <c r="H63" t="s">
        <v>3784</v>
      </c>
      <c r="I63" t="s">
        <v>3794</v>
      </c>
      <c r="J63" t="s">
        <v>3887</v>
      </c>
      <c r="K63" t="s">
        <v>3804</v>
      </c>
      <c r="L63" t="s">
        <v>3797</v>
      </c>
      <c r="M63" t="s">
        <v>108</v>
      </c>
      <c r="N63" t="s">
        <v>119</v>
      </c>
      <c r="O63" t="s">
        <v>3815</v>
      </c>
      <c r="P63" s="9">
        <v>44258.510451388887</v>
      </c>
      <c r="Q63" t="s">
        <v>3816</v>
      </c>
      <c r="R63" t="s">
        <v>3794</v>
      </c>
    </row>
    <row r="64" spans="1:18" x14ac:dyDescent="0.25">
      <c r="A64" t="s">
        <v>3896</v>
      </c>
      <c r="B64" t="s">
        <v>3897</v>
      </c>
      <c r="C64">
        <v>2</v>
      </c>
      <c r="D64" t="s">
        <v>41</v>
      </c>
      <c r="E64">
        <v>17</v>
      </c>
      <c r="F64" t="s">
        <v>3793</v>
      </c>
      <c r="G64" t="s">
        <v>3896</v>
      </c>
      <c r="H64" t="s">
        <v>3787</v>
      </c>
      <c r="I64" t="s">
        <v>3898</v>
      </c>
      <c r="J64" t="s">
        <v>3897</v>
      </c>
      <c r="K64" t="s">
        <v>3804</v>
      </c>
      <c r="L64" t="s">
        <v>3797</v>
      </c>
      <c r="M64" t="s">
        <v>3739</v>
      </c>
      <c r="N64" t="s">
        <v>118</v>
      </c>
      <c r="O64" t="s">
        <v>3899</v>
      </c>
      <c r="P64" s="9">
        <v>44258.510474537034</v>
      </c>
      <c r="Q64" t="s">
        <v>3900</v>
      </c>
      <c r="R64" t="s">
        <v>3794</v>
      </c>
    </row>
    <row r="65" spans="1:18" x14ac:dyDescent="0.25">
      <c r="A65" t="s">
        <v>3901</v>
      </c>
      <c r="B65" t="s">
        <v>3897</v>
      </c>
      <c r="C65">
        <v>2</v>
      </c>
      <c r="D65" t="s">
        <v>41</v>
      </c>
      <c r="E65">
        <v>17</v>
      </c>
      <c r="F65" t="s">
        <v>3793</v>
      </c>
      <c r="G65" t="s">
        <v>3901</v>
      </c>
      <c r="H65" t="s">
        <v>3787</v>
      </c>
      <c r="I65" t="s">
        <v>3794</v>
      </c>
      <c r="J65" t="s">
        <v>3897</v>
      </c>
      <c r="K65" t="s">
        <v>3804</v>
      </c>
      <c r="L65" t="s">
        <v>3797</v>
      </c>
      <c r="M65" t="s">
        <v>3740</v>
      </c>
      <c r="N65" t="s">
        <v>118</v>
      </c>
      <c r="O65" t="s">
        <v>3801</v>
      </c>
      <c r="P65" s="9">
        <v>44258.510497685187</v>
      </c>
      <c r="Q65" t="s">
        <v>3902</v>
      </c>
      <c r="R65" t="s">
        <v>3794</v>
      </c>
    </row>
    <row r="66" spans="1:18" x14ac:dyDescent="0.25">
      <c r="A66" t="s">
        <v>3903</v>
      </c>
      <c r="B66" t="s">
        <v>3897</v>
      </c>
      <c r="C66">
        <v>2</v>
      </c>
      <c r="D66" t="s">
        <v>41</v>
      </c>
      <c r="E66">
        <v>17</v>
      </c>
      <c r="F66" t="s">
        <v>3793</v>
      </c>
      <c r="G66" t="s">
        <v>3903</v>
      </c>
      <c r="H66" t="s">
        <v>3787</v>
      </c>
      <c r="I66" t="s">
        <v>3794</v>
      </c>
      <c r="J66" t="s">
        <v>3897</v>
      </c>
      <c r="K66" t="s">
        <v>3804</v>
      </c>
      <c r="L66" t="s">
        <v>3797</v>
      </c>
      <c r="M66" t="s">
        <v>42</v>
      </c>
      <c r="N66" t="s">
        <v>118</v>
      </c>
      <c r="O66" t="s">
        <v>3805</v>
      </c>
      <c r="P66" s="9">
        <v>44258.510474537034</v>
      </c>
      <c r="Q66" t="s">
        <v>3806</v>
      </c>
      <c r="R66" t="s">
        <v>3794</v>
      </c>
    </row>
    <row r="67" spans="1:18" x14ac:dyDescent="0.25">
      <c r="A67" t="s">
        <v>3904</v>
      </c>
      <c r="B67" t="s">
        <v>3897</v>
      </c>
      <c r="C67">
        <v>2</v>
      </c>
      <c r="D67" t="s">
        <v>41</v>
      </c>
      <c r="E67">
        <v>17</v>
      </c>
      <c r="F67" t="s">
        <v>3793</v>
      </c>
      <c r="G67" t="s">
        <v>3904</v>
      </c>
      <c r="H67" t="s">
        <v>3787</v>
      </c>
      <c r="I67" t="s">
        <v>3794</v>
      </c>
      <c r="J67" t="s">
        <v>3897</v>
      </c>
      <c r="K67" t="s">
        <v>3804</v>
      </c>
      <c r="L67" t="s">
        <v>3797</v>
      </c>
      <c r="M67" t="s">
        <v>43</v>
      </c>
      <c r="N67" t="s">
        <v>118</v>
      </c>
      <c r="O67" t="s">
        <v>3801</v>
      </c>
      <c r="P67" s="9">
        <v>44258.510474537034</v>
      </c>
      <c r="Q67" t="s">
        <v>3813</v>
      </c>
      <c r="R67" t="s">
        <v>3794</v>
      </c>
    </row>
    <row r="68" spans="1:18" x14ac:dyDescent="0.25">
      <c r="A68" t="s">
        <v>3905</v>
      </c>
      <c r="B68" t="s">
        <v>3897</v>
      </c>
      <c r="C68">
        <v>2</v>
      </c>
      <c r="D68" t="s">
        <v>41</v>
      </c>
      <c r="E68">
        <v>17</v>
      </c>
      <c r="F68" t="s">
        <v>3793</v>
      </c>
      <c r="G68" t="s">
        <v>3905</v>
      </c>
      <c r="H68" t="s">
        <v>3787</v>
      </c>
      <c r="I68" t="s">
        <v>3794</v>
      </c>
      <c r="J68" t="s">
        <v>3897</v>
      </c>
      <c r="K68" t="s">
        <v>3804</v>
      </c>
      <c r="L68" t="s">
        <v>3797</v>
      </c>
      <c r="M68" t="s">
        <v>108</v>
      </c>
      <c r="N68" t="s">
        <v>119</v>
      </c>
      <c r="O68" t="s">
        <v>3815</v>
      </c>
      <c r="P68" s="9">
        <v>44258.510462962964</v>
      </c>
      <c r="Q68" t="s">
        <v>3816</v>
      </c>
      <c r="R68" t="s">
        <v>3794</v>
      </c>
    </row>
    <row r="69" spans="1:18" x14ac:dyDescent="0.25">
      <c r="A69" t="s">
        <v>3906</v>
      </c>
      <c r="B69" t="s">
        <v>3907</v>
      </c>
      <c r="C69">
        <v>2</v>
      </c>
      <c r="D69" t="s">
        <v>41</v>
      </c>
      <c r="E69">
        <v>17</v>
      </c>
      <c r="F69" t="s">
        <v>3793</v>
      </c>
      <c r="G69" t="s">
        <v>3906</v>
      </c>
      <c r="H69" t="s">
        <v>3782</v>
      </c>
      <c r="I69" t="s">
        <v>3794</v>
      </c>
      <c r="J69" t="s">
        <v>3907</v>
      </c>
      <c r="K69" t="s">
        <v>3804</v>
      </c>
      <c r="L69" t="s">
        <v>3797</v>
      </c>
      <c r="M69" t="s">
        <v>42</v>
      </c>
      <c r="N69" t="s">
        <v>118</v>
      </c>
      <c r="O69" t="s">
        <v>3805</v>
      </c>
      <c r="P69" s="9">
        <v>44258.510474537034</v>
      </c>
      <c r="Q69" t="s">
        <v>3806</v>
      </c>
      <c r="R69" t="s">
        <v>3794</v>
      </c>
    </row>
    <row r="70" spans="1:18" x14ac:dyDescent="0.25">
      <c r="A70" t="s">
        <v>3908</v>
      </c>
      <c r="B70" t="s">
        <v>3907</v>
      </c>
      <c r="C70">
        <v>2</v>
      </c>
      <c r="D70" t="s">
        <v>41</v>
      </c>
      <c r="E70">
        <v>17</v>
      </c>
      <c r="F70" t="s">
        <v>3793</v>
      </c>
      <c r="G70" t="s">
        <v>3908</v>
      </c>
      <c r="H70" t="s">
        <v>3782</v>
      </c>
      <c r="I70" t="s">
        <v>3794</v>
      </c>
      <c r="J70" t="s">
        <v>3907</v>
      </c>
      <c r="K70" t="s">
        <v>3804</v>
      </c>
      <c r="L70" t="s">
        <v>3797</v>
      </c>
      <c r="M70" t="s">
        <v>43</v>
      </c>
      <c r="N70" t="s">
        <v>118</v>
      </c>
      <c r="O70" t="s">
        <v>3801</v>
      </c>
      <c r="P70" s="9">
        <v>44258.510462962964</v>
      </c>
      <c r="Q70" t="s">
        <v>3813</v>
      </c>
      <c r="R70" t="s">
        <v>3794</v>
      </c>
    </row>
    <row r="71" spans="1:18" x14ac:dyDescent="0.25">
      <c r="A71" t="s">
        <v>3909</v>
      </c>
      <c r="B71" t="s">
        <v>3907</v>
      </c>
      <c r="C71">
        <v>2</v>
      </c>
      <c r="D71" t="s">
        <v>41</v>
      </c>
      <c r="E71">
        <v>17</v>
      </c>
      <c r="F71" t="s">
        <v>3793</v>
      </c>
      <c r="G71" t="s">
        <v>3909</v>
      </c>
      <c r="H71" t="s">
        <v>3782</v>
      </c>
      <c r="I71" t="s">
        <v>3794</v>
      </c>
      <c r="J71" t="s">
        <v>3907</v>
      </c>
      <c r="K71" t="s">
        <v>3804</v>
      </c>
      <c r="L71" t="s">
        <v>3797</v>
      </c>
      <c r="M71" t="s">
        <v>108</v>
      </c>
      <c r="N71" t="s">
        <v>119</v>
      </c>
      <c r="O71" t="s">
        <v>3815</v>
      </c>
      <c r="P71" s="9">
        <v>44258.510451388887</v>
      </c>
      <c r="Q71" t="s">
        <v>3816</v>
      </c>
      <c r="R71" t="s">
        <v>3794</v>
      </c>
    </row>
    <row r="72" spans="1:18" x14ac:dyDescent="0.25">
      <c r="A72" t="s">
        <v>3910</v>
      </c>
      <c r="B72" t="s">
        <v>3911</v>
      </c>
      <c r="C72">
        <v>2</v>
      </c>
      <c r="D72" t="s">
        <v>41</v>
      </c>
      <c r="E72">
        <v>17</v>
      </c>
      <c r="F72" t="s">
        <v>3793</v>
      </c>
      <c r="G72" t="s">
        <v>3910</v>
      </c>
      <c r="H72" t="s">
        <v>3785</v>
      </c>
      <c r="I72" t="s">
        <v>3794</v>
      </c>
      <c r="J72" t="s">
        <v>3911</v>
      </c>
      <c r="K72" t="s">
        <v>3804</v>
      </c>
      <c r="L72" t="s">
        <v>3797</v>
      </c>
      <c r="M72" t="s">
        <v>145</v>
      </c>
      <c r="N72" t="s">
        <v>118</v>
      </c>
      <c r="O72" t="s">
        <v>3808</v>
      </c>
      <c r="P72" s="9">
        <v>44258.51048611111</v>
      </c>
      <c r="Q72" t="s">
        <v>3809</v>
      </c>
      <c r="R72" t="s">
        <v>3794</v>
      </c>
    </row>
    <row r="73" spans="1:18" x14ac:dyDescent="0.25">
      <c r="A73" t="s">
        <v>3912</v>
      </c>
      <c r="B73" t="s">
        <v>3911</v>
      </c>
      <c r="C73">
        <v>2</v>
      </c>
      <c r="D73" t="s">
        <v>41</v>
      </c>
      <c r="E73">
        <v>17</v>
      </c>
      <c r="F73" t="s">
        <v>3793</v>
      </c>
      <c r="G73" t="s">
        <v>3912</v>
      </c>
      <c r="H73" t="s">
        <v>3785</v>
      </c>
      <c r="I73" t="s">
        <v>3794</v>
      </c>
      <c r="J73" t="s">
        <v>3911</v>
      </c>
      <c r="K73" t="s">
        <v>3804</v>
      </c>
      <c r="L73" t="s">
        <v>3797</v>
      </c>
      <c r="M73" t="s">
        <v>232</v>
      </c>
      <c r="N73" t="s">
        <v>118</v>
      </c>
      <c r="O73" t="s">
        <v>3808</v>
      </c>
      <c r="P73" s="9">
        <v>44258.51048611111</v>
      </c>
      <c r="Q73" t="s">
        <v>3811</v>
      </c>
      <c r="R73" t="s">
        <v>3794</v>
      </c>
    </row>
    <row r="74" spans="1:18" x14ac:dyDescent="0.25">
      <c r="A74" t="s">
        <v>3913</v>
      </c>
      <c r="B74" t="s">
        <v>3911</v>
      </c>
      <c r="C74">
        <v>2</v>
      </c>
      <c r="D74" t="s">
        <v>41</v>
      </c>
      <c r="E74">
        <v>17</v>
      </c>
      <c r="F74" t="s">
        <v>3793</v>
      </c>
      <c r="G74" t="s">
        <v>3913</v>
      </c>
      <c r="H74" t="s">
        <v>3785</v>
      </c>
      <c r="I74" t="s">
        <v>3794</v>
      </c>
      <c r="J74" t="s">
        <v>3911</v>
      </c>
      <c r="K74" t="s">
        <v>3804</v>
      </c>
      <c r="L74" t="s">
        <v>3797</v>
      </c>
      <c r="M74" t="s">
        <v>43</v>
      </c>
      <c r="N74" t="s">
        <v>118</v>
      </c>
      <c r="O74" t="s">
        <v>3801</v>
      </c>
      <c r="P74" s="9">
        <v>44258.510462962964</v>
      </c>
      <c r="Q74" t="s">
        <v>3813</v>
      </c>
      <c r="R74" t="s">
        <v>3794</v>
      </c>
    </row>
    <row r="75" spans="1:18" x14ac:dyDescent="0.25">
      <c r="A75" t="s">
        <v>3914</v>
      </c>
      <c r="B75" t="s">
        <v>3911</v>
      </c>
      <c r="C75">
        <v>2</v>
      </c>
      <c r="D75" t="s">
        <v>41</v>
      </c>
      <c r="E75">
        <v>17</v>
      </c>
      <c r="F75" t="s">
        <v>3793</v>
      </c>
      <c r="G75" t="s">
        <v>3914</v>
      </c>
      <c r="H75" t="s">
        <v>3785</v>
      </c>
      <c r="I75" t="s">
        <v>3794</v>
      </c>
      <c r="J75" t="s">
        <v>3911</v>
      </c>
      <c r="K75" t="s">
        <v>3804</v>
      </c>
      <c r="L75" t="s">
        <v>3797</v>
      </c>
      <c r="M75" t="s">
        <v>108</v>
      </c>
      <c r="N75" t="s">
        <v>119</v>
      </c>
      <c r="O75" t="s">
        <v>3815</v>
      </c>
      <c r="P75" s="9">
        <v>44258.510462962964</v>
      </c>
      <c r="Q75" t="s">
        <v>3816</v>
      </c>
      <c r="R75" t="s">
        <v>3794</v>
      </c>
    </row>
    <row r="76" spans="1:18" x14ac:dyDescent="0.25">
      <c r="A76" t="s">
        <v>3915</v>
      </c>
      <c r="B76" t="s">
        <v>3916</v>
      </c>
      <c r="C76">
        <v>2</v>
      </c>
      <c r="D76" t="s">
        <v>41</v>
      </c>
      <c r="E76">
        <v>17</v>
      </c>
      <c r="F76" t="s">
        <v>3793</v>
      </c>
      <c r="G76" t="s">
        <v>3915</v>
      </c>
      <c r="H76" t="s">
        <v>3784</v>
      </c>
      <c r="I76" t="s">
        <v>3917</v>
      </c>
      <c r="J76" t="s">
        <v>3916</v>
      </c>
      <c r="K76" t="s">
        <v>3796</v>
      </c>
      <c r="L76" t="s">
        <v>3797</v>
      </c>
      <c r="M76" t="s">
        <v>3739</v>
      </c>
      <c r="N76" t="s">
        <v>118</v>
      </c>
      <c r="O76" t="s">
        <v>3918</v>
      </c>
      <c r="P76" s="9">
        <v>44258.510439814818</v>
      </c>
      <c r="Q76" t="s">
        <v>3799</v>
      </c>
      <c r="R76" t="s">
        <v>3794</v>
      </c>
    </row>
    <row r="77" spans="1:18" x14ac:dyDescent="0.25">
      <c r="A77" t="s">
        <v>3919</v>
      </c>
      <c r="B77" t="s">
        <v>3916</v>
      </c>
      <c r="C77">
        <v>2</v>
      </c>
      <c r="D77" t="s">
        <v>41</v>
      </c>
      <c r="E77">
        <v>17</v>
      </c>
      <c r="F77" t="s">
        <v>3793</v>
      </c>
      <c r="G77" t="s">
        <v>3919</v>
      </c>
      <c r="H77" t="s">
        <v>3784</v>
      </c>
      <c r="I77" t="s">
        <v>3794</v>
      </c>
      <c r="J77" t="s">
        <v>3916</v>
      </c>
      <c r="K77" t="s">
        <v>3796</v>
      </c>
      <c r="L77" t="s">
        <v>3797</v>
      </c>
      <c r="M77" t="s">
        <v>3740</v>
      </c>
      <c r="N77" t="s">
        <v>118</v>
      </c>
      <c r="O77" t="s">
        <v>3801</v>
      </c>
      <c r="P77" s="9">
        <v>44258.510439814818</v>
      </c>
      <c r="Q77" t="s">
        <v>3802</v>
      </c>
      <c r="R77" t="s">
        <v>3794</v>
      </c>
    </row>
    <row r="78" spans="1:18" x14ac:dyDescent="0.25">
      <c r="A78" t="s">
        <v>3920</v>
      </c>
      <c r="B78" t="s">
        <v>3916</v>
      </c>
      <c r="C78">
        <v>2</v>
      </c>
      <c r="D78" t="s">
        <v>41</v>
      </c>
      <c r="E78">
        <v>17</v>
      </c>
      <c r="F78" t="s">
        <v>3793</v>
      </c>
      <c r="G78" t="s">
        <v>3920</v>
      </c>
      <c r="H78" t="s">
        <v>3784</v>
      </c>
      <c r="I78" t="s">
        <v>3794</v>
      </c>
      <c r="J78" t="s">
        <v>3916</v>
      </c>
      <c r="K78" t="s">
        <v>3804</v>
      </c>
      <c r="L78" t="s">
        <v>3797</v>
      </c>
      <c r="M78" t="s">
        <v>42</v>
      </c>
      <c r="N78" t="s">
        <v>118</v>
      </c>
      <c r="O78" t="s">
        <v>3805</v>
      </c>
      <c r="P78" s="9">
        <v>44258.510474537034</v>
      </c>
      <c r="Q78" t="s">
        <v>3806</v>
      </c>
      <c r="R78" t="s">
        <v>3794</v>
      </c>
    </row>
    <row r="79" spans="1:18" x14ac:dyDescent="0.25">
      <c r="A79" t="s">
        <v>3921</v>
      </c>
      <c r="B79" t="s">
        <v>3916</v>
      </c>
      <c r="C79">
        <v>2</v>
      </c>
      <c r="D79" t="s">
        <v>41</v>
      </c>
      <c r="E79">
        <v>17</v>
      </c>
      <c r="F79" t="s">
        <v>3793</v>
      </c>
      <c r="G79" t="s">
        <v>3921</v>
      </c>
      <c r="H79" t="s">
        <v>3784</v>
      </c>
      <c r="I79" t="s">
        <v>3794</v>
      </c>
      <c r="J79" t="s">
        <v>3916</v>
      </c>
      <c r="K79" t="s">
        <v>3804</v>
      </c>
      <c r="L79" t="s">
        <v>3797</v>
      </c>
      <c r="M79" t="s">
        <v>145</v>
      </c>
      <c r="N79" t="s">
        <v>118</v>
      </c>
      <c r="O79" t="s">
        <v>3808</v>
      </c>
      <c r="P79" s="9">
        <v>44258.51048611111</v>
      </c>
      <c r="Q79" t="s">
        <v>3809</v>
      </c>
      <c r="R79" t="s">
        <v>3794</v>
      </c>
    </row>
    <row r="80" spans="1:18" x14ac:dyDescent="0.25">
      <c r="A80" t="s">
        <v>3922</v>
      </c>
      <c r="B80" t="s">
        <v>3916</v>
      </c>
      <c r="C80">
        <v>2</v>
      </c>
      <c r="D80" t="s">
        <v>41</v>
      </c>
      <c r="E80">
        <v>17</v>
      </c>
      <c r="F80" t="s">
        <v>3793</v>
      </c>
      <c r="G80" t="s">
        <v>3922</v>
      </c>
      <c r="H80" t="s">
        <v>3784</v>
      </c>
      <c r="I80" t="s">
        <v>3794</v>
      </c>
      <c r="J80" t="s">
        <v>3916</v>
      </c>
      <c r="K80" t="s">
        <v>3804</v>
      </c>
      <c r="L80" t="s">
        <v>3797</v>
      </c>
      <c r="M80" t="s">
        <v>232</v>
      </c>
      <c r="N80" t="s">
        <v>118</v>
      </c>
      <c r="O80" t="s">
        <v>3808</v>
      </c>
      <c r="P80" s="9">
        <v>44258.51048611111</v>
      </c>
      <c r="Q80" t="s">
        <v>3811</v>
      </c>
      <c r="R80" t="s">
        <v>3794</v>
      </c>
    </row>
    <row r="81" spans="1:18" x14ac:dyDescent="0.25">
      <c r="A81" t="s">
        <v>3923</v>
      </c>
      <c r="B81" t="s">
        <v>3916</v>
      </c>
      <c r="C81">
        <v>2</v>
      </c>
      <c r="D81" t="s">
        <v>41</v>
      </c>
      <c r="E81">
        <v>17</v>
      </c>
      <c r="F81" t="s">
        <v>3793</v>
      </c>
      <c r="G81" t="s">
        <v>3923</v>
      </c>
      <c r="H81" t="s">
        <v>3784</v>
      </c>
      <c r="I81" t="s">
        <v>3794</v>
      </c>
      <c r="J81" t="s">
        <v>3916</v>
      </c>
      <c r="K81" t="s">
        <v>3804</v>
      </c>
      <c r="L81" t="s">
        <v>3797</v>
      </c>
      <c r="M81" t="s">
        <v>43</v>
      </c>
      <c r="N81" t="s">
        <v>118</v>
      </c>
      <c r="O81" t="s">
        <v>3801</v>
      </c>
      <c r="P81" s="9">
        <v>44258.510462962964</v>
      </c>
      <c r="Q81" t="s">
        <v>3813</v>
      </c>
      <c r="R81" t="s">
        <v>3794</v>
      </c>
    </row>
    <row r="82" spans="1:18" x14ac:dyDescent="0.25">
      <c r="A82" t="s">
        <v>3924</v>
      </c>
      <c r="B82" t="s">
        <v>3916</v>
      </c>
      <c r="C82">
        <v>2</v>
      </c>
      <c r="D82" t="s">
        <v>41</v>
      </c>
      <c r="E82">
        <v>17</v>
      </c>
      <c r="F82" t="s">
        <v>3793</v>
      </c>
      <c r="G82" t="s">
        <v>3924</v>
      </c>
      <c r="H82" t="s">
        <v>3784</v>
      </c>
      <c r="I82" t="s">
        <v>3794</v>
      </c>
      <c r="J82" t="s">
        <v>3916</v>
      </c>
      <c r="K82" t="s">
        <v>3804</v>
      </c>
      <c r="L82" t="s">
        <v>3797</v>
      </c>
      <c r="M82" t="s">
        <v>108</v>
      </c>
      <c r="N82" t="s">
        <v>119</v>
      </c>
      <c r="O82" t="s">
        <v>3815</v>
      </c>
      <c r="P82" s="9">
        <v>44258.510451388887</v>
      </c>
      <c r="Q82" t="s">
        <v>3816</v>
      </c>
      <c r="R82" t="s">
        <v>3794</v>
      </c>
    </row>
    <row r="83" spans="1:18" x14ac:dyDescent="0.25">
      <c r="A83" t="s">
        <v>3925</v>
      </c>
      <c r="B83" t="s">
        <v>3926</v>
      </c>
      <c r="C83">
        <v>2</v>
      </c>
      <c r="D83" t="s">
        <v>41</v>
      </c>
      <c r="E83">
        <v>17</v>
      </c>
      <c r="F83" t="s">
        <v>3793</v>
      </c>
      <c r="G83" t="s">
        <v>3925</v>
      </c>
      <c r="H83" t="s">
        <v>3785</v>
      </c>
      <c r="I83" t="s">
        <v>3927</v>
      </c>
      <c r="J83" t="s">
        <v>3926</v>
      </c>
      <c r="K83" t="s">
        <v>3840</v>
      </c>
      <c r="L83" t="s">
        <v>3797</v>
      </c>
      <c r="M83" t="s">
        <v>3739</v>
      </c>
      <c r="N83" t="s">
        <v>118</v>
      </c>
      <c r="O83" t="s">
        <v>3928</v>
      </c>
      <c r="P83" s="9">
        <v>44258.510451388887</v>
      </c>
      <c r="Q83" t="s">
        <v>3842</v>
      </c>
      <c r="R83" t="s">
        <v>3794</v>
      </c>
    </row>
    <row r="84" spans="1:18" x14ac:dyDescent="0.25">
      <c r="A84" t="s">
        <v>3929</v>
      </c>
      <c r="B84" t="s">
        <v>3926</v>
      </c>
      <c r="C84">
        <v>2</v>
      </c>
      <c r="D84" t="s">
        <v>41</v>
      </c>
      <c r="E84">
        <v>17</v>
      </c>
      <c r="F84" t="s">
        <v>3793</v>
      </c>
      <c r="G84" t="s">
        <v>3929</v>
      </c>
      <c r="H84" t="s">
        <v>3785</v>
      </c>
      <c r="I84" t="s">
        <v>3794</v>
      </c>
      <c r="J84" t="s">
        <v>3926</v>
      </c>
      <c r="K84" t="s">
        <v>3840</v>
      </c>
      <c r="L84" t="s">
        <v>3797</v>
      </c>
      <c r="M84" t="s">
        <v>3740</v>
      </c>
      <c r="N84" t="s">
        <v>118</v>
      </c>
      <c r="O84" t="s">
        <v>3801</v>
      </c>
      <c r="P84" s="9">
        <v>44258.510451388887</v>
      </c>
      <c r="Q84" t="s">
        <v>3844</v>
      </c>
      <c r="R84" t="s">
        <v>3794</v>
      </c>
    </row>
    <row r="85" spans="1:18" x14ac:dyDescent="0.25">
      <c r="A85" t="s">
        <v>3930</v>
      </c>
      <c r="B85" t="s">
        <v>3926</v>
      </c>
      <c r="C85">
        <v>2</v>
      </c>
      <c r="D85" t="s">
        <v>41</v>
      </c>
      <c r="E85">
        <v>17</v>
      </c>
      <c r="F85" t="s">
        <v>3793</v>
      </c>
      <c r="G85" t="s">
        <v>3930</v>
      </c>
      <c r="H85" t="s">
        <v>3785</v>
      </c>
      <c r="I85" t="s">
        <v>3794</v>
      </c>
      <c r="J85" t="s">
        <v>3926</v>
      </c>
      <c r="K85" t="s">
        <v>3804</v>
      </c>
      <c r="L85" t="s">
        <v>3797</v>
      </c>
      <c r="M85" t="s">
        <v>42</v>
      </c>
      <c r="N85" t="s">
        <v>118</v>
      </c>
      <c r="O85" t="s">
        <v>3805</v>
      </c>
      <c r="P85" s="9">
        <v>44258.510474537034</v>
      </c>
      <c r="Q85" t="s">
        <v>3806</v>
      </c>
      <c r="R85" t="s">
        <v>3794</v>
      </c>
    </row>
    <row r="86" spans="1:18" x14ac:dyDescent="0.25">
      <c r="A86" t="s">
        <v>3931</v>
      </c>
      <c r="B86" t="s">
        <v>3926</v>
      </c>
      <c r="C86">
        <v>2</v>
      </c>
      <c r="D86" t="s">
        <v>41</v>
      </c>
      <c r="E86">
        <v>17</v>
      </c>
      <c r="F86" t="s">
        <v>3793</v>
      </c>
      <c r="G86" t="s">
        <v>3931</v>
      </c>
      <c r="H86" t="s">
        <v>3785</v>
      </c>
      <c r="I86" t="s">
        <v>3794</v>
      </c>
      <c r="J86" t="s">
        <v>3926</v>
      </c>
      <c r="K86" t="s">
        <v>3804</v>
      </c>
      <c r="L86" t="s">
        <v>3797</v>
      </c>
      <c r="M86" t="s">
        <v>145</v>
      </c>
      <c r="N86" t="s">
        <v>118</v>
      </c>
      <c r="O86" t="s">
        <v>3808</v>
      </c>
      <c r="P86" s="9">
        <v>44258.51048611111</v>
      </c>
      <c r="Q86" t="s">
        <v>3809</v>
      </c>
      <c r="R86" t="s">
        <v>3794</v>
      </c>
    </row>
    <row r="87" spans="1:18" x14ac:dyDescent="0.25">
      <c r="A87" t="s">
        <v>3932</v>
      </c>
      <c r="B87" t="s">
        <v>3926</v>
      </c>
      <c r="C87">
        <v>2</v>
      </c>
      <c r="D87" t="s">
        <v>41</v>
      </c>
      <c r="E87">
        <v>17</v>
      </c>
      <c r="F87" t="s">
        <v>3793</v>
      </c>
      <c r="G87" t="s">
        <v>3932</v>
      </c>
      <c r="H87" t="s">
        <v>3785</v>
      </c>
      <c r="I87" t="s">
        <v>3794</v>
      </c>
      <c r="J87" t="s">
        <v>3926</v>
      </c>
      <c r="K87" t="s">
        <v>3804</v>
      </c>
      <c r="L87" t="s">
        <v>3797</v>
      </c>
      <c r="M87" t="s">
        <v>232</v>
      </c>
      <c r="N87" t="s">
        <v>118</v>
      </c>
      <c r="O87" t="s">
        <v>3808</v>
      </c>
      <c r="P87" s="9">
        <v>44258.51048611111</v>
      </c>
      <c r="Q87" t="s">
        <v>3811</v>
      </c>
      <c r="R87" t="s">
        <v>3794</v>
      </c>
    </row>
    <row r="88" spans="1:18" x14ac:dyDescent="0.25">
      <c r="A88" t="s">
        <v>3933</v>
      </c>
      <c r="B88" t="s">
        <v>3926</v>
      </c>
      <c r="C88">
        <v>2</v>
      </c>
      <c r="D88" t="s">
        <v>41</v>
      </c>
      <c r="E88">
        <v>17</v>
      </c>
      <c r="F88" t="s">
        <v>3793</v>
      </c>
      <c r="G88" t="s">
        <v>3933</v>
      </c>
      <c r="H88" t="s">
        <v>3785</v>
      </c>
      <c r="I88" t="s">
        <v>3794</v>
      </c>
      <c r="J88" t="s">
        <v>3926</v>
      </c>
      <c r="K88" t="s">
        <v>3804</v>
      </c>
      <c r="L88" t="s">
        <v>3797</v>
      </c>
      <c r="M88" t="s">
        <v>43</v>
      </c>
      <c r="N88" t="s">
        <v>118</v>
      </c>
      <c r="O88" t="s">
        <v>3801</v>
      </c>
      <c r="P88" s="9">
        <v>44258.510462962964</v>
      </c>
      <c r="Q88" t="s">
        <v>3813</v>
      </c>
      <c r="R88" t="s">
        <v>3794</v>
      </c>
    </row>
    <row r="89" spans="1:18" x14ac:dyDescent="0.25">
      <c r="A89" t="s">
        <v>3934</v>
      </c>
      <c r="B89" t="s">
        <v>3926</v>
      </c>
      <c r="C89">
        <v>2</v>
      </c>
      <c r="D89" t="s">
        <v>41</v>
      </c>
      <c r="E89">
        <v>17</v>
      </c>
      <c r="F89" t="s">
        <v>3793</v>
      </c>
      <c r="G89" t="s">
        <v>3934</v>
      </c>
      <c r="H89" t="s">
        <v>3785</v>
      </c>
      <c r="I89" t="s">
        <v>3794</v>
      </c>
      <c r="J89" t="s">
        <v>3926</v>
      </c>
      <c r="K89" t="s">
        <v>3804</v>
      </c>
      <c r="L89" t="s">
        <v>3797</v>
      </c>
      <c r="M89" t="s">
        <v>108</v>
      </c>
      <c r="N89" t="s">
        <v>119</v>
      </c>
      <c r="O89" t="s">
        <v>3815</v>
      </c>
      <c r="P89" s="9">
        <v>44258.510462962964</v>
      </c>
      <c r="Q89" t="s">
        <v>3816</v>
      </c>
      <c r="R89" t="s">
        <v>3794</v>
      </c>
    </row>
    <row r="90" spans="1:18" x14ac:dyDescent="0.25">
      <c r="A90" t="s">
        <v>3935</v>
      </c>
      <c r="B90" t="s">
        <v>3936</v>
      </c>
      <c r="C90">
        <v>2</v>
      </c>
      <c r="D90" t="s">
        <v>41</v>
      </c>
      <c r="E90">
        <v>17</v>
      </c>
      <c r="F90" t="s">
        <v>3793</v>
      </c>
      <c r="G90" t="s">
        <v>3935</v>
      </c>
      <c r="H90" t="s">
        <v>3785</v>
      </c>
      <c r="I90" t="s">
        <v>3937</v>
      </c>
      <c r="J90" t="s">
        <v>3936</v>
      </c>
      <c r="K90" t="s">
        <v>3840</v>
      </c>
      <c r="L90" t="s">
        <v>3797</v>
      </c>
      <c r="M90" t="s">
        <v>3739</v>
      </c>
      <c r="N90" t="s">
        <v>118</v>
      </c>
      <c r="O90" t="s">
        <v>3938</v>
      </c>
      <c r="P90" s="9">
        <v>44258.510451388887</v>
      </c>
      <c r="Q90" t="s">
        <v>3842</v>
      </c>
      <c r="R90" t="s">
        <v>3794</v>
      </c>
    </row>
    <row r="91" spans="1:18" x14ac:dyDescent="0.25">
      <c r="A91" t="s">
        <v>3939</v>
      </c>
      <c r="B91" t="s">
        <v>3936</v>
      </c>
      <c r="C91">
        <v>2</v>
      </c>
      <c r="D91" t="s">
        <v>41</v>
      </c>
      <c r="E91">
        <v>17</v>
      </c>
      <c r="F91" t="s">
        <v>3793</v>
      </c>
      <c r="G91" t="s">
        <v>3939</v>
      </c>
      <c r="H91" t="s">
        <v>3785</v>
      </c>
      <c r="I91" t="s">
        <v>3794</v>
      </c>
      <c r="J91" t="s">
        <v>3936</v>
      </c>
      <c r="K91" t="s">
        <v>3840</v>
      </c>
      <c r="L91" t="s">
        <v>3797</v>
      </c>
      <c r="M91" t="s">
        <v>3740</v>
      </c>
      <c r="N91" t="s">
        <v>118</v>
      </c>
      <c r="O91" t="s">
        <v>3801</v>
      </c>
      <c r="P91" s="9">
        <v>44258.510451388887</v>
      </c>
      <c r="Q91" t="s">
        <v>3844</v>
      </c>
      <c r="R91" t="s">
        <v>3794</v>
      </c>
    </row>
    <row r="92" spans="1:18" x14ac:dyDescent="0.25">
      <c r="A92" t="s">
        <v>3940</v>
      </c>
      <c r="B92" t="s">
        <v>3936</v>
      </c>
      <c r="C92">
        <v>2</v>
      </c>
      <c r="D92" t="s">
        <v>41</v>
      </c>
      <c r="E92">
        <v>17</v>
      </c>
      <c r="F92" t="s">
        <v>3793</v>
      </c>
      <c r="G92" t="s">
        <v>3940</v>
      </c>
      <c r="H92" t="s">
        <v>3785</v>
      </c>
      <c r="I92" t="s">
        <v>3794</v>
      </c>
      <c r="J92" t="s">
        <v>3936</v>
      </c>
      <c r="K92" t="s">
        <v>3804</v>
      </c>
      <c r="L92" t="s">
        <v>3797</v>
      </c>
      <c r="M92" t="s">
        <v>42</v>
      </c>
      <c r="N92" t="s">
        <v>118</v>
      </c>
      <c r="O92" t="s">
        <v>3805</v>
      </c>
      <c r="P92" s="9">
        <v>44258.510474537034</v>
      </c>
      <c r="Q92" t="s">
        <v>3806</v>
      </c>
      <c r="R92" t="s">
        <v>3794</v>
      </c>
    </row>
    <row r="93" spans="1:18" x14ac:dyDescent="0.25">
      <c r="A93" t="s">
        <v>3941</v>
      </c>
      <c r="B93" t="s">
        <v>3936</v>
      </c>
      <c r="C93">
        <v>2</v>
      </c>
      <c r="D93" t="s">
        <v>41</v>
      </c>
      <c r="E93">
        <v>17</v>
      </c>
      <c r="F93" t="s">
        <v>3793</v>
      </c>
      <c r="G93" t="s">
        <v>3941</v>
      </c>
      <c r="H93" t="s">
        <v>3785</v>
      </c>
      <c r="I93" t="s">
        <v>3794</v>
      </c>
      <c r="J93" t="s">
        <v>3936</v>
      </c>
      <c r="K93" t="s">
        <v>3804</v>
      </c>
      <c r="L93" t="s">
        <v>3797</v>
      </c>
      <c r="M93" t="s">
        <v>145</v>
      </c>
      <c r="N93" t="s">
        <v>118</v>
      </c>
      <c r="O93" t="s">
        <v>3808</v>
      </c>
      <c r="P93" s="9">
        <v>44258.51048611111</v>
      </c>
      <c r="Q93" t="s">
        <v>3809</v>
      </c>
      <c r="R93" t="s">
        <v>3794</v>
      </c>
    </row>
    <row r="94" spans="1:18" x14ac:dyDescent="0.25">
      <c r="A94" t="s">
        <v>3942</v>
      </c>
      <c r="B94" t="s">
        <v>3936</v>
      </c>
      <c r="C94">
        <v>2</v>
      </c>
      <c r="D94" t="s">
        <v>41</v>
      </c>
      <c r="E94">
        <v>17</v>
      </c>
      <c r="F94" t="s">
        <v>3793</v>
      </c>
      <c r="G94" t="s">
        <v>3942</v>
      </c>
      <c r="H94" t="s">
        <v>3785</v>
      </c>
      <c r="I94" t="s">
        <v>3794</v>
      </c>
      <c r="J94" t="s">
        <v>3936</v>
      </c>
      <c r="K94" t="s">
        <v>3804</v>
      </c>
      <c r="L94" t="s">
        <v>3797</v>
      </c>
      <c r="M94" t="s">
        <v>232</v>
      </c>
      <c r="N94" t="s">
        <v>118</v>
      </c>
      <c r="O94" t="s">
        <v>3808</v>
      </c>
      <c r="P94" s="9">
        <v>44258.51048611111</v>
      </c>
      <c r="Q94" t="s">
        <v>3811</v>
      </c>
      <c r="R94" t="s">
        <v>3794</v>
      </c>
    </row>
    <row r="95" spans="1:18" x14ac:dyDescent="0.25">
      <c r="A95" t="s">
        <v>3943</v>
      </c>
      <c r="B95" t="s">
        <v>3936</v>
      </c>
      <c r="C95">
        <v>2</v>
      </c>
      <c r="D95" t="s">
        <v>41</v>
      </c>
      <c r="E95">
        <v>17</v>
      </c>
      <c r="F95" t="s">
        <v>3793</v>
      </c>
      <c r="G95" t="s">
        <v>3943</v>
      </c>
      <c r="H95" t="s">
        <v>3785</v>
      </c>
      <c r="I95" t="s">
        <v>3794</v>
      </c>
      <c r="J95" t="s">
        <v>3936</v>
      </c>
      <c r="K95" t="s">
        <v>3804</v>
      </c>
      <c r="L95" t="s">
        <v>3797</v>
      </c>
      <c r="M95" t="s">
        <v>43</v>
      </c>
      <c r="N95" t="s">
        <v>118</v>
      </c>
      <c r="O95" t="s">
        <v>3801</v>
      </c>
      <c r="P95" s="9">
        <v>44258.510462962964</v>
      </c>
      <c r="Q95" t="s">
        <v>3813</v>
      </c>
      <c r="R95" t="s">
        <v>3794</v>
      </c>
    </row>
    <row r="96" spans="1:18" x14ac:dyDescent="0.25">
      <c r="A96" t="s">
        <v>3944</v>
      </c>
      <c r="B96" t="s">
        <v>3936</v>
      </c>
      <c r="C96">
        <v>2</v>
      </c>
      <c r="D96" t="s">
        <v>41</v>
      </c>
      <c r="E96">
        <v>17</v>
      </c>
      <c r="F96" t="s">
        <v>3793</v>
      </c>
      <c r="G96" t="s">
        <v>3944</v>
      </c>
      <c r="H96" t="s">
        <v>3785</v>
      </c>
      <c r="I96" t="s">
        <v>3794</v>
      </c>
      <c r="J96" t="s">
        <v>3936</v>
      </c>
      <c r="K96" t="s">
        <v>3804</v>
      </c>
      <c r="L96" t="s">
        <v>3797</v>
      </c>
      <c r="M96" t="s">
        <v>108</v>
      </c>
      <c r="N96" t="s">
        <v>119</v>
      </c>
      <c r="O96" t="s">
        <v>3815</v>
      </c>
      <c r="P96" s="9">
        <v>44258.510462962964</v>
      </c>
      <c r="Q96" t="s">
        <v>3816</v>
      </c>
      <c r="R96" t="s">
        <v>3794</v>
      </c>
    </row>
    <row r="97" spans="1:18" x14ac:dyDescent="0.25">
      <c r="A97" t="s">
        <v>4637</v>
      </c>
      <c r="B97" t="s">
        <v>4638</v>
      </c>
      <c r="C97">
        <v>2</v>
      </c>
      <c r="D97" t="s">
        <v>41</v>
      </c>
      <c r="E97">
        <v>17</v>
      </c>
      <c r="F97" t="s">
        <v>3793</v>
      </c>
      <c r="G97" t="s">
        <v>4637</v>
      </c>
      <c r="H97" t="s">
        <v>4639</v>
      </c>
      <c r="I97" t="s">
        <v>3794</v>
      </c>
      <c r="J97" t="s">
        <v>4638</v>
      </c>
      <c r="K97" t="s">
        <v>4640</v>
      </c>
      <c r="L97" t="s">
        <v>3797</v>
      </c>
      <c r="M97" t="s">
        <v>3739</v>
      </c>
      <c r="N97" t="s">
        <v>118</v>
      </c>
      <c r="O97" t="s">
        <v>4371</v>
      </c>
      <c r="P97" s="9">
        <v>44259.510439814818</v>
      </c>
      <c r="Q97" t="s">
        <v>4641</v>
      </c>
      <c r="R97" t="s">
        <v>3794</v>
      </c>
    </row>
    <row r="98" spans="1:18" x14ac:dyDescent="0.25">
      <c r="A98" t="s">
        <v>4642</v>
      </c>
      <c r="B98" t="s">
        <v>4638</v>
      </c>
      <c r="C98">
        <v>2</v>
      </c>
      <c r="D98" t="s">
        <v>41</v>
      </c>
      <c r="E98">
        <v>17</v>
      </c>
      <c r="F98" t="s">
        <v>3793</v>
      </c>
      <c r="G98" t="s">
        <v>4642</v>
      </c>
      <c r="H98" t="s">
        <v>4639</v>
      </c>
      <c r="I98" t="s">
        <v>3794</v>
      </c>
      <c r="J98" t="s">
        <v>4638</v>
      </c>
      <c r="K98" t="s">
        <v>4640</v>
      </c>
      <c r="L98" t="s">
        <v>3797</v>
      </c>
      <c r="M98" t="s">
        <v>3740</v>
      </c>
      <c r="N98" t="s">
        <v>118</v>
      </c>
      <c r="O98" t="s">
        <v>3801</v>
      </c>
      <c r="P98" s="9">
        <v>44259.510439814818</v>
      </c>
      <c r="Q98" t="s">
        <v>4643</v>
      </c>
      <c r="R98" t="s">
        <v>3794</v>
      </c>
    </row>
    <row r="99" spans="1:18" x14ac:dyDescent="0.25">
      <c r="A99" t="s">
        <v>3945</v>
      </c>
      <c r="B99" t="s">
        <v>3946</v>
      </c>
      <c r="C99">
        <v>2</v>
      </c>
      <c r="D99" t="s">
        <v>41</v>
      </c>
      <c r="E99">
        <v>17</v>
      </c>
      <c r="F99" t="s">
        <v>3793</v>
      </c>
      <c r="G99" t="s">
        <v>3945</v>
      </c>
      <c r="H99" t="s">
        <v>3783</v>
      </c>
      <c r="I99" t="s">
        <v>3794</v>
      </c>
      <c r="J99" t="s">
        <v>3946</v>
      </c>
      <c r="K99" t="s">
        <v>3804</v>
      </c>
      <c r="L99" t="s">
        <v>3797</v>
      </c>
      <c r="M99" t="s">
        <v>42</v>
      </c>
      <c r="N99" t="s">
        <v>118</v>
      </c>
      <c r="O99" t="s">
        <v>3805</v>
      </c>
      <c r="P99" s="9">
        <v>44258.510474537034</v>
      </c>
      <c r="Q99" t="s">
        <v>3806</v>
      </c>
      <c r="R99" t="s">
        <v>3794</v>
      </c>
    </row>
    <row r="100" spans="1:18" x14ac:dyDescent="0.25">
      <c r="A100" t="s">
        <v>3947</v>
      </c>
      <c r="B100" t="s">
        <v>3946</v>
      </c>
      <c r="C100">
        <v>2</v>
      </c>
      <c r="D100" t="s">
        <v>41</v>
      </c>
      <c r="E100">
        <v>17</v>
      </c>
      <c r="F100" t="s">
        <v>3793</v>
      </c>
      <c r="G100" t="s">
        <v>3947</v>
      </c>
      <c r="H100" t="s">
        <v>3783</v>
      </c>
      <c r="I100" t="s">
        <v>3794</v>
      </c>
      <c r="J100" t="s">
        <v>3946</v>
      </c>
      <c r="K100" t="s">
        <v>3804</v>
      </c>
      <c r="L100" t="s">
        <v>3797</v>
      </c>
      <c r="M100" t="s">
        <v>145</v>
      </c>
      <c r="N100" t="s">
        <v>118</v>
      </c>
      <c r="O100" t="s">
        <v>3808</v>
      </c>
      <c r="P100" s="9">
        <v>44258.51048611111</v>
      </c>
      <c r="Q100" t="s">
        <v>3809</v>
      </c>
      <c r="R100" t="s">
        <v>3794</v>
      </c>
    </row>
    <row r="101" spans="1:18" x14ac:dyDescent="0.25">
      <c r="A101" t="s">
        <v>3948</v>
      </c>
      <c r="B101" t="s">
        <v>3946</v>
      </c>
      <c r="C101">
        <v>2</v>
      </c>
      <c r="D101" t="s">
        <v>41</v>
      </c>
      <c r="E101">
        <v>17</v>
      </c>
      <c r="F101" t="s">
        <v>3793</v>
      </c>
      <c r="G101" t="s">
        <v>3948</v>
      </c>
      <c r="H101" t="s">
        <v>3783</v>
      </c>
      <c r="I101" t="s">
        <v>3794</v>
      </c>
      <c r="J101" t="s">
        <v>3946</v>
      </c>
      <c r="K101" t="s">
        <v>3804</v>
      </c>
      <c r="L101" t="s">
        <v>3797</v>
      </c>
      <c r="M101" t="s">
        <v>232</v>
      </c>
      <c r="N101" t="s">
        <v>118</v>
      </c>
      <c r="O101" t="s">
        <v>3808</v>
      </c>
      <c r="P101" s="9">
        <v>44258.51048611111</v>
      </c>
      <c r="Q101" t="s">
        <v>3811</v>
      </c>
      <c r="R101" t="s">
        <v>3794</v>
      </c>
    </row>
    <row r="102" spans="1:18" x14ac:dyDescent="0.25">
      <c r="A102" t="s">
        <v>3949</v>
      </c>
      <c r="B102" t="s">
        <v>3946</v>
      </c>
      <c r="C102">
        <v>2</v>
      </c>
      <c r="D102" t="s">
        <v>41</v>
      </c>
      <c r="E102">
        <v>17</v>
      </c>
      <c r="F102" t="s">
        <v>3793</v>
      </c>
      <c r="G102" t="s">
        <v>3949</v>
      </c>
      <c r="H102" t="s">
        <v>3783</v>
      </c>
      <c r="I102" t="s">
        <v>3794</v>
      </c>
      <c r="J102" t="s">
        <v>3946</v>
      </c>
      <c r="K102" t="s">
        <v>3804</v>
      </c>
      <c r="L102" t="s">
        <v>3797</v>
      </c>
      <c r="M102" t="s">
        <v>43</v>
      </c>
      <c r="N102" t="s">
        <v>118</v>
      </c>
      <c r="O102" t="s">
        <v>3801</v>
      </c>
      <c r="P102" s="9">
        <v>44258.510462962964</v>
      </c>
      <c r="Q102" t="s">
        <v>3813</v>
      </c>
      <c r="R102" t="s">
        <v>3794</v>
      </c>
    </row>
    <row r="103" spans="1:18" x14ac:dyDescent="0.25">
      <c r="A103" t="s">
        <v>3950</v>
      </c>
      <c r="B103" t="s">
        <v>3946</v>
      </c>
      <c r="C103">
        <v>2</v>
      </c>
      <c r="D103" t="s">
        <v>41</v>
      </c>
      <c r="E103">
        <v>17</v>
      </c>
      <c r="F103" t="s">
        <v>3793</v>
      </c>
      <c r="G103" t="s">
        <v>3950</v>
      </c>
      <c r="H103" t="s">
        <v>3783</v>
      </c>
      <c r="I103" t="s">
        <v>3794</v>
      </c>
      <c r="J103" t="s">
        <v>3946</v>
      </c>
      <c r="K103" t="s">
        <v>3804</v>
      </c>
      <c r="L103" t="s">
        <v>3797</v>
      </c>
      <c r="M103" t="s">
        <v>108</v>
      </c>
      <c r="N103" t="s">
        <v>119</v>
      </c>
      <c r="O103" t="s">
        <v>3815</v>
      </c>
      <c r="P103" s="9">
        <v>44258.510451388887</v>
      </c>
      <c r="Q103" t="s">
        <v>3816</v>
      </c>
      <c r="R103" t="s">
        <v>3794</v>
      </c>
    </row>
    <row r="104" spans="1:18" x14ac:dyDescent="0.25">
      <c r="A104" t="s">
        <v>3951</v>
      </c>
      <c r="B104" t="s">
        <v>3952</v>
      </c>
      <c r="C104">
        <v>2</v>
      </c>
      <c r="D104" t="s">
        <v>41</v>
      </c>
      <c r="E104">
        <v>17</v>
      </c>
      <c r="F104" t="s">
        <v>3793</v>
      </c>
      <c r="G104" t="s">
        <v>3951</v>
      </c>
      <c r="H104" t="s">
        <v>3784</v>
      </c>
      <c r="I104" t="s">
        <v>3953</v>
      </c>
      <c r="J104" t="s">
        <v>3952</v>
      </c>
      <c r="K104" t="s">
        <v>3796</v>
      </c>
      <c r="L104" t="s">
        <v>3797</v>
      </c>
      <c r="M104" t="s">
        <v>3739</v>
      </c>
      <c r="N104" t="s">
        <v>118</v>
      </c>
      <c r="O104" t="s">
        <v>3954</v>
      </c>
      <c r="P104" s="9">
        <v>44258.510439814818</v>
      </c>
      <c r="Q104" t="s">
        <v>3799</v>
      </c>
      <c r="R104" t="s">
        <v>3794</v>
      </c>
    </row>
    <row r="105" spans="1:18" x14ac:dyDescent="0.25">
      <c r="A105" t="s">
        <v>3955</v>
      </c>
      <c r="B105" t="s">
        <v>3952</v>
      </c>
      <c r="C105">
        <v>2</v>
      </c>
      <c r="D105" t="s">
        <v>41</v>
      </c>
      <c r="E105">
        <v>17</v>
      </c>
      <c r="F105" t="s">
        <v>3793</v>
      </c>
      <c r="G105" t="s">
        <v>3955</v>
      </c>
      <c r="H105" t="s">
        <v>3784</v>
      </c>
      <c r="I105" t="s">
        <v>3794</v>
      </c>
      <c r="J105" t="s">
        <v>3952</v>
      </c>
      <c r="K105" t="s">
        <v>3796</v>
      </c>
      <c r="L105" t="s">
        <v>3797</v>
      </c>
      <c r="M105" t="s">
        <v>3740</v>
      </c>
      <c r="N105" t="s">
        <v>118</v>
      </c>
      <c r="O105" t="s">
        <v>3801</v>
      </c>
      <c r="P105" s="9">
        <v>44258.510439814818</v>
      </c>
      <c r="Q105" t="s">
        <v>3802</v>
      </c>
      <c r="R105" t="s">
        <v>3794</v>
      </c>
    </row>
    <row r="106" spans="1:18" x14ac:dyDescent="0.25">
      <c r="A106" t="s">
        <v>3956</v>
      </c>
      <c r="B106" t="s">
        <v>3952</v>
      </c>
      <c r="C106">
        <v>2</v>
      </c>
      <c r="D106" t="s">
        <v>41</v>
      </c>
      <c r="E106">
        <v>17</v>
      </c>
      <c r="F106" t="s">
        <v>3793</v>
      </c>
      <c r="G106" t="s">
        <v>3956</v>
      </c>
      <c r="H106" t="s">
        <v>3784</v>
      </c>
      <c r="I106" t="s">
        <v>3794</v>
      </c>
      <c r="J106" t="s">
        <v>3952</v>
      </c>
      <c r="K106" t="s">
        <v>3804</v>
      </c>
      <c r="L106" t="s">
        <v>3797</v>
      </c>
      <c r="M106" t="s">
        <v>42</v>
      </c>
      <c r="N106" t="s">
        <v>118</v>
      </c>
      <c r="O106" t="s">
        <v>3805</v>
      </c>
      <c r="P106" s="9">
        <v>44258.510474537034</v>
      </c>
      <c r="Q106" t="s">
        <v>3806</v>
      </c>
      <c r="R106" t="s">
        <v>3794</v>
      </c>
    </row>
    <row r="107" spans="1:18" x14ac:dyDescent="0.25">
      <c r="A107" t="s">
        <v>3957</v>
      </c>
      <c r="B107" t="s">
        <v>3952</v>
      </c>
      <c r="C107">
        <v>2</v>
      </c>
      <c r="D107" t="s">
        <v>41</v>
      </c>
      <c r="E107">
        <v>17</v>
      </c>
      <c r="F107" t="s">
        <v>3793</v>
      </c>
      <c r="G107" t="s">
        <v>3957</v>
      </c>
      <c r="H107" t="s">
        <v>3784</v>
      </c>
      <c r="I107" t="s">
        <v>3794</v>
      </c>
      <c r="J107" t="s">
        <v>3952</v>
      </c>
      <c r="K107" t="s">
        <v>3804</v>
      </c>
      <c r="L107" t="s">
        <v>3797</v>
      </c>
      <c r="M107" t="s">
        <v>145</v>
      </c>
      <c r="N107" t="s">
        <v>118</v>
      </c>
      <c r="O107" t="s">
        <v>3808</v>
      </c>
      <c r="P107" s="9">
        <v>44258.51048611111</v>
      </c>
      <c r="Q107" t="s">
        <v>3809</v>
      </c>
      <c r="R107" t="s">
        <v>3794</v>
      </c>
    </row>
    <row r="108" spans="1:18" x14ac:dyDescent="0.25">
      <c r="A108" t="s">
        <v>3958</v>
      </c>
      <c r="B108" t="s">
        <v>3952</v>
      </c>
      <c r="C108">
        <v>2</v>
      </c>
      <c r="D108" t="s">
        <v>41</v>
      </c>
      <c r="E108">
        <v>17</v>
      </c>
      <c r="F108" t="s">
        <v>3793</v>
      </c>
      <c r="G108" t="s">
        <v>3958</v>
      </c>
      <c r="H108" t="s">
        <v>3784</v>
      </c>
      <c r="I108" t="s">
        <v>3794</v>
      </c>
      <c r="J108" t="s">
        <v>3952</v>
      </c>
      <c r="K108" t="s">
        <v>3804</v>
      </c>
      <c r="L108" t="s">
        <v>3797</v>
      </c>
      <c r="M108" t="s">
        <v>232</v>
      </c>
      <c r="N108" t="s">
        <v>118</v>
      </c>
      <c r="O108" t="s">
        <v>3808</v>
      </c>
      <c r="P108" s="9">
        <v>44258.51048611111</v>
      </c>
      <c r="Q108" t="s">
        <v>3811</v>
      </c>
      <c r="R108" t="s">
        <v>3794</v>
      </c>
    </row>
    <row r="109" spans="1:18" x14ac:dyDescent="0.25">
      <c r="A109" t="s">
        <v>3959</v>
      </c>
      <c r="B109" t="s">
        <v>3952</v>
      </c>
      <c r="C109">
        <v>2</v>
      </c>
      <c r="D109" t="s">
        <v>41</v>
      </c>
      <c r="E109">
        <v>17</v>
      </c>
      <c r="F109" t="s">
        <v>3793</v>
      </c>
      <c r="G109" t="s">
        <v>3959</v>
      </c>
      <c r="H109" t="s">
        <v>3784</v>
      </c>
      <c r="I109" t="s">
        <v>3794</v>
      </c>
      <c r="J109" t="s">
        <v>3952</v>
      </c>
      <c r="K109" t="s">
        <v>3804</v>
      </c>
      <c r="L109" t="s">
        <v>3797</v>
      </c>
      <c r="M109" t="s">
        <v>43</v>
      </c>
      <c r="N109" t="s">
        <v>118</v>
      </c>
      <c r="O109" t="s">
        <v>3801</v>
      </c>
      <c r="P109" s="9">
        <v>44258.510462962964</v>
      </c>
      <c r="Q109" t="s">
        <v>3813</v>
      </c>
      <c r="R109" t="s">
        <v>3794</v>
      </c>
    </row>
    <row r="110" spans="1:18" x14ac:dyDescent="0.25">
      <c r="A110" t="s">
        <v>3960</v>
      </c>
      <c r="B110" t="s">
        <v>3952</v>
      </c>
      <c r="C110">
        <v>2</v>
      </c>
      <c r="D110" t="s">
        <v>41</v>
      </c>
      <c r="E110">
        <v>17</v>
      </c>
      <c r="F110" t="s">
        <v>3793</v>
      </c>
      <c r="G110" t="s">
        <v>3960</v>
      </c>
      <c r="H110" t="s">
        <v>3784</v>
      </c>
      <c r="I110" t="s">
        <v>3794</v>
      </c>
      <c r="J110" t="s">
        <v>3952</v>
      </c>
      <c r="K110" t="s">
        <v>3804</v>
      </c>
      <c r="L110" t="s">
        <v>3797</v>
      </c>
      <c r="M110" t="s">
        <v>108</v>
      </c>
      <c r="N110" t="s">
        <v>119</v>
      </c>
      <c r="O110" t="s">
        <v>3815</v>
      </c>
      <c r="P110" s="9">
        <v>44258.510451388887</v>
      </c>
      <c r="Q110" t="s">
        <v>3816</v>
      </c>
      <c r="R110" t="s">
        <v>3794</v>
      </c>
    </row>
    <row r="111" spans="1:18" x14ac:dyDescent="0.25">
      <c r="A111" t="s">
        <v>3961</v>
      </c>
      <c r="B111" t="s">
        <v>3962</v>
      </c>
      <c r="C111">
        <v>2</v>
      </c>
      <c r="D111" t="s">
        <v>41</v>
      </c>
      <c r="E111">
        <v>17</v>
      </c>
      <c r="F111" t="s">
        <v>3793</v>
      </c>
      <c r="G111" t="s">
        <v>3961</v>
      </c>
      <c r="H111" t="s">
        <v>3785</v>
      </c>
      <c r="I111" t="s">
        <v>3963</v>
      </c>
      <c r="J111" t="s">
        <v>3962</v>
      </c>
      <c r="K111" t="s">
        <v>3840</v>
      </c>
      <c r="L111" t="s">
        <v>3797</v>
      </c>
      <c r="M111" t="s">
        <v>3739</v>
      </c>
      <c r="N111" t="s">
        <v>118</v>
      </c>
      <c r="O111" t="s">
        <v>3964</v>
      </c>
      <c r="P111" s="9">
        <v>44258.510451388887</v>
      </c>
      <c r="Q111" t="s">
        <v>3842</v>
      </c>
      <c r="R111" t="s">
        <v>3794</v>
      </c>
    </row>
    <row r="112" spans="1:18" x14ac:dyDescent="0.25">
      <c r="A112" t="s">
        <v>3965</v>
      </c>
      <c r="B112" t="s">
        <v>3962</v>
      </c>
      <c r="C112">
        <v>2</v>
      </c>
      <c r="D112" t="s">
        <v>41</v>
      </c>
      <c r="E112">
        <v>17</v>
      </c>
      <c r="F112" t="s">
        <v>3793</v>
      </c>
      <c r="G112" t="s">
        <v>3965</v>
      </c>
      <c r="H112" t="s">
        <v>3785</v>
      </c>
      <c r="I112" t="s">
        <v>3794</v>
      </c>
      <c r="J112" t="s">
        <v>3962</v>
      </c>
      <c r="K112" t="s">
        <v>3840</v>
      </c>
      <c r="L112" t="s">
        <v>3797</v>
      </c>
      <c r="M112" t="s">
        <v>3740</v>
      </c>
      <c r="N112" t="s">
        <v>118</v>
      </c>
      <c r="O112" t="s">
        <v>3801</v>
      </c>
      <c r="P112" s="9">
        <v>44258.510451388887</v>
      </c>
      <c r="Q112" t="s">
        <v>3844</v>
      </c>
      <c r="R112" t="s">
        <v>3794</v>
      </c>
    </row>
    <row r="113" spans="1:18" x14ac:dyDescent="0.25">
      <c r="A113" t="s">
        <v>3966</v>
      </c>
      <c r="B113" t="s">
        <v>3962</v>
      </c>
      <c r="C113">
        <v>2</v>
      </c>
      <c r="D113" t="s">
        <v>41</v>
      </c>
      <c r="E113">
        <v>17</v>
      </c>
      <c r="F113" t="s">
        <v>3793</v>
      </c>
      <c r="G113" t="s">
        <v>3966</v>
      </c>
      <c r="H113" t="s">
        <v>3785</v>
      </c>
      <c r="I113" t="s">
        <v>3794</v>
      </c>
      <c r="J113" t="s">
        <v>3962</v>
      </c>
      <c r="K113" t="s">
        <v>3804</v>
      </c>
      <c r="L113" t="s">
        <v>3797</v>
      </c>
      <c r="M113" t="s">
        <v>42</v>
      </c>
      <c r="N113" t="s">
        <v>118</v>
      </c>
      <c r="O113" t="s">
        <v>3805</v>
      </c>
      <c r="P113" s="9">
        <v>44258.510474537034</v>
      </c>
      <c r="Q113" t="s">
        <v>3806</v>
      </c>
      <c r="R113" t="s">
        <v>3794</v>
      </c>
    </row>
    <row r="114" spans="1:18" x14ac:dyDescent="0.25">
      <c r="A114" t="s">
        <v>3967</v>
      </c>
      <c r="B114" t="s">
        <v>3962</v>
      </c>
      <c r="C114">
        <v>2</v>
      </c>
      <c r="D114" t="s">
        <v>41</v>
      </c>
      <c r="E114">
        <v>17</v>
      </c>
      <c r="F114" t="s">
        <v>3793</v>
      </c>
      <c r="G114" t="s">
        <v>3967</v>
      </c>
      <c r="H114" t="s">
        <v>3785</v>
      </c>
      <c r="I114" t="s">
        <v>3794</v>
      </c>
      <c r="J114" t="s">
        <v>3962</v>
      </c>
      <c r="K114" t="s">
        <v>3804</v>
      </c>
      <c r="L114" t="s">
        <v>3797</v>
      </c>
      <c r="M114" t="s">
        <v>145</v>
      </c>
      <c r="N114" t="s">
        <v>118</v>
      </c>
      <c r="O114" t="s">
        <v>3808</v>
      </c>
      <c r="P114" s="9">
        <v>44258.51048611111</v>
      </c>
      <c r="Q114" t="s">
        <v>3809</v>
      </c>
      <c r="R114" t="s">
        <v>3794</v>
      </c>
    </row>
    <row r="115" spans="1:18" x14ac:dyDescent="0.25">
      <c r="A115" t="s">
        <v>3968</v>
      </c>
      <c r="B115" t="s">
        <v>3962</v>
      </c>
      <c r="C115">
        <v>2</v>
      </c>
      <c r="D115" t="s">
        <v>41</v>
      </c>
      <c r="E115">
        <v>17</v>
      </c>
      <c r="F115" t="s">
        <v>3793</v>
      </c>
      <c r="G115" t="s">
        <v>3968</v>
      </c>
      <c r="H115" t="s">
        <v>3785</v>
      </c>
      <c r="I115" t="s">
        <v>3794</v>
      </c>
      <c r="J115" t="s">
        <v>3962</v>
      </c>
      <c r="K115" t="s">
        <v>3804</v>
      </c>
      <c r="L115" t="s">
        <v>3797</v>
      </c>
      <c r="M115" t="s">
        <v>232</v>
      </c>
      <c r="N115" t="s">
        <v>118</v>
      </c>
      <c r="O115" t="s">
        <v>3808</v>
      </c>
      <c r="P115" s="9">
        <v>44258.51048611111</v>
      </c>
      <c r="Q115" t="s">
        <v>3811</v>
      </c>
      <c r="R115" t="s">
        <v>3794</v>
      </c>
    </row>
    <row r="116" spans="1:18" x14ac:dyDescent="0.25">
      <c r="A116" t="s">
        <v>3969</v>
      </c>
      <c r="B116" t="s">
        <v>3962</v>
      </c>
      <c r="C116">
        <v>2</v>
      </c>
      <c r="D116" t="s">
        <v>41</v>
      </c>
      <c r="E116">
        <v>17</v>
      </c>
      <c r="F116" t="s">
        <v>3793</v>
      </c>
      <c r="G116" t="s">
        <v>3969</v>
      </c>
      <c r="H116" t="s">
        <v>3785</v>
      </c>
      <c r="I116" t="s">
        <v>3794</v>
      </c>
      <c r="J116" t="s">
        <v>3962</v>
      </c>
      <c r="K116" t="s">
        <v>3804</v>
      </c>
      <c r="L116" t="s">
        <v>3797</v>
      </c>
      <c r="M116" t="s">
        <v>43</v>
      </c>
      <c r="N116" t="s">
        <v>118</v>
      </c>
      <c r="O116" t="s">
        <v>3801</v>
      </c>
      <c r="P116" s="9">
        <v>44258.510462962964</v>
      </c>
      <c r="Q116" t="s">
        <v>3813</v>
      </c>
      <c r="R116" t="s">
        <v>3794</v>
      </c>
    </row>
    <row r="117" spans="1:18" x14ac:dyDescent="0.25">
      <c r="A117" t="s">
        <v>3970</v>
      </c>
      <c r="B117" t="s">
        <v>3962</v>
      </c>
      <c r="C117">
        <v>2</v>
      </c>
      <c r="D117" t="s">
        <v>41</v>
      </c>
      <c r="E117">
        <v>17</v>
      </c>
      <c r="F117" t="s">
        <v>3793</v>
      </c>
      <c r="G117" t="s">
        <v>3970</v>
      </c>
      <c r="H117" t="s">
        <v>3785</v>
      </c>
      <c r="I117" t="s">
        <v>3794</v>
      </c>
      <c r="J117" t="s">
        <v>3962</v>
      </c>
      <c r="K117" t="s">
        <v>3804</v>
      </c>
      <c r="L117" t="s">
        <v>3797</v>
      </c>
      <c r="M117" t="s">
        <v>108</v>
      </c>
      <c r="N117" t="s">
        <v>119</v>
      </c>
      <c r="O117" t="s">
        <v>3815</v>
      </c>
      <c r="P117" s="9">
        <v>44258.510462962964</v>
      </c>
      <c r="Q117" t="s">
        <v>3816</v>
      </c>
      <c r="R117" t="s">
        <v>3794</v>
      </c>
    </row>
    <row r="118" spans="1:18" x14ac:dyDescent="0.25">
      <c r="A118" t="s">
        <v>3971</v>
      </c>
      <c r="B118" t="s">
        <v>3972</v>
      </c>
      <c r="C118">
        <v>2</v>
      </c>
      <c r="D118" t="s">
        <v>41</v>
      </c>
      <c r="E118">
        <v>17</v>
      </c>
      <c r="F118" t="s">
        <v>3793</v>
      </c>
      <c r="G118" t="s">
        <v>3971</v>
      </c>
      <c r="H118" t="s">
        <v>3784</v>
      </c>
      <c r="I118" t="s">
        <v>3973</v>
      </c>
      <c r="J118" t="s">
        <v>3972</v>
      </c>
      <c r="K118" t="s">
        <v>3796</v>
      </c>
      <c r="L118" t="s">
        <v>3797</v>
      </c>
      <c r="M118" t="s">
        <v>3739</v>
      </c>
      <c r="N118" t="s">
        <v>118</v>
      </c>
      <c r="O118" t="s">
        <v>3974</v>
      </c>
      <c r="P118" s="9">
        <v>44258.510439814818</v>
      </c>
      <c r="Q118" t="s">
        <v>3799</v>
      </c>
      <c r="R118" t="s">
        <v>3794</v>
      </c>
    </row>
    <row r="119" spans="1:18" x14ac:dyDescent="0.25">
      <c r="A119" t="s">
        <v>3975</v>
      </c>
      <c r="B119" t="s">
        <v>3972</v>
      </c>
      <c r="C119">
        <v>2</v>
      </c>
      <c r="D119" t="s">
        <v>41</v>
      </c>
      <c r="E119">
        <v>17</v>
      </c>
      <c r="F119" t="s">
        <v>3793</v>
      </c>
      <c r="G119" t="s">
        <v>3975</v>
      </c>
      <c r="H119" t="s">
        <v>3784</v>
      </c>
      <c r="I119" t="s">
        <v>3794</v>
      </c>
      <c r="J119" t="s">
        <v>3972</v>
      </c>
      <c r="K119" t="s">
        <v>3796</v>
      </c>
      <c r="L119" t="s">
        <v>3797</v>
      </c>
      <c r="M119" t="s">
        <v>3740</v>
      </c>
      <c r="N119" t="s">
        <v>118</v>
      </c>
      <c r="O119" t="s">
        <v>3801</v>
      </c>
      <c r="P119" s="9">
        <v>44258.510439814818</v>
      </c>
      <c r="Q119" t="s">
        <v>3802</v>
      </c>
      <c r="R119" t="s">
        <v>3794</v>
      </c>
    </row>
    <row r="120" spans="1:18" x14ac:dyDescent="0.25">
      <c r="A120" t="s">
        <v>3976</v>
      </c>
      <c r="B120" t="s">
        <v>3972</v>
      </c>
      <c r="C120">
        <v>2</v>
      </c>
      <c r="D120" t="s">
        <v>41</v>
      </c>
      <c r="E120">
        <v>17</v>
      </c>
      <c r="F120" t="s">
        <v>3793</v>
      </c>
      <c r="G120" t="s">
        <v>3976</v>
      </c>
      <c r="H120" t="s">
        <v>3784</v>
      </c>
      <c r="I120" t="s">
        <v>3794</v>
      </c>
      <c r="J120" t="s">
        <v>3972</v>
      </c>
      <c r="K120" t="s">
        <v>3804</v>
      </c>
      <c r="L120" t="s">
        <v>3797</v>
      </c>
      <c r="M120" t="s">
        <v>42</v>
      </c>
      <c r="N120" t="s">
        <v>118</v>
      </c>
      <c r="O120" t="s">
        <v>3805</v>
      </c>
      <c r="P120" s="9">
        <v>44258.510474537034</v>
      </c>
      <c r="Q120" t="s">
        <v>3806</v>
      </c>
      <c r="R120" t="s">
        <v>3794</v>
      </c>
    </row>
    <row r="121" spans="1:18" x14ac:dyDescent="0.25">
      <c r="A121" t="s">
        <v>3977</v>
      </c>
      <c r="B121" t="s">
        <v>3972</v>
      </c>
      <c r="C121">
        <v>2</v>
      </c>
      <c r="D121" t="s">
        <v>41</v>
      </c>
      <c r="E121">
        <v>17</v>
      </c>
      <c r="F121" t="s">
        <v>3793</v>
      </c>
      <c r="G121" t="s">
        <v>3977</v>
      </c>
      <c r="H121" t="s">
        <v>3784</v>
      </c>
      <c r="I121" t="s">
        <v>3794</v>
      </c>
      <c r="J121" t="s">
        <v>3972</v>
      </c>
      <c r="K121" t="s">
        <v>3804</v>
      </c>
      <c r="L121" t="s">
        <v>3797</v>
      </c>
      <c r="M121" t="s">
        <v>145</v>
      </c>
      <c r="N121" t="s">
        <v>118</v>
      </c>
      <c r="O121" t="s">
        <v>3808</v>
      </c>
      <c r="P121" s="9">
        <v>44258.51048611111</v>
      </c>
      <c r="Q121" t="s">
        <v>3809</v>
      </c>
      <c r="R121" t="s">
        <v>3794</v>
      </c>
    </row>
    <row r="122" spans="1:18" x14ac:dyDescent="0.25">
      <c r="A122" t="s">
        <v>3978</v>
      </c>
      <c r="B122" t="s">
        <v>3972</v>
      </c>
      <c r="C122">
        <v>2</v>
      </c>
      <c r="D122" t="s">
        <v>41</v>
      </c>
      <c r="E122">
        <v>17</v>
      </c>
      <c r="F122" t="s">
        <v>3793</v>
      </c>
      <c r="G122" t="s">
        <v>3978</v>
      </c>
      <c r="H122" t="s">
        <v>3784</v>
      </c>
      <c r="I122" t="s">
        <v>3794</v>
      </c>
      <c r="J122" t="s">
        <v>3972</v>
      </c>
      <c r="K122" t="s">
        <v>3804</v>
      </c>
      <c r="L122" t="s">
        <v>3797</v>
      </c>
      <c r="M122" t="s">
        <v>232</v>
      </c>
      <c r="N122" t="s">
        <v>118</v>
      </c>
      <c r="O122" t="s">
        <v>3808</v>
      </c>
      <c r="P122" s="9">
        <v>44258.51048611111</v>
      </c>
      <c r="Q122" t="s">
        <v>3811</v>
      </c>
      <c r="R122" t="s">
        <v>3794</v>
      </c>
    </row>
    <row r="123" spans="1:18" x14ac:dyDescent="0.25">
      <c r="A123" t="s">
        <v>3979</v>
      </c>
      <c r="B123" t="s">
        <v>3972</v>
      </c>
      <c r="C123">
        <v>2</v>
      </c>
      <c r="D123" t="s">
        <v>41</v>
      </c>
      <c r="E123">
        <v>17</v>
      </c>
      <c r="F123" t="s">
        <v>3793</v>
      </c>
      <c r="G123" t="s">
        <v>3979</v>
      </c>
      <c r="H123" t="s">
        <v>3784</v>
      </c>
      <c r="I123" t="s">
        <v>3794</v>
      </c>
      <c r="J123" t="s">
        <v>3972</v>
      </c>
      <c r="K123" t="s">
        <v>3804</v>
      </c>
      <c r="L123" t="s">
        <v>3797</v>
      </c>
      <c r="M123" t="s">
        <v>43</v>
      </c>
      <c r="N123" t="s">
        <v>118</v>
      </c>
      <c r="O123" t="s">
        <v>3801</v>
      </c>
      <c r="P123" s="9">
        <v>44258.510462962964</v>
      </c>
      <c r="Q123" t="s">
        <v>3813</v>
      </c>
      <c r="R123" t="s">
        <v>3794</v>
      </c>
    </row>
    <row r="124" spans="1:18" x14ac:dyDescent="0.25">
      <c r="A124" t="s">
        <v>3980</v>
      </c>
      <c r="B124" t="s">
        <v>3972</v>
      </c>
      <c r="C124">
        <v>2</v>
      </c>
      <c r="D124" t="s">
        <v>41</v>
      </c>
      <c r="E124">
        <v>17</v>
      </c>
      <c r="F124" t="s">
        <v>3793</v>
      </c>
      <c r="G124" t="s">
        <v>3980</v>
      </c>
      <c r="H124" t="s">
        <v>3784</v>
      </c>
      <c r="I124" t="s">
        <v>3794</v>
      </c>
      <c r="J124" t="s">
        <v>3972</v>
      </c>
      <c r="K124" t="s">
        <v>3804</v>
      </c>
      <c r="L124" t="s">
        <v>3797</v>
      </c>
      <c r="M124" t="s">
        <v>108</v>
      </c>
      <c r="N124" t="s">
        <v>119</v>
      </c>
      <c r="O124" t="s">
        <v>3815</v>
      </c>
      <c r="P124" s="9">
        <v>44258.510451388887</v>
      </c>
      <c r="Q124" t="s">
        <v>3816</v>
      </c>
      <c r="R124" t="s">
        <v>3794</v>
      </c>
    </row>
    <row r="125" spans="1:18" x14ac:dyDescent="0.25">
      <c r="A125" t="s">
        <v>3981</v>
      </c>
      <c r="B125" t="s">
        <v>3982</v>
      </c>
      <c r="C125">
        <v>2</v>
      </c>
      <c r="D125" t="s">
        <v>41</v>
      </c>
      <c r="E125">
        <v>17</v>
      </c>
      <c r="F125" t="s">
        <v>3793</v>
      </c>
      <c r="G125" t="s">
        <v>3981</v>
      </c>
      <c r="H125" t="s">
        <v>3784</v>
      </c>
      <c r="I125" t="s">
        <v>3983</v>
      </c>
      <c r="J125" t="s">
        <v>3982</v>
      </c>
      <c r="K125" t="s">
        <v>3796</v>
      </c>
      <c r="L125" t="s">
        <v>3797</v>
      </c>
      <c r="M125" t="s">
        <v>3739</v>
      </c>
      <c r="N125" t="s">
        <v>118</v>
      </c>
      <c r="O125" t="s">
        <v>3984</v>
      </c>
      <c r="P125" s="9">
        <v>44258.510439814818</v>
      </c>
      <c r="Q125" t="s">
        <v>3799</v>
      </c>
      <c r="R125" t="s">
        <v>3794</v>
      </c>
    </row>
    <row r="126" spans="1:18" x14ac:dyDescent="0.25">
      <c r="A126" t="s">
        <v>3985</v>
      </c>
      <c r="B126" t="s">
        <v>3982</v>
      </c>
      <c r="C126">
        <v>2</v>
      </c>
      <c r="D126" t="s">
        <v>41</v>
      </c>
      <c r="E126">
        <v>17</v>
      </c>
      <c r="F126" t="s">
        <v>3793</v>
      </c>
      <c r="G126" t="s">
        <v>3985</v>
      </c>
      <c r="H126" t="s">
        <v>3784</v>
      </c>
      <c r="I126" t="s">
        <v>3794</v>
      </c>
      <c r="J126" t="s">
        <v>3982</v>
      </c>
      <c r="K126" t="s">
        <v>3796</v>
      </c>
      <c r="L126" t="s">
        <v>3797</v>
      </c>
      <c r="M126" t="s">
        <v>3740</v>
      </c>
      <c r="N126" t="s">
        <v>118</v>
      </c>
      <c r="O126" t="s">
        <v>3801</v>
      </c>
      <c r="P126" s="9">
        <v>44258.510439814818</v>
      </c>
      <c r="Q126" t="s">
        <v>3802</v>
      </c>
      <c r="R126" t="s">
        <v>3794</v>
      </c>
    </row>
    <row r="127" spans="1:18" x14ac:dyDescent="0.25">
      <c r="A127" t="s">
        <v>3986</v>
      </c>
      <c r="B127" t="s">
        <v>3982</v>
      </c>
      <c r="C127">
        <v>2</v>
      </c>
      <c r="D127" t="s">
        <v>41</v>
      </c>
      <c r="E127">
        <v>17</v>
      </c>
      <c r="F127" t="s">
        <v>3793</v>
      </c>
      <c r="G127" t="s">
        <v>3986</v>
      </c>
      <c r="H127" t="s">
        <v>3784</v>
      </c>
      <c r="I127" t="s">
        <v>3794</v>
      </c>
      <c r="J127" t="s">
        <v>3982</v>
      </c>
      <c r="K127" t="s">
        <v>3804</v>
      </c>
      <c r="L127" t="s">
        <v>3797</v>
      </c>
      <c r="M127" t="s">
        <v>42</v>
      </c>
      <c r="N127" t="s">
        <v>118</v>
      </c>
      <c r="O127" t="s">
        <v>3805</v>
      </c>
      <c r="P127" s="9">
        <v>44258.510474537034</v>
      </c>
      <c r="Q127" t="s">
        <v>3806</v>
      </c>
      <c r="R127" t="s">
        <v>3794</v>
      </c>
    </row>
    <row r="128" spans="1:18" x14ac:dyDescent="0.25">
      <c r="A128" t="s">
        <v>3987</v>
      </c>
      <c r="B128" t="s">
        <v>3982</v>
      </c>
      <c r="C128">
        <v>2</v>
      </c>
      <c r="D128" t="s">
        <v>41</v>
      </c>
      <c r="E128">
        <v>17</v>
      </c>
      <c r="F128" t="s">
        <v>3793</v>
      </c>
      <c r="G128" t="s">
        <v>3987</v>
      </c>
      <c r="H128" t="s">
        <v>3784</v>
      </c>
      <c r="I128" t="s">
        <v>3794</v>
      </c>
      <c r="J128" t="s">
        <v>3982</v>
      </c>
      <c r="K128" t="s">
        <v>3804</v>
      </c>
      <c r="L128" t="s">
        <v>3797</v>
      </c>
      <c r="M128" t="s">
        <v>145</v>
      </c>
      <c r="N128" t="s">
        <v>118</v>
      </c>
      <c r="O128" t="s">
        <v>3808</v>
      </c>
      <c r="P128" s="9">
        <v>44258.51048611111</v>
      </c>
      <c r="Q128" t="s">
        <v>3809</v>
      </c>
      <c r="R128" t="s">
        <v>3794</v>
      </c>
    </row>
    <row r="129" spans="1:18" x14ac:dyDescent="0.25">
      <c r="A129" t="s">
        <v>3988</v>
      </c>
      <c r="B129" t="s">
        <v>3982</v>
      </c>
      <c r="C129">
        <v>2</v>
      </c>
      <c r="D129" t="s">
        <v>41</v>
      </c>
      <c r="E129">
        <v>17</v>
      </c>
      <c r="F129" t="s">
        <v>3793</v>
      </c>
      <c r="G129" t="s">
        <v>3988</v>
      </c>
      <c r="H129" t="s">
        <v>3784</v>
      </c>
      <c r="I129" t="s">
        <v>3794</v>
      </c>
      <c r="J129" t="s">
        <v>3982</v>
      </c>
      <c r="K129" t="s">
        <v>3804</v>
      </c>
      <c r="L129" t="s">
        <v>3797</v>
      </c>
      <c r="M129" t="s">
        <v>232</v>
      </c>
      <c r="N129" t="s">
        <v>118</v>
      </c>
      <c r="O129" t="s">
        <v>3808</v>
      </c>
      <c r="P129" s="9">
        <v>44258.51048611111</v>
      </c>
      <c r="Q129" t="s">
        <v>3811</v>
      </c>
      <c r="R129" t="s">
        <v>3794</v>
      </c>
    </row>
    <row r="130" spans="1:18" x14ac:dyDescent="0.25">
      <c r="A130" t="s">
        <v>3989</v>
      </c>
      <c r="B130" t="s">
        <v>3982</v>
      </c>
      <c r="C130">
        <v>2</v>
      </c>
      <c r="D130" t="s">
        <v>41</v>
      </c>
      <c r="E130">
        <v>17</v>
      </c>
      <c r="F130" t="s">
        <v>3793</v>
      </c>
      <c r="G130" t="s">
        <v>3989</v>
      </c>
      <c r="H130" t="s">
        <v>3784</v>
      </c>
      <c r="I130" t="s">
        <v>3794</v>
      </c>
      <c r="J130" t="s">
        <v>3982</v>
      </c>
      <c r="K130" t="s">
        <v>3804</v>
      </c>
      <c r="L130" t="s">
        <v>3797</v>
      </c>
      <c r="M130" t="s">
        <v>43</v>
      </c>
      <c r="N130" t="s">
        <v>118</v>
      </c>
      <c r="O130" t="s">
        <v>3801</v>
      </c>
      <c r="P130" s="9">
        <v>44258.510462962964</v>
      </c>
      <c r="Q130" t="s">
        <v>3813</v>
      </c>
      <c r="R130" t="s">
        <v>3794</v>
      </c>
    </row>
    <row r="131" spans="1:18" x14ac:dyDescent="0.25">
      <c r="A131" t="s">
        <v>3990</v>
      </c>
      <c r="B131" t="s">
        <v>3982</v>
      </c>
      <c r="C131">
        <v>2</v>
      </c>
      <c r="D131" t="s">
        <v>41</v>
      </c>
      <c r="E131">
        <v>17</v>
      </c>
      <c r="F131" t="s">
        <v>3793</v>
      </c>
      <c r="G131" t="s">
        <v>3990</v>
      </c>
      <c r="H131" t="s">
        <v>3784</v>
      </c>
      <c r="I131" t="s">
        <v>3794</v>
      </c>
      <c r="J131" t="s">
        <v>3982</v>
      </c>
      <c r="K131" t="s">
        <v>3804</v>
      </c>
      <c r="L131" t="s">
        <v>3797</v>
      </c>
      <c r="M131" t="s">
        <v>108</v>
      </c>
      <c r="N131" t="s">
        <v>119</v>
      </c>
      <c r="O131" t="s">
        <v>3815</v>
      </c>
      <c r="P131" s="9">
        <v>44258.510451388887</v>
      </c>
      <c r="Q131" t="s">
        <v>3816</v>
      </c>
      <c r="R131" t="s">
        <v>3794</v>
      </c>
    </row>
    <row r="132" spans="1:18" x14ac:dyDescent="0.25">
      <c r="A132" t="s">
        <v>3991</v>
      </c>
      <c r="B132" t="s">
        <v>3992</v>
      </c>
      <c r="C132">
        <v>2</v>
      </c>
      <c r="D132" t="s">
        <v>41</v>
      </c>
      <c r="E132">
        <v>17</v>
      </c>
      <c r="F132" t="s">
        <v>3793</v>
      </c>
      <c r="G132" t="s">
        <v>3991</v>
      </c>
      <c r="H132" t="s">
        <v>3785</v>
      </c>
      <c r="I132" t="s">
        <v>3993</v>
      </c>
      <c r="J132" t="s">
        <v>3992</v>
      </c>
      <c r="K132" t="s">
        <v>3840</v>
      </c>
      <c r="L132" t="s">
        <v>3797</v>
      </c>
      <c r="M132" t="s">
        <v>3739</v>
      </c>
      <c r="N132" t="s">
        <v>118</v>
      </c>
      <c r="O132" t="s">
        <v>3994</v>
      </c>
      <c r="P132" s="9">
        <v>44258.510451388887</v>
      </c>
      <c r="Q132" t="s">
        <v>3842</v>
      </c>
      <c r="R132" t="s">
        <v>3794</v>
      </c>
    </row>
    <row r="133" spans="1:18" x14ac:dyDescent="0.25">
      <c r="A133" t="s">
        <v>3995</v>
      </c>
      <c r="B133" t="s">
        <v>3992</v>
      </c>
      <c r="C133">
        <v>2</v>
      </c>
      <c r="D133" t="s">
        <v>41</v>
      </c>
      <c r="E133">
        <v>17</v>
      </c>
      <c r="F133" t="s">
        <v>3793</v>
      </c>
      <c r="G133" t="s">
        <v>3995</v>
      </c>
      <c r="H133" t="s">
        <v>3785</v>
      </c>
      <c r="I133" t="s">
        <v>3794</v>
      </c>
      <c r="J133" t="s">
        <v>3992</v>
      </c>
      <c r="K133" t="s">
        <v>3840</v>
      </c>
      <c r="L133" t="s">
        <v>3797</v>
      </c>
      <c r="M133" t="s">
        <v>3740</v>
      </c>
      <c r="N133" t="s">
        <v>118</v>
      </c>
      <c r="O133" t="s">
        <v>3801</v>
      </c>
      <c r="P133" s="9">
        <v>44258.510451388887</v>
      </c>
      <c r="Q133" t="s">
        <v>3844</v>
      </c>
      <c r="R133" t="s">
        <v>3794</v>
      </c>
    </row>
    <row r="134" spans="1:18" x14ac:dyDescent="0.25">
      <c r="A134" t="s">
        <v>3996</v>
      </c>
      <c r="B134" t="s">
        <v>3992</v>
      </c>
      <c r="C134">
        <v>2</v>
      </c>
      <c r="D134" t="s">
        <v>41</v>
      </c>
      <c r="E134">
        <v>17</v>
      </c>
      <c r="F134" t="s">
        <v>3793</v>
      </c>
      <c r="G134" t="s">
        <v>3996</v>
      </c>
      <c r="H134" t="s">
        <v>3785</v>
      </c>
      <c r="I134" t="s">
        <v>3794</v>
      </c>
      <c r="J134" t="s">
        <v>3992</v>
      </c>
      <c r="K134" t="s">
        <v>3804</v>
      </c>
      <c r="L134" t="s">
        <v>3797</v>
      </c>
      <c r="M134" t="s">
        <v>42</v>
      </c>
      <c r="N134" t="s">
        <v>118</v>
      </c>
      <c r="O134" t="s">
        <v>3805</v>
      </c>
      <c r="P134" s="9">
        <v>44258.510474537034</v>
      </c>
      <c r="Q134" t="s">
        <v>3806</v>
      </c>
      <c r="R134" t="s">
        <v>3794</v>
      </c>
    </row>
    <row r="135" spans="1:18" x14ac:dyDescent="0.25">
      <c r="A135" t="s">
        <v>3997</v>
      </c>
      <c r="B135" t="s">
        <v>3992</v>
      </c>
      <c r="C135">
        <v>2</v>
      </c>
      <c r="D135" t="s">
        <v>41</v>
      </c>
      <c r="E135">
        <v>17</v>
      </c>
      <c r="F135" t="s">
        <v>3793</v>
      </c>
      <c r="G135" t="s">
        <v>3997</v>
      </c>
      <c r="H135" t="s">
        <v>3785</v>
      </c>
      <c r="I135" t="s">
        <v>3794</v>
      </c>
      <c r="J135" t="s">
        <v>3992</v>
      </c>
      <c r="K135" t="s">
        <v>3804</v>
      </c>
      <c r="L135" t="s">
        <v>3797</v>
      </c>
      <c r="M135" t="s">
        <v>145</v>
      </c>
      <c r="N135" t="s">
        <v>118</v>
      </c>
      <c r="O135" t="s">
        <v>3808</v>
      </c>
      <c r="P135" s="9">
        <v>44258.51048611111</v>
      </c>
      <c r="Q135" t="s">
        <v>3809</v>
      </c>
      <c r="R135" t="s">
        <v>3794</v>
      </c>
    </row>
    <row r="136" spans="1:18" x14ac:dyDescent="0.25">
      <c r="A136" t="s">
        <v>3998</v>
      </c>
      <c r="B136" t="s">
        <v>3992</v>
      </c>
      <c r="C136">
        <v>2</v>
      </c>
      <c r="D136" t="s">
        <v>41</v>
      </c>
      <c r="E136">
        <v>17</v>
      </c>
      <c r="F136" t="s">
        <v>3793</v>
      </c>
      <c r="G136" t="s">
        <v>3998</v>
      </c>
      <c r="H136" t="s">
        <v>3785</v>
      </c>
      <c r="I136" t="s">
        <v>3794</v>
      </c>
      <c r="J136" t="s">
        <v>3992</v>
      </c>
      <c r="K136" t="s">
        <v>3804</v>
      </c>
      <c r="L136" t="s">
        <v>3797</v>
      </c>
      <c r="M136" t="s">
        <v>232</v>
      </c>
      <c r="N136" t="s">
        <v>118</v>
      </c>
      <c r="O136" t="s">
        <v>3808</v>
      </c>
      <c r="P136" s="9">
        <v>44258.51048611111</v>
      </c>
      <c r="Q136" t="s">
        <v>3811</v>
      </c>
      <c r="R136" t="s">
        <v>3794</v>
      </c>
    </row>
    <row r="137" spans="1:18" x14ac:dyDescent="0.25">
      <c r="A137" t="s">
        <v>3999</v>
      </c>
      <c r="B137" t="s">
        <v>3992</v>
      </c>
      <c r="C137">
        <v>2</v>
      </c>
      <c r="D137" t="s">
        <v>41</v>
      </c>
      <c r="E137">
        <v>17</v>
      </c>
      <c r="F137" t="s">
        <v>3793</v>
      </c>
      <c r="G137" t="s">
        <v>3999</v>
      </c>
      <c r="H137" t="s">
        <v>3785</v>
      </c>
      <c r="I137" t="s">
        <v>3794</v>
      </c>
      <c r="J137" t="s">
        <v>3992</v>
      </c>
      <c r="K137" t="s">
        <v>3804</v>
      </c>
      <c r="L137" t="s">
        <v>3797</v>
      </c>
      <c r="M137" t="s">
        <v>43</v>
      </c>
      <c r="N137" t="s">
        <v>118</v>
      </c>
      <c r="O137" t="s">
        <v>3801</v>
      </c>
      <c r="P137" s="9">
        <v>44258.510462962964</v>
      </c>
      <c r="Q137" t="s">
        <v>3813</v>
      </c>
      <c r="R137" t="s">
        <v>3794</v>
      </c>
    </row>
    <row r="138" spans="1:18" x14ac:dyDescent="0.25">
      <c r="A138" t="s">
        <v>4000</v>
      </c>
      <c r="B138" t="s">
        <v>3992</v>
      </c>
      <c r="C138">
        <v>2</v>
      </c>
      <c r="D138" t="s">
        <v>41</v>
      </c>
      <c r="E138">
        <v>17</v>
      </c>
      <c r="F138" t="s">
        <v>3793</v>
      </c>
      <c r="G138" t="s">
        <v>4000</v>
      </c>
      <c r="H138" t="s">
        <v>3785</v>
      </c>
      <c r="I138" t="s">
        <v>3794</v>
      </c>
      <c r="J138" t="s">
        <v>3992</v>
      </c>
      <c r="K138" t="s">
        <v>3804</v>
      </c>
      <c r="L138" t="s">
        <v>3797</v>
      </c>
      <c r="M138" t="s">
        <v>108</v>
      </c>
      <c r="N138" t="s">
        <v>119</v>
      </c>
      <c r="O138" t="s">
        <v>3815</v>
      </c>
      <c r="P138" s="9">
        <v>44258.510462962964</v>
      </c>
      <c r="Q138" t="s">
        <v>3816</v>
      </c>
      <c r="R138" t="s">
        <v>3794</v>
      </c>
    </row>
    <row r="139" spans="1:18" x14ac:dyDescent="0.25">
      <c r="A139" t="s">
        <v>4001</v>
      </c>
      <c r="B139" t="s">
        <v>4002</v>
      </c>
      <c r="C139">
        <v>2</v>
      </c>
      <c r="D139" t="s">
        <v>41</v>
      </c>
      <c r="E139">
        <v>17</v>
      </c>
      <c r="F139" t="s">
        <v>3793</v>
      </c>
      <c r="G139" t="s">
        <v>4001</v>
      </c>
      <c r="H139" t="s">
        <v>3783</v>
      </c>
      <c r="I139" t="s">
        <v>3794</v>
      </c>
      <c r="J139" t="s">
        <v>4002</v>
      </c>
      <c r="K139" t="s">
        <v>3804</v>
      </c>
      <c r="L139" t="s">
        <v>3797</v>
      </c>
      <c r="M139" t="s">
        <v>42</v>
      </c>
      <c r="N139" t="s">
        <v>118</v>
      </c>
      <c r="O139" t="s">
        <v>3805</v>
      </c>
      <c r="P139" s="9">
        <v>44258.510474537034</v>
      </c>
      <c r="Q139" t="s">
        <v>3806</v>
      </c>
      <c r="R139" t="s">
        <v>3794</v>
      </c>
    </row>
    <row r="140" spans="1:18" x14ac:dyDescent="0.25">
      <c r="A140" t="s">
        <v>4003</v>
      </c>
      <c r="B140" t="s">
        <v>4002</v>
      </c>
      <c r="C140">
        <v>2</v>
      </c>
      <c r="D140" t="s">
        <v>41</v>
      </c>
      <c r="E140">
        <v>17</v>
      </c>
      <c r="F140" t="s">
        <v>3793</v>
      </c>
      <c r="G140" t="s">
        <v>4003</v>
      </c>
      <c r="H140" t="s">
        <v>3783</v>
      </c>
      <c r="I140" t="s">
        <v>3794</v>
      </c>
      <c r="J140" t="s">
        <v>4002</v>
      </c>
      <c r="K140" t="s">
        <v>3804</v>
      </c>
      <c r="L140" t="s">
        <v>3797</v>
      </c>
      <c r="M140" t="s">
        <v>145</v>
      </c>
      <c r="N140" t="s">
        <v>118</v>
      </c>
      <c r="O140" t="s">
        <v>3808</v>
      </c>
      <c r="P140" s="9">
        <v>44258.51048611111</v>
      </c>
      <c r="Q140" t="s">
        <v>3809</v>
      </c>
      <c r="R140" t="s">
        <v>3794</v>
      </c>
    </row>
    <row r="141" spans="1:18" x14ac:dyDescent="0.25">
      <c r="A141" t="s">
        <v>4004</v>
      </c>
      <c r="B141" t="s">
        <v>4002</v>
      </c>
      <c r="C141">
        <v>2</v>
      </c>
      <c r="D141" t="s">
        <v>41</v>
      </c>
      <c r="E141">
        <v>17</v>
      </c>
      <c r="F141" t="s">
        <v>3793</v>
      </c>
      <c r="G141" t="s">
        <v>4004</v>
      </c>
      <c r="H141" t="s">
        <v>3783</v>
      </c>
      <c r="I141" t="s">
        <v>3794</v>
      </c>
      <c r="J141" t="s">
        <v>4002</v>
      </c>
      <c r="K141" t="s">
        <v>3804</v>
      </c>
      <c r="L141" t="s">
        <v>3797</v>
      </c>
      <c r="M141" t="s">
        <v>232</v>
      </c>
      <c r="N141" t="s">
        <v>118</v>
      </c>
      <c r="O141" t="s">
        <v>3808</v>
      </c>
      <c r="P141" s="9">
        <v>44258.51048611111</v>
      </c>
      <c r="Q141" t="s">
        <v>3811</v>
      </c>
      <c r="R141" t="s">
        <v>3794</v>
      </c>
    </row>
    <row r="142" spans="1:18" x14ac:dyDescent="0.25">
      <c r="A142" t="s">
        <v>4005</v>
      </c>
      <c r="B142" t="s">
        <v>4002</v>
      </c>
      <c r="C142">
        <v>2</v>
      </c>
      <c r="D142" t="s">
        <v>41</v>
      </c>
      <c r="E142">
        <v>17</v>
      </c>
      <c r="F142" t="s">
        <v>3793</v>
      </c>
      <c r="G142" t="s">
        <v>4005</v>
      </c>
      <c r="H142" t="s">
        <v>3783</v>
      </c>
      <c r="I142" t="s">
        <v>3794</v>
      </c>
      <c r="J142" t="s">
        <v>4002</v>
      </c>
      <c r="K142" t="s">
        <v>3804</v>
      </c>
      <c r="L142" t="s">
        <v>3797</v>
      </c>
      <c r="M142" t="s">
        <v>43</v>
      </c>
      <c r="N142" t="s">
        <v>118</v>
      </c>
      <c r="O142" t="s">
        <v>3801</v>
      </c>
      <c r="P142" s="9">
        <v>44258.510462962964</v>
      </c>
      <c r="Q142" t="s">
        <v>3813</v>
      </c>
      <c r="R142" t="s">
        <v>3794</v>
      </c>
    </row>
    <row r="143" spans="1:18" x14ac:dyDescent="0.25">
      <c r="A143" t="s">
        <v>4006</v>
      </c>
      <c r="B143" t="s">
        <v>4002</v>
      </c>
      <c r="C143">
        <v>2</v>
      </c>
      <c r="D143" t="s">
        <v>41</v>
      </c>
      <c r="E143">
        <v>17</v>
      </c>
      <c r="F143" t="s">
        <v>3793</v>
      </c>
      <c r="G143" t="s">
        <v>4006</v>
      </c>
      <c r="H143" t="s">
        <v>3783</v>
      </c>
      <c r="I143" t="s">
        <v>3794</v>
      </c>
      <c r="J143" t="s">
        <v>4002</v>
      </c>
      <c r="K143" t="s">
        <v>3804</v>
      </c>
      <c r="L143" t="s">
        <v>3797</v>
      </c>
      <c r="M143" t="s">
        <v>108</v>
      </c>
      <c r="N143" t="s">
        <v>119</v>
      </c>
      <c r="O143" t="s">
        <v>3815</v>
      </c>
      <c r="P143" s="9">
        <v>44258.510451388887</v>
      </c>
      <c r="Q143" t="s">
        <v>3816</v>
      </c>
      <c r="R143" t="s">
        <v>3794</v>
      </c>
    </row>
    <row r="144" spans="1:18" x14ac:dyDescent="0.25">
      <c r="A144" t="s">
        <v>4007</v>
      </c>
      <c r="B144" t="s">
        <v>4008</v>
      </c>
      <c r="C144">
        <v>2</v>
      </c>
      <c r="D144" t="s">
        <v>41</v>
      </c>
      <c r="E144">
        <v>17</v>
      </c>
      <c r="F144" t="s">
        <v>3793</v>
      </c>
      <c r="G144" t="s">
        <v>4007</v>
      </c>
      <c r="H144" t="s">
        <v>3785</v>
      </c>
      <c r="I144" t="s">
        <v>4009</v>
      </c>
      <c r="J144" t="s">
        <v>4008</v>
      </c>
      <c r="K144" t="s">
        <v>3840</v>
      </c>
      <c r="L144" t="s">
        <v>3797</v>
      </c>
      <c r="M144" t="s">
        <v>3739</v>
      </c>
      <c r="N144" t="s">
        <v>118</v>
      </c>
      <c r="O144" t="s">
        <v>4010</v>
      </c>
      <c r="P144" s="9">
        <v>44258.510451388887</v>
      </c>
      <c r="Q144" t="s">
        <v>3842</v>
      </c>
      <c r="R144" t="s">
        <v>3794</v>
      </c>
    </row>
    <row r="145" spans="1:18" x14ac:dyDescent="0.25">
      <c r="A145" t="s">
        <v>4011</v>
      </c>
      <c r="B145" t="s">
        <v>4008</v>
      </c>
      <c r="C145">
        <v>2</v>
      </c>
      <c r="D145" t="s">
        <v>41</v>
      </c>
      <c r="E145">
        <v>17</v>
      </c>
      <c r="F145" t="s">
        <v>3793</v>
      </c>
      <c r="G145" t="s">
        <v>4011</v>
      </c>
      <c r="H145" t="s">
        <v>3785</v>
      </c>
      <c r="I145" t="s">
        <v>3794</v>
      </c>
      <c r="J145" t="s">
        <v>4008</v>
      </c>
      <c r="K145" t="s">
        <v>3840</v>
      </c>
      <c r="L145" t="s">
        <v>3797</v>
      </c>
      <c r="M145" t="s">
        <v>3740</v>
      </c>
      <c r="N145" t="s">
        <v>118</v>
      </c>
      <c r="O145" t="s">
        <v>3801</v>
      </c>
      <c r="P145" s="9">
        <v>44258.510451388887</v>
      </c>
      <c r="Q145" t="s">
        <v>3844</v>
      </c>
      <c r="R145" t="s">
        <v>3794</v>
      </c>
    </row>
    <row r="146" spans="1:18" x14ac:dyDescent="0.25">
      <c r="A146" t="s">
        <v>4012</v>
      </c>
      <c r="B146" t="s">
        <v>4008</v>
      </c>
      <c r="C146">
        <v>2</v>
      </c>
      <c r="D146" t="s">
        <v>41</v>
      </c>
      <c r="E146">
        <v>17</v>
      </c>
      <c r="F146" t="s">
        <v>3793</v>
      </c>
      <c r="G146" t="s">
        <v>4012</v>
      </c>
      <c r="H146" t="s">
        <v>3785</v>
      </c>
      <c r="I146" t="s">
        <v>3794</v>
      </c>
      <c r="J146" t="s">
        <v>4008</v>
      </c>
      <c r="K146" t="s">
        <v>3804</v>
      </c>
      <c r="L146" t="s">
        <v>3797</v>
      </c>
      <c r="M146" t="s">
        <v>42</v>
      </c>
      <c r="N146" t="s">
        <v>118</v>
      </c>
      <c r="O146" t="s">
        <v>3805</v>
      </c>
      <c r="P146" s="9">
        <v>44258.510474537034</v>
      </c>
      <c r="Q146" t="s">
        <v>3806</v>
      </c>
      <c r="R146" t="s">
        <v>3794</v>
      </c>
    </row>
    <row r="147" spans="1:18" x14ac:dyDescent="0.25">
      <c r="A147" t="s">
        <v>4013</v>
      </c>
      <c r="B147" t="s">
        <v>4008</v>
      </c>
      <c r="C147">
        <v>2</v>
      </c>
      <c r="D147" t="s">
        <v>41</v>
      </c>
      <c r="E147">
        <v>17</v>
      </c>
      <c r="F147" t="s">
        <v>3793</v>
      </c>
      <c r="G147" t="s">
        <v>4013</v>
      </c>
      <c r="H147" t="s">
        <v>3785</v>
      </c>
      <c r="I147" t="s">
        <v>3794</v>
      </c>
      <c r="J147" t="s">
        <v>4008</v>
      </c>
      <c r="K147" t="s">
        <v>3804</v>
      </c>
      <c r="L147" t="s">
        <v>3797</v>
      </c>
      <c r="M147" t="s">
        <v>145</v>
      </c>
      <c r="N147" t="s">
        <v>118</v>
      </c>
      <c r="O147" t="s">
        <v>3808</v>
      </c>
      <c r="P147" s="9">
        <v>44258.51048611111</v>
      </c>
      <c r="Q147" t="s">
        <v>3809</v>
      </c>
      <c r="R147" t="s">
        <v>3794</v>
      </c>
    </row>
    <row r="148" spans="1:18" x14ac:dyDescent="0.25">
      <c r="A148" t="s">
        <v>4014</v>
      </c>
      <c r="B148" t="s">
        <v>4008</v>
      </c>
      <c r="C148">
        <v>2</v>
      </c>
      <c r="D148" t="s">
        <v>41</v>
      </c>
      <c r="E148">
        <v>17</v>
      </c>
      <c r="F148" t="s">
        <v>3793</v>
      </c>
      <c r="G148" t="s">
        <v>4014</v>
      </c>
      <c r="H148" t="s">
        <v>3785</v>
      </c>
      <c r="I148" t="s">
        <v>3794</v>
      </c>
      <c r="J148" t="s">
        <v>4008</v>
      </c>
      <c r="K148" t="s">
        <v>3804</v>
      </c>
      <c r="L148" t="s">
        <v>3797</v>
      </c>
      <c r="M148" t="s">
        <v>232</v>
      </c>
      <c r="N148" t="s">
        <v>118</v>
      </c>
      <c r="O148" t="s">
        <v>3808</v>
      </c>
      <c r="P148" s="9">
        <v>44258.51048611111</v>
      </c>
      <c r="Q148" t="s">
        <v>3811</v>
      </c>
      <c r="R148" t="s">
        <v>3794</v>
      </c>
    </row>
    <row r="149" spans="1:18" x14ac:dyDescent="0.25">
      <c r="A149" t="s">
        <v>4015</v>
      </c>
      <c r="B149" t="s">
        <v>4008</v>
      </c>
      <c r="C149">
        <v>2</v>
      </c>
      <c r="D149" t="s">
        <v>41</v>
      </c>
      <c r="E149">
        <v>17</v>
      </c>
      <c r="F149" t="s">
        <v>3793</v>
      </c>
      <c r="G149" t="s">
        <v>4015</v>
      </c>
      <c r="H149" t="s">
        <v>3785</v>
      </c>
      <c r="I149" t="s">
        <v>3794</v>
      </c>
      <c r="J149" t="s">
        <v>4008</v>
      </c>
      <c r="K149" t="s">
        <v>3804</v>
      </c>
      <c r="L149" t="s">
        <v>3797</v>
      </c>
      <c r="M149" t="s">
        <v>43</v>
      </c>
      <c r="N149" t="s">
        <v>118</v>
      </c>
      <c r="O149" t="s">
        <v>3801</v>
      </c>
      <c r="P149" s="9">
        <v>44258.510462962964</v>
      </c>
      <c r="Q149" t="s">
        <v>3813</v>
      </c>
      <c r="R149" t="s">
        <v>3794</v>
      </c>
    </row>
    <row r="150" spans="1:18" x14ac:dyDescent="0.25">
      <c r="A150" t="s">
        <v>4016</v>
      </c>
      <c r="B150" t="s">
        <v>4008</v>
      </c>
      <c r="C150">
        <v>2</v>
      </c>
      <c r="D150" t="s">
        <v>41</v>
      </c>
      <c r="E150">
        <v>17</v>
      </c>
      <c r="F150" t="s">
        <v>3793</v>
      </c>
      <c r="G150" t="s">
        <v>4016</v>
      </c>
      <c r="H150" t="s">
        <v>3785</v>
      </c>
      <c r="I150" t="s">
        <v>3794</v>
      </c>
      <c r="J150" t="s">
        <v>4008</v>
      </c>
      <c r="K150" t="s">
        <v>3804</v>
      </c>
      <c r="L150" t="s">
        <v>3797</v>
      </c>
      <c r="M150" t="s">
        <v>108</v>
      </c>
      <c r="N150" t="s">
        <v>119</v>
      </c>
      <c r="O150" t="s">
        <v>3815</v>
      </c>
      <c r="P150" s="9">
        <v>44258.510462962964</v>
      </c>
      <c r="Q150" t="s">
        <v>3816</v>
      </c>
      <c r="R150" t="s">
        <v>3794</v>
      </c>
    </row>
    <row r="151" spans="1:18" x14ac:dyDescent="0.25">
      <c r="A151" t="s">
        <v>4017</v>
      </c>
      <c r="B151" t="s">
        <v>4018</v>
      </c>
      <c r="C151">
        <v>2</v>
      </c>
      <c r="D151" t="s">
        <v>41</v>
      </c>
      <c r="E151">
        <v>17</v>
      </c>
      <c r="F151" t="s">
        <v>3793</v>
      </c>
      <c r="G151" t="s">
        <v>4017</v>
      </c>
      <c r="H151" t="s">
        <v>3784</v>
      </c>
      <c r="I151" t="s">
        <v>4019</v>
      </c>
      <c r="J151" t="s">
        <v>4018</v>
      </c>
      <c r="K151" t="s">
        <v>3796</v>
      </c>
      <c r="L151" t="s">
        <v>3797</v>
      </c>
      <c r="M151" t="s">
        <v>3739</v>
      </c>
      <c r="N151" t="s">
        <v>118</v>
      </c>
      <c r="O151" t="s">
        <v>4020</v>
      </c>
      <c r="P151" s="9">
        <v>44258.510439814818</v>
      </c>
      <c r="Q151" t="s">
        <v>3799</v>
      </c>
      <c r="R151" t="s">
        <v>3794</v>
      </c>
    </row>
    <row r="152" spans="1:18" x14ac:dyDescent="0.25">
      <c r="A152" t="s">
        <v>4021</v>
      </c>
      <c r="B152" t="s">
        <v>4018</v>
      </c>
      <c r="C152">
        <v>2</v>
      </c>
      <c r="D152" t="s">
        <v>41</v>
      </c>
      <c r="E152">
        <v>17</v>
      </c>
      <c r="F152" t="s">
        <v>3793</v>
      </c>
      <c r="G152" t="s">
        <v>4021</v>
      </c>
      <c r="H152" t="s">
        <v>3784</v>
      </c>
      <c r="I152" t="s">
        <v>3794</v>
      </c>
      <c r="J152" t="s">
        <v>4018</v>
      </c>
      <c r="K152" t="s">
        <v>3796</v>
      </c>
      <c r="L152" t="s">
        <v>3797</v>
      </c>
      <c r="M152" t="s">
        <v>3740</v>
      </c>
      <c r="N152" t="s">
        <v>118</v>
      </c>
      <c r="O152" t="s">
        <v>3801</v>
      </c>
      <c r="P152" s="9">
        <v>44258.510439814818</v>
      </c>
      <c r="Q152" t="s">
        <v>3802</v>
      </c>
      <c r="R152" t="s">
        <v>3794</v>
      </c>
    </row>
    <row r="153" spans="1:18" x14ac:dyDescent="0.25">
      <c r="A153" t="s">
        <v>4022</v>
      </c>
      <c r="B153" t="s">
        <v>4018</v>
      </c>
      <c r="C153">
        <v>2</v>
      </c>
      <c r="D153" t="s">
        <v>41</v>
      </c>
      <c r="E153">
        <v>17</v>
      </c>
      <c r="F153" t="s">
        <v>3793</v>
      </c>
      <c r="G153" t="s">
        <v>4022</v>
      </c>
      <c r="H153" t="s">
        <v>3784</v>
      </c>
      <c r="I153" t="s">
        <v>3794</v>
      </c>
      <c r="J153" t="s">
        <v>4018</v>
      </c>
      <c r="K153" t="s">
        <v>3804</v>
      </c>
      <c r="L153" t="s">
        <v>3797</v>
      </c>
      <c r="M153" t="s">
        <v>42</v>
      </c>
      <c r="N153" t="s">
        <v>118</v>
      </c>
      <c r="O153" t="s">
        <v>3805</v>
      </c>
      <c r="P153" s="9">
        <v>44258.510474537034</v>
      </c>
      <c r="Q153" t="s">
        <v>3806</v>
      </c>
      <c r="R153" t="s">
        <v>3794</v>
      </c>
    </row>
    <row r="154" spans="1:18" x14ac:dyDescent="0.25">
      <c r="A154" t="s">
        <v>4023</v>
      </c>
      <c r="B154" t="s">
        <v>4018</v>
      </c>
      <c r="C154">
        <v>2</v>
      </c>
      <c r="D154" t="s">
        <v>41</v>
      </c>
      <c r="E154">
        <v>17</v>
      </c>
      <c r="F154" t="s">
        <v>3793</v>
      </c>
      <c r="G154" t="s">
        <v>4023</v>
      </c>
      <c r="H154" t="s">
        <v>3784</v>
      </c>
      <c r="I154" t="s">
        <v>3794</v>
      </c>
      <c r="J154" t="s">
        <v>4018</v>
      </c>
      <c r="K154" t="s">
        <v>3804</v>
      </c>
      <c r="L154" t="s">
        <v>3797</v>
      </c>
      <c r="M154" t="s">
        <v>145</v>
      </c>
      <c r="N154" t="s">
        <v>118</v>
      </c>
      <c r="O154" t="s">
        <v>3808</v>
      </c>
      <c r="P154" s="9">
        <v>44258.51048611111</v>
      </c>
      <c r="Q154" t="s">
        <v>3809</v>
      </c>
      <c r="R154" t="s">
        <v>3794</v>
      </c>
    </row>
    <row r="155" spans="1:18" x14ac:dyDescent="0.25">
      <c r="A155" t="s">
        <v>4024</v>
      </c>
      <c r="B155" t="s">
        <v>4018</v>
      </c>
      <c r="C155">
        <v>2</v>
      </c>
      <c r="D155" t="s">
        <v>41</v>
      </c>
      <c r="E155">
        <v>17</v>
      </c>
      <c r="F155" t="s">
        <v>3793</v>
      </c>
      <c r="G155" t="s">
        <v>4024</v>
      </c>
      <c r="H155" t="s">
        <v>3784</v>
      </c>
      <c r="I155" t="s">
        <v>3794</v>
      </c>
      <c r="J155" t="s">
        <v>4018</v>
      </c>
      <c r="K155" t="s">
        <v>3804</v>
      </c>
      <c r="L155" t="s">
        <v>3797</v>
      </c>
      <c r="M155" t="s">
        <v>232</v>
      </c>
      <c r="N155" t="s">
        <v>118</v>
      </c>
      <c r="O155" t="s">
        <v>3808</v>
      </c>
      <c r="P155" s="9">
        <v>44258.51048611111</v>
      </c>
      <c r="Q155" t="s">
        <v>3811</v>
      </c>
      <c r="R155" t="s">
        <v>3794</v>
      </c>
    </row>
    <row r="156" spans="1:18" x14ac:dyDescent="0.25">
      <c r="A156" t="s">
        <v>4025</v>
      </c>
      <c r="B156" t="s">
        <v>4018</v>
      </c>
      <c r="C156">
        <v>2</v>
      </c>
      <c r="D156" t="s">
        <v>41</v>
      </c>
      <c r="E156">
        <v>17</v>
      </c>
      <c r="F156" t="s">
        <v>3793</v>
      </c>
      <c r="G156" t="s">
        <v>4025</v>
      </c>
      <c r="H156" t="s">
        <v>3784</v>
      </c>
      <c r="I156" t="s">
        <v>3794</v>
      </c>
      <c r="J156" t="s">
        <v>4018</v>
      </c>
      <c r="K156" t="s">
        <v>3804</v>
      </c>
      <c r="L156" t="s">
        <v>3797</v>
      </c>
      <c r="M156" t="s">
        <v>43</v>
      </c>
      <c r="N156" t="s">
        <v>118</v>
      </c>
      <c r="O156" t="s">
        <v>3801</v>
      </c>
      <c r="P156" s="9">
        <v>44258.510462962964</v>
      </c>
      <c r="Q156" t="s">
        <v>3813</v>
      </c>
      <c r="R156" t="s">
        <v>3794</v>
      </c>
    </row>
    <row r="157" spans="1:18" x14ac:dyDescent="0.25">
      <c r="A157" t="s">
        <v>4026</v>
      </c>
      <c r="B157" t="s">
        <v>4018</v>
      </c>
      <c r="C157">
        <v>2</v>
      </c>
      <c r="D157" t="s">
        <v>41</v>
      </c>
      <c r="E157">
        <v>17</v>
      </c>
      <c r="F157" t="s">
        <v>3793</v>
      </c>
      <c r="G157" t="s">
        <v>4026</v>
      </c>
      <c r="H157" t="s">
        <v>3784</v>
      </c>
      <c r="I157" t="s">
        <v>3794</v>
      </c>
      <c r="J157" t="s">
        <v>4018</v>
      </c>
      <c r="K157" t="s">
        <v>3804</v>
      </c>
      <c r="L157" t="s">
        <v>3797</v>
      </c>
      <c r="M157" t="s">
        <v>108</v>
      </c>
      <c r="N157" t="s">
        <v>119</v>
      </c>
      <c r="O157" t="s">
        <v>3815</v>
      </c>
      <c r="P157" s="9">
        <v>44258.510451388887</v>
      </c>
      <c r="Q157" t="s">
        <v>3816</v>
      </c>
      <c r="R157" t="s">
        <v>3794</v>
      </c>
    </row>
    <row r="158" spans="1:18" x14ac:dyDescent="0.25">
      <c r="A158" t="s">
        <v>4027</v>
      </c>
      <c r="B158" t="s">
        <v>4028</v>
      </c>
      <c r="C158">
        <v>2</v>
      </c>
      <c r="D158" t="s">
        <v>41</v>
      </c>
      <c r="E158">
        <v>17</v>
      </c>
      <c r="F158" t="s">
        <v>3793</v>
      </c>
      <c r="G158" t="s">
        <v>4027</v>
      </c>
      <c r="H158" t="s">
        <v>3785</v>
      </c>
      <c r="I158" t="s">
        <v>4029</v>
      </c>
      <c r="J158" t="s">
        <v>4028</v>
      </c>
      <c r="K158" t="s">
        <v>3840</v>
      </c>
      <c r="L158" t="s">
        <v>3797</v>
      </c>
      <c r="M158" t="s">
        <v>3739</v>
      </c>
      <c r="N158" t="s">
        <v>118</v>
      </c>
      <c r="O158" t="s">
        <v>4030</v>
      </c>
      <c r="P158" s="9">
        <v>44258.510451388887</v>
      </c>
      <c r="Q158" t="s">
        <v>3842</v>
      </c>
      <c r="R158" t="s">
        <v>3794</v>
      </c>
    </row>
    <row r="159" spans="1:18" x14ac:dyDescent="0.25">
      <c r="A159" t="s">
        <v>4031</v>
      </c>
      <c r="B159" t="s">
        <v>4028</v>
      </c>
      <c r="C159">
        <v>2</v>
      </c>
      <c r="D159" t="s">
        <v>41</v>
      </c>
      <c r="E159">
        <v>17</v>
      </c>
      <c r="F159" t="s">
        <v>3793</v>
      </c>
      <c r="G159" t="s">
        <v>4031</v>
      </c>
      <c r="H159" t="s">
        <v>3785</v>
      </c>
      <c r="I159" t="s">
        <v>3794</v>
      </c>
      <c r="J159" t="s">
        <v>4028</v>
      </c>
      <c r="K159" t="s">
        <v>3840</v>
      </c>
      <c r="L159" t="s">
        <v>3797</v>
      </c>
      <c r="M159" t="s">
        <v>3740</v>
      </c>
      <c r="N159" t="s">
        <v>118</v>
      </c>
      <c r="O159" t="s">
        <v>3801</v>
      </c>
      <c r="P159" s="9">
        <v>44258.510451388887</v>
      </c>
      <c r="Q159" t="s">
        <v>3844</v>
      </c>
      <c r="R159" t="s">
        <v>3794</v>
      </c>
    </row>
    <row r="160" spans="1:18" x14ac:dyDescent="0.25">
      <c r="A160" t="s">
        <v>4032</v>
      </c>
      <c r="B160" t="s">
        <v>4028</v>
      </c>
      <c r="C160">
        <v>2</v>
      </c>
      <c r="D160" t="s">
        <v>41</v>
      </c>
      <c r="E160">
        <v>17</v>
      </c>
      <c r="F160" t="s">
        <v>3793</v>
      </c>
      <c r="G160" t="s">
        <v>4032</v>
      </c>
      <c r="H160" t="s">
        <v>3785</v>
      </c>
      <c r="I160" t="s">
        <v>3794</v>
      </c>
      <c r="J160" t="s">
        <v>4028</v>
      </c>
      <c r="K160" t="s">
        <v>3804</v>
      </c>
      <c r="L160" t="s">
        <v>3797</v>
      </c>
      <c r="M160" t="s">
        <v>42</v>
      </c>
      <c r="N160" t="s">
        <v>118</v>
      </c>
      <c r="O160" t="s">
        <v>3805</v>
      </c>
      <c r="P160" s="9">
        <v>44258.510474537034</v>
      </c>
      <c r="Q160" t="s">
        <v>3806</v>
      </c>
      <c r="R160" t="s">
        <v>3794</v>
      </c>
    </row>
    <row r="161" spans="1:18" x14ac:dyDescent="0.25">
      <c r="A161" t="s">
        <v>4033</v>
      </c>
      <c r="B161" t="s">
        <v>4028</v>
      </c>
      <c r="C161">
        <v>2</v>
      </c>
      <c r="D161" t="s">
        <v>41</v>
      </c>
      <c r="E161">
        <v>17</v>
      </c>
      <c r="F161" t="s">
        <v>3793</v>
      </c>
      <c r="G161" t="s">
        <v>4033</v>
      </c>
      <c r="H161" t="s">
        <v>3785</v>
      </c>
      <c r="I161" t="s">
        <v>3794</v>
      </c>
      <c r="J161" t="s">
        <v>4028</v>
      </c>
      <c r="K161" t="s">
        <v>3804</v>
      </c>
      <c r="L161" t="s">
        <v>3797</v>
      </c>
      <c r="M161" t="s">
        <v>145</v>
      </c>
      <c r="N161" t="s">
        <v>118</v>
      </c>
      <c r="O161" t="s">
        <v>3808</v>
      </c>
      <c r="P161" s="9">
        <v>44258.51048611111</v>
      </c>
      <c r="Q161" t="s">
        <v>3809</v>
      </c>
      <c r="R161" t="s">
        <v>3794</v>
      </c>
    </row>
    <row r="162" spans="1:18" x14ac:dyDescent="0.25">
      <c r="A162" t="s">
        <v>4034</v>
      </c>
      <c r="B162" t="s">
        <v>4028</v>
      </c>
      <c r="C162">
        <v>2</v>
      </c>
      <c r="D162" t="s">
        <v>41</v>
      </c>
      <c r="E162">
        <v>17</v>
      </c>
      <c r="F162" t="s">
        <v>3793</v>
      </c>
      <c r="G162" t="s">
        <v>4034</v>
      </c>
      <c r="H162" t="s">
        <v>3785</v>
      </c>
      <c r="I162" t="s">
        <v>3794</v>
      </c>
      <c r="J162" t="s">
        <v>4028</v>
      </c>
      <c r="K162" t="s">
        <v>3804</v>
      </c>
      <c r="L162" t="s">
        <v>3797</v>
      </c>
      <c r="M162" t="s">
        <v>232</v>
      </c>
      <c r="N162" t="s">
        <v>118</v>
      </c>
      <c r="O162" t="s">
        <v>3808</v>
      </c>
      <c r="P162" s="9">
        <v>44258.51048611111</v>
      </c>
      <c r="Q162" t="s">
        <v>3811</v>
      </c>
      <c r="R162" t="s">
        <v>3794</v>
      </c>
    </row>
    <row r="163" spans="1:18" x14ac:dyDescent="0.25">
      <c r="A163" t="s">
        <v>4035</v>
      </c>
      <c r="B163" t="s">
        <v>4028</v>
      </c>
      <c r="C163">
        <v>2</v>
      </c>
      <c r="D163" t="s">
        <v>41</v>
      </c>
      <c r="E163">
        <v>17</v>
      </c>
      <c r="F163" t="s">
        <v>3793</v>
      </c>
      <c r="G163" t="s">
        <v>4035</v>
      </c>
      <c r="H163" t="s">
        <v>3785</v>
      </c>
      <c r="I163" t="s">
        <v>3794</v>
      </c>
      <c r="J163" t="s">
        <v>4028</v>
      </c>
      <c r="K163" t="s">
        <v>3804</v>
      </c>
      <c r="L163" t="s">
        <v>3797</v>
      </c>
      <c r="M163" t="s">
        <v>43</v>
      </c>
      <c r="N163" t="s">
        <v>118</v>
      </c>
      <c r="O163" t="s">
        <v>3801</v>
      </c>
      <c r="P163" s="9">
        <v>44258.510462962964</v>
      </c>
      <c r="Q163" t="s">
        <v>3813</v>
      </c>
      <c r="R163" t="s">
        <v>3794</v>
      </c>
    </row>
    <row r="164" spans="1:18" x14ac:dyDescent="0.25">
      <c r="A164" t="s">
        <v>4036</v>
      </c>
      <c r="B164" t="s">
        <v>4028</v>
      </c>
      <c r="C164">
        <v>2</v>
      </c>
      <c r="D164" t="s">
        <v>41</v>
      </c>
      <c r="E164">
        <v>17</v>
      </c>
      <c r="F164" t="s">
        <v>3793</v>
      </c>
      <c r="G164" t="s">
        <v>4036</v>
      </c>
      <c r="H164" t="s">
        <v>3785</v>
      </c>
      <c r="I164" t="s">
        <v>3794</v>
      </c>
      <c r="J164" t="s">
        <v>4028</v>
      </c>
      <c r="K164" t="s">
        <v>3804</v>
      </c>
      <c r="L164" t="s">
        <v>3797</v>
      </c>
      <c r="M164" t="s">
        <v>108</v>
      </c>
      <c r="N164" t="s">
        <v>119</v>
      </c>
      <c r="O164" t="s">
        <v>3815</v>
      </c>
      <c r="P164" s="9">
        <v>44258.510462962964</v>
      </c>
      <c r="Q164" t="s">
        <v>3816</v>
      </c>
      <c r="R164" t="s">
        <v>3794</v>
      </c>
    </row>
    <row r="165" spans="1:18" x14ac:dyDescent="0.25">
      <c r="A165" t="s">
        <v>4037</v>
      </c>
      <c r="B165" t="s">
        <v>4038</v>
      </c>
      <c r="C165">
        <v>2</v>
      </c>
      <c r="D165" t="s">
        <v>41</v>
      </c>
      <c r="E165">
        <v>17</v>
      </c>
      <c r="F165" t="s">
        <v>3793</v>
      </c>
      <c r="G165" t="s">
        <v>4037</v>
      </c>
      <c r="H165" t="s">
        <v>3785</v>
      </c>
      <c r="I165" t="s">
        <v>4039</v>
      </c>
      <c r="J165" t="s">
        <v>4038</v>
      </c>
      <c r="K165" t="s">
        <v>3840</v>
      </c>
      <c r="L165" t="s">
        <v>3797</v>
      </c>
      <c r="M165" t="s">
        <v>3739</v>
      </c>
      <c r="N165" t="s">
        <v>118</v>
      </c>
      <c r="O165" t="s">
        <v>4040</v>
      </c>
      <c r="P165" s="9">
        <v>44258.510451388887</v>
      </c>
      <c r="Q165" t="s">
        <v>3842</v>
      </c>
      <c r="R165" t="s">
        <v>3794</v>
      </c>
    </row>
    <row r="166" spans="1:18" x14ac:dyDescent="0.25">
      <c r="A166" t="s">
        <v>4041</v>
      </c>
      <c r="B166" t="s">
        <v>4038</v>
      </c>
      <c r="C166">
        <v>2</v>
      </c>
      <c r="D166" t="s">
        <v>41</v>
      </c>
      <c r="E166">
        <v>17</v>
      </c>
      <c r="F166" t="s">
        <v>3793</v>
      </c>
      <c r="G166" t="s">
        <v>4041</v>
      </c>
      <c r="H166" t="s">
        <v>3785</v>
      </c>
      <c r="I166" t="s">
        <v>3794</v>
      </c>
      <c r="J166" t="s">
        <v>4038</v>
      </c>
      <c r="K166" t="s">
        <v>3840</v>
      </c>
      <c r="L166" t="s">
        <v>3797</v>
      </c>
      <c r="M166" t="s">
        <v>3740</v>
      </c>
      <c r="N166" t="s">
        <v>118</v>
      </c>
      <c r="O166" t="s">
        <v>3801</v>
      </c>
      <c r="P166" s="9">
        <v>44258.510451388887</v>
      </c>
      <c r="Q166" t="s">
        <v>3844</v>
      </c>
      <c r="R166" t="s">
        <v>3794</v>
      </c>
    </row>
    <row r="167" spans="1:18" x14ac:dyDescent="0.25">
      <c r="A167" t="s">
        <v>4042</v>
      </c>
      <c r="B167" t="s">
        <v>4038</v>
      </c>
      <c r="C167">
        <v>2</v>
      </c>
      <c r="D167" t="s">
        <v>41</v>
      </c>
      <c r="E167">
        <v>17</v>
      </c>
      <c r="F167" t="s">
        <v>3793</v>
      </c>
      <c r="G167" t="s">
        <v>4042</v>
      </c>
      <c r="H167" t="s">
        <v>3785</v>
      </c>
      <c r="I167" t="s">
        <v>3794</v>
      </c>
      <c r="J167" t="s">
        <v>4038</v>
      </c>
      <c r="K167" t="s">
        <v>3804</v>
      </c>
      <c r="L167" t="s">
        <v>3797</v>
      </c>
      <c r="M167" t="s">
        <v>42</v>
      </c>
      <c r="N167" t="s">
        <v>118</v>
      </c>
      <c r="O167" t="s">
        <v>3805</v>
      </c>
      <c r="P167" s="9">
        <v>44258.510474537034</v>
      </c>
      <c r="Q167" t="s">
        <v>3806</v>
      </c>
      <c r="R167" t="s">
        <v>3794</v>
      </c>
    </row>
    <row r="168" spans="1:18" x14ac:dyDescent="0.25">
      <c r="A168" t="s">
        <v>4043</v>
      </c>
      <c r="B168" t="s">
        <v>4038</v>
      </c>
      <c r="C168">
        <v>2</v>
      </c>
      <c r="D168" t="s">
        <v>41</v>
      </c>
      <c r="E168">
        <v>17</v>
      </c>
      <c r="F168" t="s">
        <v>3793</v>
      </c>
      <c r="G168" t="s">
        <v>4043</v>
      </c>
      <c r="H168" t="s">
        <v>3785</v>
      </c>
      <c r="I168" t="s">
        <v>3794</v>
      </c>
      <c r="J168" t="s">
        <v>4038</v>
      </c>
      <c r="K168" t="s">
        <v>3804</v>
      </c>
      <c r="L168" t="s">
        <v>3797</v>
      </c>
      <c r="M168" t="s">
        <v>145</v>
      </c>
      <c r="N168" t="s">
        <v>118</v>
      </c>
      <c r="O168" t="s">
        <v>3808</v>
      </c>
      <c r="P168" s="9">
        <v>44258.51048611111</v>
      </c>
      <c r="Q168" t="s">
        <v>3809</v>
      </c>
      <c r="R168" t="s">
        <v>3794</v>
      </c>
    </row>
    <row r="169" spans="1:18" x14ac:dyDescent="0.25">
      <c r="A169" t="s">
        <v>4044</v>
      </c>
      <c r="B169" t="s">
        <v>4038</v>
      </c>
      <c r="C169">
        <v>2</v>
      </c>
      <c r="D169" t="s">
        <v>41</v>
      </c>
      <c r="E169">
        <v>17</v>
      </c>
      <c r="F169" t="s">
        <v>3793</v>
      </c>
      <c r="G169" t="s">
        <v>4044</v>
      </c>
      <c r="H169" t="s">
        <v>3785</v>
      </c>
      <c r="I169" t="s">
        <v>3794</v>
      </c>
      <c r="J169" t="s">
        <v>4038</v>
      </c>
      <c r="K169" t="s">
        <v>3804</v>
      </c>
      <c r="L169" t="s">
        <v>3797</v>
      </c>
      <c r="M169" t="s">
        <v>232</v>
      </c>
      <c r="N169" t="s">
        <v>118</v>
      </c>
      <c r="O169" t="s">
        <v>3808</v>
      </c>
      <c r="P169" s="9">
        <v>44258.51048611111</v>
      </c>
      <c r="Q169" t="s">
        <v>3811</v>
      </c>
      <c r="R169" t="s">
        <v>3794</v>
      </c>
    </row>
    <row r="170" spans="1:18" x14ac:dyDescent="0.25">
      <c r="A170" t="s">
        <v>4045</v>
      </c>
      <c r="B170" t="s">
        <v>4038</v>
      </c>
      <c r="C170">
        <v>2</v>
      </c>
      <c r="D170" t="s">
        <v>41</v>
      </c>
      <c r="E170">
        <v>17</v>
      </c>
      <c r="F170" t="s">
        <v>3793</v>
      </c>
      <c r="G170" t="s">
        <v>4045</v>
      </c>
      <c r="H170" t="s">
        <v>3785</v>
      </c>
      <c r="I170" t="s">
        <v>3794</v>
      </c>
      <c r="J170" t="s">
        <v>4038</v>
      </c>
      <c r="K170" t="s">
        <v>3804</v>
      </c>
      <c r="L170" t="s">
        <v>3797</v>
      </c>
      <c r="M170" t="s">
        <v>43</v>
      </c>
      <c r="N170" t="s">
        <v>118</v>
      </c>
      <c r="O170" t="s">
        <v>3801</v>
      </c>
      <c r="P170" s="9">
        <v>44258.510462962964</v>
      </c>
      <c r="Q170" t="s">
        <v>3813</v>
      </c>
      <c r="R170" t="s">
        <v>3794</v>
      </c>
    </row>
    <row r="171" spans="1:18" x14ac:dyDescent="0.25">
      <c r="A171" t="s">
        <v>4046</v>
      </c>
      <c r="B171" t="s">
        <v>4038</v>
      </c>
      <c r="C171">
        <v>2</v>
      </c>
      <c r="D171" t="s">
        <v>41</v>
      </c>
      <c r="E171">
        <v>17</v>
      </c>
      <c r="F171" t="s">
        <v>3793</v>
      </c>
      <c r="G171" t="s">
        <v>4046</v>
      </c>
      <c r="H171" t="s">
        <v>3785</v>
      </c>
      <c r="I171" t="s">
        <v>3794</v>
      </c>
      <c r="J171" t="s">
        <v>4038</v>
      </c>
      <c r="K171" t="s">
        <v>3804</v>
      </c>
      <c r="L171" t="s">
        <v>3797</v>
      </c>
      <c r="M171" t="s">
        <v>108</v>
      </c>
      <c r="N171" t="s">
        <v>119</v>
      </c>
      <c r="O171" t="s">
        <v>3815</v>
      </c>
      <c r="P171" s="9">
        <v>44258.510462962964</v>
      </c>
      <c r="Q171" t="s">
        <v>3816</v>
      </c>
      <c r="R171" t="s">
        <v>3794</v>
      </c>
    </row>
    <row r="172" spans="1:18" x14ac:dyDescent="0.25">
      <c r="A172" t="s">
        <v>4047</v>
      </c>
      <c r="B172" t="s">
        <v>4048</v>
      </c>
      <c r="C172">
        <v>2</v>
      </c>
      <c r="D172" t="s">
        <v>41</v>
      </c>
      <c r="E172">
        <v>17</v>
      </c>
      <c r="F172" t="s">
        <v>3793</v>
      </c>
      <c r="G172" t="s">
        <v>4047</v>
      </c>
      <c r="H172" t="s">
        <v>3785</v>
      </c>
      <c r="I172" t="s">
        <v>4049</v>
      </c>
      <c r="J172" t="s">
        <v>4048</v>
      </c>
      <c r="K172" t="s">
        <v>3840</v>
      </c>
      <c r="L172" t="s">
        <v>3797</v>
      </c>
      <c r="M172" t="s">
        <v>3739</v>
      </c>
      <c r="N172" t="s">
        <v>118</v>
      </c>
      <c r="O172" t="s">
        <v>4050</v>
      </c>
      <c r="P172" s="9">
        <v>44258.510451388887</v>
      </c>
      <c r="Q172" t="s">
        <v>3842</v>
      </c>
      <c r="R172" t="s">
        <v>3794</v>
      </c>
    </row>
    <row r="173" spans="1:18" x14ac:dyDescent="0.25">
      <c r="A173" t="s">
        <v>4051</v>
      </c>
      <c r="B173" t="s">
        <v>4048</v>
      </c>
      <c r="C173">
        <v>2</v>
      </c>
      <c r="D173" t="s">
        <v>41</v>
      </c>
      <c r="E173">
        <v>17</v>
      </c>
      <c r="F173" t="s">
        <v>3793</v>
      </c>
      <c r="G173" t="s">
        <v>4051</v>
      </c>
      <c r="H173" t="s">
        <v>3785</v>
      </c>
      <c r="I173" t="s">
        <v>3794</v>
      </c>
      <c r="J173" t="s">
        <v>4048</v>
      </c>
      <c r="K173" t="s">
        <v>3840</v>
      </c>
      <c r="L173" t="s">
        <v>3797</v>
      </c>
      <c r="M173" t="s">
        <v>3740</v>
      </c>
      <c r="N173" t="s">
        <v>118</v>
      </c>
      <c r="O173" t="s">
        <v>3801</v>
      </c>
      <c r="P173" s="9">
        <v>44258.510451388887</v>
      </c>
      <c r="Q173" t="s">
        <v>3844</v>
      </c>
      <c r="R173" t="s">
        <v>3794</v>
      </c>
    </row>
    <row r="174" spans="1:18" x14ac:dyDescent="0.25">
      <c r="A174" t="s">
        <v>4052</v>
      </c>
      <c r="B174" t="s">
        <v>4048</v>
      </c>
      <c r="C174">
        <v>2</v>
      </c>
      <c r="D174" t="s">
        <v>41</v>
      </c>
      <c r="E174">
        <v>17</v>
      </c>
      <c r="F174" t="s">
        <v>3793</v>
      </c>
      <c r="G174" t="s">
        <v>4052</v>
      </c>
      <c r="H174" t="s">
        <v>3785</v>
      </c>
      <c r="I174" t="s">
        <v>3794</v>
      </c>
      <c r="J174" t="s">
        <v>4048</v>
      </c>
      <c r="K174" t="s">
        <v>3804</v>
      </c>
      <c r="L174" t="s">
        <v>3797</v>
      </c>
      <c r="M174" t="s">
        <v>42</v>
      </c>
      <c r="N174" t="s">
        <v>118</v>
      </c>
      <c r="O174" t="s">
        <v>3805</v>
      </c>
      <c r="P174" s="9">
        <v>44258.510474537034</v>
      </c>
      <c r="Q174" t="s">
        <v>3806</v>
      </c>
      <c r="R174" t="s">
        <v>3794</v>
      </c>
    </row>
    <row r="175" spans="1:18" x14ac:dyDescent="0.25">
      <c r="A175" t="s">
        <v>4053</v>
      </c>
      <c r="B175" t="s">
        <v>4048</v>
      </c>
      <c r="C175">
        <v>2</v>
      </c>
      <c r="D175" t="s">
        <v>41</v>
      </c>
      <c r="E175">
        <v>17</v>
      </c>
      <c r="F175" t="s">
        <v>3793</v>
      </c>
      <c r="G175" t="s">
        <v>4053</v>
      </c>
      <c r="H175" t="s">
        <v>3785</v>
      </c>
      <c r="I175" t="s">
        <v>3794</v>
      </c>
      <c r="J175" t="s">
        <v>4048</v>
      </c>
      <c r="K175" t="s">
        <v>3804</v>
      </c>
      <c r="L175" t="s">
        <v>3797</v>
      </c>
      <c r="M175" t="s">
        <v>145</v>
      </c>
      <c r="N175" t="s">
        <v>118</v>
      </c>
      <c r="O175" t="s">
        <v>3808</v>
      </c>
      <c r="P175" s="9">
        <v>44258.51048611111</v>
      </c>
      <c r="Q175" t="s">
        <v>3809</v>
      </c>
      <c r="R175" t="s">
        <v>3794</v>
      </c>
    </row>
    <row r="176" spans="1:18" x14ac:dyDescent="0.25">
      <c r="A176" t="s">
        <v>4054</v>
      </c>
      <c r="B176" t="s">
        <v>4048</v>
      </c>
      <c r="C176">
        <v>2</v>
      </c>
      <c r="D176" t="s">
        <v>41</v>
      </c>
      <c r="E176">
        <v>17</v>
      </c>
      <c r="F176" t="s">
        <v>3793</v>
      </c>
      <c r="G176" t="s">
        <v>4054</v>
      </c>
      <c r="H176" t="s">
        <v>3785</v>
      </c>
      <c r="I176" t="s">
        <v>3794</v>
      </c>
      <c r="J176" t="s">
        <v>4048</v>
      </c>
      <c r="K176" t="s">
        <v>3804</v>
      </c>
      <c r="L176" t="s">
        <v>3797</v>
      </c>
      <c r="M176" t="s">
        <v>232</v>
      </c>
      <c r="N176" t="s">
        <v>118</v>
      </c>
      <c r="O176" t="s">
        <v>3808</v>
      </c>
      <c r="P176" s="9">
        <v>44258.51048611111</v>
      </c>
      <c r="Q176" t="s">
        <v>3811</v>
      </c>
      <c r="R176" t="s">
        <v>3794</v>
      </c>
    </row>
    <row r="177" spans="1:18" x14ac:dyDescent="0.25">
      <c r="A177" t="s">
        <v>4055</v>
      </c>
      <c r="B177" t="s">
        <v>4048</v>
      </c>
      <c r="C177">
        <v>2</v>
      </c>
      <c r="D177" t="s">
        <v>41</v>
      </c>
      <c r="E177">
        <v>17</v>
      </c>
      <c r="F177" t="s">
        <v>3793</v>
      </c>
      <c r="G177" t="s">
        <v>4055</v>
      </c>
      <c r="H177" t="s">
        <v>3785</v>
      </c>
      <c r="I177" t="s">
        <v>3794</v>
      </c>
      <c r="J177" t="s">
        <v>4048</v>
      </c>
      <c r="K177" t="s">
        <v>3804</v>
      </c>
      <c r="L177" t="s">
        <v>3797</v>
      </c>
      <c r="M177" t="s">
        <v>43</v>
      </c>
      <c r="N177" t="s">
        <v>118</v>
      </c>
      <c r="O177" t="s">
        <v>3801</v>
      </c>
      <c r="P177" s="9">
        <v>44258.510462962964</v>
      </c>
      <c r="Q177" t="s">
        <v>3813</v>
      </c>
      <c r="R177" t="s">
        <v>3794</v>
      </c>
    </row>
    <row r="178" spans="1:18" x14ac:dyDescent="0.25">
      <c r="A178" t="s">
        <v>4056</v>
      </c>
      <c r="B178" t="s">
        <v>4048</v>
      </c>
      <c r="C178">
        <v>2</v>
      </c>
      <c r="D178" t="s">
        <v>41</v>
      </c>
      <c r="E178">
        <v>17</v>
      </c>
      <c r="F178" t="s">
        <v>3793</v>
      </c>
      <c r="G178" t="s">
        <v>4056</v>
      </c>
      <c r="H178" t="s">
        <v>3785</v>
      </c>
      <c r="I178" t="s">
        <v>3794</v>
      </c>
      <c r="J178" t="s">
        <v>4048</v>
      </c>
      <c r="K178" t="s">
        <v>3804</v>
      </c>
      <c r="L178" t="s">
        <v>3797</v>
      </c>
      <c r="M178" t="s">
        <v>108</v>
      </c>
      <c r="N178" t="s">
        <v>119</v>
      </c>
      <c r="O178" t="s">
        <v>3815</v>
      </c>
      <c r="P178" s="9">
        <v>44258.510462962964</v>
      </c>
      <c r="Q178" t="s">
        <v>3816</v>
      </c>
      <c r="R178" t="s">
        <v>3794</v>
      </c>
    </row>
    <row r="179" spans="1:18" x14ac:dyDescent="0.25">
      <c r="A179" t="s">
        <v>4057</v>
      </c>
      <c r="B179" t="s">
        <v>4058</v>
      </c>
      <c r="C179">
        <v>2</v>
      </c>
      <c r="D179" t="s">
        <v>41</v>
      </c>
      <c r="E179">
        <v>17</v>
      </c>
      <c r="F179" t="s">
        <v>3793</v>
      </c>
      <c r="G179" t="s">
        <v>4057</v>
      </c>
      <c r="H179" t="s">
        <v>3785</v>
      </c>
      <c r="I179" t="s">
        <v>3868</v>
      </c>
      <c r="J179" t="s">
        <v>4058</v>
      </c>
      <c r="K179" t="s">
        <v>3840</v>
      </c>
      <c r="L179" t="s">
        <v>3797</v>
      </c>
      <c r="M179" t="s">
        <v>3739</v>
      </c>
      <c r="N179" t="s">
        <v>118</v>
      </c>
      <c r="O179" t="s">
        <v>3869</v>
      </c>
      <c r="P179" s="9">
        <v>44258.510451388887</v>
      </c>
      <c r="Q179" t="s">
        <v>3842</v>
      </c>
      <c r="R179" t="s">
        <v>3794</v>
      </c>
    </row>
    <row r="180" spans="1:18" x14ac:dyDescent="0.25">
      <c r="A180" t="s">
        <v>4059</v>
      </c>
      <c r="B180" t="s">
        <v>4058</v>
      </c>
      <c r="C180">
        <v>2</v>
      </c>
      <c r="D180" t="s">
        <v>41</v>
      </c>
      <c r="E180">
        <v>17</v>
      </c>
      <c r="F180" t="s">
        <v>3793</v>
      </c>
      <c r="G180" t="s">
        <v>4059</v>
      </c>
      <c r="H180" t="s">
        <v>3785</v>
      </c>
      <c r="I180" t="s">
        <v>3794</v>
      </c>
      <c r="J180" t="s">
        <v>4058</v>
      </c>
      <c r="K180" t="s">
        <v>3840</v>
      </c>
      <c r="L180" t="s">
        <v>3797</v>
      </c>
      <c r="M180" t="s">
        <v>3740</v>
      </c>
      <c r="N180" t="s">
        <v>118</v>
      </c>
      <c r="O180" t="s">
        <v>3801</v>
      </c>
      <c r="P180" s="9">
        <v>44258.510451388887</v>
      </c>
      <c r="Q180" t="s">
        <v>3844</v>
      </c>
      <c r="R180" t="s">
        <v>3794</v>
      </c>
    </row>
    <row r="181" spans="1:18" x14ac:dyDescent="0.25">
      <c r="A181" t="s">
        <v>4060</v>
      </c>
      <c r="B181" t="s">
        <v>4058</v>
      </c>
      <c r="C181">
        <v>2</v>
      </c>
      <c r="D181" t="s">
        <v>41</v>
      </c>
      <c r="E181">
        <v>17</v>
      </c>
      <c r="F181" t="s">
        <v>3793</v>
      </c>
      <c r="G181" t="s">
        <v>4060</v>
      </c>
      <c r="H181" t="s">
        <v>3785</v>
      </c>
      <c r="I181" t="s">
        <v>3794</v>
      </c>
      <c r="J181" t="s">
        <v>4058</v>
      </c>
      <c r="K181" t="s">
        <v>3804</v>
      </c>
      <c r="L181" t="s">
        <v>3797</v>
      </c>
      <c r="M181" t="s">
        <v>42</v>
      </c>
      <c r="N181" t="s">
        <v>118</v>
      </c>
      <c r="O181" t="s">
        <v>3805</v>
      </c>
      <c r="P181" s="9">
        <v>44258.510474537034</v>
      </c>
      <c r="Q181" t="s">
        <v>3806</v>
      </c>
      <c r="R181" t="s">
        <v>3794</v>
      </c>
    </row>
    <row r="182" spans="1:18" x14ac:dyDescent="0.25">
      <c r="A182" t="s">
        <v>4061</v>
      </c>
      <c r="B182" t="s">
        <v>4058</v>
      </c>
      <c r="C182">
        <v>2</v>
      </c>
      <c r="D182" t="s">
        <v>41</v>
      </c>
      <c r="E182">
        <v>17</v>
      </c>
      <c r="F182" t="s">
        <v>3793</v>
      </c>
      <c r="G182" t="s">
        <v>4061</v>
      </c>
      <c r="H182" t="s">
        <v>3785</v>
      </c>
      <c r="I182" t="s">
        <v>3794</v>
      </c>
      <c r="J182" t="s">
        <v>4058</v>
      </c>
      <c r="K182" t="s">
        <v>3804</v>
      </c>
      <c r="L182" t="s">
        <v>3797</v>
      </c>
      <c r="M182" t="s">
        <v>145</v>
      </c>
      <c r="N182" t="s">
        <v>118</v>
      </c>
      <c r="O182" t="s">
        <v>3808</v>
      </c>
      <c r="P182" s="9">
        <v>44258.51048611111</v>
      </c>
      <c r="Q182" t="s">
        <v>3809</v>
      </c>
      <c r="R182" t="s">
        <v>3794</v>
      </c>
    </row>
    <row r="183" spans="1:18" x14ac:dyDescent="0.25">
      <c r="A183" t="s">
        <v>4062</v>
      </c>
      <c r="B183" t="s">
        <v>4058</v>
      </c>
      <c r="C183">
        <v>2</v>
      </c>
      <c r="D183" t="s">
        <v>41</v>
      </c>
      <c r="E183">
        <v>17</v>
      </c>
      <c r="F183" t="s">
        <v>3793</v>
      </c>
      <c r="G183" t="s">
        <v>4062</v>
      </c>
      <c r="H183" t="s">
        <v>3785</v>
      </c>
      <c r="I183" t="s">
        <v>3794</v>
      </c>
      <c r="J183" t="s">
        <v>4058</v>
      </c>
      <c r="K183" t="s">
        <v>3804</v>
      </c>
      <c r="L183" t="s">
        <v>3797</v>
      </c>
      <c r="M183" t="s">
        <v>232</v>
      </c>
      <c r="N183" t="s">
        <v>118</v>
      </c>
      <c r="O183" t="s">
        <v>3808</v>
      </c>
      <c r="P183" s="9">
        <v>44258.51048611111</v>
      </c>
      <c r="Q183" t="s">
        <v>3811</v>
      </c>
      <c r="R183" t="s">
        <v>3794</v>
      </c>
    </row>
    <row r="184" spans="1:18" x14ac:dyDescent="0.25">
      <c r="A184" t="s">
        <v>4063</v>
      </c>
      <c r="B184" t="s">
        <v>4058</v>
      </c>
      <c r="C184">
        <v>2</v>
      </c>
      <c r="D184" t="s">
        <v>41</v>
      </c>
      <c r="E184">
        <v>17</v>
      </c>
      <c r="F184" t="s">
        <v>3793</v>
      </c>
      <c r="G184" t="s">
        <v>4063</v>
      </c>
      <c r="H184" t="s">
        <v>3785</v>
      </c>
      <c r="I184" t="s">
        <v>3794</v>
      </c>
      <c r="J184" t="s">
        <v>4058</v>
      </c>
      <c r="K184" t="s">
        <v>3804</v>
      </c>
      <c r="L184" t="s">
        <v>3797</v>
      </c>
      <c r="M184" t="s">
        <v>43</v>
      </c>
      <c r="N184" t="s">
        <v>118</v>
      </c>
      <c r="O184" t="s">
        <v>3801</v>
      </c>
      <c r="P184" s="9">
        <v>44258.510462962964</v>
      </c>
      <c r="Q184" t="s">
        <v>3813</v>
      </c>
      <c r="R184" t="s">
        <v>3794</v>
      </c>
    </row>
    <row r="185" spans="1:18" x14ac:dyDescent="0.25">
      <c r="A185" t="s">
        <v>4064</v>
      </c>
      <c r="B185" t="s">
        <v>4058</v>
      </c>
      <c r="C185">
        <v>2</v>
      </c>
      <c r="D185" t="s">
        <v>41</v>
      </c>
      <c r="E185">
        <v>17</v>
      </c>
      <c r="F185" t="s">
        <v>3793</v>
      </c>
      <c r="G185" t="s">
        <v>4064</v>
      </c>
      <c r="H185" t="s">
        <v>3785</v>
      </c>
      <c r="I185" t="s">
        <v>3794</v>
      </c>
      <c r="J185" t="s">
        <v>4058</v>
      </c>
      <c r="K185" t="s">
        <v>3804</v>
      </c>
      <c r="L185" t="s">
        <v>3797</v>
      </c>
      <c r="M185" t="s">
        <v>108</v>
      </c>
      <c r="N185" t="s">
        <v>119</v>
      </c>
      <c r="O185" t="s">
        <v>3815</v>
      </c>
      <c r="P185" s="9">
        <v>44258.510462962964</v>
      </c>
      <c r="Q185" t="s">
        <v>3816</v>
      </c>
      <c r="R185" t="s">
        <v>3794</v>
      </c>
    </row>
    <row r="186" spans="1:18" x14ac:dyDescent="0.25">
      <c r="A186" t="s">
        <v>4065</v>
      </c>
      <c r="B186" t="s">
        <v>4066</v>
      </c>
      <c r="C186">
        <v>2</v>
      </c>
      <c r="D186" t="s">
        <v>41</v>
      </c>
      <c r="E186">
        <v>17</v>
      </c>
      <c r="F186" t="s">
        <v>3793</v>
      </c>
      <c r="G186" t="s">
        <v>4065</v>
      </c>
      <c r="H186" t="s">
        <v>3783</v>
      </c>
      <c r="I186" t="s">
        <v>3794</v>
      </c>
      <c r="J186" t="s">
        <v>4066</v>
      </c>
      <c r="K186" t="s">
        <v>3804</v>
      </c>
      <c r="L186" t="s">
        <v>3797</v>
      </c>
      <c r="M186" t="s">
        <v>42</v>
      </c>
      <c r="N186" t="s">
        <v>118</v>
      </c>
      <c r="O186" t="s">
        <v>3805</v>
      </c>
      <c r="P186" s="9">
        <v>44258.510474537034</v>
      </c>
      <c r="Q186" t="s">
        <v>3806</v>
      </c>
      <c r="R186" t="s">
        <v>3794</v>
      </c>
    </row>
    <row r="187" spans="1:18" x14ac:dyDescent="0.25">
      <c r="A187" t="s">
        <v>4067</v>
      </c>
      <c r="B187" t="s">
        <v>4066</v>
      </c>
      <c r="C187">
        <v>2</v>
      </c>
      <c r="D187" t="s">
        <v>41</v>
      </c>
      <c r="E187">
        <v>17</v>
      </c>
      <c r="F187" t="s">
        <v>3793</v>
      </c>
      <c r="G187" t="s">
        <v>4067</v>
      </c>
      <c r="H187" t="s">
        <v>3783</v>
      </c>
      <c r="I187" t="s">
        <v>3794</v>
      </c>
      <c r="J187" t="s">
        <v>4066</v>
      </c>
      <c r="K187" t="s">
        <v>3804</v>
      </c>
      <c r="L187" t="s">
        <v>3797</v>
      </c>
      <c r="M187" t="s">
        <v>145</v>
      </c>
      <c r="N187" t="s">
        <v>118</v>
      </c>
      <c r="O187" t="s">
        <v>3808</v>
      </c>
      <c r="P187" s="9">
        <v>44258.51048611111</v>
      </c>
      <c r="Q187" t="s">
        <v>3809</v>
      </c>
      <c r="R187" t="s">
        <v>3794</v>
      </c>
    </row>
    <row r="188" spans="1:18" x14ac:dyDescent="0.25">
      <c r="A188" t="s">
        <v>4068</v>
      </c>
      <c r="B188" t="s">
        <v>4066</v>
      </c>
      <c r="C188">
        <v>2</v>
      </c>
      <c r="D188" t="s">
        <v>41</v>
      </c>
      <c r="E188">
        <v>17</v>
      </c>
      <c r="F188" t="s">
        <v>3793</v>
      </c>
      <c r="G188" t="s">
        <v>4068</v>
      </c>
      <c r="H188" t="s">
        <v>3783</v>
      </c>
      <c r="I188" t="s">
        <v>3794</v>
      </c>
      <c r="J188" t="s">
        <v>4066</v>
      </c>
      <c r="K188" t="s">
        <v>3804</v>
      </c>
      <c r="L188" t="s">
        <v>3797</v>
      </c>
      <c r="M188" t="s">
        <v>232</v>
      </c>
      <c r="N188" t="s">
        <v>118</v>
      </c>
      <c r="O188" t="s">
        <v>3808</v>
      </c>
      <c r="P188" s="9">
        <v>44258.51048611111</v>
      </c>
      <c r="Q188" t="s">
        <v>3811</v>
      </c>
      <c r="R188" t="s">
        <v>3794</v>
      </c>
    </row>
    <row r="189" spans="1:18" x14ac:dyDescent="0.25">
      <c r="A189" t="s">
        <v>4069</v>
      </c>
      <c r="B189" t="s">
        <v>4066</v>
      </c>
      <c r="C189">
        <v>2</v>
      </c>
      <c r="D189" t="s">
        <v>41</v>
      </c>
      <c r="E189">
        <v>17</v>
      </c>
      <c r="F189" t="s">
        <v>3793</v>
      </c>
      <c r="G189" t="s">
        <v>4069</v>
      </c>
      <c r="H189" t="s">
        <v>3783</v>
      </c>
      <c r="I189" t="s">
        <v>3794</v>
      </c>
      <c r="J189" t="s">
        <v>4066</v>
      </c>
      <c r="K189" t="s">
        <v>3804</v>
      </c>
      <c r="L189" t="s">
        <v>3797</v>
      </c>
      <c r="M189" t="s">
        <v>43</v>
      </c>
      <c r="N189" t="s">
        <v>118</v>
      </c>
      <c r="O189" t="s">
        <v>3801</v>
      </c>
      <c r="P189" s="9">
        <v>44258.510462962964</v>
      </c>
      <c r="Q189" t="s">
        <v>3813</v>
      </c>
      <c r="R189" t="s">
        <v>3794</v>
      </c>
    </row>
    <row r="190" spans="1:18" x14ac:dyDescent="0.25">
      <c r="A190" t="s">
        <v>4070</v>
      </c>
      <c r="B190" t="s">
        <v>4066</v>
      </c>
      <c r="C190">
        <v>2</v>
      </c>
      <c r="D190" t="s">
        <v>41</v>
      </c>
      <c r="E190">
        <v>17</v>
      </c>
      <c r="F190" t="s">
        <v>3793</v>
      </c>
      <c r="G190" t="s">
        <v>4070</v>
      </c>
      <c r="H190" t="s">
        <v>3783</v>
      </c>
      <c r="I190" t="s">
        <v>3794</v>
      </c>
      <c r="J190" t="s">
        <v>4066</v>
      </c>
      <c r="K190" t="s">
        <v>3804</v>
      </c>
      <c r="L190" t="s">
        <v>3797</v>
      </c>
      <c r="M190" t="s">
        <v>108</v>
      </c>
      <c r="N190" t="s">
        <v>119</v>
      </c>
      <c r="O190" t="s">
        <v>3815</v>
      </c>
      <c r="P190" s="9">
        <v>44258.510451388887</v>
      </c>
      <c r="Q190" t="s">
        <v>3816</v>
      </c>
      <c r="R190" t="s">
        <v>3794</v>
      </c>
    </row>
    <row r="191" spans="1:18" x14ac:dyDescent="0.25">
      <c r="A191" t="s">
        <v>4071</v>
      </c>
      <c r="B191" t="s">
        <v>4072</v>
      </c>
      <c r="C191">
        <v>2</v>
      </c>
      <c r="D191" t="s">
        <v>41</v>
      </c>
      <c r="E191">
        <v>17</v>
      </c>
      <c r="F191" t="s">
        <v>3793</v>
      </c>
      <c r="G191" t="s">
        <v>4071</v>
      </c>
      <c r="H191" t="s">
        <v>3784</v>
      </c>
      <c r="I191" t="s">
        <v>4073</v>
      </c>
      <c r="J191" t="s">
        <v>4072</v>
      </c>
      <c r="K191" t="s">
        <v>3796</v>
      </c>
      <c r="L191" t="s">
        <v>3797</v>
      </c>
      <c r="M191" t="s">
        <v>3739</v>
      </c>
      <c r="N191" t="s">
        <v>118</v>
      </c>
      <c r="O191" t="s">
        <v>4074</v>
      </c>
      <c r="P191" s="9">
        <v>44258.510439814818</v>
      </c>
      <c r="Q191" t="s">
        <v>3799</v>
      </c>
      <c r="R191" t="s">
        <v>3794</v>
      </c>
    </row>
    <row r="192" spans="1:18" x14ac:dyDescent="0.25">
      <c r="A192" t="s">
        <v>4075</v>
      </c>
      <c r="B192" t="s">
        <v>4072</v>
      </c>
      <c r="C192">
        <v>2</v>
      </c>
      <c r="D192" t="s">
        <v>41</v>
      </c>
      <c r="E192">
        <v>17</v>
      </c>
      <c r="F192" t="s">
        <v>3793</v>
      </c>
      <c r="G192" t="s">
        <v>4075</v>
      </c>
      <c r="H192" t="s">
        <v>3784</v>
      </c>
      <c r="I192" t="s">
        <v>3794</v>
      </c>
      <c r="J192" t="s">
        <v>4072</v>
      </c>
      <c r="K192" t="s">
        <v>3796</v>
      </c>
      <c r="L192" t="s">
        <v>3797</v>
      </c>
      <c r="M192" t="s">
        <v>3740</v>
      </c>
      <c r="N192" t="s">
        <v>118</v>
      </c>
      <c r="O192" t="s">
        <v>3801</v>
      </c>
      <c r="P192" s="9">
        <v>44258.510439814818</v>
      </c>
      <c r="Q192" t="s">
        <v>3802</v>
      </c>
      <c r="R192" t="s">
        <v>3794</v>
      </c>
    </row>
    <row r="193" spans="1:18" x14ac:dyDescent="0.25">
      <c r="A193" t="s">
        <v>4076</v>
      </c>
      <c r="B193" t="s">
        <v>4072</v>
      </c>
      <c r="C193">
        <v>2</v>
      </c>
      <c r="D193" t="s">
        <v>41</v>
      </c>
      <c r="E193">
        <v>17</v>
      </c>
      <c r="F193" t="s">
        <v>3793</v>
      </c>
      <c r="G193" t="s">
        <v>4076</v>
      </c>
      <c r="H193" t="s">
        <v>3784</v>
      </c>
      <c r="I193" t="s">
        <v>3794</v>
      </c>
      <c r="J193" t="s">
        <v>4072</v>
      </c>
      <c r="K193" t="s">
        <v>3804</v>
      </c>
      <c r="L193" t="s">
        <v>3797</v>
      </c>
      <c r="M193" t="s">
        <v>42</v>
      </c>
      <c r="N193" t="s">
        <v>118</v>
      </c>
      <c r="O193" t="s">
        <v>3805</v>
      </c>
      <c r="P193" s="9">
        <v>44258.510474537034</v>
      </c>
      <c r="Q193" t="s">
        <v>3806</v>
      </c>
      <c r="R193" t="s">
        <v>3794</v>
      </c>
    </row>
    <row r="194" spans="1:18" x14ac:dyDescent="0.25">
      <c r="A194" t="s">
        <v>4077</v>
      </c>
      <c r="B194" t="s">
        <v>4072</v>
      </c>
      <c r="C194">
        <v>2</v>
      </c>
      <c r="D194" t="s">
        <v>41</v>
      </c>
      <c r="E194">
        <v>17</v>
      </c>
      <c r="F194" t="s">
        <v>3793</v>
      </c>
      <c r="G194" t="s">
        <v>4077</v>
      </c>
      <c r="H194" t="s">
        <v>3784</v>
      </c>
      <c r="I194" t="s">
        <v>3794</v>
      </c>
      <c r="J194" t="s">
        <v>4072</v>
      </c>
      <c r="K194" t="s">
        <v>3804</v>
      </c>
      <c r="L194" t="s">
        <v>3797</v>
      </c>
      <c r="M194" t="s">
        <v>145</v>
      </c>
      <c r="N194" t="s">
        <v>118</v>
      </c>
      <c r="O194" t="s">
        <v>3808</v>
      </c>
      <c r="P194" s="9">
        <v>44258.51048611111</v>
      </c>
      <c r="Q194" t="s">
        <v>3809</v>
      </c>
      <c r="R194" t="s">
        <v>3794</v>
      </c>
    </row>
    <row r="195" spans="1:18" x14ac:dyDescent="0.25">
      <c r="A195" t="s">
        <v>4078</v>
      </c>
      <c r="B195" t="s">
        <v>4072</v>
      </c>
      <c r="C195">
        <v>2</v>
      </c>
      <c r="D195" t="s">
        <v>41</v>
      </c>
      <c r="E195">
        <v>17</v>
      </c>
      <c r="F195" t="s">
        <v>3793</v>
      </c>
      <c r="G195" t="s">
        <v>4078</v>
      </c>
      <c r="H195" t="s">
        <v>3784</v>
      </c>
      <c r="I195" t="s">
        <v>3794</v>
      </c>
      <c r="J195" t="s">
        <v>4072</v>
      </c>
      <c r="K195" t="s">
        <v>3804</v>
      </c>
      <c r="L195" t="s">
        <v>3797</v>
      </c>
      <c r="M195" t="s">
        <v>232</v>
      </c>
      <c r="N195" t="s">
        <v>118</v>
      </c>
      <c r="O195" t="s">
        <v>3808</v>
      </c>
      <c r="P195" s="9">
        <v>44258.51048611111</v>
      </c>
      <c r="Q195" t="s">
        <v>3811</v>
      </c>
      <c r="R195" t="s">
        <v>3794</v>
      </c>
    </row>
    <row r="196" spans="1:18" x14ac:dyDescent="0.25">
      <c r="A196" t="s">
        <v>4079</v>
      </c>
      <c r="B196" t="s">
        <v>4072</v>
      </c>
      <c r="C196">
        <v>2</v>
      </c>
      <c r="D196" t="s">
        <v>41</v>
      </c>
      <c r="E196">
        <v>17</v>
      </c>
      <c r="F196" t="s">
        <v>3793</v>
      </c>
      <c r="G196" t="s">
        <v>4079</v>
      </c>
      <c r="H196" t="s">
        <v>3784</v>
      </c>
      <c r="I196" t="s">
        <v>3794</v>
      </c>
      <c r="J196" t="s">
        <v>4072</v>
      </c>
      <c r="K196" t="s">
        <v>3804</v>
      </c>
      <c r="L196" t="s">
        <v>3797</v>
      </c>
      <c r="M196" t="s">
        <v>43</v>
      </c>
      <c r="N196" t="s">
        <v>118</v>
      </c>
      <c r="O196" t="s">
        <v>3801</v>
      </c>
      <c r="P196" s="9">
        <v>44258.510462962964</v>
      </c>
      <c r="Q196" t="s">
        <v>3813</v>
      </c>
      <c r="R196" t="s">
        <v>3794</v>
      </c>
    </row>
    <row r="197" spans="1:18" x14ac:dyDescent="0.25">
      <c r="A197" t="s">
        <v>4080</v>
      </c>
      <c r="B197" t="s">
        <v>4072</v>
      </c>
      <c r="C197">
        <v>2</v>
      </c>
      <c r="D197" t="s">
        <v>41</v>
      </c>
      <c r="E197">
        <v>17</v>
      </c>
      <c r="F197" t="s">
        <v>3793</v>
      </c>
      <c r="G197" t="s">
        <v>4080</v>
      </c>
      <c r="H197" t="s">
        <v>3784</v>
      </c>
      <c r="I197" t="s">
        <v>3794</v>
      </c>
      <c r="J197" t="s">
        <v>4072</v>
      </c>
      <c r="K197" t="s">
        <v>3804</v>
      </c>
      <c r="L197" t="s">
        <v>3797</v>
      </c>
      <c r="M197" t="s">
        <v>108</v>
      </c>
      <c r="N197" t="s">
        <v>119</v>
      </c>
      <c r="O197" t="s">
        <v>3815</v>
      </c>
      <c r="P197" s="9">
        <v>44258.510451388887</v>
      </c>
      <c r="Q197" t="s">
        <v>3816</v>
      </c>
      <c r="R197" t="s">
        <v>3794</v>
      </c>
    </row>
    <row r="198" spans="1:18" x14ac:dyDescent="0.25">
      <c r="A198" t="s">
        <v>4081</v>
      </c>
      <c r="B198" t="s">
        <v>4082</v>
      </c>
      <c r="C198">
        <v>2</v>
      </c>
      <c r="D198" t="s">
        <v>41</v>
      </c>
      <c r="E198">
        <v>17</v>
      </c>
      <c r="F198" t="s">
        <v>3793</v>
      </c>
      <c r="G198" t="s">
        <v>4081</v>
      </c>
      <c r="H198" t="s">
        <v>3785</v>
      </c>
      <c r="I198" t="s">
        <v>4083</v>
      </c>
      <c r="J198" t="s">
        <v>4082</v>
      </c>
      <c r="K198" t="s">
        <v>3840</v>
      </c>
      <c r="L198" t="s">
        <v>3797</v>
      </c>
      <c r="M198" t="s">
        <v>3739</v>
      </c>
      <c r="N198" t="s">
        <v>118</v>
      </c>
      <c r="O198" t="s">
        <v>4084</v>
      </c>
      <c r="P198" s="9">
        <v>44258.510451388887</v>
      </c>
      <c r="Q198" t="s">
        <v>3842</v>
      </c>
      <c r="R198" t="s">
        <v>3794</v>
      </c>
    </row>
    <row r="199" spans="1:18" x14ac:dyDescent="0.25">
      <c r="A199" t="s">
        <v>4085</v>
      </c>
      <c r="B199" t="s">
        <v>4082</v>
      </c>
      <c r="C199">
        <v>2</v>
      </c>
      <c r="D199" t="s">
        <v>41</v>
      </c>
      <c r="E199">
        <v>17</v>
      </c>
      <c r="F199" t="s">
        <v>3793</v>
      </c>
      <c r="G199" t="s">
        <v>4085</v>
      </c>
      <c r="H199" t="s">
        <v>3785</v>
      </c>
      <c r="I199" t="s">
        <v>3794</v>
      </c>
      <c r="J199" t="s">
        <v>4082</v>
      </c>
      <c r="K199" t="s">
        <v>3840</v>
      </c>
      <c r="L199" t="s">
        <v>3797</v>
      </c>
      <c r="M199" t="s">
        <v>3740</v>
      </c>
      <c r="N199" t="s">
        <v>118</v>
      </c>
      <c r="O199" t="s">
        <v>3801</v>
      </c>
      <c r="P199" s="9">
        <v>44258.510451388887</v>
      </c>
      <c r="Q199" t="s">
        <v>3844</v>
      </c>
      <c r="R199" t="s">
        <v>3794</v>
      </c>
    </row>
    <row r="200" spans="1:18" x14ac:dyDescent="0.25">
      <c r="A200" t="s">
        <v>4086</v>
      </c>
      <c r="B200" t="s">
        <v>4082</v>
      </c>
      <c r="C200">
        <v>2</v>
      </c>
      <c r="D200" t="s">
        <v>41</v>
      </c>
      <c r="E200">
        <v>17</v>
      </c>
      <c r="F200" t="s">
        <v>3793</v>
      </c>
      <c r="G200" t="s">
        <v>4086</v>
      </c>
      <c r="H200" t="s">
        <v>3785</v>
      </c>
      <c r="I200" t="s">
        <v>3794</v>
      </c>
      <c r="J200" t="s">
        <v>4082</v>
      </c>
      <c r="K200" t="s">
        <v>3804</v>
      </c>
      <c r="L200" t="s">
        <v>3797</v>
      </c>
      <c r="M200" t="s">
        <v>42</v>
      </c>
      <c r="N200" t="s">
        <v>118</v>
      </c>
      <c r="O200" t="s">
        <v>3805</v>
      </c>
      <c r="P200" s="9">
        <v>44258.510474537034</v>
      </c>
      <c r="Q200" t="s">
        <v>3806</v>
      </c>
      <c r="R200" t="s">
        <v>3794</v>
      </c>
    </row>
    <row r="201" spans="1:18" x14ac:dyDescent="0.25">
      <c r="A201" t="s">
        <v>4087</v>
      </c>
      <c r="B201" t="s">
        <v>4082</v>
      </c>
      <c r="C201">
        <v>2</v>
      </c>
      <c r="D201" t="s">
        <v>41</v>
      </c>
      <c r="E201">
        <v>17</v>
      </c>
      <c r="F201" t="s">
        <v>3793</v>
      </c>
      <c r="G201" t="s">
        <v>4087</v>
      </c>
      <c r="H201" t="s">
        <v>3785</v>
      </c>
      <c r="I201" t="s">
        <v>3794</v>
      </c>
      <c r="J201" t="s">
        <v>4082</v>
      </c>
      <c r="K201" t="s">
        <v>3804</v>
      </c>
      <c r="L201" t="s">
        <v>3797</v>
      </c>
      <c r="M201" t="s">
        <v>145</v>
      </c>
      <c r="N201" t="s">
        <v>118</v>
      </c>
      <c r="O201" t="s">
        <v>3808</v>
      </c>
      <c r="P201" s="9">
        <v>44258.51048611111</v>
      </c>
      <c r="Q201" t="s">
        <v>3809</v>
      </c>
      <c r="R201" t="s">
        <v>3794</v>
      </c>
    </row>
    <row r="202" spans="1:18" x14ac:dyDescent="0.25">
      <c r="A202" t="s">
        <v>4088</v>
      </c>
      <c r="B202" t="s">
        <v>4082</v>
      </c>
      <c r="C202">
        <v>2</v>
      </c>
      <c r="D202" t="s">
        <v>41</v>
      </c>
      <c r="E202">
        <v>17</v>
      </c>
      <c r="F202" t="s">
        <v>3793</v>
      </c>
      <c r="G202" t="s">
        <v>4088</v>
      </c>
      <c r="H202" t="s">
        <v>3785</v>
      </c>
      <c r="I202" t="s">
        <v>3794</v>
      </c>
      <c r="J202" t="s">
        <v>4082</v>
      </c>
      <c r="K202" t="s">
        <v>3804</v>
      </c>
      <c r="L202" t="s">
        <v>3797</v>
      </c>
      <c r="M202" t="s">
        <v>232</v>
      </c>
      <c r="N202" t="s">
        <v>118</v>
      </c>
      <c r="O202" t="s">
        <v>3808</v>
      </c>
      <c r="P202" s="9">
        <v>44258.51048611111</v>
      </c>
      <c r="Q202" t="s">
        <v>3811</v>
      </c>
      <c r="R202" t="s">
        <v>3794</v>
      </c>
    </row>
    <row r="203" spans="1:18" x14ac:dyDescent="0.25">
      <c r="A203" t="s">
        <v>4089</v>
      </c>
      <c r="B203" t="s">
        <v>4082</v>
      </c>
      <c r="C203">
        <v>2</v>
      </c>
      <c r="D203" t="s">
        <v>41</v>
      </c>
      <c r="E203">
        <v>17</v>
      </c>
      <c r="F203" t="s">
        <v>3793</v>
      </c>
      <c r="G203" t="s">
        <v>4089</v>
      </c>
      <c r="H203" t="s">
        <v>3785</v>
      </c>
      <c r="I203" t="s">
        <v>3794</v>
      </c>
      <c r="J203" t="s">
        <v>4082</v>
      </c>
      <c r="K203" t="s">
        <v>3804</v>
      </c>
      <c r="L203" t="s">
        <v>3797</v>
      </c>
      <c r="M203" t="s">
        <v>43</v>
      </c>
      <c r="N203" t="s">
        <v>118</v>
      </c>
      <c r="O203" t="s">
        <v>3801</v>
      </c>
      <c r="P203" s="9">
        <v>44258.510462962964</v>
      </c>
      <c r="Q203" t="s">
        <v>3813</v>
      </c>
      <c r="R203" t="s">
        <v>3794</v>
      </c>
    </row>
    <row r="204" spans="1:18" x14ac:dyDescent="0.25">
      <c r="A204" t="s">
        <v>4090</v>
      </c>
      <c r="B204" t="s">
        <v>4082</v>
      </c>
      <c r="C204">
        <v>2</v>
      </c>
      <c r="D204" t="s">
        <v>41</v>
      </c>
      <c r="E204">
        <v>17</v>
      </c>
      <c r="F204" t="s">
        <v>3793</v>
      </c>
      <c r="G204" t="s">
        <v>4090</v>
      </c>
      <c r="H204" t="s">
        <v>3785</v>
      </c>
      <c r="I204" t="s">
        <v>3794</v>
      </c>
      <c r="J204" t="s">
        <v>4082</v>
      </c>
      <c r="K204" t="s">
        <v>3804</v>
      </c>
      <c r="L204" t="s">
        <v>3797</v>
      </c>
      <c r="M204" t="s">
        <v>108</v>
      </c>
      <c r="N204" t="s">
        <v>119</v>
      </c>
      <c r="O204" t="s">
        <v>3815</v>
      </c>
      <c r="P204" s="9">
        <v>44258.510462962964</v>
      </c>
      <c r="Q204" t="s">
        <v>3816</v>
      </c>
      <c r="R204" t="s">
        <v>3794</v>
      </c>
    </row>
    <row r="205" spans="1:18" x14ac:dyDescent="0.25">
      <c r="A205" t="s">
        <v>4091</v>
      </c>
      <c r="B205" t="s">
        <v>4092</v>
      </c>
      <c r="C205">
        <v>2</v>
      </c>
      <c r="D205" t="s">
        <v>41</v>
      </c>
      <c r="E205">
        <v>17</v>
      </c>
      <c r="F205" t="s">
        <v>3793</v>
      </c>
      <c r="G205" t="s">
        <v>4091</v>
      </c>
      <c r="H205" t="s">
        <v>3785</v>
      </c>
      <c r="I205" t="s">
        <v>4093</v>
      </c>
      <c r="J205" t="s">
        <v>4092</v>
      </c>
      <c r="K205" t="s">
        <v>3840</v>
      </c>
      <c r="L205" t="s">
        <v>3797</v>
      </c>
      <c r="M205" t="s">
        <v>3739</v>
      </c>
      <c r="N205" t="s">
        <v>118</v>
      </c>
      <c r="O205" t="s">
        <v>4094</v>
      </c>
      <c r="P205" s="9">
        <v>44258.510451388887</v>
      </c>
      <c r="Q205" t="s">
        <v>3842</v>
      </c>
      <c r="R205" t="s">
        <v>3794</v>
      </c>
    </row>
    <row r="206" spans="1:18" x14ac:dyDescent="0.25">
      <c r="A206" t="s">
        <v>4095</v>
      </c>
      <c r="B206" t="s">
        <v>4092</v>
      </c>
      <c r="C206">
        <v>2</v>
      </c>
      <c r="D206" t="s">
        <v>41</v>
      </c>
      <c r="E206">
        <v>17</v>
      </c>
      <c r="F206" t="s">
        <v>3793</v>
      </c>
      <c r="G206" t="s">
        <v>4095</v>
      </c>
      <c r="H206" t="s">
        <v>3785</v>
      </c>
      <c r="I206" t="s">
        <v>3794</v>
      </c>
      <c r="J206" t="s">
        <v>4092</v>
      </c>
      <c r="K206" t="s">
        <v>3840</v>
      </c>
      <c r="L206" t="s">
        <v>3797</v>
      </c>
      <c r="M206" t="s">
        <v>3740</v>
      </c>
      <c r="N206" t="s">
        <v>118</v>
      </c>
      <c r="O206" t="s">
        <v>3801</v>
      </c>
      <c r="P206" s="9">
        <v>44258.510451388887</v>
      </c>
      <c r="Q206" t="s">
        <v>3844</v>
      </c>
      <c r="R206" t="s">
        <v>3794</v>
      </c>
    </row>
    <row r="207" spans="1:18" x14ac:dyDescent="0.25">
      <c r="A207" t="s">
        <v>4096</v>
      </c>
      <c r="B207" t="s">
        <v>4092</v>
      </c>
      <c r="C207">
        <v>2</v>
      </c>
      <c r="D207" t="s">
        <v>41</v>
      </c>
      <c r="E207">
        <v>17</v>
      </c>
      <c r="F207" t="s">
        <v>3793</v>
      </c>
      <c r="G207" t="s">
        <v>4096</v>
      </c>
      <c r="H207" t="s">
        <v>3785</v>
      </c>
      <c r="I207" t="s">
        <v>3794</v>
      </c>
      <c r="J207" t="s">
        <v>4092</v>
      </c>
      <c r="K207" t="s">
        <v>3804</v>
      </c>
      <c r="L207" t="s">
        <v>3797</v>
      </c>
      <c r="M207" t="s">
        <v>42</v>
      </c>
      <c r="N207" t="s">
        <v>118</v>
      </c>
      <c r="O207" t="s">
        <v>3805</v>
      </c>
      <c r="P207" s="9">
        <v>44258.510474537034</v>
      </c>
      <c r="Q207" t="s">
        <v>3806</v>
      </c>
      <c r="R207" t="s">
        <v>3794</v>
      </c>
    </row>
    <row r="208" spans="1:18" x14ac:dyDescent="0.25">
      <c r="A208" t="s">
        <v>4097</v>
      </c>
      <c r="B208" t="s">
        <v>4092</v>
      </c>
      <c r="C208">
        <v>2</v>
      </c>
      <c r="D208" t="s">
        <v>41</v>
      </c>
      <c r="E208">
        <v>17</v>
      </c>
      <c r="F208" t="s">
        <v>3793</v>
      </c>
      <c r="G208" t="s">
        <v>4097</v>
      </c>
      <c r="H208" t="s">
        <v>3785</v>
      </c>
      <c r="I208" t="s">
        <v>3794</v>
      </c>
      <c r="J208" t="s">
        <v>4092</v>
      </c>
      <c r="K208" t="s">
        <v>3804</v>
      </c>
      <c r="L208" t="s">
        <v>3797</v>
      </c>
      <c r="M208" t="s">
        <v>145</v>
      </c>
      <c r="N208" t="s">
        <v>118</v>
      </c>
      <c r="O208" t="s">
        <v>3808</v>
      </c>
      <c r="P208" s="9">
        <v>44258.51048611111</v>
      </c>
      <c r="Q208" t="s">
        <v>3809</v>
      </c>
      <c r="R208" t="s">
        <v>3794</v>
      </c>
    </row>
    <row r="209" spans="1:18" x14ac:dyDescent="0.25">
      <c r="A209" t="s">
        <v>4098</v>
      </c>
      <c r="B209" t="s">
        <v>4092</v>
      </c>
      <c r="C209">
        <v>2</v>
      </c>
      <c r="D209" t="s">
        <v>41</v>
      </c>
      <c r="E209">
        <v>17</v>
      </c>
      <c r="F209" t="s">
        <v>3793</v>
      </c>
      <c r="G209" t="s">
        <v>4098</v>
      </c>
      <c r="H209" t="s">
        <v>3785</v>
      </c>
      <c r="I209" t="s">
        <v>3794</v>
      </c>
      <c r="J209" t="s">
        <v>4092</v>
      </c>
      <c r="K209" t="s">
        <v>3804</v>
      </c>
      <c r="L209" t="s">
        <v>3797</v>
      </c>
      <c r="M209" t="s">
        <v>232</v>
      </c>
      <c r="N209" t="s">
        <v>118</v>
      </c>
      <c r="O209" t="s">
        <v>3808</v>
      </c>
      <c r="P209" s="9">
        <v>44258.51048611111</v>
      </c>
      <c r="Q209" t="s">
        <v>3811</v>
      </c>
      <c r="R209" t="s">
        <v>3794</v>
      </c>
    </row>
    <row r="210" spans="1:18" x14ac:dyDescent="0.25">
      <c r="A210" t="s">
        <v>4099</v>
      </c>
      <c r="B210" t="s">
        <v>4092</v>
      </c>
      <c r="C210">
        <v>2</v>
      </c>
      <c r="D210" t="s">
        <v>41</v>
      </c>
      <c r="E210">
        <v>17</v>
      </c>
      <c r="F210" t="s">
        <v>3793</v>
      </c>
      <c r="G210" t="s">
        <v>4099</v>
      </c>
      <c r="H210" t="s">
        <v>3785</v>
      </c>
      <c r="I210" t="s">
        <v>3794</v>
      </c>
      <c r="J210" t="s">
        <v>4092</v>
      </c>
      <c r="K210" t="s">
        <v>3804</v>
      </c>
      <c r="L210" t="s">
        <v>3797</v>
      </c>
      <c r="M210" t="s">
        <v>43</v>
      </c>
      <c r="N210" t="s">
        <v>118</v>
      </c>
      <c r="O210" t="s">
        <v>3801</v>
      </c>
      <c r="P210" s="9">
        <v>44258.510462962964</v>
      </c>
      <c r="Q210" t="s">
        <v>3813</v>
      </c>
      <c r="R210" t="s">
        <v>3794</v>
      </c>
    </row>
    <row r="211" spans="1:18" x14ac:dyDescent="0.25">
      <c r="A211" t="s">
        <v>4100</v>
      </c>
      <c r="B211" t="s">
        <v>4092</v>
      </c>
      <c r="C211">
        <v>2</v>
      </c>
      <c r="D211" t="s">
        <v>41</v>
      </c>
      <c r="E211">
        <v>17</v>
      </c>
      <c r="F211" t="s">
        <v>3793</v>
      </c>
      <c r="G211" t="s">
        <v>4100</v>
      </c>
      <c r="H211" t="s">
        <v>3785</v>
      </c>
      <c r="I211" t="s">
        <v>3794</v>
      </c>
      <c r="J211" t="s">
        <v>4092</v>
      </c>
      <c r="K211" t="s">
        <v>3804</v>
      </c>
      <c r="L211" t="s">
        <v>3797</v>
      </c>
      <c r="M211" t="s">
        <v>108</v>
      </c>
      <c r="N211" t="s">
        <v>119</v>
      </c>
      <c r="O211" t="s">
        <v>3815</v>
      </c>
      <c r="P211" s="9">
        <v>44258.510462962964</v>
      </c>
      <c r="Q211" t="s">
        <v>3816</v>
      </c>
      <c r="R211" t="s">
        <v>3794</v>
      </c>
    </row>
    <row r="212" spans="1:18" x14ac:dyDescent="0.25">
      <c r="A212" t="s">
        <v>4101</v>
      </c>
      <c r="B212" t="s">
        <v>4102</v>
      </c>
      <c r="C212">
        <v>2</v>
      </c>
      <c r="D212" t="s">
        <v>41</v>
      </c>
      <c r="E212">
        <v>17</v>
      </c>
      <c r="F212" t="s">
        <v>3793</v>
      </c>
      <c r="G212" t="s">
        <v>4101</v>
      </c>
      <c r="H212" t="s">
        <v>3783</v>
      </c>
      <c r="I212" t="s">
        <v>3794</v>
      </c>
      <c r="J212" t="s">
        <v>4102</v>
      </c>
      <c r="K212" t="s">
        <v>3804</v>
      </c>
      <c r="L212" t="s">
        <v>3797</v>
      </c>
      <c r="M212" t="s">
        <v>42</v>
      </c>
      <c r="N212" t="s">
        <v>118</v>
      </c>
      <c r="O212" t="s">
        <v>3805</v>
      </c>
      <c r="P212" s="9">
        <v>44258.510474537034</v>
      </c>
      <c r="Q212" t="s">
        <v>3806</v>
      </c>
      <c r="R212" t="s">
        <v>3794</v>
      </c>
    </row>
    <row r="213" spans="1:18" x14ac:dyDescent="0.25">
      <c r="A213" t="s">
        <v>4103</v>
      </c>
      <c r="B213" t="s">
        <v>4102</v>
      </c>
      <c r="C213">
        <v>2</v>
      </c>
      <c r="D213" t="s">
        <v>41</v>
      </c>
      <c r="E213">
        <v>17</v>
      </c>
      <c r="F213" t="s">
        <v>3793</v>
      </c>
      <c r="G213" t="s">
        <v>4103</v>
      </c>
      <c r="H213" t="s">
        <v>3783</v>
      </c>
      <c r="I213" t="s">
        <v>3794</v>
      </c>
      <c r="J213" t="s">
        <v>4102</v>
      </c>
      <c r="K213" t="s">
        <v>3804</v>
      </c>
      <c r="L213" t="s">
        <v>3797</v>
      </c>
      <c r="M213" t="s">
        <v>145</v>
      </c>
      <c r="N213" t="s">
        <v>118</v>
      </c>
      <c r="O213" t="s">
        <v>3808</v>
      </c>
      <c r="P213" s="9">
        <v>44258.51048611111</v>
      </c>
      <c r="Q213" t="s">
        <v>3809</v>
      </c>
      <c r="R213" t="s">
        <v>3794</v>
      </c>
    </row>
    <row r="214" spans="1:18" x14ac:dyDescent="0.25">
      <c r="A214" t="s">
        <v>4104</v>
      </c>
      <c r="B214" t="s">
        <v>4102</v>
      </c>
      <c r="C214">
        <v>2</v>
      </c>
      <c r="D214" t="s">
        <v>41</v>
      </c>
      <c r="E214">
        <v>17</v>
      </c>
      <c r="F214" t="s">
        <v>3793</v>
      </c>
      <c r="G214" t="s">
        <v>4104</v>
      </c>
      <c r="H214" t="s">
        <v>3783</v>
      </c>
      <c r="I214" t="s">
        <v>3794</v>
      </c>
      <c r="J214" t="s">
        <v>4102</v>
      </c>
      <c r="K214" t="s">
        <v>3804</v>
      </c>
      <c r="L214" t="s">
        <v>3797</v>
      </c>
      <c r="M214" t="s">
        <v>232</v>
      </c>
      <c r="N214" t="s">
        <v>118</v>
      </c>
      <c r="O214" t="s">
        <v>3808</v>
      </c>
      <c r="P214" s="9">
        <v>44258.51048611111</v>
      </c>
      <c r="Q214" t="s">
        <v>3811</v>
      </c>
      <c r="R214" t="s">
        <v>3794</v>
      </c>
    </row>
    <row r="215" spans="1:18" x14ac:dyDescent="0.25">
      <c r="A215" t="s">
        <v>4105</v>
      </c>
      <c r="B215" t="s">
        <v>4102</v>
      </c>
      <c r="C215">
        <v>2</v>
      </c>
      <c r="D215" t="s">
        <v>41</v>
      </c>
      <c r="E215">
        <v>17</v>
      </c>
      <c r="F215" t="s">
        <v>3793</v>
      </c>
      <c r="G215" t="s">
        <v>4105</v>
      </c>
      <c r="H215" t="s">
        <v>3783</v>
      </c>
      <c r="I215" t="s">
        <v>3794</v>
      </c>
      <c r="J215" t="s">
        <v>4102</v>
      </c>
      <c r="K215" t="s">
        <v>3804</v>
      </c>
      <c r="L215" t="s">
        <v>3797</v>
      </c>
      <c r="M215" t="s">
        <v>43</v>
      </c>
      <c r="N215" t="s">
        <v>118</v>
      </c>
      <c r="O215" t="s">
        <v>3801</v>
      </c>
      <c r="P215" s="9">
        <v>44258.510462962964</v>
      </c>
      <c r="Q215" t="s">
        <v>3813</v>
      </c>
      <c r="R215" t="s">
        <v>3794</v>
      </c>
    </row>
    <row r="216" spans="1:18" x14ac:dyDescent="0.25">
      <c r="A216" t="s">
        <v>4106</v>
      </c>
      <c r="B216" t="s">
        <v>4102</v>
      </c>
      <c r="C216">
        <v>2</v>
      </c>
      <c r="D216" t="s">
        <v>41</v>
      </c>
      <c r="E216">
        <v>17</v>
      </c>
      <c r="F216" t="s">
        <v>3793</v>
      </c>
      <c r="G216" t="s">
        <v>4106</v>
      </c>
      <c r="H216" t="s">
        <v>3783</v>
      </c>
      <c r="I216" t="s">
        <v>3794</v>
      </c>
      <c r="J216" t="s">
        <v>4102</v>
      </c>
      <c r="K216" t="s">
        <v>3804</v>
      </c>
      <c r="L216" t="s">
        <v>3797</v>
      </c>
      <c r="M216" t="s">
        <v>108</v>
      </c>
      <c r="N216" t="s">
        <v>119</v>
      </c>
      <c r="O216" t="s">
        <v>3815</v>
      </c>
      <c r="P216" s="9">
        <v>44258.510451388887</v>
      </c>
      <c r="Q216" t="s">
        <v>3816</v>
      </c>
      <c r="R216" t="s">
        <v>3794</v>
      </c>
    </row>
    <row r="217" spans="1:18" x14ac:dyDescent="0.25">
      <c r="A217" t="s">
        <v>4107</v>
      </c>
      <c r="B217" t="s">
        <v>4108</v>
      </c>
      <c r="C217">
        <v>2</v>
      </c>
      <c r="D217" t="s">
        <v>41</v>
      </c>
      <c r="E217">
        <v>17</v>
      </c>
      <c r="F217" t="s">
        <v>3793</v>
      </c>
      <c r="G217" t="s">
        <v>4107</v>
      </c>
      <c r="H217" t="s">
        <v>3785</v>
      </c>
      <c r="I217" t="s">
        <v>4109</v>
      </c>
      <c r="J217" t="s">
        <v>4108</v>
      </c>
      <c r="K217" t="s">
        <v>3840</v>
      </c>
      <c r="L217" t="s">
        <v>3797</v>
      </c>
      <c r="M217" t="s">
        <v>3739</v>
      </c>
      <c r="N217" t="s">
        <v>118</v>
      </c>
      <c r="O217" t="s">
        <v>4110</v>
      </c>
      <c r="P217" s="9">
        <v>44258.510451388887</v>
      </c>
      <c r="Q217" t="s">
        <v>3842</v>
      </c>
      <c r="R217" t="s">
        <v>3794</v>
      </c>
    </row>
    <row r="218" spans="1:18" x14ac:dyDescent="0.25">
      <c r="A218" t="s">
        <v>4111</v>
      </c>
      <c r="B218" t="s">
        <v>4108</v>
      </c>
      <c r="C218">
        <v>2</v>
      </c>
      <c r="D218" t="s">
        <v>41</v>
      </c>
      <c r="E218">
        <v>17</v>
      </c>
      <c r="F218" t="s">
        <v>3793</v>
      </c>
      <c r="G218" t="s">
        <v>4111</v>
      </c>
      <c r="H218" t="s">
        <v>3785</v>
      </c>
      <c r="I218" t="s">
        <v>3794</v>
      </c>
      <c r="J218" t="s">
        <v>4108</v>
      </c>
      <c r="K218" t="s">
        <v>3840</v>
      </c>
      <c r="L218" t="s">
        <v>3797</v>
      </c>
      <c r="M218" t="s">
        <v>3740</v>
      </c>
      <c r="N218" t="s">
        <v>118</v>
      </c>
      <c r="O218" t="s">
        <v>3801</v>
      </c>
      <c r="P218" s="9">
        <v>44258.510451388887</v>
      </c>
      <c r="Q218" t="s">
        <v>3844</v>
      </c>
      <c r="R218" t="s">
        <v>3794</v>
      </c>
    </row>
    <row r="219" spans="1:18" x14ac:dyDescent="0.25">
      <c r="A219" t="s">
        <v>4112</v>
      </c>
      <c r="B219" t="s">
        <v>4108</v>
      </c>
      <c r="C219">
        <v>2</v>
      </c>
      <c r="D219" t="s">
        <v>41</v>
      </c>
      <c r="E219">
        <v>17</v>
      </c>
      <c r="F219" t="s">
        <v>3793</v>
      </c>
      <c r="G219" t="s">
        <v>4112</v>
      </c>
      <c r="H219" t="s">
        <v>3785</v>
      </c>
      <c r="I219" t="s">
        <v>3794</v>
      </c>
      <c r="J219" t="s">
        <v>4108</v>
      </c>
      <c r="K219" t="s">
        <v>3804</v>
      </c>
      <c r="L219" t="s">
        <v>3797</v>
      </c>
      <c r="M219" t="s">
        <v>42</v>
      </c>
      <c r="N219" t="s">
        <v>118</v>
      </c>
      <c r="O219" t="s">
        <v>3805</v>
      </c>
      <c r="P219" s="9">
        <v>44258.510474537034</v>
      </c>
      <c r="Q219" t="s">
        <v>3806</v>
      </c>
      <c r="R219" t="s">
        <v>3794</v>
      </c>
    </row>
    <row r="220" spans="1:18" x14ac:dyDescent="0.25">
      <c r="A220" t="s">
        <v>4113</v>
      </c>
      <c r="B220" t="s">
        <v>4108</v>
      </c>
      <c r="C220">
        <v>2</v>
      </c>
      <c r="D220" t="s">
        <v>41</v>
      </c>
      <c r="E220">
        <v>17</v>
      </c>
      <c r="F220" t="s">
        <v>3793</v>
      </c>
      <c r="G220" t="s">
        <v>4113</v>
      </c>
      <c r="H220" t="s">
        <v>3785</v>
      </c>
      <c r="I220" t="s">
        <v>3794</v>
      </c>
      <c r="J220" t="s">
        <v>4108</v>
      </c>
      <c r="K220" t="s">
        <v>3804</v>
      </c>
      <c r="L220" t="s">
        <v>3797</v>
      </c>
      <c r="M220" t="s">
        <v>145</v>
      </c>
      <c r="N220" t="s">
        <v>118</v>
      </c>
      <c r="O220" t="s">
        <v>3808</v>
      </c>
      <c r="P220" s="9">
        <v>44258.51048611111</v>
      </c>
      <c r="Q220" t="s">
        <v>3809</v>
      </c>
      <c r="R220" t="s">
        <v>3794</v>
      </c>
    </row>
    <row r="221" spans="1:18" x14ac:dyDescent="0.25">
      <c r="A221" t="s">
        <v>4114</v>
      </c>
      <c r="B221" t="s">
        <v>4108</v>
      </c>
      <c r="C221">
        <v>2</v>
      </c>
      <c r="D221" t="s">
        <v>41</v>
      </c>
      <c r="E221">
        <v>17</v>
      </c>
      <c r="F221" t="s">
        <v>3793</v>
      </c>
      <c r="G221" t="s">
        <v>4114</v>
      </c>
      <c r="H221" t="s">
        <v>3785</v>
      </c>
      <c r="I221" t="s">
        <v>3794</v>
      </c>
      <c r="J221" t="s">
        <v>4108</v>
      </c>
      <c r="K221" t="s">
        <v>3804</v>
      </c>
      <c r="L221" t="s">
        <v>3797</v>
      </c>
      <c r="M221" t="s">
        <v>232</v>
      </c>
      <c r="N221" t="s">
        <v>118</v>
      </c>
      <c r="O221" t="s">
        <v>3808</v>
      </c>
      <c r="P221" s="9">
        <v>44258.51048611111</v>
      </c>
      <c r="Q221" t="s">
        <v>3811</v>
      </c>
      <c r="R221" t="s">
        <v>3794</v>
      </c>
    </row>
    <row r="222" spans="1:18" x14ac:dyDescent="0.25">
      <c r="A222" t="s">
        <v>4115</v>
      </c>
      <c r="B222" t="s">
        <v>4108</v>
      </c>
      <c r="C222">
        <v>2</v>
      </c>
      <c r="D222" t="s">
        <v>41</v>
      </c>
      <c r="E222">
        <v>17</v>
      </c>
      <c r="F222" t="s">
        <v>3793</v>
      </c>
      <c r="G222" t="s">
        <v>4115</v>
      </c>
      <c r="H222" t="s">
        <v>3785</v>
      </c>
      <c r="I222" t="s">
        <v>3794</v>
      </c>
      <c r="J222" t="s">
        <v>4108</v>
      </c>
      <c r="K222" t="s">
        <v>3804</v>
      </c>
      <c r="L222" t="s">
        <v>3797</v>
      </c>
      <c r="M222" t="s">
        <v>43</v>
      </c>
      <c r="N222" t="s">
        <v>118</v>
      </c>
      <c r="O222" t="s">
        <v>3801</v>
      </c>
      <c r="P222" s="9">
        <v>44258.510462962964</v>
      </c>
      <c r="Q222" t="s">
        <v>3813</v>
      </c>
      <c r="R222" t="s">
        <v>3794</v>
      </c>
    </row>
    <row r="223" spans="1:18" x14ac:dyDescent="0.25">
      <c r="A223" t="s">
        <v>4116</v>
      </c>
      <c r="B223" t="s">
        <v>4108</v>
      </c>
      <c r="C223">
        <v>2</v>
      </c>
      <c r="D223" t="s">
        <v>41</v>
      </c>
      <c r="E223">
        <v>17</v>
      </c>
      <c r="F223" t="s">
        <v>3793</v>
      </c>
      <c r="G223" t="s">
        <v>4116</v>
      </c>
      <c r="H223" t="s">
        <v>3785</v>
      </c>
      <c r="I223" t="s">
        <v>3794</v>
      </c>
      <c r="J223" t="s">
        <v>4108</v>
      </c>
      <c r="K223" t="s">
        <v>3804</v>
      </c>
      <c r="L223" t="s">
        <v>3797</v>
      </c>
      <c r="M223" t="s">
        <v>108</v>
      </c>
      <c r="N223" t="s">
        <v>119</v>
      </c>
      <c r="O223" t="s">
        <v>3815</v>
      </c>
      <c r="P223" s="9">
        <v>44258.510462962964</v>
      </c>
      <c r="Q223" t="s">
        <v>3816</v>
      </c>
      <c r="R223" t="s">
        <v>3794</v>
      </c>
    </row>
    <row r="224" spans="1:18" x14ac:dyDescent="0.25">
      <c r="A224" t="s">
        <v>4117</v>
      </c>
      <c r="B224" t="s">
        <v>4118</v>
      </c>
      <c r="C224">
        <v>2</v>
      </c>
      <c r="D224" t="s">
        <v>41</v>
      </c>
      <c r="E224">
        <v>17</v>
      </c>
      <c r="F224" t="s">
        <v>3793</v>
      </c>
      <c r="G224" t="s">
        <v>4117</v>
      </c>
      <c r="H224" t="s">
        <v>3784</v>
      </c>
      <c r="I224" t="s">
        <v>4119</v>
      </c>
      <c r="J224" t="s">
        <v>4118</v>
      </c>
      <c r="K224" t="s">
        <v>3796</v>
      </c>
      <c r="L224" t="s">
        <v>3797</v>
      </c>
      <c r="M224" t="s">
        <v>3739</v>
      </c>
      <c r="N224" t="s">
        <v>118</v>
      </c>
      <c r="O224" t="s">
        <v>4120</v>
      </c>
      <c r="P224" s="9">
        <v>44258.510439814818</v>
      </c>
      <c r="Q224" t="s">
        <v>3799</v>
      </c>
      <c r="R224" t="s">
        <v>3794</v>
      </c>
    </row>
    <row r="225" spans="1:18" x14ac:dyDescent="0.25">
      <c r="A225" t="s">
        <v>4121</v>
      </c>
      <c r="B225" t="s">
        <v>4118</v>
      </c>
      <c r="C225">
        <v>2</v>
      </c>
      <c r="D225" t="s">
        <v>41</v>
      </c>
      <c r="E225">
        <v>17</v>
      </c>
      <c r="F225" t="s">
        <v>3793</v>
      </c>
      <c r="G225" t="s">
        <v>4121</v>
      </c>
      <c r="H225" t="s">
        <v>3784</v>
      </c>
      <c r="I225" t="s">
        <v>3794</v>
      </c>
      <c r="J225" t="s">
        <v>4118</v>
      </c>
      <c r="K225" t="s">
        <v>3796</v>
      </c>
      <c r="L225" t="s">
        <v>3797</v>
      </c>
      <c r="M225" t="s">
        <v>3740</v>
      </c>
      <c r="N225" t="s">
        <v>118</v>
      </c>
      <c r="O225" t="s">
        <v>3801</v>
      </c>
      <c r="P225" s="9">
        <v>44258.510439814818</v>
      </c>
      <c r="Q225" t="s">
        <v>3802</v>
      </c>
      <c r="R225" t="s">
        <v>3794</v>
      </c>
    </row>
    <row r="226" spans="1:18" x14ac:dyDescent="0.25">
      <c r="A226" t="s">
        <v>4122</v>
      </c>
      <c r="B226" t="s">
        <v>4118</v>
      </c>
      <c r="C226">
        <v>2</v>
      </c>
      <c r="D226" t="s">
        <v>41</v>
      </c>
      <c r="E226">
        <v>17</v>
      </c>
      <c r="F226" t="s">
        <v>3793</v>
      </c>
      <c r="G226" t="s">
        <v>4122</v>
      </c>
      <c r="H226" t="s">
        <v>3784</v>
      </c>
      <c r="I226" t="s">
        <v>3794</v>
      </c>
      <c r="J226" t="s">
        <v>4118</v>
      </c>
      <c r="K226" t="s">
        <v>3804</v>
      </c>
      <c r="L226" t="s">
        <v>3797</v>
      </c>
      <c r="M226" t="s">
        <v>42</v>
      </c>
      <c r="N226" t="s">
        <v>118</v>
      </c>
      <c r="O226" t="s">
        <v>3805</v>
      </c>
      <c r="P226" s="9">
        <v>44258.510474537034</v>
      </c>
      <c r="Q226" t="s">
        <v>3806</v>
      </c>
      <c r="R226" t="s">
        <v>3794</v>
      </c>
    </row>
    <row r="227" spans="1:18" x14ac:dyDescent="0.25">
      <c r="A227" t="s">
        <v>4123</v>
      </c>
      <c r="B227" t="s">
        <v>4118</v>
      </c>
      <c r="C227">
        <v>2</v>
      </c>
      <c r="D227" t="s">
        <v>41</v>
      </c>
      <c r="E227">
        <v>17</v>
      </c>
      <c r="F227" t="s">
        <v>3793</v>
      </c>
      <c r="G227" t="s">
        <v>4123</v>
      </c>
      <c r="H227" t="s">
        <v>3784</v>
      </c>
      <c r="I227" t="s">
        <v>3794</v>
      </c>
      <c r="J227" t="s">
        <v>4118</v>
      </c>
      <c r="K227" t="s">
        <v>3804</v>
      </c>
      <c r="L227" t="s">
        <v>3797</v>
      </c>
      <c r="M227" t="s">
        <v>145</v>
      </c>
      <c r="N227" t="s">
        <v>118</v>
      </c>
      <c r="O227" t="s">
        <v>3808</v>
      </c>
      <c r="P227" s="9">
        <v>44258.51048611111</v>
      </c>
      <c r="Q227" t="s">
        <v>3809</v>
      </c>
      <c r="R227" t="s">
        <v>3794</v>
      </c>
    </row>
    <row r="228" spans="1:18" x14ac:dyDescent="0.25">
      <c r="A228" t="s">
        <v>4124</v>
      </c>
      <c r="B228" t="s">
        <v>4118</v>
      </c>
      <c r="C228">
        <v>2</v>
      </c>
      <c r="D228" t="s">
        <v>41</v>
      </c>
      <c r="E228">
        <v>17</v>
      </c>
      <c r="F228" t="s">
        <v>3793</v>
      </c>
      <c r="G228" t="s">
        <v>4124</v>
      </c>
      <c r="H228" t="s">
        <v>3784</v>
      </c>
      <c r="I228" t="s">
        <v>3794</v>
      </c>
      <c r="J228" t="s">
        <v>4118</v>
      </c>
      <c r="K228" t="s">
        <v>3804</v>
      </c>
      <c r="L228" t="s">
        <v>3797</v>
      </c>
      <c r="M228" t="s">
        <v>232</v>
      </c>
      <c r="N228" t="s">
        <v>118</v>
      </c>
      <c r="O228" t="s">
        <v>3808</v>
      </c>
      <c r="P228" s="9">
        <v>44258.51048611111</v>
      </c>
      <c r="Q228" t="s">
        <v>3811</v>
      </c>
      <c r="R228" t="s">
        <v>3794</v>
      </c>
    </row>
    <row r="229" spans="1:18" x14ac:dyDescent="0.25">
      <c r="A229" t="s">
        <v>4125</v>
      </c>
      <c r="B229" t="s">
        <v>4118</v>
      </c>
      <c r="C229">
        <v>2</v>
      </c>
      <c r="D229" t="s">
        <v>41</v>
      </c>
      <c r="E229">
        <v>17</v>
      </c>
      <c r="F229" t="s">
        <v>3793</v>
      </c>
      <c r="G229" t="s">
        <v>4125</v>
      </c>
      <c r="H229" t="s">
        <v>3784</v>
      </c>
      <c r="I229" t="s">
        <v>3794</v>
      </c>
      <c r="J229" t="s">
        <v>4118</v>
      </c>
      <c r="K229" t="s">
        <v>3804</v>
      </c>
      <c r="L229" t="s">
        <v>3797</v>
      </c>
      <c r="M229" t="s">
        <v>43</v>
      </c>
      <c r="N229" t="s">
        <v>118</v>
      </c>
      <c r="O229" t="s">
        <v>3801</v>
      </c>
      <c r="P229" s="9">
        <v>44258.510462962964</v>
      </c>
      <c r="Q229" t="s">
        <v>3813</v>
      </c>
      <c r="R229" t="s">
        <v>3794</v>
      </c>
    </row>
    <row r="230" spans="1:18" x14ac:dyDescent="0.25">
      <c r="A230" t="s">
        <v>4126</v>
      </c>
      <c r="B230" t="s">
        <v>4118</v>
      </c>
      <c r="C230">
        <v>2</v>
      </c>
      <c r="D230" t="s">
        <v>41</v>
      </c>
      <c r="E230">
        <v>17</v>
      </c>
      <c r="F230" t="s">
        <v>3793</v>
      </c>
      <c r="G230" t="s">
        <v>4126</v>
      </c>
      <c r="H230" t="s">
        <v>3784</v>
      </c>
      <c r="I230" t="s">
        <v>3794</v>
      </c>
      <c r="J230" t="s">
        <v>4118</v>
      </c>
      <c r="K230" t="s">
        <v>3804</v>
      </c>
      <c r="L230" t="s">
        <v>3797</v>
      </c>
      <c r="M230" t="s">
        <v>108</v>
      </c>
      <c r="N230" t="s">
        <v>119</v>
      </c>
      <c r="O230" t="s">
        <v>3815</v>
      </c>
      <c r="P230" s="9">
        <v>44258.510451388887</v>
      </c>
      <c r="Q230" t="s">
        <v>3816</v>
      </c>
      <c r="R230" t="s">
        <v>3794</v>
      </c>
    </row>
    <row r="231" spans="1:18" x14ac:dyDescent="0.25">
      <c r="A231" t="s">
        <v>4127</v>
      </c>
      <c r="B231" t="s">
        <v>4128</v>
      </c>
      <c r="C231">
        <v>2</v>
      </c>
      <c r="D231" t="s">
        <v>41</v>
      </c>
      <c r="E231">
        <v>17</v>
      </c>
      <c r="F231" t="s">
        <v>3793</v>
      </c>
      <c r="G231" t="s">
        <v>4127</v>
      </c>
      <c r="H231" t="s">
        <v>3783</v>
      </c>
      <c r="I231" t="s">
        <v>3794</v>
      </c>
      <c r="J231" t="s">
        <v>4128</v>
      </c>
      <c r="K231" t="s">
        <v>3804</v>
      </c>
      <c r="L231" t="s">
        <v>3797</v>
      </c>
      <c r="M231" t="s">
        <v>42</v>
      </c>
      <c r="N231" t="s">
        <v>118</v>
      </c>
      <c r="O231" t="s">
        <v>3805</v>
      </c>
      <c r="P231" s="9">
        <v>44258.510474537034</v>
      </c>
      <c r="Q231" t="s">
        <v>3806</v>
      </c>
      <c r="R231" t="s">
        <v>3794</v>
      </c>
    </row>
    <row r="232" spans="1:18" x14ac:dyDescent="0.25">
      <c r="A232" t="s">
        <v>4129</v>
      </c>
      <c r="B232" t="s">
        <v>4128</v>
      </c>
      <c r="C232">
        <v>2</v>
      </c>
      <c r="D232" t="s">
        <v>41</v>
      </c>
      <c r="E232">
        <v>17</v>
      </c>
      <c r="F232" t="s">
        <v>3793</v>
      </c>
      <c r="G232" t="s">
        <v>4129</v>
      </c>
      <c r="H232" t="s">
        <v>3783</v>
      </c>
      <c r="I232" t="s">
        <v>3794</v>
      </c>
      <c r="J232" t="s">
        <v>4128</v>
      </c>
      <c r="K232" t="s">
        <v>3804</v>
      </c>
      <c r="L232" t="s">
        <v>3797</v>
      </c>
      <c r="M232" t="s">
        <v>145</v>
      </c>
      <c r="N232" t="s">
        <v>118</v>
      </c>
      <c r="O232" t="s">
        <v>3808</v>
      </c>
      <c r="P232" s="9">
        <v>44258.51048611111</v>
      </c>
      <c r="Q232" t="s">
        <v>3809</v>
      </c>
      <c r="R232" t="s">
        <v>3794</v>
      </c>
    </row>
    <row r="233" spans="1:18" x14ac:dyDescent="0.25">
      <c r="A233" t="s">
        <v>4130</v>
      </c>
      <c r="B233" t="s">
        <v>4128</v>
      </c>
      <c r="C233">
        <v>2</v>
      </c>
      <c r="D233" t="s">
        <v>41</v>
      </c>
      <c r="E233">
        <v>17</v>
      </c>
      <c r="F233" t="s">
        <v>3793</v>
      </c>
      <c r="G233" t="s">
        <v>4130</v>
      </c>
      <c r="H233" t="s">
        <v>3783</v>
      </c>
      <c r="I233" t="s">
        <v>3794</v>
      </c>
      <c r="J233" t="s">
        <v>4128</v>
      </c>
      <c r="K233" t="s">
        <v>3804</v>
      </c>
      <c r="L233" t="s">
        <v>3797</v>
      </c>
      <c r="M233" t="s">
        <v>232</v>
      </c>
      <c r="N233" t="s">
        <v>118</v>
      </c>
      <c r="O233" t="s">
        <v>3808</v>
      </c>
      <c r="P233" s="9">
        <v>44258.51048611111</v>
      </c>
      <c r="Q233" t="s">
        <v>3811</v>
      </c>
      <c r="R233" t="s">
        <v>3794</v>
      </c>
    </row>
    <row r="234" spans="1:18" x14ac:dyDescent="0.25">
      <c r="A234" t="s">
        <v>4131</v>
      </c>
      <c r="B234" t="s">
        <v>4128</v>
      </c>
      <c r="C234">
        <v>2</v>
      </c>
      <c r="D234" t="s">
        <v>41</v>
      </c>
      <c r="E234">
        <v>17</v>
      </c>
      <c r="F234" t="s">
        <v>3793</v>
      </c>
      <c r="G234" t="s">
        <v>4131</v>
      </c>
      <c r="H234" t="s">
        <v>3783</v>
      </c>
      <c r="I234" t="s">
        <v>3794</v>
      </c>
      <c r="J234" t="s">
        <v>4128</v>
      </c>
      <c r="K234" t="s">
        <v>3804</v>
      </c>
      <c r="L234" t="s">
        <v>3797</v>
      </c>
      <c r="M234" t="s">
        <v>43</v>
      </c>
      <c r="N234" t="s">
        <v>118</v>
      </c>
      <c r="O234" t="s">
        <v>3801</v>
      </c>
      <c r="P234" s="9">
        <v>44258.510462962964</v>
      </c>
      <c r="Q234" t="s">
        <v>3813</v>
      </c>
      <c r="R234" t="s">
        <v>3794</v>
      </c>
    </row>
    <row r="235" spans="1:18" x14ac:dyDescent="0.25">
      <c r="A235" t="s">
        <v>4132</v>
      </c>
      <c r="B235" t="s">
        <v>4128</v>
      </c>
      <c r="C235">
        <v>2</v>
      </c>
      <c r="D235" t="s">
        <v>41</v>
      </c>
      <c r="E235">
        <v>17</v>
      </c>
      <c r="F235" t="s">
        <v>3793</v>
      </c>
      <c r="G235" t="s">
        <v>4132</v>
      </c>
      <c r="H235" t="s">
        <v>3783</v>
      </c>
      <c r="I235" t="s">
        <v>3794</v>
      </c>
      <c r="J235" t="s">
        <v>4128</v>
      </c>
      <c r="K235" t="s">
        <v>3804</v>
      </c>
      <c r="L235" t="s">
        <v>3797</v>
      </c>
      <c r="M235" t="s">
        <v>108</v>
      </c>
      <c r="N235" t="s">
        <v>119</v>
      </c>
      <c r="O235" t="s">
        <v>3815</v>
      </c>
      <c r="P235" s="9">
        <v>44258.510451388887</v>
      </c>
      <c r="Q235" t="s">
        <v>3816</v>
      </c>
      <c r="R235" t="s">
        <v>3794</v>
      </c>
    </row>
    <row r="236" spans="1:18" x14ac:dyDescent="0.25">
      <c r="A236" t="s">
        <v>4133</v>
      </c>
      <c r="B236" t="s">
        <v>4134</v>
      </c>
      <c r="C236">
        <v>2</v>
      </c>
      <c r="D236" t="s">
        <v>41</v>
      </c>
      <c r="E236">
        <v>17</v>
      </c>
      <c r="F236" t="s">
        <v>3793</v>
      </c>
      <c r="G236" t="s">
        <v>4133</v>
      </c>
      <c r="H236" t="s">
        <v>3782</v>
      </c>
      <c r="I236" t="s">
        <v>3794</v>
      </c>
      <c r="J236" t="s">
        <v>4134</v>
      </c>
      <c r="K236" t="s">
        <v>3804</v>
      </c>
      <c r="L236" t="s">
        <v>3797</v>
      </c>
      <c r="M236" t="s">
        <v>42</v>
      </c>
      <c r="N236" t="s">
        <v>118</v>
      </c>
      <c r="O236" t="s">
        <v>3805</v>
      </c>
      <c r="P236" s="9">
        <v>44258.510474537034</v>
      </c>
      <c r="Q236" t="s">
        <v>3806</v>
      </c>
      <c r="R236" t="s">
        <v>3794</v>
      </c>
    </row>
    <row r="237" spans="1:18" x14ac:dyDescent="0.25">
      <c r="A237" t="s">
        <v>4135</v>
      </c>
      <c r="B237" t="s">
        <v>4134</v>
      </c>
      <c r="C237">
        <v>2</v>
      </c>
      <c r="D237" t="s">
        <v>41</v>
      </c>
      <c r="E237">
        <v>17</v>
      </c>
      <c r="F237" t="s">
        <v>3793</v>
      </c>
      <c r="G237" t="s">
        <v>4135</v>
      </c>
      <c r="H237" t="s">
        <v>3782</v>
      </c>
      <c r="I237" t="s">
        <v>3794</v>
      </c>
      <c r="J237" t="s">
        <v>4134</v>
      </c>
      <c r="K237" t="s">
        <v>3804</v>
      </c>
      <c r="L237" t="s">
        <v>3797</v>
      </c>
      <c r="M237" t="s">
        <v>43</v>
      </c>
      <c r="N237" t="s">
        <v>118</v>
      </c>
      <c r="O237" t="s">
        <v>3801</v>
      </c>
      <c r="P237" s="9">
        <v>44258.510462962964</v>
      </c>
      <c r="Q237" t="s">
        <v>3813</v>
      </c>
      <c r="R237" t="s">
        <v>3794</v>
      </c>
    </row>
    <row r="238" spans="1:18" x14ac:dyDescent="0.25">
      <c r="A238" t="s">
        <v>4136</v>
      </c>
      <c r="B238" t="s">
        <v>4134</v>
      </c>
      <c r="C238">
        <v>2</v>
      </c>
      <c r="D238" t="s">
        <v>41</v>
      </c>
      <c r="E238">
        <v>17</v>
      </c>
      <c r="F238" t="s">
        <v>3793</v>
      </c>
      <c r="G238" t="s">
        <v>4136</v>
      </c>
      <c r="H238" t="s">
        <v>3782</v>
      </c>
      <c r="I238" t="s">
        <v>3794</v>
      </c>
      <c r="J238" t="s">
        <v>4134</v>
      </c>
      <c r="K238" t="s">
        <v>3804</v>
      </c>
      <c r="L238" t="s">
        <v>3797</v>
      </c>
      <c r="M238" t="s">
        <v>108</v>
      </c>
      <c r="N238" t="s">
        <v>119</v>
      </c>
      <c r="O238" t="s">
        <v>3815</v>
      </c>
      <c r="P238" s="9">
        <v>44258.510451388887</v>
      </c>
      <c r="Q238" t="s">
        <v>3816</v>
      </c>
      <c r="R238" t="s">
        <v>3794</v>
      </c>
    </row>
    <row r="239" spans="1:18" x14ac:dyDescent="0.25">
      <c r="A239" t="s">
        <v>4137</v>
      </c>
      <c r="B239" t="s">
        <v>4138</v>
      </c>
      <c r="C239">
        <v>2</v>
      </c>
      <c r="D239" t="s">
        <v>41</v>
      </c>
      <c r="E239">
        <v>17</v>
      </c>
      <c r="F239" t="s">
        <v>3793</v>
      </c>
      <c r="G239" t="s">
        <v>4137</v>
      </c>
      <c r="H239" t="s">
        <v>3784</v>
      </c>
      <c r="I239" t="s">
        <v>4139</v>
      </c>
      <c r="J239" t="s">
        <v>4138</v>
      </c>
      <c r="K239" t="s">
        <v>3796</v>
      </c>
      <c r="L239" t="s">
        <v>3797</v>
      </c>
      <c r="M239" t="s">
        <v>3739</v>
      </c>
      <c r="N239" t="s">
        <v>118</v>
      </c>
      <c r="O239" t="s">
        <v>4140</v>
      </c>
      <c r="P239" s="9">
        <v>44258.510439814818</v>
      </c>
      <c r="Q239" t="s">
        <v>3799</v>
      </c>
      <c r="R239" t="s">
        <v>3794</v>
      </c>
    </row>
    <row r="240" spans="1:18" x14ac:dyDescent="0.25">
      <c r="A240" t="s">
        <v>4141</v>
      </c>
      <c r="B240" t="s">
        <v>4138</v>
      </c>
      <c r="C240">
        <v>2</v>
      </c>
      <c r="D240" t="s">
        <v>41</v>
      </c>
      <c r="E240">
        <v>17</v>
      </c>
      <c r="F240" t="s">
        <v>3793</v>
      </c>
      <c r="G240" t="s">
        <v>4141</v>
      </c>
      <c r="H240" t="s">
        <v>3784</v>
      </c>
      <c r="I240" t="s">
        <v>3794</v>
      </c>
      <c r="J240" t="s">
        <v>4138</v>
      </c>
      <c r="K240" t="s">
        <v>3796</v>
      </c>
      <c r="L240" t="s">
        <v>3797</v>
      </c>
      <c r="M240" t="s">
        <v>3740</v>
      </c>
      <c r="N240" t="s">
        <v>118</v>
      </c>
      <c r="O240" t="s">
        <v>3801</v>
      </c>
      <c r="P240" s="9">
        <v>44258.510439814818</v>
      </c>
      <c r="Q240" t="s">
        <v>3802</v>
      </c>
      <c r="R240" t="s">
        <v>3794</v>
      </c>
    </row>
    <row r="241" spans="1:18" x14ac:dyDescent="0.25">
      <c r="A241" t="s">
        <v>4142</v>
      </c>
      <c r="B241" t="s">
        <v>4138</v>
      </c>
      <c r="C241">
        <v>2</v>
      </c>
      <c r="D241" t="s">
        <v>41</v>
      </c>
      <c r="E241">
        <v>17</v>
      </c>
      <c r="F241" t="s">
        <v>3793</v>
      </c>
      <c r="G241" t="s">
        <v>4142</v>
      </c>
      <c r="H241" t="s">
        <v>3784</v>
      </c>
      <c r="I241" t="s">
        <v>3794</v>
      </c>
      <c r="J241" t="s">
        <v>4138</v>
      </c>
      <c r="K241" t="s">
        <v>3804</v>
      </c>
      <c r="L241" t="s">
        <v>3797</v>
      </c>
      <c r="M241" t="s">
        <v>42</v>
      </c>
      <c r="N241" t="s">
        <v>118</v>
      </c>
      <c r="O241" t="s">
        <v>3805</v>
      </c>
      <c r="P241" s="9">
        <v>44258.510474537034</v>
      </c>
      <c r="Q241" t="s">
        <v>3806</v>
      </c>
      <c r="R241" t="s">
        <v>3794</v>
      </c>
    </row>
    <row r="242" spans="1:18" x14ac:dyDescent="0.25">
      <c r="A242" t="s">
        <v>4143</v>
      </c>
      <c r="B242" t="s">
        <v>4138</v>
      </c>
      <c r="C242">
        <v>2</v>
      </c>
      <c r="D242" t="s">
        <v>41</v>
      </c>
      <c r="E242">
        <v>17</v>
      </c>
      <c r="F242" t="s">
        <v>3793</v>
      </c>
      <c r="G242" t="s">
        <v>4143</v>
      </c>
      <c r="H242" t="s">
        <v>3784</v>
      </c>
      <c r="I242" t="s">
        <v>3794</v>
      </c>
      <c r="J242" t="s">
        <v>4138</v>
      </c>
      <c r="K242" t="s">
        <v>3804</v>
      </c>
      <c r="L242" t="s">
        <v>3797</v>
      </c>
      <c r="M242" t="s">
        <v>145</v>
      </c>
      <c r="N242" t="s">
        <v>118</v>
      </c>
      <c r="O242" t="s">
        <v>3808</v>
      </c>
      <c r="P242" s="9">
        <v>44258.51048611111</v>
      </c>
      <c r="Q242" t="s">
        <v>3809</v>
      </c>
      <c r="R242" t="s">
        <v>3794</v>
      </c>
    </row>
    <row r="243" spans="1:18" x14ac:dyDescent="0.25">
      <c r="A243" t="s">
        <v>4144</v>
      </c>
      <c r="B243" t="s">
        <v>4138</v>
      </c>
      <c r="C243">
        <v>2</v>
      </c>
      <c r="D243" t="s">
        <v>41</v>
      </c>
      <c r="E243">
        <v>17</v>
      </c>
      <c r="F243" t="s">
        <v>3793</v>
      </c>
      <c r="G243" t="s">
        <v>4144</v>
      </c>
      <c r="H243" t="s">
        <v>3784</v>
      </c>
      <c r="I243" t="s">
        <v>3794</v>
      </c>
      <c r="J243" t="s">
        <v>4138</v>
      </c>
      <c r="K243" t="s">
        <v>3804</v>
      </c>
      <c r="L243" t="s">
        <v>3797</v>
      </c>
      <c r="M243" t="s">
        <v>232</v>
      </c>
      <c r="N243" t="s">
        <v>118</v>
      </c>
      <c r="O243" t="s">
        <v>3808</v>
      </c>
      <c r="P243" s="9">
        <v>44258.51048611111</v>
      </c>
      <c r="Q243" t="s">
        <v>3811</v>
      </c>
      <c r="R243" t="s">
        <v>3794</v>
      </c>
    </row>
    <row r="244" spans="1:18" x14ac:dyDescent="0.25">
      <c r="A244" t="s">
        <v>4145</v>
      </c>
      <c r="B244" t="s">
        <v>4138</v>
      </c>
      <c r="C244">
        <v>2</v>
      </c>
      <c r="D244" t="s">
        <v>41</v>
      </c>
      <c r="E244">
        <v>17</v>
      </c>
      <c r="F244" t="s">
        <v>3793</v>
      </c>
      <c r="G244" t="s">
        <v>4145</v>
      </c>
      <c r="H244" t="s">
        <v>3784</v>
      </c>
      <c r="I244" t="s">
        <v>3794</v>
      </c>
      <c r="J244" t="s">
        <v>4138</v>
      </c>
      <c r="K244" t="s">
        <v>3804</v>
      </c>
      <c r="L244" t="s">
        <v>3797</v>
      </c>
      <c r="M244" t="s">
        <v>43</v>
      </c>
      <c r="N244" t="s">
        <v>118</v>
      </c>
      <c r="O244" t="s">
        <v>3801</v>
      </c>
      <c r="P244" s="9">
        <v>44258.510462962964</v>
      </c>
      <c r="Q244" t="s">
        <v>3813</v>
      </c>
      <c r="R244" t="s">
        <v>3794</v>
      </c>
    </row>
    <row r="245" spans="1:18" x14ac:dyDescent="0.25">
      <c r="A245" t="s">
        <v>4146</v>
      </c>
      <c r="B245" t="s">
        <v>4138</v>
      </c>
      <c r="C245">
        <v>2</v>
      </c>
      <c r="D245" t="s">
        <v>41</v>
      </c>
      <c r="E245">
        <v>17</v>
      </c>
      <c r="F245" t="s">
        <v>3793</v>
      </c>
      <c r="G245" t="s">
        <v>4146</v>
      </c>
      <c r="H245" t="s">
        <v>3784</v>
      </c>
      <c r="I245" t="s">
        <v>3794</v>
      </c>
      <c r="J245" t="s">
        <v>4138</v>
      </c>
      <c r="K245" t="s">
        <v>3804</v>
      </c>
      <c r="L245" t="s">
        <v>3797</v>
      </c>
      <c r="M245" t="s">
        <v>108</v>
      </c>
      <c r="N245" t="s">
        <v>119</v>
      </c>
      <c r="O245" t="s">
        <v>3815</v>
      </c>
      <c r="P245" s="9">
        <v>44258.510451388887</v>
      </c>
      <c r="Q245" t="s">
        <v>3816</v>
      </c>
      <c r="R245" t="s">
        <v>3794</v>
      </c>
    </row>
    <row r="246" spans="1:18" x14ac:dyDescent="0.25">
      <c r="A246" t="s">
        <v>4147</v>
      </c>
      <c r="B246" t="s">
        <v>4148</v>
      </c>
      <c r="C246">
        <v>2</v>
      </c>
      <c r="D246" t="s">
        <v>41</v>
      </c>
      <c r="E246">
        <v>17</v>
      </c>
      <c r="F246" t="s">
        <v>3793</v>
      </c>
      <c r="G246" t="s">
        <v>4147</v>
      </c>
      <c r="H246" t="s">
        <v>3785</v>
      </c>
      <c r="I246" t="s">
        <v>4149</v>
      </c>
      <c r="J246" t="s">
        <v>4148</v>
      </c>
      <c r="K246" t="s">
        <v>3840</v>
      </c>
      <c r="L246" t="s">
        <v>3797</v>
      </c>
      <c r="M246" t="s">
        <v>3739</v>
      </c>
      <c r="N246" t="s">
        <v>118</v>
      </c>
      <c r="O246" t="s">
        <v>4150</v>
      </c>
      <c r="P246" s="9">
        <v>44258.510451388887</v>
      </c>
      <c r="Q246" t="s">
        <v>3842</v>
      </c>
      <c r="R246" t="s">
        <v>3794</v>
      </c>
    </row>
    <row r="247" spans="1:18" x14ac:dyDescent="0.25">
      <c r="A247" t="s">
        <v>4151</v>
      </c>
      <c r="B247" t="s">
        <v>4148</v>
      </c>
      <c r="C247">
        <v>2</v>
      </c>
      <c r="D247" t="s">
        <v>41</v>
      </c>
      <c r="E247">
        <v>17</v>
      </c>
      <c r="F247" t="s">
        <v>3793</v>
      </c>
      <c r="G247" t="s">
        <v>4151</v>
      </c>
      <c r="H247" t="s">
        <v>3785</v>
      </c>
      <c r="I247" t="s">
        <v>3794</v>
      </c>
      <c r="J247" t="s">
        <v>4148</v>
      </c>
      <c r="K247" t="s">
        <v>3840</v>
      </c>
      <c r="L247" t="s">
        <v>3797</v>
      </c>
      <c r="M247" t="s">
        <v>3740</v>
      </c>
      <c r="N247" t="s">
        <v>118</v>
      </c>
      <c r="O247" t="s">
        <v>3801</v>
      </c>
      <c r="P247" s="9">
        <v>44258.510451388887</v>
      </c>
      <c r="Q247" t="s">
        <v>3844</v>
      </c>
      <c r="R247" t="s">
        <v>3794</v>
      </c>
    </row>
    <row r="248" spans="1:18" x14ac:dyDescent="0.25">
      <c r="A248" t="s">
        <v>4152</v>
      </c>
      <c r="B248" t="s">
        <v>4148</v>
      </c>
      <c r="C248">
        <v>2</v>
      </c>
      <c r="D248" t="s">
        <v>41</v>
      </c>
      <c r="E248">
        <v>17</v>
      </c>
      <c r="F248" t="s">
        <v>3793</v>
      </c>
      <c r="G248" t="s">
        <v>4152</v>
      </c>
      <c r="H248" t="s">
        <v>3785</v>
      </c>
      <c r="I248" t="s">
        <v>3794</v>
      </c>
      <c r="J248" t="s">
        <v>4148</v>
      </c>
      <c r="K248" t="s">
        <v>3804</v>
      </c>
      <c r="L248" t="s">
        <v>3797</v>
      </c>
      <c r="M248" t="s">
        <v>42</v>
      </c>
      <c r="N248" t="s">
        <v>118</v>
      </c>
      <c r="O248" t="s">
        <v>3805</v>
      </c>
      <c r="P248" s="9">
        <v>44258.510474537034</v>
      </c>
      <c r="Q248" t="s">
        <v>3806</v>
      </c>
      <c r="R248" t="s">
        <v>3794</v>
      </c>
    </row>
    <row r="249" spans="1:18" x14ac:dyDescent="0.25">
      <c r="A249" t="s">
        <v>4153</v>
      </c>
      <c r="B249" t="s">
        <v>4148</v>
      </c>
      <c r="C249">
        <v>2</v>
      </c>
      <c r="D249" t="s">
        <v>41</v>
      </c>
      <c r="E249">
        <v>17</v>
      </c>
      <c r="F249" t="s">
        <v>3793</v>
      </c>
      <c r="G249" t="s">
        <v>4153</v>
      </c>
      <c r="H249" t="s">
        <v>3785</v>
      </c>
      <c r="I249" t="s">
        <v>3794</v>
      </c>
      <c r="J249" t="s">
        <v>4148</v>
      </c>
      <c r="K249" t="s">
        <v>3804</v>
      </c>
      <c r="L249" t="s">
        <v>3797</v>
      </c>
      <c r="M249" t="s">
        <v>145</v>
      </c>
      <c r="N249" t="s">
        <v>118</v>
      </c>
      <c r="O249" t="s">
        <v>3808</v>
      </c>
      <c r="P249" s="9">
        <v>44258.51048611111</v>
      </c>
      <c r="Q249" t="s">
        <v>3809</v>
      </c>
      <c r="R249" t="s">
        <v>3794</v>
      </c>
    </row>
    <row r="250" spans="1:18" x14ac:dyDescent="0.25">
      <c r="A250" t="s">
        <v>4154</v>
      </c>
      <c r="B250" t="s">
        <v>4148</v>
      </c>
      <c r="C250">
        <v>2</v>
      </c>
      <c r="D250" t="s">
        <v>41</v>
      </c>
      <c r="E250">
        <v>17</v>
      </c>
      <c r="F250" t="s">
        <v>3793</v>
      </c>
      <c r="G250" t="s">
        <v>4154</v>
      </c>
      <c r="H250" t="s">
        <v>3785</v>
      </c>
      <c r="I250" t="s">
        <v>3794</v>
      </c>
      <c r="J250" t="s">
        <v>4148</v>
      </c>
      <c r="K250" t="s">
        <v>3804</v>
      </c>
      <c r="L250" t="s">
        <v>3797</v>
      </c>
      <c r="M250" t="s">
        <v>232</v>
      </c>
      <c r="N250" t="s">
        <v>118</v>
      </c>
      <c r="O250" t="s">
        <v>3808</v>
      </c>
      <c r="P250" s="9">
        <v>44258.51048611111</v>
      </c>
      <c r="Q250" t="s">
        <v>3811</v>
      </c>
      <c r="R250" t="s">
        <v>3794</v>
      </c>
    </row>
    <row r="251" spans="1:18" x14ac:dyDescent="0.25">
      <c r="A251" t="s">
        <v>4155</v>
      </c>
      <c r="B251" t="s">
        <v>4148</v>
      </c>
      <c r="C251">
        <v>2</v>
      </c>
      <c r="D251" t="s">
        <v>41</v>
      </c>
      <c r="E251">
        <v>17</v>
      </c>
      <c r="F251" t="s">
        <v>3793</v>
      </c>
      <c r="G251" t="s">
        <v>4155</v>
      </c>
      <c r="H251" t="s">
        <v>3785</v>
      </c>
      <c r="I251" t="s">
        <v>3794</v>
      </c>
      <c r="J251" t="s">
        <v>4148</v>
      </c>
      <c r="K251" t="s">
        <v>3804</v>
      </c>
      <c r="L251" t="s">
        <v>3797</v>
      </c>
      <c r="M251" t="s">
        <v>43</v>
      </c>
      <c r="N251" t="s">
        <v>118</v>
      </c>
      <c r="O251" t="s">
        <v>3801</v>
      </c>
      <c r="P251" s="9">
        <v>44258.510462962964</v>
      </c>
      <c r="Q251" t="s">
        <v>3813</v>
      </c>
      <c r="R251" t="s">
        <v>3794</v>
      </c>
    </row>
    <row r="252" spans="1:18" x14ac:dyDescent="0.25">
      <c r="A252" t="s">
        <v>4156</v>
      </c>
      <c r="B252" t="s">
        <v>4148</v>
      </c>
      <c r="C252">
        <v>2</v>
      </c>
      <c r="D252" t="s">
        <v>41</v>
      </c>
      <c r="E252">
        <v>17</v>
      </c>
      <c r="F252" t="s">
        <v>3793</v>
      </c>
      <c r="G252" t="s">
        <v>4156</v>
      </c>
      <c r="H252" t="s">
        <v>3785</v>
      </c>
      <c r="I252" t="s">
        <v>3794</v>
      </c>
      <c r="J252" t="s">
        <v>4148</v>
      </c>
      <c r="K252" t="s">
        <v>3804</v>
      </c>
      <c r="L252" t="s">
        <v>3797</v>
      </c>
      <c r="M252" t="s">
        <v>108</v>
      </c>
      <c r="N252" t="s">
        <v>119</v>
      </c>
      <c r="O252" t="s">
        <v>3815</v>
      </c>
      <c r="P252" s="9">
        <v>44258.510462962964</v>
      </c>
      <c r="Q252" t="s">
        <v>3816</v>
      </c>
      <c r="R252" t="s">
        <v>3794</v>
      </c>
    </row>
    <row r="253" spans="1:18" x14ac:dyDescent="0.25">
      <c r="A253" t="s">
        <v>4157</v>
      </c>
      <c r="B253" t="s">
        <v>4158</v>
      </c>
      <c r="C253">
        <v>2</v>
      </c>
      <c r="D253" t="s">
        <v>41</v>
      </c>
      <c r="E253">
        <v>17</v>
      </c>
      <c r="F253" t="s">
        <v>3793</v>
      </c>
      <c r="G253" t="s">
        <v>4157</v>
      </c>
      <c r="H253" t="s">
        <v>3787</v>
      </c>
      <c r="I253" t="s">
        <v>4159</v>
      </c>
      <c r="J253" t="s">
        <v>4158</v>
      </c>
      <c r="K253" t="s">
        <v>3804</v>
      </c>
      <c r="L253" t="s">
        <v>3797</v>
      </c>
      <c r="M253" t="s">
        <v>3739</v>
      </c>
      <c r="N253" t="s">
        <v>118</v>
      </c>
      <c r="O253" t="s">
        <v>4160</v>
      </c>
      <c r="P253" s="9">
        <v>44258.510474537034</v>
      </c>
      <c r="Q253" t="s">
        <v>3900</v>
      </c>
      <c r="R253" t="s">
        <v>3794</v>
      </c>
    </row>
    <row r="254" spans="1:18" x14ac:dyDescent="0.25">
      <c r="A254" t="s">
        <v>4161</v>
      </c>
      <c r="B254" t="s">
        <v>4158</v>
      </c>
      <c r="C254">
        <v>2</v>
      </c>
      <c r="D254" t="s">
        <v>41</v>
      </c>
      <c r="E254">
        <v>17</v>
      </c>
      <c r="F254" t="s">
        <v>3793</v>
      </c>
      <c r="G254" t="s">
        <v>4161</v>
      </c>
      <c r="H254" t="s">
        <v>3787</v>
      </c>
      <c r="I254" t="s">
        <v>3794</v>
      </c>
      <c r="J254" t="s">
        <v>4158</v>
      </c>
      <c r="K254" t="s">
        <v>3804</v>
      </c>
      <c r="L254" t="s">
        <v>3797</v>
      </c>
      <c r="M254" t="s">
        <v>3740</v>
      </c>
      <c r="N254" t="s">
        <v>118</v>
      </c>
      <c r="O254" t="s">
        <v>3801</v>
      </c>
      <c r="P254" s="9">
        <v>44258.510497685187</v>
      </c>
      <c r="Q254" t="s">
        <v>3902</v>
      </c>
      <c r="R254" t="s">
        <v>3794</v>
      </c>
    </row>
    <row r="255" spans="1:18" x14ac:dyDescent="0.25">
      <c r="A255" t="s">
        <v>4162</v>
      </c>
      <c r="B255" t="s">
        <v>4158</v>
      </c>
      <c r="C255">
        <v>2</v>
      </c>
      <c r="D255" t="s">
        <v>41</v>
      </c>
      <c r="E255">
        <v>17</v>
      </c>
      <c r="F255" t="s">
        <v>3793</v>
      </c>
      <c r="G255" t="s">
        <v>4162</v>
      </c>
      <c r="H255" t="s">
        <v>3787</v>
      </c>
      <c r="I255" t="s">
        <v>3794</v>
      </c>
      <c r="J255" t="s">
        <v>4158</v>
      </c>
      <c r="K255" t="s">
        <v>3804</v>
      </c>
      <c r="L255" t="s">
        <v>3797</v>
      </c>
      <c r="M255" t="s">
        <v>42</v>
      </c>
      <c r="N255" t="s">
        <v>118</v>
      </c>
      <c r="O255" t="s">
        <v>3805</v>
      </c>
      <c r="P255" s="9">
        <v>44258.510474537034</v>
      </c>
      <c r="Q255" t="s">
        <v>3806</v>
      </c>
      <c r="R255" t="s">
        <v>3794</v>
      </c>
    </row>
    <row r="256" spans="1:18" x14ac:dyDescent="0.25">
      <c r="A256" t="s">
        <v>4163</v>
      </c>
      <c r="B256" t="s">
        <v>4158</v>
      </c>
      <c r="C256">
        <v>2</v>
      </c>
      <c r="D256" t="s">
        <v>41</v>
      </c>
      <c r="E256">
        <v>17</v>
      </c>
      <c r="F256" t="s">
        <v>3793</v>
      </c>
      <c r="G256" t="s">
        <v>4163</v>
      </c>
      <c r="H256" t="s">
        <v>3787</v>
      </c>
      <c r="I256" t="s">
        <v>3794</v>
      </c>
      <c r="J256" t="s">
        <v>4158</v>
      </c>
      <c r="K256" t="s">
        <v>3804</v>
      </c>
      <c r="L256" t="s">
        <v>3797</v>
      </c>
      <c r="M256" t="s">
        <v>43</v>
      </c>
      <c r="N256" t="s">
        <v>118</v>
      </c>
      <c r="O256" t="s">
        <v>3801</v>
      </c>
      <c r="P256" s="9">
        <v>44258.510474537034</v>
      </c>
      <c r="Q256" t="s">
        <v>3813</v>
      </c>
      <c r="R256" t="s">
        <v>3794</v>
      </c>
    </row>
    <row r="257" spans="1:18" x14ac:dyDescent="0.25">
      <c r="A257" t="s">
        <v>4164</v>
      </c>
      <c r="B257" t="s">
        <v>4158</v>
      </c>
      <c r="C257">
        <v>2</v>
      </c>
      <c r="D257" t="s">
        <v>41</v>
      </c>
      <c r="E257">
        <v>17</v>
      </c>
      <c r="F257" t="s">
        <v>3793</v>
      </c>
      <c r="G257" t="s">
        <v>4164</v>
      </c>
      <c r="H257" t="s">
        <v>3787</v>
      </c>
      <c r="I257" t="s">
        <v>3794</v>
      </c>
      <c r="J257" t="s">
        <v>4158</v>
      </c>
      <c r="K257" t="s">
        <v>3804</v>
      </c>
      <c r="L257" t="s">
        <v>3797</v>
      </c>
      <c r="M257" t="s">
        <v>108</v>
      </c>
      <c r="N257" t="s">
        <v>119</v>
      </c>
      <c r="O257" t="s">
        <v>3815</v>
      </c>
      <c r="P257" s="9">
        <v>44258.510462962964</v>
      </c>
      <c r="Q257" t="s">
        <v>3816</v>
      </c>
      <c r="R257" t="s">
        <v>3794</v>
      </c>
    </row>
    <row r="258" spans="1:18" x14ac:dyDescent="0.25">
      <c r="A258" t="s">
        <v>4165</v>
      </c>
      <c r="B258" t="s">
        <v>4166</v>
      </c>
      <c r="C258">
        <v>2</v>
      </c>
      <c r="D258" t="s">
        <v>41</v>
      </c>
      <c r="E258">
        <v>17</v>
      </c>
      <c r="F258" t="s">
        <v>3793</v>
      </c>
      <c r="G258" t="s">
        <v>4165</v>
      </c>
      <c r="H258" t="s">
        <v>3784</v>
      </c>
      <c r="I258" t="s">
        <v>4167</v>
      </c>
      <c r="J258" t="s">
        <v>4166</v>
      </c>
      <c r="K258" t="s">
        <v>3796</v>
      </c>
      <c r="L258" t="s">
        <v>3797</v>
      </c>
      <c r="M258" t="s">
        <v>3739</v>
      </c>
      <c r="N258" t="s">
        <v>118</v>
      </c>
      <c r="O258" t="s">
        <v>4168</v>
      </c>
      <c r="P258" s="9">
        <v>44258.510439814818</v>
      </c>
      <c r="Q258" t="s">
        <v>3799</v>
      </c>
      <c r="R258" t="s">
        <v>3794</v>
      </c>
    </row>
    <row r="259" spans="1:18" x14ac:dyDescent="0.25">
      <c r="A259" t="s">
        <v>4169</v>
      </c>
      <c r="B259" t="s">
        <v>4166</v>
      </c>
      <c r="C259">
        <v>2</v>
      </c>
      <c r="D259" t="s">
        <v>41</v>
      </c>
      <c r="E259">
        <v>17</v>
      </c>
      <c r="F259" t="s">
        <v>3793</v>
      </c>
      <c r="G259" t="s">
        <v>4169</v>
      </c>
      <c r="H259" t="s">
        <v>3784</v>
      </c>
      <c r="I259" t="s">
        <v>3794</v>
      </c>
      <c r="J259" t="s">
        <v>4166</v>
      </c>
      <c r="K259" t="s">
        <v>3796</v>
      </c>
      <c r="L259" t="s">
        <v>3797</v>
      </c>
      <c r="M259" t="s">
        <v>3740</v>
      </c>
      <c r="N259" t="s">
        <v>118</v>
      </c>
      <c r="O259" t="s">
        <v>3801</v>
      </c>
      <c r="P259" s="9">
        <v>44258.510439814818</v>
      </c>
      <c r="Q259" t="s">
        <v>3802</v>
      </c>
      <c r="R259" t="s">
        <v>3794</v>
      </c>
    </row>
    <row r="260" spans="1:18" x14ac:dyDescent="0.25">
      <c r="A260" t="s">
        <v>4170</v>
      </c>
      <c r="B260" t="s">
        <v>4166</v>
      </c>
      <c r="C260">
        <v>2</v>
      </c>
      <c r="D260" t="s">
        <v>41</v>
      </c>
      <c r="E260">
        <v>17</v>
      </c>
      <c r="F260" t="s">
        <v>3793</v>
      </c>
      <c r="G260" t="s">
        <v>4170</v>
      </c>
      <c r="H260" t="s">
        <v>3784</v>
      </c>
      <c r="I260" t="s">
        <v>3794</v>
      </c>
      <c r="J260" t="s">
        <v>4166</v>
      </c>
      <c r="K260" t="s">
        <v>3804</v>
      </c>
      <c r="L260" t="s">
        <v>3797</v>
      </c>
      <c r="M260" t="s">
        <v>42</v>
      </c>
      <c r="N260" t="s">
        <v>118</v>
      </c>
      <c r="O260" t="s">
        <v>3805</v>
      </c>
      <c r="P260" s="9">
        <v>44258.510474537034</v>
      </c>
      <c r="Q260" t="s">
        <v>3806</v>
      </c>
      <c r="R260" t="s">
        <v>3794</v>
      </c>
    </row>
    <row r="261" spans="1:18" x14ac:dyDescent="0.25">
      <c r="A261" t="s">
        <v>4171</v>
      </c>
      <c r="B261" t="s">
        <v>4166</v>
      </c>
      <c r="C261">
        <v>2</v>
      </c>
      <c r="D261" t="s">
        <v>41</v>
      </c>
      <c r="E261">
        <v>17</v>
      </c>
      <c r="F261" t="s">
        <v>3793</v>
      </c>
      <c r="G261" t="s">
        <v>4171</v>
      </c>
      <c r="H261" t="s">
        <v>3784</v>
      </c>
      <c r="I261" t="s">
        <v>3794</v>
      </c>
      <c r="J261" t="s">
        <v>4166</v>
      </c>
      <c r="K261" t="s">
        <v>3804</v>
      </c>
      <c r="L261" t="s">
        <v>3797</v>
      </c>
      <c r="M261" t="s">
        <v>145</v>
      </c>
      <c r="N261" t="s">
        <v>118</v>
      </c>
      <c r="O261" t="s">
        <v>3808</v>
      </c>
      <c r="P261" s="9">
        <v>44258.51048611111</v>
      </c>
      <c r="Q261" t="s">
        <v>3809</v>
      </c>
      <c r="R261" t="s">
        <v>3794</v>
      </c>
    </row>
    <row r="262" spans="1:18" x14ac:dyDescent="0.25">
      <c r="A262" t="s">
        <v>4172</v>
      </c>
      <c r="B262" t="s">
        <v>4166</v>
      </c>
      <c r="C262">
        <v>2</v>
      </c>
      <c r="D262" t="s">
        <v>41</v>
      </c>
      <c r="E262">
        <v>17</v>
      </c>
      <c r="F262" t="s">
        <v>3793</v>
      </c>
      <c r="G262" t="s">
        <v>4172</v>
      </c>
      <c r="H262" t="s">
        <v>3784</v>
      </c>
      <c r="I262" t="s">
        <v>3794</v>
      </c>
      <c r="J262" t="s">
        <v>4166</v>
      </c>
      <c r="K262" t="s">
        <v>3804</v>
      </c>
      <c r="L262" t="s">
        <v>3797</v>
      </c>
      <c r="M262" t="s">
        <v>232</v>
      </c>
      <c r="N262" t="s">
        <v>118</v>
      </c>
      <c r="O262" t="s">
        <v>3808</v>
      </c>
      <c r="P262" s="9">
        <v>44258.51048611111</v>
      </c>
      <c r="Q262" t="s">
        <v>3811</v>
      </c>
      <c r="R262" t="s">
        <v>3794</v>
      </c>
    </row>
    <row r="263" spans="1:18" x14ac:dyDescent="0.25">
      <c r="A263" t="s">
        <v>4173</v>
      </c>
      <c r="B263" t="s">
        <v>4166</v>
      </c>
      <c r="C263">
        <v>2</v>
      </c>
      <c r="D263" t="s">
        <v>41</v>
      </c>
      <c r="E263">
        <v>17</v>
      </c>
      <c r="F263" t="s">
        <v>3793</v>
      </c>
      <c r="G263" t="s">
        <v>4173</v>
      </c>
      <c r="H263" t="s">
        <v>3784</v>
      </c>
      <c r="I263" t="s">
        <v>3794</v>
      </c>
      <c r="J263" t="s">
        <v>4166</v>
      </c>
      <c r="K263" t="s">
        <v>3804</v>
      </c>
      <c r="L263" t="s">
        <v>3797</v>
      </c>
      <c r="M263" t="s">
        <v>43</v>
      </c>
      <c r="N263" t="s">
        <v>118</v>
      </c>
      <c r="O263" t="s">
        <v>3801</v>
      </c>
      <c r="P263" s="9">
        <v>44258.510462962964</v>
      </c>
      <c r="Q263" t="s">
        <v>3813</v>
      </c>
      <c r="R263" t="s">
        <v>3794</v>
      </c>
    </row>
    <row r="264" spans="1:18" x14ac:dyDescent="0.25">
      <c r="A264" t="s">
        <v>4174</v>
      </c>
      <c r="B264" t="s">
        <v>4166</v>
      </c>
      <c r="C264">
        <v>2</v>
      </c>
      <c r="D264" t="s">
        <v>41</v>
      </c>
      <c r="E264">
        <v>17</v>
      </c>
      <c r="F264" t="s">
        <v>3793</v>
      </c>
      <c r="G264" t="s">
        <v>4174</v>
      </c>
      <c r="H264" t="s">
        <v>3784</v>
      </c>
      <c r="I264" t="s">
        <v>3794</v>
      </c>
      <c r="J264" t="s">
        <v>4166</v>
      </c>
      <c r="K264" t="s">
        <v>3804</v>
      </c>
      <c r="L264" t="s">
        <v>3797</v>
      </c>
      <c r="M264" t="s">
        <v>108</v>
      </c>
      <c r="N264" t="s">
        <v>119</v>
      </c>
      <c r="O264" t="s">
        <v>3815</v>
      </c>
      <c r="P264" s="9">
        <v>44258.510451388887</v>
      </c>
      <c r="Q264" t="s">
        <v>3816</v>
      </c>
      <c r="R264" t="s">
        <v>3794</v>
      </c>
    </row>
    <row r="265" spans="1:18" x14ac:dyDescent="0.25">
      <c r="A265" t="s">
        <v>4175</v>
      </c>
      <c r="B265" t="s">
        <v>4176</v>
      </c>
      <c r="C265">
        <v>2</v>
      </c>
      <c r="D265" t="s">
        <v>41</v>
      </c>
      <c r="E265">
        <v>17</v>
      </c>
      <c r="F265" t="s">
        <v>3793</v>
      </c>
      <c r="G265" t="s">
        <v>4175</v>
      </c>
      <c r="H265" t="s">
        <v>3784</v>
      </c>
      <c r="I265" t="s">
        <v>4177</v>
      </c>
      <c r="J265" t="s">
        <v>4176</v>
      </c>
      <c r="K265" t="s">
        <v>3796</v>
      </c>
      <c r="L265" t="s">
        <v>3797</v>
      </c>
      <c r="M265" t="s">
        <v>3739</v>
      </c>
      <c r="N265" t="s">
        <v>118</v>
      </c>
      <c r="O265" t="s">
        <v>4178</v>
      </c>
      <c r="P265" s="9">
        <v>44258.510439814818</v>
      </c>
      <c r="Q265" t="s">
        <v>3799</v>
      </c>
      <c r="R265" t="s">
        <v>3794</v>
      </c>
    </row>
    <row r="266" spans="1:18" x14ac:dyDescent="0.25">
      <c r="A266" t="s">
        <v>4179</v>
      </c>
      <c r="B266" t="s">
        <v>4176</v>
      </c>
      <c r="C266">
        <v>2</v>
      </c>
      <c r="D266" t="s">
        <v>41</v>
      </c>
      <c r="E266">
        <v>17</v>
      </c>
      <c r="F266" t="s">
        <v>3793</v>
      </c>
      <c r="G266" t="s">
        <v>4179</v>
      </c>
      <c r="H266" t="s">
        <v>3784</v>
      </c>
      <c r="I266" t="s">
        <v>3794</v>
      </c>
      <c r="J266" t="s">
        <v>4176</v>
      </c>
      <c r="K266" t="s">
        <v>3796</v>
      </c>
      <c r="L266" t="s">
        <v>3797</v>
      </c>
      <c r="M266" t="s">
        <v>3740</v>
      </c>
      <c r="N266" t="s">
        <v>118</v>
      </c>
      <c r="O266" t="s">
        <v>3801</v>
      </c>
      <c r="P266" s="9">
        <v>44258.510439814818</v>
      </c>
      <c r="Q266" t="s">
        <v>3802</v>
      </c>
      <c r="R266" t="s">
        <v>3794</v>
      </c>
    </row>
    <row r="267" spans="1:18" x14ac:dyDescent="0.25">
      <c r="A267" t="s">
        <v>4180</v>
      </c>
      <c r="B267" t="s">
        <v>4176</v>
      </c>
      <c r="C267">
        <v>2</v>
      </c>
      <c r="D267" t="s">
        <v>41</v>
      </c>
      <c r="E267">
        <v>17</v>
      </c>
      <c r="F267" t="s">
        <v>3793</v>
      </c>
      <c r="G267" t="s">
        <v>4180</v>
      </c>
      <c r="H267" t="s">
        <v>3784</v>
      </c>
      <c r="I267" t="s">
        <v>3794</v>
      </c>
      <c r="J267" t="s">
        <v>4176</v>
      </c>
      <c r="K267" t="s">
        <v>3804</v>
      </c>
      <c r="L267" t="s">
        <v>3797</v>
      </c>
      <c r="M267" t="s">
        <v>42</v>
      </c>
      <c r="N267" t="s">
        <v>118</v>
      </c>
      <c r="O267" t="s">
        <v>3805</v>
      </c>
      <c r="P267" s="9">
        <v>44258.510474537034</v>
      </c>
      <c r="Q267" t="s">
        <v>3806</v>
      </c>
      <c r="R267" t="s">
        <v>3794</v>
      </c>
    </row>
    <row r="268" spans="1:18" x14ac:dyDescent="0.25">
      <c r="A268" t="s">
        <v>4181</v>
      </c>
      <c r="B268" t="s">
        <v>4176</v>
      </c>
      <c r="C268">
        <v>2</v>
      </c>
      <c r="D268" t="s">
        <v>41</v>
      </c>
      <c r="E268">
        <v>17</v>
      </c>
      <c r="F268" t="s">
        <v>3793</v>
      </c>
      <c r="G268" t="s">
        <v>4181</v>
      </c>
      <c r="H268" t="s">
        <v>3784</v>
      </c>
      <c r="I268" t="s">
        <v>3794</v>
      </c>
      <c r="J268" t="s">
        <v>4176</v>
      </c>
      <c r="K268" t="s">
        <v>3804</v>
      </c>
      <c r="L268" t="s">
        <v>3797</v>
      </c>
      <c r="M268" t="s">
        <v>145</v>
      </c>
      <c r="N268" t="s">
        <v>118</v>
      </c>
      <c r="O268" t="s">
        <v>3808</v>
      </c>
      <c r="P268" s="9">
        <v>44258.51048611111</v>
      </c>
      <c r="Q268" t="s">
        <v>3809</v>
      </c>
      <c r="R268" t="s">
        <v>3794</v>
      </c>
    </row>
    <row r="269" spans="1:18" x14ac:dyDescent="0.25">
      <c r="A269" t="s">
        <v>4182</v>
      </c>
      <c r="B269" t="s">
        <v>4176</v>
      </c>
      <c r="C269">
        <v>2</v>
      </c>
      <c r="D269" t="s">
        <v>41</v>
      </c>
      <c r="E269">
        <v>17</v>
      </c>
      <c r="F269" t="s">
        <v>3793</v>
      </c>
      <c r="G269" t="s">
        <v>4182</v>
      </c>
      <c r="H269" t="s">
        <v>3784</v>
      </c>
      <c r="I269" t="s">
        <v>3794</v>
      </c>
      <c r="J269" t="s">
        <v>4176</v>
      </c>
      <c r="K269" t="s">
        <v>3804</v>
      </c>
      <c r="L269" t="s">
        <v>3797</v>
      </c>
      <c r="M269" t="s">
        <v>232</v>
      </c>
      <c r="N269" t="s">
        <v>118</v>
      </c>
      <c r="O269" t="s">
        <v>3808</v>
      </c>
      <c r="P269" s="9">
        <v>44258.51048611111</v>
      </c>
      <c r="Q269" t="s">
        <v>3811</v>
      </c>
      <c r="R269" t="s">
        <v>3794</v>
      </c>
    </row>
    <row r="270" spans="1:18" x14ac:dyDescent="0.25">
      <c r="A270" t="s">
        <v>4183</v>
      </c>
      <c r="B270" t="s">
        <v>4176</v>
      </c>
      <c r="C270">
        <v>2</v>
      </c>
      <c r="D270" t="s">
        <v>41</v>
      </c>
      <c r="E270">
        <v>17</v>
      </c>
      <c r="F270" t="s">
        <v>3793</v>
      </c>
      <c r="G270" t="s">
        <v>4183</v>
      </c>
      <c r="H270" t="s">
        <v>3784</v>
      </c>
      <c r="I270" t="s">
        <v>3794</v>
      </c>
      <c r="J270" t="s">
        <v>4176</v>
      </c>
      <c r="K270" t="s">
        <v>3804</v>
      </c>
      <c r="L270" t="s">
        <v>3797</v>
      </c>
      <c r="M270" t="s">
        <v>43</v>
      </c>
      <c r="N270" t="s">
        <v>118</v>
      </c>
      <c r="O270" t="s">
        <v>3801</v>
      </c>
      <c r="P270" s="9">
        <v>44258.510462962964</v>
      </c>
      <c r="Q270" t="s">
        <v>3813</v>
      </c>
      <c r="R270" t="s">
        <v>3794</v>
      </c>
    </row>
    <row r="271" spans="1:18" x14ac:dyDescent="0.25">
      <c r="A271" t="s">
        <v>4184</v>
      </c>
      <c r="B271" t="s">
        <v>4176</v>
      </c>
      <c r="C271">
        <v>2</v>
      </c>
      <c r="D271" t="s">
        <v>41</v>
      </c>
      <c r="E271">
        <v>17</v>
      </c>
      <c r="F271" t="s">
        <v>3793</v>
      </c>
      <c r="G271" t="s">
        <v>4184</v>
      </c>
      <c r="H271" t="s">
        <v>3784</v>
      </c>
      <c r="I271" t="s">
        <v>3794</v>
      </c>
      <c r="J271" t="s">
        <v>4176</v>
      </c>
      <c r="K271" t="s">
        <v>3804</v>
      </c>
      <c r="L271" t="s">
        <v>3797</v>
      </c>
      <c r="M271" t="s">
        <v>108</v>
      </c>
      <c r="N271" t="s">
        <v>119</v>
      </c>
      <c r="O271" t="s">
        <v>3815</v>
      </c>
      <c r="P271" s="9">
        <v>44258.510451388887</v>
      </c>
      <c r="Q271" t="s">
        <v>3816</v>
      </c>
      <c r="R271" t="s">
        <v>3794</v>
      </c>
    </row>
    <row r="272" spans="1:18" x14ac:dyDescent="0.25">
      <c r="A272" t="s">
        <v>4185</v>
      </c>
      <c r="B272" t="s">
        <v>4186</v>
      </c>
      <c r="C272">
        <v>2</v>
      </c>
      <c r="D272" t="s">
        <v>41</v>
      </c>
      <c r="E272">
        <v>17</v>
      </c>
      <c r="F272" t="s">
        <v>3793</v>
      </c>
      <c r="G272" t="s">
        <v>4185</v>
      </c>
      <c r="H272" t="s">
        <v>3784</v>
      </c>
      <c r="I272" t="s">
        <v>4187</v>
      </c>
      <c r="J272" t="s">
        <v>4186</v>
      </c>
      <c r="K272" t="s">
        <v>3796</v>
      </c>
      <c r="L272" t="s">
        <v>3797</v>
      </c>
      <c r="M272" t="s">
        <v>3739</v>
      </c>
      <c r="N272" t="s">
        <v>118</v>
      </c>
      <c r="O272" t="s">
        <v>4188</v>
      </c>
      <c r="P272" s="9">
        <v>44258.510439814818</v>
      </c>
      <c r="Q272" t="s">
        <v>3799</v>
      </c>
      <c r="R272" t="s">
        <v>3794</v>
      </c>
    </row>
    <row r="273" spans="1:18" x14ac:dyDescent="0.25">
      <c r="A273" t="s">
        <v>4189</v>
      </c>
      <c r="B273" t="s">
        <v>4186</v>
      </c>
      <c r="C273">
        <v>2</v>
      </c>
      <c r="D273" t="s">
        <v>41</v>
      </c>
      <c r="E273">
        <v>17</v>
      </c>
      <c r="F273" t="s">
        <v>3793</v>
      </c>
      <c r="G273" t="s">
        <v>4189</v>
      </c>
      <c r="H273" t="s">
        <v>3784</v>
      </c>
      <c r="I273" t="s">
        <v>3794</v>
      </c>
      <c r="J273" t="s">
        <v>4186</v>
      </c>
      <c r="K273" t="s">
        <v>3796</v>
      </c>
      <c r="L273" t="s">
        <v>3797</v>
      </c>
      <c r="M273" t="s">
        <v>3740</v>
      </c>
      <c r="N273" t="s">
        <v>118</v>
      </c>
      <c r="O273" t="s">
        <v>3801</v>
      </c>
      <c r="P273" s="9">
        <v>44258.510439814818</v>
      </c>
      <c r="Q273" t="s">
        <v>3802</v>
      </c>
      <c r="R273" t="s">
        <v>3794</v>
      </c>
    </row>
    <row r="274" spans="1:18" x14ac:dyDescent="0.25">
      <c r="A274" t="s">
        <v>4190</v>
      </c>
      <c r="B274" t="s">
        <v>4186</v>
      </c>
      <c r="C274">
        <v>2</v>
      </c>
      <c r="D274" t="s">
        <v>41</v>
      </c>
      <c r="E274">
        <v>17</v>
      </c>
      <c r="F274" t="s">
        <v>3793</v>
      </c>
      <c r="G274" t="s">
        <v>4190</v>
      </c>
      <c r="H274" t="s">
        <v>3784</v>
      </c>
      <c r="I274" t="s">
        <v>3794</v>
      </c>
      <c r="J274" t="s">
        <v>4186</v>
      </c>
      <c r="K274" t="s">
        <v>3804</v>
      </c>
      <c r="L274" t="s">
        <v>3797</v>
      </c>
      <c r="M274" t="s">
        <v>42</v>
      </c>
      <c r="N274" t="s">
        <v>118</v>
      </c>
      <c r="O274" t="s">
        <v>3805</v>
      </c>
      <c r="P274" s="9">
        <v>44258.510474537034</v>
      </c>
      <c r="Q274" t="s">
        <v>3806</v>
      </c>
      <c r="R274" t="s">
        <v>3794</v>
      </c>
    </row>
    <row r="275" spans="1:18" x14ac:dyDescent="0.25">
      <c r="A275" t="s">
        <v>4191</v>
      </c>
      <c r="B275" t="s">
        <v>4186</v>
      </c>
      <c r="C275">
        <v>2</v>
      </c>
      <c r="D275" t="s">
        <v>41</v>
      </c>
      <c r="E275">
        <v>17</v>
      </c>
      <c r="F275" t="s">
        <v>3793</v>
      </c>
      <c r="G275" t="s">
        <v>4191</v>
      </c>
      <c r="H275" t="s">
        <v>3784</v>
      </c>
      <c r="I275" t="s">
        <v>3794</v>
      </c>
      <c r="J275" t="s">
        <v>4186</v>
      </c>
      <c r="K275" t="s">
        <v>3804</v>
      </c>
      <c r="L275" t="s">
        <v>3797</v>
      </c>
      <c r="M275" t="s">
        <v>145</v>
      </c>
      <c r="N275" t="s">
        <v>118</v>
      </c>
      <c r="O275" t="s">
        <v>3808</v>
      </c>
      <c r="P275" s="9">
        <v>44258.51048611111</v>
      </c>
      <c r="Q275" t="s">
        <v>3809</v>
      </c>
      <c r="R275" t="s">
        <v>3794</v>
      </c>
    </row>
    <row r="276" spans="1:18" x14ac:dyDescent="0.25">
      <c r="A276" t="s">
        <v>4192</v>
      </c>
      <c r="B276" t="s">
        <v>4186</v>
      </c>
      <c r="C276">
        <v>2</v>
      </c>
      <c r="D276" t="s">
        <v>41</v>
      </c>
      <c r="E276">
        <v>17</v>
      </c>
      <c r="F276" t="s">
        <v>3793</v>
      </c>
      <c r="G276" t="s">
        <v>4192</v>
      </c>
      <c r="H276" t="s">
        <v>3784</v>
      </c>
      <c r="I276" t="s">
        <v>3794</v>
      </c>
      <c r="J276" t="s">
        <v>4186</v>
      </c>
      <c r="K276" t="s">
        <v>3804</v>
      </c>
      <c r="L276" t="s">
        <v>3797</v>
      </c>
      <c r="M276" t="s">
        <v>232</v>
      </c>
      <c r="N276" t="s">
        <v>118</v>
      </c>
      <c r="O276" t="s">
        <v>3808</v>
      </c>
      <c r="P276" s="9">
        <v>44258.51048611111</v>
      </c>
      <c r="Q276" t="s">
        <v>3811</v>
      </c>
      <c r="R276" t="s">
        <v>3794</v>
      </c>
    </row>
    <row r="277" spans="1:18" x14ac:dyDescent="0.25">
      <c r="A277" t="s">
        <v>4193</v>
      </c>
      <c r="B277" t="s">
        <v>4186</v>
      </c>
      <c r="C277">
        <v>2</v>
      </c>
      <c r="D277" t="s">
        <v>41</v>
      </c>
      <c r="E277">
        <v>17</v>
      </c>
      <c r="F277" t="s">
        <v>3793</v>
      </c>
      <c r="G277" t="s">
        <v>4193</v>
      </c>
      <c r="H277" t="s">
        <v>3784</v>
      </c>
      <c r="I277" t="s">
        <v>3794</v>
      </c>
      <c r="J277" t="s">
        <v>4186</v>
      </c>
      <c r="K277" t="s">
        <v>3804</v>
      </c>
      <c r="L277" t="s">
        <v>3797</v>
      </c>
      <c r="M277" t="s">
        <v>43</v>
      </c>
      <c r="N277" t="s">
        <v>118</v>
      </c>
      <c r="O277" t="s">
        <v>3801</v>
      </c>
      <c r="P277" s="9">
        <v>44258.510462962964</v>
      </c>
      <c r="Q277" t="s">
        <v>3813</v>
      </c>
      <c r="R277" t="s">
        <v>3794</v>
      </c>
    </row>
    <row r="278" spans="1:18" x14ac:dyDescent="0.25">
      <c r="A278" t="s">
        <v>4194</v>
      </c>
      <c r="B278" t="s">
        <v>4186</v>
      </c>
      <c r="C278">
        <v>2</v>
      </c>
      <c r="D278" t="s">
        <v>41</v>
      </c>
      <c r="E278">
        <v>17</v>
      </c>
      <c r="F278" t="s">
        <v>3793</v>
      </c>
      <c r="G278" t="s">
        <v>4194</v>
      </c>
      <c r="H278" t="s">
        <v>3784</v>
      </c>
      <c r="I278" t="s">
        <v>3794</v>
      </c>
      <c r="J278" t="s">
        <v>4186</v>
      </c>
      <c r="K278" t="s">
        <v>3804</v>
      </c>
      <c r="L278" t="s">
        <v>3797</v>
      </c>
      <c r="M278" t="s">
        <v>108</v>
      </c>
      <c r="N278" t="s">
        <v>119</v>
      </c>
      <c r="O278" t="s">
        <v>3815</v>
      </c>
      <c r="P278" s="9">
        <v>44258.510451388887</v>
      </c>
      <c r="Q278" t="s">
        <v>3816</v>
      </c>
      <c r="R278" t="s">
        <v>3794</v>
      </c>
    </row>
    <row r="279" spans="1:18" x14ac:dyDescent="0.25">
      <c r="A279" t="s">
        <v>4195</v>
      </c>
      <c r="B279" t="s">
        <v>4196</v>
      </c>
      <c r="C279">
        <v>2</v>
      </c>
      <c r="D279" t="s">
        <v>41</v>
      </c>
      <c r="E279">
        <v>17</v>
      </c>
      <c r="F279" t="s">
        <v>3793</v>
      </c>
      <c r="G279" t="s">
        <v>4195</v>
      </c>
      <c r="H279" t="s">
        <v>3787</v>
      </c>
      <c r="I279" t="s">
        <v>4197</v>
      </c>
      <c r="J279" t="s">
        <v>4196</v>
      </c>
      <c r="K279" t="s">
        <v>3804</v>
      </c>
      <c r="L279" t="s">
        <v>3797</v>
      </c>
      <c r="M279" t="s">
        <v>3739</v>
      </c>
      <c r="N279" t="s">
        <v>118</v>
      </c>
      <c r="O279" t="s">
        <v>4198</v>
      </c>
      <c r="P279" s="9">
        <v>44258.510474537034</v>
      </c>
      <c r="Q279" t="s">
        <v>3900</v>
      </c>
      <c r="R279" t="s">
        <v>3794</v>
      </c>
    </row>
    <row r="280" spans="1:18" x14ac:dyDescent="0.25">
      <c r="A280" t="s">
        <v>4199</v>
      </c>
      <c r="B280" t="s">
        <v>4196</v>
      </c>
      <c r="C280">
        <v>2</v>
      </c>
      <c r="D280" t="s">
        <v>41</v>
      </c>
      <c r="E280">
        <v>17</v>
      </c>
      <c r="F280" t="s">
        <v>3793</v>
      </c>
      <c r="G280" t="s">
        <v>4199</v>
      </c>
      <c r="H280" t="s">
        <v>3787</v>
      </c>
      <c r="I280" t="s">
        <v>3794</v>
      </c>
      <c r="J280" t="s">
        <v>4196</v>
      </c>
      <c r="K280" t="s">
        <v>3804</v>
      </c>
      <c r="L280" t="s">
        <v>3797</v>
      </c>
      <c r="M280" t="s">
        <v>3740</v>
      </c>
      <c r="N280" t="s">
        <v>118</v>
      </c>
      <c r="O280" t="s">
        <v>3801</v>
      </c>
      <c r="P280" s="9">
        <v>44258.510497685187</v>
      </c>
      <c r="Q280" t="s">
        <v>3902</v>
      </c>
      <c r="R280" t="s">
        <v>3794</v>
      </c>
    </row>
    <row r="281" spans="1:18" x14ac:dyDescent="0.25">
      <c r="A281" t="s">
        <v>4200</v>
      </c>
      <c r="B281" t="s">
        <v>4196</v>
      </c>
      <c r="C281">
        <v>2</v>
      </c>
      <c r="D281" t="s">
        <v>41</v>
      </c>
      <c r="E281">
        <v>17</v>
      </c>
      <c r="F281" t="s">
        <v>3793</v>
      </c>
      <c r="G281" t="s">
        <v>4200</v>
      </c>
      <c r="H281" t="s">
        <v>3787</v>
      </c>
      <c r="I281" t="s">
        <v>3794</v>
      </c>
      <c r="J281" t="s">
        <v>4196</v>
      </c>
      <c r="K281" t="s">
        <v>3804</v>
      </c>
      <c r="L281" t="s">
        <v>3797</v>
      </c>
      <c r="M281" t="s">
        <v>42</v>
      </c>
      <c r="N281" t="s">
        <v>118</v>
      </c>
      <c r="O281" t="s">
        <v>3805</v>
      </c>
      <c r="P281" s="9">
        <v>44258.510474537034</v>
      </c>
      <c r="Q281" t="s">
        <v>3806</v>
      </c>
      <c r="R281" t="s">
        <v>3794</v>
      </c>
    </row>
    <row r="282" spans="1:18" x14ac:dyDescent="0.25">
      <c r="A282" t="s">
        <v>4201</v>
      </c>
      <c r="B282" t="s">
        <v>4196</v>
      </c>
      <c r="C282">
        <v>2</v>
      </c>
      <c r="D282" t="s">
        <v>41</v>
      </c>
      <c r="E282">
        <v>17</v>
      </c>
      <c r="F282" t="s">
        <v>3793</v>
      </c>
      <c r="G282" t="s">
        <v>4201</v>
      </c>
      <c r="H282" t="s">
        <v>3787</v>
      </c>
      <c r="I282" t="s">
        <v>3794</v>
      </c>
      <c r="J282" t="s">
        <v>4196</v>
      </c>
      <c r="K282" t="s">
        <v>3804</v>
      </c>
      <c r="L282" t="s">
        <v>3797</v>
      </c>
      <c r="M282" t="s">
        <v>43</v>
      </c>
      <c r="N282" t="s">
        <v>118</v>
      </c>
      <c r="O282" t="s">
        <v>3801</v>
      </c>
      <c r="P282" s="9">
        <v>44258.510474537034</v>
      </c>
      <c r="Q282" t="s">
        <v>3813</v>
      </c>
      <c r="R282" t="s">
        <v>3794</v>
      </c>
    </row>
    <row r="283" spans="1:18" x14ac:dyDescent="0.25">
      <c r="A283" t="s">
        <v>4202</v>
      </c>
      <c r="B283" t="s">
        <v>4196</v>
      </c>
      <c r="C283">
        <v>2</v>
      </c>
      <c r="D283" t="s">
        <v>41</v>
      </c>
      <c r="E283">
        <v>17</v>
      </c>
      <c r="F283" t="s">
        <v>3793</v>
      </c>
      <c r="G283" t="s">
        <v>4202</v>
      </c>
      <c r="H283" t="s">
        <v>3787</v>
      </c>
      <c r="I283" t="s">
        <v>3794</v>
      </c>
      <c r="J283" t="s">
        <v>4196</v>
      </c>
      <c r="K283" t="s">
        <v>3804</v>
      </c>
      <c r="L283" t="s">
        <v>3797</v>
      </c>
      <c r="M283" t="s">
        <v>108</v>
      </c>
      <c r="N283" t="s">
        <v>119</v>
      </c>
      <c r="O283" t="s">
        <v>3815</v>
      </c>
      <c r="P283" s="9">
        <v>44258.510462962964</v>
      </c>
      <c r="Q283" t="s">
        <v>3816</v>
      </c>
      <c r="R283" t="s">
        <v>3794</v>
      </c>
    </row>
    <row r="284" spans="1:18" x14ac:dyDescent="0.25">
      <c r="A284" t="s">
        <v>4644</v>
      </c>
      <c r="B284" t="s">
        <v>4645</v>
      </c>
      <c r="C284">
        <v>2</v>
      </c>
      <c r="D284" t="s">
        <v>41</v>
      </c>
      <c r="E284">
        <v>17</v>
      </c>
      <c r="F284" t="s">
        <v>3793</v>
      </c>
      <c r="G284" t="s">
        <v>4644</v>
      </c>
      <c r="H284" t="s">
        <v>4639</v>
      </c>
      <c r="I284" t="s">
        <v>3794</v>
      </c>
      <c r="J284" t="s">
        <v>4645</v>
      </c>
      <c r="K284" t="s">
        <v>4640</v>
      </c>
      <c r="L284" t="s">
        <v>3797</v>
      </c>
      <c r="M284" t="s">
        <v>3739</v>
      </c>
      <c r="N284" t="s">
        <v>118</v>
      </c>
      <c r="O284" t="s">
        <v>4371</v>
      </c>
      <c r="P284" s="9">
        <v>44259.510439814818</v>
      </c>
      <c r="Q284" t="s">
        <v>4641</v>
      </c>
      <c r="R284" t="s">
        <v>3794</v>
      </c>
    </row>
    <row r="285" spans="1:18" x14ac:dyDescent="0.25">
      <c r="A285" t="s">
        <v>4646</v>
      </c>
      <c r="B285" t="s">
        <v>4645</v>
      </c>
      <c r="C285">
        <v>2</v>
      </c>
      <c r="D285" t="s">
        <v>41</v>
      </c>
      <c r="E285">
        <v>17</v>
      </c>
      <c r="F285" t="s">
        <v>3793</v>
      </c>
      <c r="G285" t="s">
        <v>4646</v>
      </c>
      <c r="H285" t="s">
        <v>4639</v>
      </c>
      <c r="I285" t="s">
        <v>3794</v>
      </c>
      <c r="J285" t="s">
        <v>4645</v>
      </c>
      <c r="K285" t="s">
        <v>4640</v>
      </c>
      <c r="L285" t="s">
        <v>3797</v>
      </c>
      <c r="M285" t="s">
        <v>3740</v>
      </c>
      <c r="N285" t="s">
        <v>118</v>
      </c>
      <c r="O285" t="s">
        <v>3801</v>
      </c>
      <c r="P285" s="9">
        <v>44259.510439814818</v>
      </c>
      <c r="Q285" t="s">
        <v>4643</v>
      </c>
      <c r="R285" t="s">
        <v>3794</v>
      </c>
    </row>
    <row r="286" spans="1:18" x14ac:dyDescent="0.25">
      <c r="A286" t="s">
        <v>4203</v>
      </c>
      <c r="B286" t="s">
        <v>4204</v>
      </c>
      <c r="C286">
        <v>2</v>
      </c>
      <c r="D286" t="s">
        <v>41</v>
      </c>
      <c r="E286">
        <v>17</v>
      </c>
      <c r="F286" t="s">
        <v>3793</v>
      </c>
      <c r="G286" t="s">
        <v>4203</v>
      </c>
      <c r="H286" t="s">
        <v>3787</v>
      </c>
      <c r="I286" t="s">
        <v>4205</v>
      </c>
      <c r="J286" t="s">
        <v>4204</v>
      </c>
      <c r="K286" t="s">
        <v>3804</v>
      </c>
      <c r="L286" t="s">
        <v>3797</v>
      </c>
      <c r="M286" t="s">
        <v>3739</v>
      </c>
      <c r="N286" t="s">
        <v>118</v>
      </c>
      <c r="O286" t="s">
        <v>4206</v>
      </c>
      <c r="P286" s="9">
        <v>44258.510474537034</v>
      </c>
      <c r="Q286" t="s">
        <v>3900</v>
      </c>
      <c r="R286" t="s">
        <v>3794</v>
      </c>
    </row>
    <row r="287" spans="1:18" x14ac:dyDescent="0.25">
      <c r="A287" t="s">
        <v>4207</v>
      </c>
      <c r="B287" t="s">
        <v>4204</v>
      </c>
      <c r="C287">
        <v>2</v>
      </c>
      <c r="D287" t="s">
        <v>41</v>
      </c>
      <c r="E287">
        <v>17</v>
      </c>
      <c r="F287" t="s">
        <v>3793</v>
      </c>
      <c r="G287" t="s">
        <v>4207</v>
      </c>
      <c r="H287" t="s">
        <v>3787</v>
      </c>
      <c r="I287" t="s">
        <v>3794</v>
      </c>
      <c r="J287" t="s">
        <v>4204</v>
      </c>
      <c r="K287" t="s">
        <v>3804</v>
      </c>
      <c r="L287" t="s">
        <v>3797</v>
      </c>
      <c r="M287" t="s">
        <v>3740</v>
      </c>
      <c r="N287" t="s">
        <v>118</v>
      </c>
      <c r="O287" t="s">
        <v>3801</v>
      </c>
      <c r="P287" s="9">
        <v>44258.510497685187</v>
      </c>
      <c r="Q287" t="s">
        <v>3902</v>
      </c>
      <c r="R287" t="s">
        <v>3794</v>
      </c>
    </row>
    <row r="288" spans="1:18" x14ac:dyDescent="0.25">
      <c r="A288" t="s">
        <v>4208</v>
      </c>
      <c r="B288" t="s">
        <v>4204</v>
      </c>
      <c r="C288">
        <v>2</v>
      </c>
      <c r="D288" t="s">
        <v>41</v>
      </c>
      <c r="E288">
        <v>17</v>
      </c>
      <c r="F288" t="s">
        <v>3793</v>
      </c>
      <c r="G288" t="s">
        <v>4208</v>
      </c>
      <c r="H288" t="s">
        <v>3787</v>
      </c>
      <c r="I288" t="s">
        <v>3794</v>
      </c>
      <c r="J288" t="s">
        <v>4204</v>
      </c>
      <c r="K288" t="s">
        <v>3804</v>
      </c>
      <c r="L288" t="s">
        <v>3797</v>
      </c>
      <c r="M288" t="s">
        <v>42</v>
      </c>
      <c r="N288" t="s">
        <v>118</v>
      </c>
      <c r="O288" t="s">
        <v>3805</v>
      </c>
      <c r="P288" s="9">
        <v>44258.510474537034</v>
      </c>
      <c r="Q288" t="s">
        <v>3806</v>
      </c>
      <c r="R288" t="s">
        <v>3794</v>
      </c>
    </row>
    <row r="289" spans="1:18" x14ac:dyDescent="0.25">
      <c r="A289" t="s">
        <v>4209</v>
      </c>
      <c r="B289" t="s">
        <v>4204</v>
      </c>
      <c r="C289">
        <v>2</v>
      </c>
      <c r="D289" t="s">
        <v>41</v>
      </c>
      <c r="E289">
        <v>17</v>
      </c>
      <c r="F289" t="s">
        <v>3793</v>
      </c>
      <c r="G289" t="s">
        <v>4209</v>
      </c>
      <c r="H289" t="s">
        <v>3787</v>
      </c>
      <c r="I289" t="s">
        <v>3794</v>
      </c>
      <c r="J289" t="s">
        <v>4204</v>
      </c>
      <c r="K289" t="s">
        <v>3804</v>
      </c>
      <c r="L289" t="s">
        <v>3797</v>
      </c>
      <c r="M289" t="s">
        <v>43</v>
      </c>
      <c r="N289" t="s">
        <v>118</v>
      </c>
      <c r="O289" t="s">
        <v>3801</v>
      </c>
      <c r="P289" s="9">
        <v>44258.510474537034</v>
      </c>
      <c r="Q289" t="s">
        <v>3813</v>
      </c>
      <c r="R289" t="s">
        <v>3794</v>
      </c>
    </row>
    <row r="290" spans="1:18" x14ac:dyDescent="0.25">
      <c r="A290" t="s">
        <v>4210</v>
      </c>
      <c r="B290" t="s">
        <v>4204</v>
      </c>
      <c r="C290">
        <v>2</v>
      </c>
      <c r="D290" t="s">
        <v>41</v>
      </c>
      <c r="E290">
        <v>17</v>
      </c>
      <c r="F290" t="s">
        <v>3793</v>
      </c>
      <c r="G290" t="s">
        <v>4210</v>
      </c>
      <c r="H290" t="s">
        <v>3787</v>
      </c>
      <c r="I290" t="s">
        <v>3794</v>
      </c>
      <c r="J290" t="s">
        <v>4204</v>
      </c>
      <c r="K290" t="s">
        <v>3804</v>
      </c>
      <c r="L290" t="s">
        <v>3797</v>
      </c>
      <c r="M290" t="s">
        <v>108</v>
      </c>
      <c r="N290" t="s">
        <v>119</v>
      </c>
      <c r="O290" t="s">
        <v>3815</v>
      </c>
      <c r="P290" s="9">
        <v>44258.510462962964</v>
      </c>
      <c r="Q290" t="s">
        <v>3816</v>
      </c>
      <c r="R290" t="s">
        <v>3794</v>
      </c>
    </row>
    <row r="291" spans="1:18" x14ac:dyDescent="0.25">
      <c r="A291" t="s">
        <v>4211</v>
      </c>
      <c r="B291" t="s">
        <v>4212</v>
      </c>
      <c r="C291">
        <v>2</v>
      </c>
      <c r="D291" t="s">
        <v>41</v>
      </c>
      <c r="E291">
        <v>17</v>
      </c>
      <c r="F291" t="s">
        <v>3793</v>
      </c>
      <c r="G291" t="s">
        <v>4211</v>
      </c>
      <c r="H291" t="s">
        <v>3785</v>
      </c>
      <c r="I291" t="s">
        <v>4213</v>
      </c>
      <c r="J291" t="s">
        <v>4212</v>
      </c>
      <c r="K291" t="s">
        <v>3840</v>
      </c>
      <c r="L291" t="s">
        <v>3797</v>
      </c>
      <c r="M291" t="s">
        <v>3739</v>
      </c>
      <c r="N291" t="s">
        <v>118</v>
      </c>
      <c r="O291" t="s">
        <v>4214</v>
      </c>
      <c r="P291" s="9">
        <v>44258.510451388887</v>
      </c>
      <c r="Q291" t="s">
        <v>3842</v>
      </c>
      <c r="R291" t="s">
        <v>3794</v>
      </c>
    </row>
    <row r="292" spans="1:18" x14ac:dyDescent="0.25">
      <c r="A292" t="s">
        <v>4215</v>
      </c>
      <c r="B292" t="s">
        <v>4212</v>
      </c>
      <c r="C292">
        <v>2</v>
      </c>
      <c r="D292" t="s">
        <v>41</v>
      </c>
      <c r="E292">
        <v>17</v>
      </c>
      <c r="F292" t="s">
        <v>3793</v>
      </c>
      <c r="G292" t="s">
        <v>4215</v>
      </c>
      <c r="H292" t="s">
        <v>3785</v>
      </c>
      <c r="I292" t="s">
        <v>3794</v>
      </c>
      <c r="J292" t="s">
        <v>4212</v>
      </c>
      <c r="K292" t="s">
        <v>3840</v>
      </c>
      <c r="L292" t="s">
        <v>3797</v>
      </c>
      <c r="M292" t="s">
        <v>3740</v>
      </c>
      <c r="N292" t="s">
        <v>118</v>
      </c>
      <c r="O292" t="s">
        <v>3801</v>
      </c>
      <c r="P292" s="9">
        <v>44258.510451388887</v>
      </c>
      <c r="Q292" t="s">
        <v>3844</v>
      </c>
      <c r="R292" t="s">
        <v>3794</v>
      </c>
    </row>
    <row r="293" spans="1:18" x14ac:dyDescent="0.25">
      <c r="A293" t="s">
        <v>4216</v>
      </c>
      <c r="B293" t="s">
        <v>4212</v>
      </c>
      <c r="C293">
        <v>2</v>
      </c>
      <c r="D293" t="s">
        <v>41</v>
      </c>
      <c r="E293">
        <v>17</v>
      </c>
      <c r="F293" t="s">
        <v>3793</v>
      </c>
      <c r="G293" t="s">
        <v>4216</v>
      </c>
      <c r="H293" t="s">
        <v>3785</v>
      </c>
      <c r="I293" t="s">
        <v>3794</v>
      </c>
      <c r="J293" t="s">
        <v>4212</v>
      </c>
      <c r="K293" t="s">
        <v>3804</v>
      </c>
      <c r="L293" t="s">
        <v>3797</v>
      </c>
      <c r="M293" t="s">
        <v>42</v>
      </c>
      <c r="N293" t="s">
        <v>118</v>
      </c>
      <c r="O293" t="s">
        <v>3805</v>
      </c>
      <c r="P293" s="9">
        <v>44258.510474537034</v>
      </c>
      <c r="Q293" t="s">
        <v>3806</v>
      </c>
      <c r="R293" t="s">
        <v>3794</v>
      </c>
    </row>
    <row r="294" spans="1:18" x14ac:dyDescent="0.25">
      <c r="A294" t="s">
        <v>4217</v>
      </c>
      <c r="B294" t="s">
        <v>4212</v>
      </c>
      <c r="C294">
        <v>2</v>
      </c>
      <c r="D294" t="s">
        <v>41</v>
      </c>
      <c r="E294">
        <v>17</v>
      </c>
      <c r="F294" t="s">
        <v>3793</v>
      </c>
      <c r="G294" t="s">
        <v>4217</v>
      </c>
      <c r="H294" t="s">
        <v>3785</v>
      </c>
      <c r="I294" t="s">
        <v>3794</v>
      </c>
      <c r="J294" t="s">
        <v>4212</v>
      </c>
      <c r="K294" t="s">
        <v>3804</v>
      </c>
      <c r="L294" t="s">
        <v>3797</v>
      </c>
      <c r="M294" t="s">
        <v>145</v>
      </c>
      <c r="N294" t="s">
        <v>118</v>
      </c>
      <c r="O294" t="s">
        <v>3808</v>
      </c>
      <c r="P294" s="9">
        <v>44258.51048611111</v>
      </c>
      <c r="Q294" t="s">
        <v>3809</v>
      </c>
      <c r="R294" t="s">
        <v>3794</v>
      </c>
    </row>
    <row r="295" spans="1:18" x14ac:dyDescent="0.25">
      <c r="A295" t="s">
        <v>4218</v>
      </c>
      <c r="B295" t="s">
        <v>4212</v>
      </c>
      <c r="C295">
        <v>2</v>
      </c>
      <c r="D295" t="s">
        <v>41</v>
      </c>
      <c r="E295">
        <v>17</v>
      </c>
      <c r="F295" t="s">
        <v>3793</v>
      </c>
      <c r="G295" t="s">
        <v>4218</v>
      </c>
      <c r="H295" t="s">
        <v>3785</v>
      </c>
      <c r="I295" t="s">
        <v>3794</v>
      </c>
      <c r="J295" t="s">
        <v>4212</v>
      </c>
      <c r="K295" t="s">
        <v>3804</v>
      </c>
      <c r="L295" t="s">
        <v>3797</v>
      </c>
      <c r="M295" t="s">
        <v>232</v>
      </c>
      <c r="N295" t="s">
        <v>118</v>
      </c>
      <c r="O295" t="s">
        <v>3808</v>
      </c>
      <c r="P295" s="9">
        <v>44258.51048611111</v>
      </c>
      <c r="Q295" t="s">
        <v>3811</v>
      </c>
      <c r="R295" t="s">
        <v>3794</v>
      </c>
    </row>
    <row r="296" spans="1:18" x14ac:dyDescent="0.25">
      <c r="A296" t="s">
        <v>4219</v>
      </c>
      <c r="B296" t="s">
        <v>4212</v>
      </c>
      <c r="C296">
        <v>2</v>
      </c>
      <c r="D296" t="s">
        <v>41</v>
      </c>
      <c r="E296">
        <v>17</v>
      </c>
      <c r="F296" t="s">
        <v>3793</v>
      </c>
      <c r="G296" t="s">
        <v>4219</v>
      </c>
      <c r="H296" t="s">
        <v>3785</v>
      </c>
      <c r="I296" t="s">
        <v>3794</v>
      </c>
      <c r="J296" t="s">
        <v>4212</v>
      </c>
      <c r="K296" t="s">
        <v>3804</v>
      </c>
      <c r="L296" t="s">
        <v>3797</v>
      </c>
      <c r="M296" t="s">
        <v>43</v>
      </c>
      <c r="N296" t="s">
        <v>118</v>
      </c>
      <c r="O296" t="s">
        <v>3801</v>
      </c>
      <c r="P296" s="9">
        <v>44258.510462962964</v>
      </c>
      <c r="Q296" t="s">
        <v>3813</v>
      </c>
      <c r="R296" t="s">
        <v>3794</v>
      </c>
    </row>
    <row r="297" spans="1:18" x14ac:dyDescent="0.25">
      <c r="A297" t="s">
        <v>4220</v>
      </c>
      <c r="B297" t="s">
        <v>4212</v>
      </c>
      <c r="C297">
        <v>2</v>
      </c>
      <c r="D297" t="s">
        <v>41</v>
      </c>
      <c r="E297">
        <v>17</v>
      </c>
      <c r="F297" t="s">
        <v>3793</v>
      </c>
      <c r="G297" t="s">
        <v>4220</v>
      </c>
      <c r="H297" t="s">
        <v>3785</v>
      </c>
      <c r="I297" t="s">
        <v>3794</v>
      </c>
      <c r="J297" t="s">
        <v>4212</v>
      </c>
      <c r="K297" t="s">
        <v>3804</v>
      </c>
      <c r="L297" t="s">
        <v>3797</v>
      </c>
      <c r="M297" t="s">
        <v>108</v>
      </c>
      <c r="N297" t="s">
        <v>119</v>
      </c>
      <c r="O297" t="s">
        <v>3815</v>
      </c>
      <c r="P297" s="9">
        <v>44258.510462962964</v>
      </c>
      <c r="Q297" t="s">
        <v>3816</v>
      </c>
      <c r="R297" t="s">
        <v>3794</v>
      </c>
    </row>
    <row r="298" spans="1:18" x14ac:dyDescent="0.25">
      <c r="A298" t="s">
        <v>4221</v>
      </c>
      <c r="B298" t="s">
        <v>4222</v>
      </c>
      <c r="C298">
        <v>2</v>
      </c>
      <c r="D298" t="s">
        <v>41</v>
      </c>
      <c r="E298">
        <v>17</v>
      </c>
      <c r="F298" t="s">
        <v>3793</v>
      </c>
      <c r="G298" t="s">
        <v>4221</v>
      </c>
      <c r="H298" t="s">
        <v>3784</v>
      </c>
      <c r="I298" t="s">
        <v>4223</v>
      </c>
      <c r="J298" t="s">
        <v>4222</v>
      </c>
      <c r="K298" t="s">
        <v>3796</v>
      </c>
      <c r="L298" t="s">
        <v>3797</v>
      </c>
      <c r="M298" t="s">
        <v>3739</v>
      </c>
      <c r="N298" t="s">
        <v>118</v>
      </c>
      <c r="O298" t="s">
        <v>4224</v>
      </c>
      <c r="P298" s="9">
        <v>44258.510439814818</v>
      </c>
      <c r="Q298" t="s">
        <v>3799</v>
      </c>
      <c r="R298" t="s">
        <v>3794</v>
      </c>
    </row>
    <row r="299" spans="1:18" x14ac:dyDescent="0.25">
      <c r="A299" t="s">
        <v>4225</v>
      </c>
      <c r="B299" t="s">
        <v>4222</v>
      </c>
      <c r="C299">
        <v>2</v>
      </c>
      <c r="D299" t="s">
        <v>41</v>
      </c>
      <c r="E299">
        <v>17</v>
      </c>
      <c r="F299" t="s">
        <v>3793</v>
      </c>
      <c r="G299" t="s">
        <v>4225</v>
      </c>
      <c r="H299" t="s">
        <v>3784</v>
      </c>
      <c r="I299" t="s">
        <v>3794</v>
      </c>
      <c r="J299" t="s">
        <v>4222</v>
      </c>
      <c r="K299" t="s">
        <v>3796</v>
      </c>
      <c r="L299" t="s">
        <v>3797</v>
      </c>
      <c r="M299" t="s">
        <v>3740</v>
      </c>
      <c r="N299" t="s">
        <v>118</v>
      </c>
      <c r="O299" t="s">
        <v>3801</v>
      </c>
      <c r="P299" s="9">
        <v>44258.510439814818</v>
      </c>
      <c r="Q299" t="s">
        <v>3802</v>
      </c>
      <c r="R299" t="s">
        <v>3794</v>
      </c>
    </row>
    <row r="300" spans="1:18" x14ac:dyDescent="0.25">
      <c r="A300" t="s">
        <v>4226</v>
      </c>
      <c r="B300" t="s">
        <v>4222</v>
      </c>
      <c r="C300">
        <v>2</v>
      </c>
      <c r="D300" t="s">
        <v>41</v>
      </c>
      <c r="E300">
        <v>17</v>
      </c>
      <c r="F300" t="s">
        <v>3793</v>
      </c>
      <c r="G300" t="s">
        <v>4226</v>
      </c>
      <c r="H300" t="s">
        <v>3784</v>
      </c>
      <c r="I300" t="s">
        <v>3794</v>
      </c>
      <c r="J300" t="s">
        <v>4222</v>
      </c>
      <c r="K300" t="s">
        <v>3804</v>
      </c>
      <c r="L300" t="s">
        <v>3797</v>
      </c>
      <c r="M300" t="s">
        <v>42</v>
      </c>
      <c r="N300" t="s">
        <v>118</v>
      </c>
      <c r="O300" t="s">
        <v>3805</v>
      </c>
      <c r="P300" s="9">
        <v>44258.510474537034</v>
      </c>
      <c r="Q300" t="s">
        <v>3806</v>
      </c>
      <c r="R300" t="s">
        <v>3794</v>
      </c>
    </row>
    <row r="301" spans="1:18" x14ac:dyDescent="0.25">
      <c r="A301" t="s">
        <v>4227</v>
      </c>
      <c r="B301" t="s">
        <v>4222</v>
      </c>
      <c r="C301">
        <v>2</v>
      </c>
      <c r="D301" t="s">
        <v>41</v>
      </c>
      <c r="E301">
        <v>17</v>
      </c>
      <c r="F301" t="s">
        <v>3793</v>
      </c>
      <c r="G301" t="s">
        <v>4227</v>
      </c>
      <c r="H301" t="s">
        <v>3784</v>
      </c>
      <c r="I301" t="s">
        <v>3794</v>
      </c>
      <c r="J301" t="s">
        <v>4222</v>
      </c>
      <c r="K301" t="s">
        <v>3804</v>
      </c>
      <c r="L301" t="s">
        <v>3797</v>
      </c>
      <c r="M301" t="s">
        <v>145</v>
      </c>
      <c r="N301" t="s">
        <v>118</v>
      </c>
      <c r="O301" t="s">
        <v>3808</v>
      </c>
      <c r="P301" s="9">
        <v>44258.51048611111</v>
      </c>
      <c r="Q301" t="s">
        <v>3809</v>
      </c>
      <c r="R301" t="s">
        <v>3794</v>
      </c>
    </row>
    <row r="302" spans="1:18" x14ac:dyDescent="0.25">
      <c r="A302" t="s">
        <v>4228</v>
      </c>
      <c r="B302" t="s">
        <v>4222</v>
      </c>
      <c r="C302">
        <v>2</v>
      </c>
      <c r="D302" t="s">
        <v>41</v>
      </c>
      <c r="E302">
        <v>17</v>
      </c>
      <c r="F302" t="s">
        <v>3793</v>
      </c>
      <c r="G302" t="s">
        <v>4228</v>
      </c>
      <c r="H302" t="s">
        <v>3784</v>
      </c>
      <c r="I302" t="s">
        <v>3794</v>
      </c>
      <c r="J302" t="s">
        <v>4222</v>
      </c>
      <c r="K302" t="s">
        <v>3804</v>
      </c>
      <c r="L302" t="s">
        <v>3797</v>
      </c>
      <c r="M302" t="s">
        <v>232</v>
      </c>
      <c r="N302" t="s">
        <v>118</v>
      </c>
      <c r="O302" t="s">
        <v>3808</v>
      </c>
      <c r="P302" s="9">
        <v>44258.51048611111</v>
      </c>
      <c r="Q302" t="s">
        <v>3811</v>
      </c>
      <c r="R302" t="s">
        <v>3794</v>
      </c>
    </row>
    <row r="303" spans="1:18" x14ac:dyDescent="0.25">
      <c r="A303" t="s">
        <v>4229</v>
      </c>
      <c r="B303" t="s">
        <v>4222</v>
      </c>
      <c r="C303">
        <v>2</v>
      </c>
      <c r="D303" t="s">
        <v>41</v>
      </c>
      <c r="E303">
        <v>17</v>
      </c>
      <c r="F303" t="s">
        <v>3793</v>
      </c>
      <c r="G303" t="s">
        <v>4229</v>
      </c>
      <c r="H303" t="s">
        <v>3784</v>
      </c>
      <c r="I303" t="s">
        <v>3794</v>
      </c>
      <c r="J303" t="s">
        <v>4222</v>
      </c>
      <c r="K303" t="s">
        <v>3804</v>
      </c>
      <c r="L303" t="s">
        <v>3797</v>
      </c>
      <c r="M303" t="s">
        <v>43</v>
      </c>
      <c r="N303" t="s">
        <v>118</v>
      </c>
      <c r="O303" t="s">
        <v>3801</v>
      </c>
      <c r="P303" s="9">
        <v>44258.510462962964</v>
      </c>
      <c r="Q303" t="s">
        <v>3813</v>
      </c>
      <c r="R303" t="s">
        <v>3794</v>
      </c>
    </row>
    <row r="304" spans="1:18" x14ac:dyDescent="0.25">
      <c r="A304" t="s">
        <v>4230</v>
      </c>
      <c r="B304" t="s">
        <v>4222</v>
      </c>
      <c r="C304">
        <v>2</v>
      </c>
      <c r="D304" t="s">
        <v>41</v>
      </c>
      <c r="E304">
        <v>17</v>
      </c>
      <c r="F304" t="s">
        <v>3793</v>
      </c>
      <c r="G304" t="s">
        <v>4230</v>
      </c>
      <c r="H304" t="s">
        <v>3784</v>
      </c>
      <c r="I304" t="s">
        <v>3794</v>
      </c>
      <c r="J304" t="s">
        <v>4222</v>
      </c>
      <c r="K304" t="s">
        <v>3804</v>
      </c>
      <c r="L304" t="s">
        <v>3797</v>
      </c>
      <c r="M304" t="s">
        <v>108</v>
      </c>
      <c r="N304" t="s">
        <v>119</v>
      </c>
      <c r="O304" t="s">
        <v>3815</v>
      </c>
      <c r="P304" s="9">
        <v>44258.510451388887</v>
      </c>
      <c r="Q304" t="s">
        <v>3816</v>
      </c>
      <c r="R304" t="s">
        <v>3794</v>
      </c>
    </row>
    <row r="305" spans="1:18" x14ac:dyDescent="0.25">
      <c r="A305" t="s">
        <v>4231</v>
      </c>
      <c r="B305" t="s">
        <v>4232</v>
      </c>
      <c r="C305">
        <v>2</v>
      </c>
      <c r="D305" t="s">
        <v>41</v>
      </c>
      <c r="E305">
        <v>17</v>
      </c>
      <c r="F305" t="s">
        <v>3793</v>
      </c>
      <c r="G305" t="s">
        <v>4231</v>
      </c>
      <c r="H305" t="s">
        <v>3784</v>
      </c>
      <c r="I305" t="s">
        <v>4233</v>
      </c>
      <c r="J305" t="s">
        <v>4232</v>
      </c>
      <c r="K305" t="s">
        <v>3796</v>
      </c>
      <c r="L305" t="s">
        <v>3797</v>
      </c>
      <c r="M305" t="s">
        <v>3739</v>
      </c>
      <c r="N305" t="s">
        <v>118</v>
      </c>
      <c r="O305" t="s">
        <v>4234</v>
      </c>
      <c r="P305" s="9">
        <v>44258.510439814818</v>
      </c>
      <c r="Q305" t="s">
        <v>3799</v>
      </c>
      <c r="R305" t="s">
        <v>3794</v>
      </c>
    </row>
    <row r="306" spans="1:18" x14ac:dyDescent="0.25">
      <c r="A306" t="s">
        <v>4235</v>
      </c>
      <c r="B306" t="s">
        <v>4232</v>
      </c>
      <c r="C306">
        <v>2</v>
      </c>
      <c r="D306" t="s">
        <v>41</v>
      </c>
      <c r="E306">
        <v>17</v>
      </c>
      <c r="F306" t="s">
        <v>3793</v>
      </c>
      <c r="G306" t="s">
        <v>4235</v>
      </c>
      <c r="H306" t="s">
        <v>3784</v>
      </c>
      <c r="I306" t="s">
        <v>3794</v>
      </c>
      <c r="J306" t="s">
        <v>4232</v>
      </c>
      <c r="K306" t="s">
        <v>3796</v>
      </c>
      <c r="L306" t="s">
        <v>3797</v>
      </c>
      <c r="M306" t="s">
        <v>3740</v>
      </c>
      <c r="N306" t="s">
        <v>118</v>
      </c>
      <c r="O306" t="s">
        <v>3801</v>
      </c>
      <c r="P306" s="9">
        <v>44258.510439814818</v>
      </c>
      <c r="Q306" t="s">
        <v>3802</v>
      </c>
      <c r="R306" t="s">
        <v>3794</v>
      </c>
    </row>
    <row r="307" spans="1:18" x14ac:dyDescent="0.25">
      <c r="A307" t="s">
        <v>4236</v>
      </c>
      <c r="B307" t="s">
        <v>4232</v>
      </c>
      <c r="C307">
        <v>2</v>
      </c>
      <c r="D307" t="s">
        <v>41</v>
      </c>
      <c r="E307">
        <v>17</v>
      </c>
      <c r="F307" t="s">
        <v>3793</v>
      </c>
      <c r="G307" t="s">
        <v>4236</v>
      </c>
      <c r="H307" t="s">
        <v>3784</v>
      </c>
      <c r="I307" t="s">
        <v>3794</v>
      </c>
      <c r="J307" t="s">
        <v>4232</v>
      </c>
      <c r="K307" t="s">
        <v>3804</v>
      </c>
      <c r="L307" t="s">
        <v>3797</v>
      </c>
      <c r="M307" t="s">
        <v>42</v>
      </c>
      <c r="N307" t="s">
        <v>118</v>
      </c>
      <c r="O307" t="s">
        <v>3805</v>
      </c>
      <c r="P307" s="9">
        <v>44258.510474537034</v>
      </c>
      <c r="Q307" t="s">
        <v>3806</v>
      </c>
      <c r="R307" t="s">
        <v>3794</v>
      </c>
    </row>
    <row r="308" spans="1:18" x14ac:dyDescent="0.25">
      <c r="A308" t="s">
        <v>4237</v>
      </c>
      <c r="B308" t="s">
        <v>4232</v>
      </c>
      <c r="C308">
        <v>2</v>
      </c>
      <c r="D308" t="s">
        <v>41</v>
      </c>
      <c r="E308">
        <v>17</v>
      </c>
      <c r="F308" t="s">
        <v>3793</v>
      </c>
      <c r="G308" t="s">
        <v>4237</v>
      </c>
      <c r="H308" t="s">
        <v>3784</v>
      </c>
      <c r="I308" t="s">
        <v>3794</v>
      </c>
      <c r="J308" t="s">
        <v>4232</v>
      </c>
      <c r="K308" t="s">
        <v>3804</v>
      </c>
      <c r="L308" t="s">
        <v>3797</v>
      </c>
      <c r="M308" t="s">
        <v>145</v>
      </c>
      <c r="N308" t="s">
        <v>118</v>
      </c>
      <c r="O308" t="s">
        <v>3808</v>
      </c>
      <c r="P308" s="9">
        <v>44258.51048611111</v>
      </c>
      <c r="Q308" t="s">
        <v>3809</v>
      </c>
      <c r="R308" t="s">
        <v>3794</v>
      </c>
    </row>
    <row r="309" spans="1:18" x14ac:dyDescent="0.25">
      <c r="A309" t="s">
        <v>4238</v>
      </c>
      <c r="B309" t="s">
        <v>4232</v>
      </c>
      <c r="C309">
        <v>2</v>
      </c>
      <c r="D309" t="s">
        <v>41</v>
      </c>
      <c r="E309">
        <v>17</v>
      </c>
      <c r="F309" t="s">
        <v>3793</v>
      </c>
      <c r="G309" t="s">
        <v>4238</v>
      </c>
      <c r="H309" t="s">
        <v>3784</v>
      </c>
      <c r="I309" t="s">
        <v>3794</v>
      </c>
      <c r="J309" t="s">
        <v>4232</v>
      </c>
      <c r="K309" t="s">
        <v>3804</v>
      </c>
      <c r="L309" t="s">
        <v>3797</v>
      </c>
      <c r="M309" t="s">
        <v>232</v>
      </c>
      <c r="N309" t="s">
        <v>118</v>
      </c>
      <c r="O309" t="s">
        <v>3808</v>
      </c>
      <c r="P309" s="9">
        <v>44258.51048611111</v>
      </c>
      <c r="Q309" t="s">
        <v>3811</v>
      </c>
      <c r="R309" t="s">
        <v>3794</v>
      </c>
    </row>
    <row r="310" spans="1:18" x14ac:dyDescent="0.25">
      <c r="A310" t="s">
        <v>4239</v>
      </c>
      <c r="B310" t="s">
        <v>4232</v>
      </c>
      <c r="C310">
        <v>2</v>
      </c>
      <c r="D310" t="s">
        <v>41</v>
      </c>
      <c r="E310">
        <v>17</v>
      </c>
      <c r="F310" t="s">
        <v>3793</v>
      </c>
      <c r="G310" t="s">
        <v>4239</v>
      </c>
      <c r="H310" t="s">
        <v>3784</v>
      </c>
      <c r="I310" t="s">
        <v>3794</v>
      </c>
      <c r="J310" t="s">
        <v>4232</v>
      </c>
      <c r="K310" t="s">
        <v>3804</v>
      </c>
      <c r="L310" t="s">
        <v>3797</v>
      </c>
      <c r="M310" t="s">
        <v>43</v>
      </c>
      <c r="N310" t="s">
        <v>118</v>
      </c>
      <c r="O310" t="s">
        <v>3801</v>
      </c>
      <c r="P310" s="9">
        <v>44258.510462962964</v>
      </c>
      <c r="Q310" t="s">
        <v>3813</v>
      </c>
      <c r="R310" t="s">
        <v>3794</v>
      </c>
    </row>
    <row r="311" spans="1:18" x14ac:dyDescent="0.25">
      <c r="A311" t="s">
        <v>4240</v>
      </c>
      <c r="B311" t="s">
        <v>4232</v>
      </c>
      <c r="C311">
        <v>2</v>
      </c>
      <c r="D311" t="s">
        <v>41</v>
      </c>
      <c r="E311">
        <v>17</v>
      </c>
      <c r="F311" t="s">
        <v>3793</v>
      </c>
      <c r="G311" t="s">
        <v>4240</v>
      </c>
      <c r="H311" t="s">
        <v>3784</v>
      </c>
      <c r="I311" t="s">
        <v>3794</v>
      </c>
      <c r="J311" t="s">
        <v>4232</v>
      </c>
      <c r="K311" t="s">
        <v>3804</v>
      </c>
      <c r="L311" t="s">
        <v>3797</v>
      </c>
      <c r="M311" t="s">
        <v>108</v>
      </c>
      <c r="N311" t="s">
        <v>119</v>
      </c>
      <c r="O311" t="s">
        <v>3815</v>
      </c>
      <c r="P311" s="9">
        <v>44258.510451388887</v>
      </c>
      <c r="Q311" t="s">
        <v>3816</v>
      </c>
      <c r="R311" t="s">
        <v>3794</v>
      </c>
    </row>
    <row r="312" spans="1:18" x14ac:dyDescent="0.25">
      <c r="A312" t="s">
        <v>4241</v>
      </c>
      <c r="B312" t="s">
        <v>4242</v>
      </c>
      <c r="C312">
        <v>2</v>
      </c>
      <c r="D312" t="s">
        <v>41</v>
      </c>
      <c r="E312">
        <v>17</v>
      </c>
      <c r="F312" t="s">
        <v>3793</v>
      </c>
      <c r="G312" t="s">
        <v>4241</v>
      </c>
      <c r="H312" t="s">
        <v>3783</v>
      </c>
      <c r="I312" t="s">
        <v>3794</v>
      </c>
      <c r="J312" t="s">
        <v>4242</v>
      </c>
      <c r="K312" t="s">
        <v>3804</v>
      </c>
      <c r="L312" t="s">
        <v>3797</v>
      </c>
      <c r="M312" t="s">
        <v>42</v>
      </c>
      <c r="N312" t="s">
        <v>118</v>
      </c>
      <c r="O312" t="s">
        <v>3805</v>
      </c>
      <c r="P312" s="9">
        <v>44258.510474537034</v>
      </c>
      <c r="Q312" t="s">
        <v>3806</v>
      </c>
      <c r="R312" t="s">
        <v>3794</v>
      </c>
    </row>
    <row r="313" spans="1:18" x14ac:dyDescent="0.25">
      <c r="A313" t="s">
        <v>4243</v>
      </c>
      <c r="B313" t="s">
        <v>4242</v>
      </c>
      <c r="C313">
        <v>2</v>
      </c>
      <c r="D313" t="s">
        <v>41</v>
      </c>
      <c r="E313">
        <v>17</v>
      </c>
      <c r="F313" t="s">
        <v>3793</v>
      </c>
      <c r="G313" t="s">
        <v>4243</v>
      </c>
      <c r="H313" t="s">
        <v>3783</v>
      </c>
      <c r="I313" t="s">
        <v>3794</v>
      </c>
      <c r="J313" t="s">
        <v>4242</v>
      </c>
      <c r="K313" t="s">
        <v>3804</v>
      </c>
      <c r="L313" t="s">
        <v>3797</v>
      </c>
      <c r="M313" t="s">
        <v>145</v>
      </c>
      <c r="N313" t="s">
        <v>118</v>
      </c>
      <c r="O313" t="s">
        <v>3808</v>
      </c>
      <c r="P313" s="9">
        <v>44258.51048611111</v>
      </c>
      <c r="Q313" t="s">
        <v>3809</v>
      </c>
      <c r="R313" t="s">
        <v>3794</v>
      </c>
    </row>
    <row r="314" spans="1:18" x14ac:dyDescent="0.25">
      <c r="A314" t="s">
        <v>4244</v>
      </c>
      <c r="B314" t="s">
        <v>4242</v>
      </c>
      <c r="C314">
        <v>2</v>
      </c>
      <c r="D314" t="s">
        <v>41</v>
      </c>
      <c r="E314">
        <v>17</v>
      </c>
      <c r="F314" t="s">
        <v>3793</v>
      </c>
      <c r="G314" t="s">
        <v>4244</v>
      </c>
      <c r="H314" t="s">
        <v>3783</v>
      </c>
      <c r="I314" t="s">
        <v>3794</v>
      </c>
      <c r="J314" t="s">
        <v>4242</v>
      </c>
      <c r="K314" t="s">
        <v>3804</v>
      </c>
      <c r="L314" t="s">
        <v>3797</v>
      </c>
      <c r="M314" t="s">
        <v>232</v>
      </c>
      <c r="N314" t="s">
        <v>118</v>
      </c>
      <c r="O314" t="s">
        <v>3808</v>
      </c>
      <c r="P314" s="9">
        <v>44258.51048611111</v>
      </c>
      <c r="Q314" t="s">
        <v>3811</v>
      </c>
      <c r="R314" t="s">
        <v>3794</v>
      </c>
    </row>
    <row r="315" spans="1:18" x14ac:dyDescent="0.25">
      <c r="A315" t="s">
        <v>4245</v>
      </c>
      <c r="B315" t="s">
        <v>4242</v>
      </c>
      <c r="C315">
        <v>2</v>
      </c>
      <c r="D315" t="s">
        <v>41</v>
      </c>
      <c r="E315">
        <v>17</v>
      </c>
      <c r="F315" t="s">
        <v>3793</v>
      </c>
      <c r="G315" t="s">
        <v>4245</v>
      </c>
      <c r="H315" t="s">
        <v>3783</v>
      </c>
      <c r="I315" t="s">
        <v>3794</v>
      </c>
      <c r="J315" t="s">
        <v>4242</v>
      </c>
      <c r="K315" t="s">
        <v>3804</v>
      </c>
      <c r="L315" t="s">
        <v>3797</v>
      </c>
      <c r="M315" t="s">
        <v>43</v>
      </c>
      <c r="N315" t="s">
        <v>118</v>
      </c>
      <c r="O315" t="s">
        <v>3801</v>
      </c>
      <c r="P315" s="9">
        <v>44258.510462962964</v>
      </c>
      <c r="Q315" t="s">
        <v>3813</v>
      </c>
      <c r="R315" t="s">
        <v>3794</v>
      </c>
    </row>
    <row r="316" spans="1:18" x14ac:dyDescent="0.25">
      <c r="A316" t="s">
        <v>4246</v>
      </c>
      <c r="B316" t="s">
        <v>4242</v>
      </c>
      <c r="C316">
        <v>2</v>
      </c>
      <c r="D316" t="s">
        <v>41</v>
      </c>
      <c r="E316">
        <v>17</v>
      </c>
      <c r="F316" t="s">
        <v>3793</v>
      </c>
      <c r="G316" t="s">
        <v>4246</v>
      </c>
      <c r="H316" t="s">
        <v>3783</v>
      </c>
      <c r="I316" t="s">
        <v>3794</v>
      </c>
      <c r="J316" t="s">
        <v>4242</v>
      </c>
      <c r="K316" t="s">
        <v>3804</v>
      </c>
      <c r="L316" t="s">
        <v>3797</v>
      </c>
      <c r="M316" t="s">
        <v>108</v>
      </c>
      <c r="N316" t="s">
        <v>119</v>
      </c>
      <c r="O316" t="s">
        <v>3815</v>
      </c>
      <c r="P316" s="9">
        <v>44258.510451388887</v>
      </c>
      <c r="Q316" t="s">
        <v>3816</v>
      </c>
      <c r="R316" t="s">
        <v>3794</v>
      </c>
    </row>
    <row r="317" spans="1:18" x14ac:dyDescent="0.25">
      <c r="A317" t="s">
        <v>4247</v>
      </c>
      <c r="B317" t="s">
        <v>4248</v>
      </c>
      <c r="C317">
        <v>2</v>
      </c>
      <c r="D317" t="s">
        <v>41</v>
      </c>
      <c r="E317">
        <v>17</v>
      </c>
      <c r="F317" t="s">
        <v>3793</v>
      </c>
      <c r="G317" t="s">
        <v>4247</v>
      </c>
      <c r="H317" t="s">
        <v>3783</v>
      </c>
      <c r="I317" t="s">
        <v>3794</v>
      </c>
      <c r="J317" t="s">
        <v>4248</v>
      </c>
      <c r="K317" t="s">
        <v>3804</v>
      </c>
      <c r="L317" t="s">
        <v>3797</v>
      </c>
      <c r="M317" t="s">
        <v>42</v>
      </c>
      <c r="N317" t="s">
        <v>118</v>
      </c>
      <c r="O317" t="s">
        <v>3805</v>
      </c>
      <c r="P317" s="9">
        <v>44258.510474537034</v>
      </c>
      <c r="Q317" t="s">
        <v>3806</v>
      </c>
      <c r="R317" t="s">
        <v>3794</v>
      </c>
    </row>
    <row r="318" spans="1:18" x14ac:dyDescent="0.25">
      <c r="A318" t="s">
        <v>4249</v>
      </c>
      <c r="B318" t="s">
        <v>4248</v>
      </c>
      <c r="C318">
        <v>2</v>
      </c>
      <c r="D318" t="s">
        <v>41</v>
      </c>
      <c r="E318">
        <v>17</v>
      </c>
      <c r="F318" t="s">
        <v>3793</v>
      </c>
      <c r="G318" t="s">
        <v>4249</v>
      </c>
      <c r="H318" t="s">
        <v>3783</v>
      </c>
      <c r="I318" t="s">
        <v>3794</v>
      </c>
      <c r="J318" t="s">
        <v>4248</v>
      </c>
      <c r="K318" t="s">
        <v>3804</v>
      </c>
      <c r="L318" t="s">
        <v>3797</v>
      </c>
      <c r="M318" t="s">
        <v>145</v>
      </c>
      <c r="N318" t="s">
        <v>118</v>
      </c>
      <c r="O318" t="s">
        <v>3808</v>
      </c>
      <c r="P318" s="9">
        <v>44258.51048611111</v>
      </c>
      <c r="Q318" t="s">
        <v>3809</v>
      </c>
      <c r="R318" t="s">
        <v>3794</v>
      </c>
    </row>
    <row r="319" spans="1:18" x14ac:dyDescent="0.25">
      <c r="A319" t="s">
        <v>4250</v>
      </c>
      <c r="B319" t="s">
        <v>4248</v>
      </c>
      <c r="C319">
        <v>2</v>
      </c>
      <c r="D319" t="s">
        <v>41</v>
      </c>
      <c r="E319">
        <v>17</v>
      </c>
      <c r="F319" t="s">
        <v>3793</v>
      </c>
      <c r="G319" t="s">
        <v>4250</v>
      </c>
      <c r="H319" t="s">
        <v>3783</v>
      </c>
      <c r="I319" t="s">
        <v>3794</v>
      </c>
      <c r="J319" t="s">
        <v>4248</v>
      </c>
      <c r="K319" t="s">
        <v>3804</v>
      </c>
      <c r="L319" t="s">
        <v>3797</v>
      </c>
      <c r="M319" t="s">
        <v>232</v>
      </c>
      <c r="N319" t="s">
        <v>118</v>
      </c>
      <c r="O319" t="s">
        <v>3808</v>
      </c>
      <c r="P319" s="9">
        <v>44258.51048611111</v>
      </c>
      <c r="Q319" t="s">
        <v>3811</v>
      </c>
      <c r="R319" t="s">
        <v>3794</v>
      </c>
    </row>
    <row r="320" spans="1:18" x14ac:dyDescent="0.25">
      <c r="A320" t="s">
        <v>4251</v>
      </c>
      <c r="B320" t="s">
        <v>4248</v>
      </c>
      <c r="C320">
        <v>2</v>
      </c>
      <c r="D320" t="s">
        <v>41</v>
      </c>
      <c r="E320">
        <v>17</v>
      </c>
      <c r="F320" t="s">
        <v>3793</v>
      </c>
      <c r="G320" t="s">
        <v>4251</v>
      </c>
      <c r="H320" t="s">
        <v>3783</v>
      </c>
      <c r="I320" t="s">
        <v>3794</v>
      </c>
      <c r="J320" t="s">
        <v>4248</v>
      </c>
      <c r="K320" t="s">
        <v>3804</v>
      </c>
      <c r="L320" t="s">
        <v>3797</v>
      </c>
      <c r="M320" t="s">
        <v>43</v>
      </c>
      <c r="N320" t="s">
        <v>118</v>
      </c>
      <c r="O320" t="s">
        <v>3801</v>
      </c>
      <c r="P320" s="9">
        <v>44258.510462962964</v>
      </c>
      <c r="Q320" t="s">
        <v>3813</v>
      </c>
      <c r="R320" t="s">
        <v>3794</v>
      </c>
    </row>
    <row r="321" spans="1:18" x14ac:dyDescent="0.25">
      <c r="A321" t="s">
        <v>4252</v>
      </c>
      <c r="B321" t="s">
        <v>4248</v>
      </c>
      <c r="C321">
        <v>2</v>
      </c>
      <c r="D321" t="s">
        <v>41</v>
      </c>
      <c r="E321">
        <v>17</v>
      </c>
      <c r="F321" t="s">
        <v>3793</v>
      </c>
      <c r="G321" t="s">
        <v>4252</v>
      </c>
      <c r="H321" t="s">
        <v>3783</v>
      </c>
      <c r="I321" t="s">
        <v>3794</v>
      </c>
      <c r="J321" t="s">
        <v>4248</v>
      </c>
      <c r="K321" t="s">
        <v>3804</v>
      </c>
      <c r="L321" t="s">
        <v>3797</v>
      </c>
      <c r="M321" t="s">
        <v>108</v>
      </c>
      <c r="N321" t="s">
        <v>119</v>
      </c>
      <c r="O321" t="s">
        <v>3815</v>
      </c>
      <c r="P321" s="9">
        <v>44258.510451388887</v>
      </c>
      <c r="Q321" t="s">
        <v>3816</v>
      </c>
      <c r="R321" t="s">
        <v>3794</v>
      </c>
    </row>
    <row r="322" spans="1:18" x14ac:dyDescent="0.25">
      <c r="A322" t="s">
        <v>4253</v>
      </c>
      <c r="B322" t="s">
        <v>4254</v>
      </c>
      <c r="C322">
        <v>2</v>
      </c>
      <c r="D322" t="s">
        <v>41</v>
      </c>
      <c r="E322">
        <v>17</v>
      </c>
      <c r="F322" t="s">
        <v>3793</v>
      </c>
      <c r="G322" t="s">
        <v>4253</v>
      </c>
      <c r="H322" t="s">
        <v>3784</v>
      </c>
      <c r="I322" t="s">
        <v>4255</v>
      </c>
      <c r="J322" t="s">
        <v>4254</v>
      </c>
      <c r="K322" t="s">
        <v>3796</v>
      </c>
      <c r="L322" t="s">
        <v>3797</v>
      </c>
      <c r="M322" t="s">
        <v>3739</v>
      </c>
      <c r="N322" t="s">
        <v>118</v>
      </c>
      <c r="O322" t="s">
        <v>4256</v>
      </c>
      <c r="P322" s="9">
        <v>44258.510439814818</v>
      </c>
      <c r="Q322" t="s">
        <v>3799</v>
      </c>
      <c r="R322" t="s">
        <v>3794</v>
      </c>
    </row>
    <row r="323" spans="1:18" x14ac:dyDescent="0.25">
      <c r="A323" t="s">
        <v>4257</v>
      </c>
      <c r="B323" t="s">
        <v>4254</v>
      </c>
      <c r="C323">
        <v>2</v>
      </c>
      <c r="D323" t="s">
        <v>41</v>
      </c>
      <c r="E323">
        <v>17</v>
      </c>
      <c r="F323" t="s">
        <v>3793</v>
      </c>
      <c r="G323" t="s">
        <v>4257</v>
      </c>
      <c r="H323" t="s">
        <v>3784</v>
      </c>
      <c r="I323" t="s">
        <v>3794</v>
      </c>
      <c r="J323" t="s">
        <v>4254</v>
      </c>
      <c r="K323" t="s">
        <v>3796</v>
      </c>
      <c r="L323" t="s">
        <v>3797</v>
      </c>
      <c r="M323" t="s">
        <v>3740</v>
      </c>
      <c r="N323" t="s">
        <v>118</v>
      </c>
      <c r="O323" t="s">
        <v>3801</v>
      </c>
      <c r="P323" s="9">
        <v>44258.510439814818</v>
      </c>
      <c r="Q323" t="s">
        <v>3802</v>
      </c>
      <c r="R323" t="s">
        <v>3794</v>
      </c>
    </row>
    <row r="324" spans="1:18" x14ac:dyDescent="0.25">
      <c r="A324" t="s">
        <v>4258</v>
      </c>
      <c r="B324" t="s">
        <v>4254</v>
      </c>
      <c r="C324">
        <v>2</v>
      </c>
      <c r="D324" t="s">
        <v>41</v>
      </c>
      <c r="E324">
        <v>17</v>
      </c>
      <c r="F324" t="s">
        <v>3793</v>
      </c>
      <c r="G324" t="s">
        <v>4258</v>
      </c>
      <c r="H324" t="s">
        <v>3784</v>
      </c>
      <c r="I324" t="s">
        <v>3794</v>
      </c>
      <c r="J324" t="s">
        <v>4254</v>
      </c>
      <c r="K324" t="s">
        <v>3804</v>
      </c>
      <c r="L324" t="s">
        <v>3797</v>
      </c>
      <c r="M324" t="s">
        <v>42</v>
      </c>
      <c r="N324" t="s">
        <v>118</v>
      </c>
      <c r="O324" t="s">
        <v>3805</v>
      </c>
      <c r="P324" s="9">
        <v>44258.510474537034</v>
      </c>
      <c r="Q324" t="s">
        <v>3806</v>
      </c>
      <c r="R324" t="s">
        <v>3794</v>
      </c>
    </row>
    <row r="325" spans="1:18" x14ac:dyDescent="0.25">
      <c r="A325" t="s">
        <v>4259</v>
      </c>
      <c r="B325" t="s">
        <v>4254</v>
      </c>
      <c r="C325">
        <v>2</v>
      </c>
      <c r="D325" t="s">
        <v>41</v>
      </c>
      <c r="E325">
        <v>17</v>
      </c>
      <c r="F325" t="s">
        <v>3793</v>
      </c>
      <c r="G325" t="s">
        <v>4259</v>
      </c>
      <c r="H325" t="s">
        <v>3784</v>
      </c>
      <c r="I325" t="s">
        <v>3794</v>
      </c>
      <c r="J325" t="s">
        <v>4254</v>
      </c>
      <c r="K325" t="s">
        <v>3804</v>
      </c>
      <c r="L325" t="s">
        <v>3797</v>
      </c>
      <c r="M325" t="s">
        <v>145</v>
      </c>
      <c r="N325" t="s">
        <v>118</v>
      </c>
      <c r="O325" t="s">
        <v>3808</v>
      </c>
      <c r="P325" s="9">
        <v>44258.51048611111</v>
      </c>
      <c r="Q325" t="s">
        <v>3809</v>
      </c>
      <c r="R325" t="s">
        <v>3794</v>
      </c>
    </row>
    <row r="326" spans="1:18" x14ac:dyDescent="0.25">
      <c r="A326" t="s">
        <v>4260</v>
      </c>
      <c r="B326" t="s">
        <v>4254</v>
      </c>
      <c r="C326">
        <v>2</v>
      </c>
      <c r="D326" t="s">
        <v>41</v>
      </c>
      <c r="E326">
        <v>17</v>
      </c>
      <c r="F326" t="s">
        <v>3793</v>
      </c>
      <c r="G326" t="s">
        <v>4260</v>
      </c>
      <c r="H326" t="s">
        <v>3784</v>
      </c>
      <c r="I326" t="s">
        <v>3794</v>
      </c>
      <c r="J326" t="s">
        <v>4254</v>
      </c>
      <c r="K326" t="s">
        <v>3804</v>
      </c>
      <c r="L326" t="s">
        <v>3797</v>
      </c>
      <c r="M326" t="s">
        <v>232</v>
      </c>
      <c r="N326" t="s">
        <v>118</v>
      </c>
      <c r="O326" t="s">
        <v>3808</v>
      </c>
      <c r="P326" s="9">
        <v>44258.51048611111</v>
      </c>
      <c r="Q326" t="s">
        <v>3811</v>
      </c>
      <c r="R326" t="s">
        <v>3794</v>
      </c>
    </row>
    <row r="327" spans="1:18" x14ac:dyDescent="0.25">
      <c r="A327" t="s">
        <v>4261</v>
      </c>
      <c r="B327" t="s">
        <v>4254</v>
      </c>
      <c r="C327">
        <v>2</v>
      </c>
      <c r="D327" t="s">
        <v>41</v>
      </c>
      <c r="E327">
        <v>17</v>
      </c>
      <c r="F327" t="s">
        <v>3793</v>
      </c>
      <c r="G327" t="s">
        <v>4261</v>
      </c>
      <c r="H327" t="s">
        <v>3784</v>
      </c>
      <c r="I327" t="s">
        <v>3794</v>
      </c>
      <c r="J327" t="s">
        <v>4254</v>
      </c>
      <c r="K327" t="s">
        <v>3804</v>
      </c>
      <c r="L327" t="s">
        <v>3797</v>
      </c>
      <c r="M327" t="s">
        <v>43</v>
      </c>
      <c r="N327" t="s">
        <v>118</v>
      </c>
      <c r="O327" t="s">
        <v>3801</v>
      </c>
      <c r="P327" s="9">
        <v>44258.510462962964</v>
      </c>
      <c r="Q327" t="s">
        <v>3813</v>
      </c>
      <c r="R327" t="s">
        <v>3794</v>
      </c>
    </row>
    <row r="328" spans="1:18" x14ac:dyDescent="0.25">
      <c r="A328" t="s">
        <v>4262</v>
      </c>
      <c r="B328" t="s">
        <v>4254</v>
      </c>
      <c r="C328">
        <v>2</v>
      </c>
      <c r="D328" t="s">
        <v>41</v>
      </c>
      <c r="E328">
        <v>17</v>
      </c>
      <c r="F328" t="s">
        <v>3793</v>
      </c>
      <c r="G328" t="s">
        <v>4262</v>
      </c>
      <c r="H328" t="s">
        <v>3784</v>
      </c>
      <c r="I328" t="s">
        <v>3794</v>
      </c>
      <c r="J328" t="s">
        <v>4254</v>
      </c>
      <c r="K328" t="s">
        <v>3804</v>
      </c>
      <c r="L328" t="s">
        <v>3797</v>
      </c>
      <c r="M328" t="s">
        <v>108</v>
      </c>
      <c r="N328" t="s">
        <v>119</v>
      </c>
      <c r="O328" t="s">
        <v>3815</v>
      </c>
      <c r="P328" s="9">
        <v>44258.510451388887</v>
      </c>
      <c r="Q328" t="s">
        <v>3816</v>
      </c>
      <c r="R328" t="s">
        <v>3794</v>
      </c>
    </row>
    <row r="329" spans="1:18" x14ac:dyDescent="0.25">
      <c r="A329" t="s">
        <v>4263</v>
      </c>
      <c r="B329" t="s">
        <v>4264</v>
      </c>
      <c r="C329">
        <v>2</v>
      </c>
      <c r="D329" t="s">
        <v>41</v>
      </c>
      <c r="E329">
        <v>17</v>
      </c>
      <c r="F329" t="s">
        <v>3793</v>
      </c>
      <c r="G329" t="s">
        <v>4263</v>
      </c>
      <c r="H329" t="s">
        <v>3784</v>
      </c>
      <c r="I329" t="s">
        <v>4265</v>
      </c>
      <c r="J329" t="s">
        <v>4264</v>
      </c>
      <c r="K329" t="s">
        <v>3796</v>
      </c>
      <c r="L329" t="s">
        <v>3797</v>
      </c>
      <c r="M329" t="s">
        <v>3739</v>
      </c>
      <c r="N329" t="s">
        <v>118</v>
      </c>
      <c r="O329" t="s">
        <v>4266</v>
      </c>
      <c r="P329" s="9">
        <v>44258.510439814818</v>
      </c>
      <c r="Q329" t="s">
        <v>3799</v>
      </c>
      <c r="R329" t="s">
        <v>3794</v>
      </c>
    </row>
    <row r="330" spans="1:18" x14ac:dyDescent="0.25">
      <c r="A330" t="s">
        <v>4267</v>
      </c>
      <c r="B330" t="s">
        <v>4264</v>
      </c>
      <c r="C330">
        <v>2</v>
      </c>
      <c r="D330" t="s">
        <v>41</v>
      </c>
      <c r="E330">
        <v>17</v>
      </c>
      <c r="F330" t="s">
        <v>3793</v>
      </c>
      <c r="G330" t="s">
        <v>4267</v>
      </c>
      <c r="H330" t="s">
        <v>3784</v>
      </c>
      <c r="I330" t="s">
        <v>3794</v>
      </c>
      <c r="J330" t="s">
        <v>4264</v>
      </c>
      <c r="K330" t="s">
        <v>3796</v>
      </c>
      <c r="L330" t="s">
        <v>3797</v>
      </c>
      <c r="M330" t="s">
        <v>3740</v>
      </c>
      <c r="N330" t="s">
        <v>118</v>
      </c>
      <c r="O330" t="s">
        <v>3801</v>
      </c>
      <c r="P330" s="9">
        <v>44258.510439814818</v>
      </c>
      <c r="Q330" t="s">
        <v>3802</v>
      </c>
      <c r="R330" t="s">
        <v>3794</v>
      </c>
    </row>
    <row r="331" spans="1:18" x14ac:dyDescent="0.25">
      <c r="A331" t="s">
        <v>4268</v>
      </c>
      <c r="B331" t="s">
        <v>4264</v>
      </c>
      <c r="C331">
        <v>2</v>
      </c>
      <c r="D331" t="s">
        <v>41</v>
      </c>
      <c r="E331">
        <v>17</v>
      </c>
      <c r="F331" t="s">
        <v>3793</v>
      </c>
      <c r="G331" t="s">
        <v>4268</v>
      </c>
      <c r="H331" t="s">
        <v>3784</v>
      </c>
      <c r="I331" t="s">
        <v>3794</v>
      </c>
      <c r="J331" t="s">
        <v>4264</v>
      </c>
      <c r="K331" t="s">
        <v>3804</v>
      </c>
      <c r="L331" t="s">
        <v>3797</v>
      </c>
      <c r="M331" t="s">
        <v>42</v>
      </c>
      <c r="N331" t="s">
        <v>118</v>
      </c>
      <c r="O331" t="s">
        <v>3805</v>
      </c>
      <c r="P331" s="9">
        <v>44258.510474537034</v>
      </c>
      <c r="Q331" t="s">
        <v>3806</v>
      </c>
      <c r="R331" t="s">
        <v>3794</v>
      </c>
    </row>
    <row r="332" spans="1:18" x14ac:dyDescent="0.25">
      <c r="A332" t="s">
        <v>4269</v>
      </c>
      <c r="B332" t="s">
        <v>4264</v>
      </c>
      <c r="C332">
        <v>2</v>
      </c>
      <c r="D332" t="s">
        <v>41</v>
      </c>
      <c r="E332">
        <v>17</v>
      </c>
      <c r="F332" t="s">
        <v>3793</v>
      </c>
      <c r="G332" t="s">
        <v>4269</v>
      </c>
      <c r="H332" t="s">
        <v>3784</v>
      </c>
      <c r="I332" t="s">
        <v>3794</v>
      </c>
      <c r="J332" t="s">
        <v>4264</v>
      </c>
      <c r="K332" t="s">
        <v>3804</v>
      </c>
      <c r="L332" t="s">
        <v>3797</v>
      </c>
      <c r="M332" t="s">
        <v>145</v>
      </c>
      <c r="N332" t="s">
        <v>118</v>
      </c>
      <c r="O332" t="s">
        <v>3808</v>
      </c>
      <c r="P332" s="9">
        <v>44258.51048611111</v>
      </c>
      <c r="Q332" t="s">
        <v>3809</v>
      </c>
      <c r="R332" t="s">
        <v>3794</v>
      </c>
    </row>
    <row r="333" spans="1:18" x14ac:dyDescent="0.25">
      <c r="A333" t="s">
        <v>4270</v>
      </c>
      <c r="B333" t="s">
        <v>4264</v>
      </c>
      <c r="C333">
        <v>2</v>
      </c>
      <c r="D333" t="s">
        <v>41</v>
      </c>
      <c r="E333">
        <v>17</v>
      </c>
      <c r="F333" t="s">
        <v>3793</v>
      </c>
      <c r="G333" t="s">
        <v>4270</v>
      </c>
      <c r="H333" t="s">
        <v>3784</v>
      </c>
      <c r="I333" t="s">
        <v>3794</v>
      </c>
      <c r="J333" t="s">
        <v>4264</v>
      </c>
      <c r="K333" t="s">
        <v>3804</v>
      </c>
      <c r="L333" t="s">
        <v>3797</v>
      </c>
      <c r="M333" t="s">
        <v>232</v>
      </c>
      <c r="N333" t="s">
        <v>118</v>
      </c>
      <c r="O333" t="s">
        <v>3808</v>
      </c>
      <c r="P333" s="9">
        <v>44258.51048611111</v>
      </c>
      <c r="Q333" t="s">
        <v>3811</v>
      </c>
      <c r="R333" t="s">
        <v>3794</v>
      </c>
    </row>
    <row r="334" spans="1:18" x14ac:dyDescent="0.25">
      <c r="A334" t="s">
        <v>4271</v>
      </c>
      <c r="B334" t="s">
        <v>4264</v>
      </c>
      <c r="C334">
        <v>2</v>
      </c>
      <c r="D334" t="s">
        <v>41</v>
      </c>
      <c r="E334">
        <v>17</v>
      </c>
      <c r="F334" t="s">
        <v>3793</v>
      </c>
      <c r="G334" t="s">
        <v>4271</v>
      </c>
      <c r="H334" t="s">
        <v>3784</v>
      </c>
      <c r="I334" t="s">
        <v>3794</v>
      </c>
      <c r="J334" t="s">
        <v>4264</v>
      </c>
      <c r="K334" t="s">
        <v>3804</v>
      </c>
      <c r="L334" t="s">
        <v>3797</v>
      </c>
      <c r="M334" t="s">
        <v>43</v>
      </c>
      <c r="N334" t="s">
        <v>118</v>
      </c>
      <c r="O334" t="s">
        <v>3801</v>
      </c>
      <c r="P334" s="9">
        <v>44258.510462962964</v>
      </c>
      <c r="Q334" t="s">
        <v>3813</v>
      </c>
      <c r="R334" t="s">
        <v>3794</v>
      </c>
    </row>
    <row r="335" spans="1:18" x14ac:dyDescent="0.25">
      <c r="A335" t="s">
        <v>4272</v>
      </c>
      <c r="B335" t="s">
        <v>4264</v>
      </c>
      <c r="C335">
        <v>2</v>
      </c>
      <c r="D335" t="s">
        <v>41</v>
      </c>
      <c r="E335">
        <v>17</v>
      </c>
      <c r="F335" t="s">
        <v>3793</v>
      </c>
      <c r="G335" t="s">
        <v>4272</v>
      </c>
      <c r="H335" t="s">
        <v>3784</v>
      </c>
      <c r="I335" t="s">
        <v>3794</v>
      </c>
      <c r="J335" t="s">
        <v>4264</v>
      </c>
      <c r="K335" t="s">
        <v>3804</v>
      </c>
      <c r="L335" t="s">
        <v>3797</v>
      </c>
      <c r="M335" t="s">
        <v>108</v>
      </c>
      <c r="N335" t="s">
        <v>119</v>
      </c>
      <c r="O335" t="s">
        <v>3815</v>
      </c>
      <c r="P335" s="9">
        <v>44258.510451388887</v>
      </c>
      <c r="Q335" t="s">
        <v>3816</v>
      </c>
      <c r="R335" t="s">
        <v>3794</v>
      </c>
    </row>
    <row r="336" spans="1:18" x14ac:dyDescent="0.25">
      <c r="A336" t="s">
        <v>4273</v>
      </c>
      <c r="B336" t="s">
        <v>4274</v>
      </c>
      <c r="C336">
        <v>2</v>
      </c>
      <c r="D336" t="s">
        <v>41</v>
      </c>
      <c r="E336">
        <v>17</v>
      </c>
      <c r="F336" t="s">
        <v>3793</v>
      </c>
      <c r="G336" t="s">
        <v>4273</v>
      </c>
      <c r="H336" t="s">
        <v>3785</v>
      </c>
      <c r="I336" t="s">
        <v>4275</v>
      </c>
      <c r="J336" t="s">
        <v>4274</v>
      </c>
      <c r="K336" t="s">
        <v>3840</v>
      </c>
      <c r="L336" t="s">
        <v>3797</v>
      </c>
      <c r="M336" t="s">
        <v>3739</v>
      </c>
      <c r="N336" t="s">
        <v>118</v>
      </c>
      <c r="O336" t="s">
        <v>4276</v>
      </c>
      <c r="P336" s="9">
        <v>44258.510451388887</v>
      </c>
      <c r="Q336" t="s">
        <v>3842</v>
      </c>
      <c r="R336" t="s">
        <v>3794</v>
      </c>
    </row>
    <row r="337" spans="1:18" x14ac:dyDescent="0.25">
      <c r="A337" t="s">
        <v>4277</v>
      </c>
      <c r="B337" t="s">
        <v>4274</v>
      </c>
      <c r="C337">
        <v>2</v>
      </c>
      <c r="D337" t="s">
        <v>41</v>
      </c>
      <c r="E337">
        <v>17</v>
      </c>
      <c r="F337" t="s">
        <v>3793</v>
      </c>
      <c r="G337" t="s">
        <v>4277</v>
      </c>
      <c r="H337" t="s">
        <v>3785</v>
      </c>
      <c r="I337" t="s">
        <v>3794</v>
      </c>
      <c r="J337" t="s">
        <v>4274</v>
      </c>
      <c r="K337" t="s">
        <v>3840</v>
      </c>
      <c r="L337" t="s">
        <v>3797</v>
      </c>
      <c r="M337" t="s">
        <v>3740</v>
      </c>
      <c r="N337" t="s">
        <v>118</v>
      </c>
      <c r="O337" t="s">
        <v>3801</v>
      </c>
      <c r="P337" s="9">
        <v>44258.510451388887</v>
      </c>
      <c r="Q337" t="s">
        <v>3844</v>
      </c>
      <c r="R337" t="s">
        <v>3794</v>
      </c>
    </row>
    <row r="338" spans="1:18" x14ac:dyDescent="0.25">
      <c r="A338" t="s">
        <v>4278</v>
      </c>
      <c r="B338" t="s">
        <v>4274</v>
      </c>
      <c r="C338">
        <v>2</v>
      </c>
      <c r="D338" t="s">
        <v>41</v>
      </c>
      <c r="E338">
        <v>17</v>
      </c>
      <c r="F338" t="s">
        <v>3793</v>
      </c>
      <c r="G338" t="s">
        <v>4278</v>
      </c>
      <c r="H338" t="s">
        <v>3785</v>
      </c>
      <c r="I338" t="s">
        <v>3794</v>
      </c>
      <c r="J338" t="s">
        <v>4274</v>
      </c>
      <c r="K338" t="s">
        <v>3804</v>
      </c>
      <c r="L338" t="s">
        <v>3797</v>
      </c>
      <c r="M338" t="s">
        <v>42</v>
      </c>
      <c r="N338" t="s">
        <v>118</v>
      </c>
      <c r="O338" t="s">
        <v>3805</v>
      </c>
      <c r="P338" s="9">
        <v>44258.510474537034</v>
      </c>
      <c r="Q338" t="s">
        <v>3806</v>
      </c>
      <c r="R338" t="s">
        <v>3794</v>
      </c>
    </row>
    <row r="339" spans="1:18" x14ac:dyDescent="0.25">
      <c r="A339" t="s">
        <v>4279</v>
      </c>
      <c r="B339" t="s">
        <v>4274</v>
      </c>
      <c r="C339">
        <v>2</v>
      </c>
      <c r="D339" t="s">
        <v>41</v>
      </c>
      <c r="E339">
        <v>17</v>
      </c>
      <c r="F339" t="s">
        <v>3793</v>
      </c>
      <c r="G339" t="s">
        <v>4279</v>
      </c>
      <c r="H339" t="s">
        <v>3785</v>
      </c>
      <c r="I339" t="s">
        <v>3794</v>
      </c>
      <c r="J339" t="s">
        <v>4274</v>
      </c>
      <c r="K339" t="s">
        <v>3804</v>
      </c>
      <c r="L339" t="s">
        <v>3797</v>
      </c>
      <c r="M339" t="s">
        <v>145</v>
      </c>
      <c r="N339" t="s">
        <v>118</v>
      </c>
      <c r="O339" t="s">
        <v>3808</v>
      </c>
      <c r="P339" s="9">
        <v>44258.51048611111</v>
      </c>
      <c r="Q339" t="s">
        <v>3809</v>
      </c>
      <c r="R339" t="s">
        <v>3794</v>
      </c>
    </row>
    <row r="340" spans="1:18" x14ac:dyDescent="0.25">
      <c r="A340" t="s">
        <v>4280</v>
      </c>
      <c r="B340" t="s">
        <v>4274</v>
      </c>
      <c r="C340">
        <v>2</v>
      </c>
      <c r="D340" t="s">
        <v>41</v>
      </c>
      <c r="E340">
        <v>17</v>
      </c>
      <c r="F340" t="s">
        <v>3793</v>
      </c>
      <c r="G340" t="s">
        <v>4280</v>
      </c>
      <c r="H340" t="s">
        <v>3785</v>
      </c>
      <c r="I340" t="s">
        <v>3794</v>
      </c>
      <c r="J340" t="s">
        <v>4274</v>
      </c>
      <c r="K340" t="s">
        <v>3804</v>
      </c>
      <c r="L340" t="s">
        <v>3797</v>
      </c>
      <c r="M340" t="s">
        <v>232</v>
      </c>
      <c r="N340" t="s">
        <v>118</v>
      </c>
      <c r="O340" t="s">
        <v>3808</v>
      </c>
      <c r="P340" s="9">
        <v>44258.51048611111</v>
      </c>
      <c r="Q340" t="s">
        <v>3811</v>
      </c>
      <c r="R340" t="s">
        <v>3794</v>
      </c>
    </row>
    <row r="341" spans="1:18" x14ac:dyDescent="0.25">
      <c r="A341" t="s">
        <v>4281</v>
      </c>
      <c r="B341" t="s">
        <v>4274</v>
      </c>
      <c r="C341">
        <v>2</v>
      </c>
      <c r="D341" t="s">
        <v>41</v>
      </c>
      <c r="E341">
        <v>17</v>
      </c>
      <c r="F341" t="s">
        <v>3793</v>
      </c>
      <c r="G341" t="s">
        <v>4281</v>
      </c>
      <c r="H341" t="s">
        <v>3785</v>
      </c>
      <c r="I341" t="s">
        <v>3794</v>
      </c>
      <c r="J341" t="s">
        <v>4274</v>
      </c>
      <c r="K341" t="s">
        <v>3804</v>
      </c>
      <c r="L341" t="s">
        <v>3797</v>
      </c>
      <c r="M341" t="s">
        <v>43</v>
      </c>
      <c r="N341" t="s">
        <v>118</v>
      </c>
      <c r="O341" t="s">
        <v>3801</v>
      </c>
      <c r="P341" s="9">
        <v>44258.510462962964</v>
      </c>
      <c r="Q341" t="s">
        <v>3813</v>
      </c>
      <c r="R341" t="s">
        <v>3794</v>
      </c>
    </row>
    <row r="342" spans="1:18" x14ac:dyDescent="0.25">
      <c r="A342" t="s">
        <v>4282</v>
      </c>
      <c r="B342" t="s">
        <v>4274</v>
      </c>
      <c r="C342">
        <v>2</v>
      </c>
      <c r="D342" t="s">
        <v>41</v>
      </c>
      <c r="E342">
        <v>17</v>
      </c>
      <c r="F342" t="s">
        <v>3793</v>
      </c>
      <c r="G342" t="s">
        <v>4282</v>
      </c>
      <c r="H342" t="s">
        <v>3785</v>
      </c>
      <c r="I342" t="s">
        <v>3794</v>
      </c>
      <c r="J342" t="s">
        <v>4274</v>
      </c>
      <c r="K342" t="s">
        <v>3804</v>
      </c>
      <c r="L342" t="s">
        <v>3797</v>
      </c>
      <c r="M342" t="s">
        <v>108</v>
      </c>
      <c r="N342" t="s">
        <v>119</v>
      </c>
      <c r="O342" t="s">
        <v>3815</v>
      </c>
      <c r="P342" s="9">
        <v>44258.510462962964</v>
      </c>
      <c r="Q342" t="s">
        <v>3816</v>
      </c>
      <c r="R342" t="s">
        <v>3794</v>
      </c>
    </row>
    <row r="343" spans="1:18" x14ac:dyDescent="0.25">
      <c r="A343" t="s">
        <v>4283</v>
      </c>
      <c r="B343" t="s">
        <v>4284</v>
      </c>
      <c r="C343">
        <v>2</v>
      </c>
      <c r="D343" t="s">
        <v>41</v>
      </c>
      <c r="E343">
        <v>17</v>
      </c>
      <c r="F343" t="s">
        <v>3793</v>
      </c>
      <c r="G343" t="s">
        <v>4283</v>
      </c>
      <c r="H343" t="s">
        <v>3785</v>
      </c>
      <c r="I343" t="s">
        <v>4285</v>
      </c>
      <c r="J343" t="s">
        <v>4284</v>
      </c>
      <c r="K343" t="s">
        <v>3840</v>
      </c>
      <c r="L343" t="s">
        <v>3797</v>
      </c>
      <c r="M343" t="s">
        <v>3739</v>
      </c>
      <c r="N343" t="s">
        <v>118</v>
      </c>
      <c r="O343" t="s">
        <v>4286</v>
      </c>
      <c r="P343" s="9">
        <v>44258.510451388887</v>
      </c>
      <c r="Q343" t="s">
        <v>3842</v>
      </c>
      <c r="R343" t="s">
        <v>3794</v>
      </c>
    </row>
    <row r="344" spans="1:18" x14ac:dyDescent="0.25">
      <c r="A344" t="s">
        <v>4287</v>
      </c>
      <c r="B344" t="s">
        <v>4284</v>
      </c>
      <c r="C344">
        <v>2</v>
      </c>
      <c r="D344" t="s">
        <v>41</v>
      </c>
      <c r="E344">
        <v>17</v>
      </c>
      <c r="F344" t="s">
        <v>3793</v>
      </c>
      <c r="G344" t="s">
        <v>4287</v>
      </c>
      <c r="H344" t="s">
        <v>3785</v>
      </c>
      <c r="I344" t="s">
        <v>3794</v>
      </c>
      <c r="J344" t="s">
        <v>4284</v>
      </c>
      <c r="K344" t="s">
        <v>3840</v>
      </c>
      <c r="L344" t="s">
        <v>3797</v>
      </c>
      <c r="M344" t="s">
        <v>3740</v>
      </c>
      <c r="N344" t="s">
        <v>118</v>
      </c>
      <c r="O344" t="s">
        <v>3801</v>
      </c>
      <c r="P344" s="9">
        <v>44258.510451388887</v>
      </c>
      <c r="Q344" t="s">
        <v>3844</v>
      </c>
      <c r="R344" t="s">
        <v>3794</v>
      </c>
    </row>
    <row r="345" spans="1:18" x14ac:dyDescent="0.25">
      <c r="A345" t="s">
        <v>4288</v>
      </c>
      <c r="B345" t="s">
        <v>4284</v>
      </c>
      <c r="C345">
        <v>2</v>
      </c>
      <c r="D345" t="s">
        <v>41</v>
      </c>
      <c r="E345">
        <v>17</v>
      </c>
      <c r="F345" t="s">
        <v>3793</v>
      </c>
      <c r="G345" t="s">
        <v>4288</v>
      </c>
      <c r="H345" t="s">
        <v>3785</v>
      </c>
      <c r="I345" t="s">
        <v>3794</v>
      </c>
      <c r="J345" t="s">
        <v>4284</v>
      </c>
      <c r="K345" t="s">
        <v>3804</v>
      </c>
      <c r="L345" t="s">
        <v>3797</v>
      </c>
      <c r="M345" t="s">
        <v>42</v>
      </c>
      <c r="N345" t="s">
        <v>118</v>
      </c>
      <c r="O345" t="s">
        <v>3805</v>
      </c>
      <c r="P345" s="9">
        <v>44258.510474537034</v>
      </c>
      <c r="Q345" t="s">
        <v>3806</v>
      </c>
      <c r="R345" t="s">
        <v>3794</v>
      </c>
    </row>
    <row r="346" spans="1:18" x14ac:dyDescent="0.25">
      <c r="A346" t="s">
        <v>4289</v>
      </c>
      <c r="B346" t="s">
        <v>4284</v>
      </c>
      <c r="C346">
        <v>2</v>
      </c>
      <c r="D346" t="s">
        <v>41</v>
      </c>
      <c r="E346">
        <v>17</v>
      </c>
      <c r="F346" t="s">
        <v>3793</v>
      </c>
      <c r="G346" t="s">
        <v>4289</v>
      </c>
      <c r="H346" t="s">
        <v>3785</v>
      </c>
      <c r="I346" t="s">
        <v>3794</v>
      </c>
      <c r="J346" t="s">
        <v>4284</v>
      </c>
      <c r="K346" t="s">
        <v>3804</v>
      </c>
      <c r="L346" t="s">
        <v>3797</v>
      </c>
      <c r="M346" t="s">
        <v>145</v>
      </c>
      <c r="N346" t="s">
        <v>118</v>
      </c>
      <c r="O346" t="s">
        <v>3808</v>
      </c>
      <c r="P346" s="9">
        <v>44258.51048611111</v>
      </c>
      <c r="Q346" t="s">
        <v>3809</v>
      </c>
      <c r="R346" t="s">
        <v>3794</v>
      </c>
    </row>
    <row r="347" spans="1:18" x14ac:dyDescent="0.25">
      <c r="A347" t="s">
        <v>4290</v>
      </c>
      <c r="B347" t="s">
        <v>4284</v>
      </c>
      <c r="C347">
        <v>2</v>
      </c>
      <c r="D347" t="s">
        <v>41</v>
      </c>
      <c r="E347">
        <v>17</v>
      </c>
      <c r="F347" t="s">
        <v>3793</v>
      </c>
      <c r="G347" t="s">
        <v>4290</v>
      </c>
      <c r="H347" t="s">
        <v>3785</v>
      </c>
      <c r="I347" t="s">
        <v>3794</v>
      </c>
      <c r="J347" t="s">
        <v>4284</v>
      </c>
      <c r="K347" t="s">
        <v>3804</v>
      </c>
      <c r="L347" t="s">
        <v>3797</v>
      </c>
      <c r="M347" t="s">
        <v>232</v>
      </c>
      <c r="N347" t="s">
        <v>118</v>
      </c>
      <c r="O347" t="s">
        <v>3808</v>
      </c>
      <c r="P347" s="9">
        <v>44258.51048611111</v>
      </c>
      <c r="Q347" t="s">
        <v>3811</v>
      </c>
      <c r="R347" t="s">
        <v>3794</v>
      </c>
    </row>
    <row r="348" spans="1:18" x14ac:dyDescent="0.25">
      <c r="A348" t="s">
        <v>4291</v>
      </c>
      <c r="B348" t="s">
        <v>4284</v>
      </c>
      <c r="C348">
        <v>2</v>
      </c>
      <c r="D348" t="s">
        <v>41</v>
      </c>
      <c r="E348">
        <v>17</v>
      </c>
      <c r="F348" t="s">
        <v>3793</v>
      </c>
      <c r="G348" t="s">
        <v>4291</v>
      </c>
      <c r="H348" t="s">
        <v>3785</v>
      </c>
      <c r="I348" t="s">
        <v>3794</v>
      </c>
      <c r="J348" t="s">
        <v>4284</v>
      </c>
      <c r="K348" t="s">
        <v>3804</v>
      </c>
      <c r="L348" t="s">
        <v>3797</v>
      </c>
      <c r="M348" t="s">
        <v>43</v>
      </c>
      <c r="N348" t="s">
        <v>118</v>
      </c>
      <c r="O348" t="s">
        <v>3801</v>
      </c>
      <c r="P348" s="9">
        <v>44258.510474537034</v>
      </c>
      <c r="Q348" t="s">
        <v>3813</v>
      </c>
      <c r="R348" t="s">
        <v>3794</v>
      </c>
    </row>
    <row r="349" spans="1:18" x14ac:dyDescent="0.25">
      <c r="A349" t="s">
        <v>4292</v>
      </c>
      <c r="B349" t="s">
        <v>4284</v>
      </c>
      <c r="C349">
        <v>2</v>
      </c>
      <c r="D349" t="s">
        <v>41</v>
      </c>
      <c r="E349">
        <v>17</v>
      </c>
      <c r="F349" t="s">
        <v>3793</v>
      </c>
      <c r="G349" t="s">
        <v>4292</v>
      </c>
      <c r="H349" t="s">
        <v>3785</v>
      </c>
      <c r="I349" t="s">
        <v>3794</v>
      </c>
      <c r="J349" t="s">
        <v>4284</v>
      </c>
      <c r="K349" t="s">
        <v>3804</v>
      </c>
      <c r="L349" t="s">
        <v>3797</v>
      </c>
      <c r="M349" t="s">
        <v>108</v>
      </c>
      <c r="N349" t="s">
        <v>119</v>
      </c>
      <c r="O349" t="s">
        <v>3815</v>
      </c>
      <c r="P349" s="9">
        <v>44258.510462962964</v>
      </c>
      <c r="Q349" t="s">
        <v>3816</v>
      </c>
      <c r="R349" t="s">
        <v>3794</v>
      </c>
    </row>
    <row r="350" spans="1:18" x14ac:dyDescent="0.25">
      <c r="A350" t="s">
        <v>4293</v>
      </c>
      <c r="B350" t="s">
        <v>4294</v>
      </c>
      <c r="C350">
        <v>2</v>
      </c>
      <c r="D350" t="s">
        <v>41</v>
      </c>
      <c r="E350">
        <v>17</v>
      </c>
      <c r="F350" t="s">
        <v>3793</v>
      </c>
      <c r="G350" t="s">
        <v>4293</v>
      </c>
      <c r="H350" t="s">
        <v>3783</v>
      </c>
      <c r="I350" t="s">
        <v>3794</v>
      </c>
      <c r="J350" t="s">
        <v>4294</v>
      </c>
      <c r="K350" t="s">
        <v>3804</v>
      </c>
      <c r="L350" t="s">
        <v>3797</v>
      </c>
      <c r="M350" t="s">
        <v>42</v>
      </c>
      <c r="N350" t="s">
        <v>118</v>
      </c>
      <c r="O350" t="s">
        <v>3805</v>
      </c>
      <c r="P350" s="9">
        <v>44258.510474537034</v>
      </c>
      <c r="Q350" t="s">
        <v>3806</v>
      </c>
      <c r="R350" t="s">
        <v>3794</v>
      </c>
    </row>
    <row r="351" spans="1:18" x14ac:dyDescent="0.25">
      <c r="A351" t="s">
        <v>4295</v>
      </c>
      <c r="B351" t="s">
        <v>4294</v>
      </c>
      <c r="C351">
        <v>2</v>
      </c>
      <c r="D351" t="s">
        <v>41</v>
      </c>
      <c r="E351">
        <v>17</v>
      </c>
      <c r="F351" t="s">
        <v>3793</v>
      </c>
      <c r="G351" t="s">
        <v>4295</v>
      </c>
      <c r="H351" t="s">
        <v>3783</v>
      </c>
      <c r="I351" t="s">
        <v>3794</v>
      </c>
      <c r="J351" t="s">
        <v>4294</v>
      </c>
      <c r="K351" t="s">
        <v>3804</v>
      </c>
      <c r="L351" t="s">
        <v>3797</v>
      </c>
      <c r="M351" t="s">
        <v>145</v>
      </c>
      <c r="N351" t="s">
        <v>118</v>
      </c>
      <c r="O351" t="s">
        <v>3808</v>
      </c>
      <c r="P351" s="9">
        <v>44258.51048611111</v>
      </c>
      <c r="Q351" t="s">
        <v>3809</v>
      </c>
      <c r="R351" t="s">
        <v>3794</v>
      </c>
    </row>
    <row r="352" spans="1:18" x14ac:dyDescent="0.25">
      <c r="A352" t="s">
        <v>4296</v>
      </c>
      <c r="B352" t="s">
        <v>4294</v>
      </c>
      <c r="C352">
        <v>2</v>
      </c>
      <c r="D352" t="s">
        <v>41</v>
      </c>
      <c r="E352">
        <v>17</v>
      </c>
      <c r="F352" t="s">
        <v>3793</v>
      </c>
      <c r="G352" t="s">
        <v>4296</v>
      </c>
      <c r="H352" t="s">
        <v>3783</v>
      </c>
      <c r="I352" t="s">
        <v>3794</v>
      </c>
      <c r="J352" t="s">
        <v>4294</v>
      </c>
      <c r="K352" t="s">
        <v>3804</v>
      </c>
      <c r="L352" t="s">
        <v>3797</v>
      </c>
      <c r="M352" t="s">
        <v>232</v>
      </c>
      <c r="N352" t="s">
        <v>118</v>
      </c>
      <c r="O352" t="s">
        <v>3808</v>
      </c>
      <c r="P352" s="9">
        <v>44258.51048611111</v>
      </c>
      <c r="Q352" t="s">
        <v>3811</v>
      </c>
      <c r="R352" t="s">
        <v>3794</v>
      </c>
    </row>
    <row r="353" spans="1:18" x14ac:dyDescent="0.25">
      <c r="A353" t="s">
        <v>4297</v>
      </c>
      <c r="B353" t="s">
        <v>4294</v>
      </c>
      <c r="C353">
        <v>2</v>
      </c>
      <c r="D353" t="s">
        <v>41</v>
      </c>
      <c r="E353">
        <v>17</v>
      </c>
      <c r="F353" t="s">
        <v>3793</v>
      </c>
      <c r="G353" t="s">
        <v>4297</v>
      </c>
      <c r="H353" t="s">
        <v>3783</v>
      </c>
      <c r="I353" t="s">
        <v>3794</v>
      </c>
      <c r="J353" t="s">
        <v>4294</v>
      </c>
      <c r="K353" t="s">
        <v>3804</v>
      </c>
      <c r="L353" t="s">
        <v>3797</v>
      </c>
      <c r="M353" t="s">
        <v>43</v>
      </c>
      <c r="N353" t="s">
        <v>118</v>
      </c>
      <c r="O353" t="s">
        <v>3801</v>
      </c>
      <c r="P353" s="9">
        <v>44258.510462962964</v>
      </c>
      <c r="Q353" t="s">
        <v>3813</v>
      </c>
      <c r="R353" t="s">
        <v>3794</v>
      </c>
    </row>
    <row r="354" spans="1:18" x14ac:dyDescent="0.25">
      <c r="A354" t="s">
        <v>4298</v>
      </c>
      <c r="B354" t="s">
        <v>4294</v>
      </c>
      <c r="C354">
        <v>2</v>
      </c>
      <c r="D354" t="s">
        <v>41</v>
      </c>
      <c r="E354">
        <v>17</v>
      </c>
      <c r="F354" t="s">
        <v>3793</v>
      </c>
      <c r="G354" t="s">
        <v>4298</v>
      </c>
      <c r="H354" t="s">
        <v>3783</v>
      </c>
      <c r="I354" t="s">
        <v>3794</v>
      </c>
      <c r="J354" t="s">
        <v>4294</v>
      </c>
      <c r="K354" t="s">
        <v>3804</v>
      </c>
      <c r="L354" t="s">
        <v>3797</v>
      </c>
      <c r="M354" t="s">
        <v>108</v>
      </c>
      <c r="N354" t="s">
        <v>119</v>
      </c>
      <c r="O354" t="s">
        <v>3815</v>
      </c>
      <c r="P354" s="9">
        <v>44258.510451388887</v>
      </c>
      <c r="Q354" t="s">
        <v>3816</v>
      </c>
      <c r="R354" t="s">
        <v>3794</v>
      </c>
    </row>
    <row r="355" spans="1:18" x14ac:dyDescent="0.25">
      <c r="A355" t="s">
        <v>4299</v>
      </c>
      <c r="B355" t="s">
        <v>4300</v>
      </c>
      <c r="C355">
        <v>2</v>
      </c>
      <c r="D355" t="s">
        <v>41</v>
      </c>
      <c r="E355">
        <v>17</v>
      </c>
      <c r="F355" t="s">
        <v>3793</v>
      </c>
      <c r="G355" t="s">
        <v>4299</v>
      </c>
      <c r="H355" t="s">
        <v>3784</v>
      </c>
      <c r="I355" t="s">
        <v>4301</v>
      </c>
      <c r="J355" t="s">
        <v>4300</v>
      </c>
      <c r="K355" t="s">
        <v>3796</v>
      </c>
      <c r="L355" t="s">
        <v>3797</v>
      </c>
      <c r="M355" t="s">
        <v>3739</v>
      </c>
      <c r="N355" t="s">
        <v>118</v>
      </c>
      <c r="O355" t="s">
        <v>4302</v>
      </c>
      <c r="P355" s="9">
        <v>44258.510439814818</v>
      </c>
      <c r="Q355" t="s">
        <v>3799</v>
      </c>
      <c r="R355" t="s">
        <v>3794</v>
      </c>
    </row>
    <row r="356" spans="1:18" x14ac:dyDescent="0.25">
      <c r="A356" t="s">
        <v>4303</v>
      </c>
      <c r="B356" t="s">
        <v>4300</v>
      </c>
      <c r="C356">
        <v>2</v>
      </c>
      <c r="D356" t="s">
        <v>41</v>
      </c>
      <c r="E356">
        <v>17</v>
      </c>
      <c r="F356" t="s">
        <v>3793</v>
      </c>
      <c r="G356" t="s">
        <v>4303</v>
      </c>
      <c r="H356" t="s">
        <v>3784</v>
      </c>
      <c r="I356" t="s">
        <v>3794</v>
      </c>
      <c r="J356" t="s">
        <v>4300</v>
      </c>
      <c r="K356" t="s">
        <v>3796</v>
      </c>
      <c r="L356" t="s">
        <v>3797</v>
      </c>
      <c r="M356" t="s">
        <v>3740</v>
      </c>
      <c r="N356" t="s">
        <v>118</v>
      </c>
      <c r="O356" t="s">
        <v>3801</v>
      </c>
      <c r="P356" s="9">
        <v>44258.510439814818</v>
      </c>
      <c r="Q356" t="s">
        <v>3802</v>
      </c>
      <c r="R356" t="s">
        <v>3794</v>
      </c>
    </row>
    <row r="357" spans="1:18" x14ac:dyDescent="0.25">
      <c r="A357" t="s">
        <v>4304</v>
      </c>
      <c r="B357" t="s">
        <v>4300</v>
      </c>
      <c r="C357">
        <v>2</v>
      </c>
      <c r="D357" t="s">
        <v>41</v>
      </c>
      <c r="E357">
        <v>17</v>
      </c>
      <c r="F357" t="s">
        <v>3793</v>
      </c>
      <c r="G357" t="s">
        <v>4304</v>
      </c>
      <c r="H357" t="s">
        <v>3784</v>
      </c>
      <c r="I357" t="s">
        <v>3794</v>
      </c>
      <c r="J357" t="s">
        <v>4300</v>
      </c>
      <c r="K357" t="s">
        <v>3804</v>
      </c>
      <c r="L357" t="s">
        <v>3797</v>
      </c>
      <c r="M357" t="s">
        <v>42</v>
      </c>
      <c r="N357" t="s">
        <v>118</v>
      </c>
      <c r="O357" t="s">
        <v>3805</v>
      </c>
      <c r="P357" s="9">
        <v>44258.510474537034</v>
      </c>
      <c r="Q357" t="s">
        <v>3806</v>
      </c>
      <c r="R357" t="s">
        <v>3794</v>
      </c>
    </row>
    <row r="358" spans="1:18" x14ac:dyDescent="0.25">
      <c r="A358" t="s">
        <v>4305</v>
      </c>
      <c r="B358" t="s">
        <v>4300</v>
      </c>
      <c r="C358">
        <v>2</v>
      </c>
      <c r="D358" t="s">
        <v>41</v>
      </c>
      <c r="E358">
        <v>17</v>
      </c>
      <c r="F358" t="s">
        <v>3793</v>
      </c>
      <c r="G358" t="s">
        <v>4305</v>
      </c>
      <c r="H358" t="s">
        <v>3784</v>
      </c>
      <c r="I358" t="s">
        <v>3794</v>
      </c>
      <c r="J358" t="s">
        <v>4300</v>
      </c>
      <c r="K358" t="s">
        <v>3804</v>
      </c>
      <c r="L358" t="s">
        <v>3797</v>
      </c>
      <c r="M358" t="s">
        <v>145</v>
      </c>
      <c r="N358" t="s">
        <v>118</v>
      </c>
      <c r="O358" t="s">
        <v>3808</v>
      </c>
      <c r="P358" s="9">
        <v>44258.51048611111</v>
      </c>
      <c r="Q358" t="s">
        <v>3809</v>
      </c>
      <c r="R358" t="s">
        <v>3794</v>
      </c>
    </row>
    <row r="359" spans="1:18" x14ac:dyDescent="0.25">
      <c r="A359" t="s">
        <v>4306</v>
      </c>
      <c r="B359" t="s">
        <v>4300</v>
      </c>
      <c r="C359">
        <v>2</v>
      </c>
      <c r="D359" t="s">
        <v>41</v>
      </c>
      <c r="E359">
        <v>17</v>
      </c>
      <c r="F359" t="s">
        <v>3793</v>
      </c>
      <c r="G359" t="s">
        <v>4306</v>
      </c>
      <c r="H359" t="s">
        <v>3784</v>
      </c>
      <c r="I359" t="s">
        <v>3794</v>
      </c>
      <c r="J359" t="s">
        <v>4300</v>
      </c>
      <c r="K359" t="s">
        <v>3804</v>
      </c>
      <c r="L359" t="s">
        <v>3797</v>
      </c>
      <c r="M359" t="s">
        <v>232</v>
      </c>
      <c r="N359" t="s">
        <v>118</v>
      </c>
      <c r="O359" t="s">
        <v>3808</v>
      </c>
      <c r="P359" s="9">
        <v>44258.51048611111</v>
      </c>
      <c r="Q359" t="s">
        <v>3811</v>
      </c>
      <c r="R359" t="s">
        <v>3794</v>
      </c>
    </row>
    <row r="360" spans="1:18" x14ac:dyDescent="0.25">
      <c r="A360" t="s">
        <v>4307</v>
      </c>
      <c r="B360" t="s">
        <v>4300</v>
      </c>
      <c r="C360">
        <v>2</v>
      </c>
      <c r="D360" t="s">
        <v>41</v>
      </c>
      <c r="E360">
        <v>17</v>
      </c>
      <c r="F360" t="s">
        <v>3793</v>
      </c>
      <c r="G360" t="s">
        <v>4307</v>
      </c>
      <c r="H360" t="s">
        <v>3784</v>
      </c>
      <c r="I360" t="s">
        <v>3794</v>
      </c>
      <c r="J360" t="s">
        <v>4300</v>
      </c>
      <c r="K360" t="s">
        <v>3804</v>
      </c>
      <c r="L360" t="s">
        <v>3797</v>
      </c>
      <c r="M360" t="s">
        <v>43</v>
      </c>
      <c r="N360" t="s">
        <v>118</v>
      </c>
      <c r="O360" t="s">
        <v>3801</v>
      </c>
      <c r="P360" s="9">
        <v>44258.510462962964</v>
      </c>
      <c r="Q360" t="s">
        <v>3813</v>
      </c>
      <c r="R360" t="s">
        <v>3794</v>
      </c>
    </row>
    <row r="361" spans="1:18" x14ac:dyDescent="0.25">
      <c r="A361" t="s">
        <v>4308</v>
      </c>
      <c r="B361" t="s">
        <v>4300</v>
      </c>
      <c r="C361">
        <v>2</v>
      </c>
      <c r="D361" t="s">
        <v>41</v>
      </c>
      <c r="E361">
        <v>17</v>
      </c>
      <c r="F361" t="s">
        <v>3793</v>
      </c>
      <c r="G361" t="s">
        <v>4308</v>
      </c>
      <c r="H361" t="s">
        <v>3784</v>
      </c>
      <c r="I361" t="s">
        <v>3794</v>
      </c>
      <c r="J361" t="s">
        <v>4300</v>
      </c>
      <c r="K361" t="s">
        <v>3804</v>
      </c>
      <c r="L361" t="s">
        <v>3797</v>
      </c>
      <c r="M361" t="s">
        <v>108</v>
      </c>
      <c r="N361" t="s">
        <v>119</v>
      </c>
      <c r="O361" t="s">
        <v>3815</v>
      </c>
      <c r="P361" s="9">
        <v>44258.510451388887</v>
      </c>
      <c r="Q361" t="s">
        <v>3816</v>
      </c>
      <c r="R361" t="s">
        <v>3794</v>
      </c>
    </row>
    <row r="362" spans="1:18" x14ac:dyDescent="0.25">
      <c r="A362" t="s">
        <v>4309</v>
      </c>
      <c r="B362" t="s">
        <v>4310</v>
      </c>
      <c r="C362">
        <v>2</v>
      </c>
      <c r="D362" t="s">
        <v>41</v>
      </c>
      <c r="E362">
        <v>17</v>
      </c>
      <c r="F362" t="s">
        <v>3793</v>
      </c>
      <c r="G362" t="s">
        <v>4309</v>
      </c>
      <c r="H362" t="s">
        <v>3783</v>
      </c>
      <c r="I362" t="s">
        <v>3794</v>
      </c>
      <c r="J362" t="s">
        <v>4310</v>
      </c>
      <c r="K362" t="s">
        <v>3804</v>
      </c>
      <c r="L362" t="s">
        <v>3797</v>
      </c>
      <c r="M362" t="s">
        <v>42</v>
      </c>
      <c r="N362" t="s">
        <v>118</v>
      </c>
      <c r="O362" t="s">
        <v>3805</v>
      </c>
      <c r="P362" s="9">
        <v>44258.510474537034</v>
      </c>
      <c r="Q362" t="s">
        <v>3806</v>
      </c>
      <c r="R362" t="s">
        <v>3794</v>
      </c>
    </row>
    <row r="363" spans="1:18" x14ac:dyDescent="0.25">
      <c r="A363" t="s">
        <v>4311</v>
      </c>
      <c r="B363" t="s">
        <v>4310</v>
      </c>
      <c r="C363">
        <v>2</v>
      </c>
      <c r="D363" t="s">
        <v>41</v>
      </c>
      <c r="E363">
        <v>17</v>
      </c>
      <c r="F363" t="s">
        <v>3793</v>
      </c>
      <c r="G363" t="s">
        <v>4311</v>
      </c>
      <c r="H363" t="s">
        <v>3783</v>
      </c>
      <c r="I363" t="s">
        <v>3794</v>
      </c>
      <c r="J363" t="s">
        <v>4310</v>
      </c>
      <c r="K363" t="s">
        <v>3804</v>
      </c>
      <c r="L363" t="s">
        <v>3797</v>
      </c>
      <c r="M363" t="s">
        <v>145</v>
      </c>
      <c r="N363" t="s">
        <v>118</v>
      </c>
      <c r="O363" t="s">
        <v>3808</v>
      </c>
      <c r="P363" s="9">
        <v>44258.51048611111</v>
      </c>
      <c r="Q363" t="s">
        <v>3809</v>
      </c>
      <c r="R363" t="s">
        <v>3794</v>
      </c>
    </row>
    <row r="364" spans="1:18" x14ac:dyDescent="0.25">
      <c r="A364" t="s">
        <v>4312</v>
      </c>
      <c r="B364" t="s">
        <v>4310</v>
      </c>
      <c r="C364">
        <v>2</v>
      </c>
      <c r="D364" t="s">
        <v>41</v>
      </c>
      <c r="E364">
        <v>17</v>
      </c>
      <c r="F364" t="s">
        <v>3793</v>
      </c>
      <c r="G364" t="s">
        <v>4312</v>
      </c>
      <c r="H364" t="s">
        <v>3783</v>
      </c>
      <c r="I364" t="s">
        <v>3794</v>
      </c>
      <c r="J364" t="s">
        <v>4310</v>
      </c>
      <c r="K364" t="s">
        <v>3804</v>
      </c>
      <c r="L364" t="s">
        <v>3797</v>
      </c>
      <c r="M364" t="s">
        <v>232</v>
      </c>
      <c r="N364" t="s">
        <v>118</v>
      </c>
      <c r="O364" t="s">
        <v>3808</v>
      </c>
      <c r="P364" s="9">
        <v>44258.51048611111</v>
      </c>
      <c r="Q364" t="s">
        <v>3811</v>
      </c>
      <c r="R364" t="s">
        <v>3794</v>
      </c>
    </row>
    <row r="365" spans="1:18" x14ac:dyDescent="0.25">
      <c r="A365" t="s">
        <v>4313</v>
      </c>
      <c r="B365" t="s">
        <v>4310</v>
      </c>
      <c r="C365">
        <v>2</v>
      </c>
      <c r="D365" t="s">
        <v>41</v>
      </c>
      <c r="E365">
        <v>17</v>
      </c>
      <c r="F365" t="s">
        <v>3793</v>
      </c>
      <c r="G365" t="s">
        <v>4313</v>
      </c>
      <c r="H365" t="s">
        <v>3783</v>
      </c>
      <c r="I365" t="s">
        <v>3794</v>
      </c>
      <c r="J365" t="s">
        <v>4310</v>
      </c>
      <c r="K365" t="s">
        <v>3804</v>
      </c>
      <c r="L365" t="s">
        <v>3797</v>
      </c>
      <c r="M365" t="s">
        <v>43</v>
      </c>
      <c r="N365" t="s">
        <v>118</v>
      </c>
      <c r="O365" t="s">
        <v>3801</v>
      </c>
      <c r="P365" s="9">
        <v>44258.510462962964</v>
      </c>
      <c r="Q365" t="s">
        <v>3813</v>
      </c>
      <c r="R365" t="s">
        <v>3794</v>
      </c>
    </row>
    <row r="366" spans="1:18" x14ac:dyDescent="0.25">
      <c r="A366" t="s">
        <v>4314</v>
      </c>
      <c r="B366" t="s">
        <v>4310</v>
      </c>
      <c r="C366">
        <v>2</v>
      </c>
      <c r="D366" t="s">
        <v>41</v>
      </c>
      <c r="E366">
        <v>17</v>
      </c>
      <c r="F366" t="s">
        <v>3793</v>
      </c>
      <c r="G366" t="s">
        <v>4314</v>
      </c>
      <c r="H366" t="s">
        <v>3783</v>
      </c>
      <c r="I366" t="s">
        <v>3794</v>
      </c>
      <c r="J366" t="s">
        <v>4310</v>
      </c>
      <c r="K366" t="s">
        <v>3804</v>
      </c>
      <c r="L366" t="s">
        <v>3797</v>
      </c>
      <c r="M366" t="s">
        <v>108</v>
      </c>
      <c r="N366" t="s">
        <v>119</v>
      </c>
      <c r="O366" t="s">
        <v>3815</v>
      </c>
      <c r="P366" s="9">
        <v>44258.510451388887</v>
      </c>
      <c r="Q366" t="s">
        <v>3816</v>
      </c>
      <c r="R366" t="s">
        <v>3794</v>
      </c>
    </row>
    <row r="367" spans="1:18" x14ac:dyDescent="0.25">
      <c r="A367" t="s">
        <v>4315</v>
      </c>
      <c r="B367" t="s">
        <v>4316</v>
      </c>
      <c r="C367">
        <v>2</v>
      </c>
      <c r="D367" t="s">
        <v>41</v>
      </c>
      <c r="E367">
        <v>17</v>
      </c>
      <c r="F367" t="s">
        <v>3793</v>
      </c>
      <c r="G367" t="s">
        <v>4315</v>
      </c>
      <c r="H367" t="s">
        <v>3785</v>
      </c>
      <c r="I367" t="s">
        <v>4317</v>
      </c>
      <c r="J367" t="s">
        <v>4316</v>
      </c>
      <c r="K367" t="s">
        <v>3840</v>
      </c>
      <c r="L367" t="s">
        <v>3797</v>
      </c>
      <c r="M367" t="s">
        <v>3739</v>
      </c>
      <c r="N367" t="s">
        <v>118</v>
      </c>
      <c r="O367" t="s">
        <v>4318</v>
      </c>
      <c r="P367" s="9">
        <v>44258.510451388887</v>
      </c>
      <c r="Q367" t="s">
        <v>3842</v>
      </c>
      <c r="R367" t="s">
        <v>3794</v>
      </c>
    </row>
    <row r="368" spans="1:18" x14ac:dyDescent="0.25">
      <c r="A368" t="s">
        <v>4319</v>
      </c>
      <c r="B368" t="s">
        <v>4316</v>
      </c>
      <c r="C368">
        <v>2</v>
      </c>
      <c r="D368" t="s">
        <v>41</v>
      </c>
      <c r="E368">
        <v>17</v>
      </c>
      <c r="F368" t="s">
        <v>3793</v>
      </c>
      <c r="G368" t="s">
        <v>4319</v>
      </c>
      <c r="H368" t="s">
        <v>3785</v>
      </c>
      <c r="I368" t="s">
        <v>3794</v>
      </c>
      <c r="J368" t="s">
        <v>4316</v>
      </c>
      <c r="K368" t="s">
        <v>3840</v>
      </c>
      <c r="L368" t="s">
        <v>3797</v>
      </c>
      <c r="M368" t="s">
        <v>3740</v>
      </c>
      <c r="N368" t="s">
        <v>118</v>
      </c>
      <c r="O368" t="s">
        <v>3801</v>
      </c>
      <c r="P368" s="9">
        <v>44258.510451388887</v>
      </c>
      <c r="Q368" t="s">
        <v>3844</v>
      </c>
      <c r="R368" t="s">
        <v>3794</v>
      </c>
    </row>
    <row r="369" spans="1:18" x14ac:dyDescent="0.25">
      <c r="A369" t="s">
        <v>4320</v>
      </c>
      <c r="B369" t="s">
        <v>4316</v>
      </c>
      <c r="C369">
        <v>2</v>
      </c>
      <c r="D369" t="s">
        <v>41</v>
      </c>
      <c r="E369">
        <v>17</v>
      </c>
      <c r="F369" t="s">
        <v>3793</v>
      </c>
      <c r="G369" t="s">
        <v>4320</v>
      </c>
      <c r="H369" t="s">
        <v>3785</v>
      </c>
      <c r="I369" t="s">
        <v>3794</v>
      </c>
      <c r="J369" t="s">
        <v>4316</v>
      </c>
      <c r="K369" t="s">
        <v>3804</v>
      </c>
      <c r="L369" t="s">
        <v>3797</v>
      </c>
      <c r="M369" t="s">
        <v>42</v>
      </c>
      <c r="N369" t="s">
        <v>118</v>
      </c>
      <c r="O369" t="s">
        <v>3805</v>
      </c>
      <c r="P369" s="9">
        <v>44258.510474537034</v>
      </c>
      <c r="Q369" t="s">
        <v>3806</v>
      </c>
      <c r="R369" t="s">
        <v>3794</v>
      </c>
    </row>
    <row r="370" spans="1:18" x14ac:dyDescent="0.25">
      <c r="A370" t="s">
        <v>4321</v>
      </c>
      <c r="B370" t="s">
        <v>4316</v>
      </c>
      <c r="C370">
        <v>2</v>
      </c>
      <c r="D370" t="s">
        <v>41</v>
      </c>
      <c r="E370">
        <v>17</v>
      </c>
      <c r="F370" t="s">
        <v>3793</v>
      </c>
      <c r="G370" t="s">
        <v>4321</v>
      </c>
      <c r="H370" t="s">
        <v>3785</v>
      </c>
      <c r="I370" t="s">
        <v>3794</v>
      </c>
      <c r="J370" t="s">
        <v>4316</v>
      </c>
      <c r="K370" t="s">
        <v>3804</v>
      </c>
      <c r="L370" t="s">
        <v>3797</v>
      </c>
      <c r="M370" t="s">
        <v>145</v>
      </c>
      <c r="N370" t="s">
        <v>118</v>
      </c>
      <c r="O370" t="s">
        <v>3808</v>
      </c>
      <c r="P370" s="9">
        <v>44258.51048611111</v>
      </c>
      <c r="Q370" t="s">
        <v>3809</v>
      </c>
      <c r="R370" t="s">
        <v>3794</v>
      </c>
    </row>
    <row r="371" spans="1:18" x14ac:dyDescent="0.25">
      <c r="A371" t="s">
        <v>4322</v>
      </c>
      <c r="B371" t="s">
        <v>4316</v>
      </c>
      <c r="C371">
        <v>2</v>
      </c>
      <c r="D371" t="s">
        <v>41</v>
      </c>
      <c r="E371">
        <v>17</v>
      </c>
      <c r="F371" t="s">
        <v>3793</v>
      </c>
      <c r="G371" t="s">
        <v>4322</v>
      </c>
      <c r="H371" t="s">
        <v>3785</v>
      </c>
      <c r="I371" t="s">
        <v>3794</v>
      </c>
      <c r="J371" t="s">
        <v>4316</v>
      </c>
      <c r="K371" t="s">
        <v>3804</v>
      </c>
      <c r="L371" t="s">
        <v>3797</v>
      </c>
      <c r="M371" t="s">
        <v>232</v>
      </c>
      <c r="N371" t="s">
        <v>118</v>
      </c>
      <c r="O371" t="s">
        <v>3808</v>
      </c>
      <c r="P371" s="9">
        <v>44258.51048611111</v>
      </c>
      <c r="Q371" t="s">
        <v>3811</v>
      </c>
      <c r="R371" t="s">
        <v>3794</v>
      </c>
    </row>
    <row r="372" spans="1:18" x14ac:dyDescent="0.25">
      <c r="A372" t="s">
        <v>4323</v>
      </c>
      <c r="B372" t="s">
        <v>4316</v>
      </c>
      <c r="C372">
        <v>2</v>
      </c>
      <c r="D372" t="s">
        <v>41</v>
      </c>
      <c r="E372">
        <v>17</v>
      </c>
      <c r="F372" t="s">
        <v>3793</v>
      </c>
      <c r="G372" t="s">
        <v>4323</v>
      </c>
      <c r="H372" t="s">
        <v>3785</v>
      </c>
      <c r="I372" t="s">
        <v>3794</v>
      </c>
      <c r="J372" t="s">
        <v>4316</v>
      </c>
      <c r="K372" t="s">
        <v>3804</v>
      </c>
      <c r="L372" t="s">
        <v>3797</v>
      </c>
      <c r="M372" t="s">
        <v>43</v>
      </c>
      <c r="N372" t="s">
        <v>118</v>
      </c>
      <c r="O372" t="s">
        <v>3801</v>
      </c>
      <c r="P372" s="9">
        <v>44258.510474537034</v>
      </c>
      <c r="Q372" t="s">
        <v>3813</v>
      </c>
      <c r="R372" t="s">
        <v>3794</v>
      </c>
    </row>
    <row r="373" spans="1:18" x14ac:dyDescent="0.25">
      <c r="A373" t="s">
        <v>4324</v>
      </c>
      <c r="B373" t="s">
        <v>4316</v>
      </c>
      <c r="C373">
        <v>2</v>
      </c>
      <c r="D373" t="s">
        <v>41</v>
      </c>
      <c r="E373">
        <v>17</v>
      </c>
      <c r="F373" t="s">
        <v>3793</v>
      </c>
      <c r="G373" t="s">
        <v>4324</v>
      </c>
      <c r="H373" t="s">
        <v>3785</v>
      </c>
      <c r="I373" t="s">
        <v>3794</v>
      </c>
      <c r="J373" t="s">
        <v>4316</v>
      </c>
      <c r="K373" t="s">
        <v>3804</v>
      </c>
      <c r="L373" t="s">
        <v>3797</v>
      </c>
      <c r="M373" t="s">
        <v>108</v>
      </c>
      <c r="N373" t="s">
        <v>119</v>
      </c>
      <c r="O373" t="s">
        <v>3815</v>
      </c>
      <c r="P373" s="9">
        <v>44258.510462962964</v>
      </c>
      <c r="Q373" t="s">
        <v>3816</v>
      </c>
      <c r="R373" t="s">
        <v>3794</v>
      </c>
    </row>
    <row r="374" spans="1:18" x14ac:dyDescent="0.25">
      <c r="A374" t="s">
        <v>4325</v>
      </c>
      <c r="B374" t="s">
        <v>4326</v>
      </c>
      <c r="C374">
        <v>2</v>
      </c>
      <c r="D374" t="s">
        <v>41</v>
      </c>
      <c r="E374">
        <v>17</v>
      </c>
      <c r="F374" t="s">
        <v>3793</v>
      </c>
      <c r="G374" t="s">
        <v>4325</v>
      </c>
      <c r="H374" t="s">
        <v>3784</v>
      </c>
      <c r="I374" t="s">
        <v>4327</v>
      </c>
      <c r="J374" t="s">
        <v>4326</v>
      </c>
      <c r="K374" t="s">
        <v>3796</v>
      </c>
      <c r="L374" t="s">
        <v>3797</v>
      </c>
      <c r="M374" t="s">
        <v>3739</v>
      </c>
      <c r="N374" t="s">
        <v>118</v>
      </c>
      <c r="O374" t="s">
        <v>4328</v>
      </c>
      <c r="P374" s="9">
        <v>44258.510439814818</v>
      </c>
      <c r="Q374" t="s">
        <v>3799</v>
      </c>
      <c r="R374" t="s">
        <v>3794</v>
      </c>
    </row>
    <row r="375" spans="1:18" x14ac:dyDescent="0.25">
      <c r="A375" t="s">
        <v>4329</v>
      </c>
      <c r="B375" t="s">
        <v>4326</v>
      </c>
      <c r="C375">
        <v>2</v>
      </c>
      <c r="D375" t="s">
        <v>41</v>
      </c>
      <c r="E375">
        <v>17</v>
      </c>
      <c r="F375" t="s">
        <v>3793</v>
      </c>
      <c r="G375" t="s">
        <v>4329</v>
      </c>
      <c r="H375" t="s">
        <v>3784</v>
      </c>
      <c r="I375" t="s">
        <v>3794</v>
      </c>
      <c r="J375" t="s">
        <v>4326</v>
      </c>
      <c r="K375" t="s">
        <v>3796</v>
      </c>
      <c r="L375" t="s">
        <v>3797</v>
      </c>
      <c r="M375" t="s">
        <v>3740</v>
      </c>
      <c r="N375" t="s">
        <v>118</v>
      </c>
      <c r="O375" t="s">
        <v>3801</v>
      </c>
      <c r="P375" s="9">
        <v>44258.510439814818</v>
      </c>
      <c r="Q375" t="s">
        <v>3802</v>
      </c>
      <c r="R375" t="s">
        <v>3794</v>
      </c>
    </row>
    <row r="376" spans="1:18" x14ac:dyDescent="0.25">
      <c r="A376" t="s">
        <v>4330</v>
      </c>
      <c r="B376" t="s">
        <v>4326</v>
      </c>
      <c r="C376">
        <v>2</v>
      </c>
      <c r="D376" t="s">
        <v>41</v>
      </c>
      <c r="E376">
        <v>17</v>
      </c>
      <c r="F376" t="s">
        <v>3793</v>
      </c>
      <c r="G376" t="s">
        <v>4330</v>
      </c>
      <c r="H376" t="s">
        <v>3784</v>
      </c>
      <c r="I376" t="s">
        <v>3794</v>
      </c>
      <c r="J376" t="s">
        <v>4326</v>
      </c>
      <c r="K376" t="s">
        <v>3804</v>
      </c>
      <c r="L376" t="s">
        <v>3797</v>
      </c>
      <c r="M376" t="s">
        <v>42</v>
      </c>
      <c r="N376" t="s">
        <v>118</v>
      </c>
      <c r="O376" t="s">
        <v>3805</v>
      </c>
      <c r="P376" s="9">
        <v>44258.510474537034</v>
      </c>
      <c r="Q376" t="s">
        <v>3806</v>
      </c>
      <c r="R376" t="s">
        <v>3794</v>
      </c>
    </row>
    <row r="377" spans="1:18" x14ac:dyDescent="0.25">
      <c r="A377" t="s">
        <v>4331</v>
      </c>
      <c r="B377" t="s">
        <v>4326</v>
      </c>
      <c r="C377">
        <v>2</v>
      </c>
      <c r="D377" t="s">
        <v>41</v>
      </c>
      <c r="E377">
        <v>17</v>
      </c>
      <c r="F377" t="s">
        <v>3793</v>
      </c>
      <c r="G377" t="s">
        <v>4331</v>
      </c>
      <c r="H377" t="s">
        <v>3784</v>
      </c>
      <c r="I377" t="s">
        <v>3794</v>
      </c>
      <c r="J377" t="s">
        <v>4326</v>
      </c>
      <c r="K377" t="s">
        <v>3804</v>
      </c>
      <c r="L377" t="s">
        <v>3797</v>
      </c>
      <c r="M377" t="s">
        <v>145</v>
      </c>
      <c r="N377" t="s">
        <v>118</v>
      </c>
      <c r="O377" t="s">
        <v>3808</v>
      </c>
      <c r="P377" s="9">
        <v>44258.51048611111</v>
      </c>
      <c r="Q377" t="s">
        <v>3809</v>
      </c>
      <c r="R377" t="s">
        <v>3794</v>
      </c>
    </row>
    <row r="378" spans="1:18" x14ac:dyDescent="0.25">
      <c r="A378" t="s">
        <v>4332</v>
      </c>
      <c r="B378" t="s">
        <v>4326</v>
      </c>
      <c r="C378">
        <v>2</v>
      </c>
      <c r="D378" t="s">
        <v>41</v>
      </c>
      <c r="E378">
        <v>17</v>
      </c>
      <c r="F378" t="s">
        <v>3793</v>
      </c>
      <c r="G378" t="s">
        <v>4332</v>
      </c>
      <c r="H378" t="s">
        <v>3784</v>
      </c>
      <c r="I378" t="s">
        <v>3794</v>
      </c>
      <c r="J378" t="s">
        <v>4326</v>
      </c>
      <c r="K378" t="s">
        <v>3804</v>
      </c>
      <c r="L378" t="s">
        <v>3797</v>
      </c>
      <c r="M378" t="s">
        <v>232</v>
      </c>
      <c r="N378" t="s">
        <v>118</v>
      </c>
      <c r="O378" t="s">
        <v>3808</v>
      </c>
      <c r="P378" s="9">
        <v>44258.51048611111</v>
      </c>
      <c r="Q378" t="s">
        <v>3811</v>
      </c>
      <c r="R378" t="s">
        <v>3794</v>
      </c>
    </row>
    <row r="379" spans="1:18" x14ac:dyDescent="0.25">
      <c r="A379" t="s">
        <v>4333</v>
      </c>
      <c r="B379" t="s">
        <v>4326</v>
      </c>
      <c r="C379">
        <v>2</v>
      </c>
      <c r="D379" t="s">
        <v>41</v>
      </c>
      <c r="E379">
        <v>17</v>
      </c>
      <c r="F379" t="s">
        <v>3793</v>
      </c>
      <c r="G379" t="s">
        <v>4333</v>
      </c>
      <c r="H379" t="s">
        <v>3784</v>
      </c>
      <c r="I379" t="s">
        <v>3794</v>
      </c>
      <c r="J379" t="s">
        <v>4326</v>
      </c>
      <c r="K379" t="s">
        <v>3804</v>
      </c>
      <c r="L379" t="s">
        <v>3797</v>
      </c>
      <c r="M379" t="s">
        <v>43</v>
      </c>
      <c r="N379" t="s">
        <v>118</v>
      </c>
      <c r="O379" t="s">
        <v>3801</v>
      </c>
      <c r="P379" s="9">
        <v>44258.510462962964</v>
      </c>
      <c r="Q379" t="s">
        <v>3813</v>
      </c>
      <c r="R379" t="s">
        <v>3794</v>
      </c>
    </row>
    <row r="380" spans="1:18" x14ac:dyDescent="0.25">
      <c r="A380" t="s">
        <v>4334</v>
      </c>
      <c r="B380" t="s">
        <v>4326</v>
      </c>
      <c r="C380">
        <v>2</v>
      </c>
      <c r="D380" t="s">
        <v>41</v>
      </c>
      <c r="E380">
        <v>17</v>
      </c>
      <c r="F380" t="s">
        <v>3793</v>
      </c>
      <c r="G380" t="s">
        <v>4334</v>
      </c>
      <c r="H380" t="s">
        <v>3784</v>
      </c>
      <c r="I380" t="s">
        <v>3794</v>
      </c>
      <c r="J380" t="s">
        <v>4326</v>
      </c>
      <c r="K380" t="s">
        <v>3804</v>
      </c>
      <c r="L380" t="s">
        <v>3797</v>
      </c>
      <c r="M380" t="s">
        <v>108</v>
      </c>
      <c r="N380" t="s">
        <v>119</v>
      </c>
      <c r="O380" t="s">
        <v>3815</v>
      </c>
      <c r="P380" s="9">
        <v>44258.510451388887</v>
      </c>
      <c r="Q380" t="s">
        <v>3816</v>
      </c>
      <c r="R380" t="s">
        <v>3794</v>
      </c>
    </row>
    <row r="381" spans="1:18" x14ac:dyDescent="0.25">
      <c r="A381" t="s">
        <v>4335</v>
      </c>
      <c r="B381" t="s">
        <v>4336</v>
      </c>
      <c r="C381">
        <v>2</v>
      </c>
      <c r="D381" t="s">
        <v>41</v>
      </c>
      <c r="E381">
        <v>17</v>
      </c>
      <c r="F381" t="s">
        <v>3793</v>
      </c>
      <c r="G381" t="s">
        <v>4335</v>
      </c>
      <c r="H381" t="s">
        <v>3782</v>
      </c>
      <c r="I381" t="s">
        <v>3794</v>
      </c>
      <c r="J381" t="s">
        <v>4336</v>
      </c>
      <c r="K381" t="s">
        <v>3804</v>
      </c>
      <c r="L381" t="s">
        <v>3797</v>
      </c>
      <c r="M381" t="s">
        <v>42</v>
      </c>
      <c r="N381" t="s">
        <v>118</v>
      </c>
      <c r="O381" t="s">
        <v>3805</v>
      </c>
      <c r="P381" s="9">
        <v>44258.510474537034</v>
      </c>
      <c r="Q381" t="s">
        <v>3806</v>
      </c>
      <c r="R381" t="s">
        <v>3794</v>
      </c>
    </row>
    <row r="382" spans="1:18" x14ac:dyDescent="0.25">
      <c r="A382" t="s">
        <v>4337</v>
      </c>
      <c r="B382" t="s">
        <v>4336</v>
      </c>
      <c r="C382">
        <v>2</v>
      </c>
      <c r="D382" t="s">
        <v>41</v>
      </c>
      <c r="E382">
        <v>17</v>
      </c>
      <c r="F382" t="s">
        <v>3793</v>
      </c>
      <c r="G382" t="s">
        <v>4337</v>
      </c>
      <c r="H382" t="s">
        <v>3782</v>
      </c>
      <c r="I382" t="s">
        <v>3794</v>
      </c>
      <c r="J382" t="s">
        <v>4336</v>
      </c>
      <c r="K382" t="s">
        <v>3804</v>
      </c>
      <c r="L382" t="s">
        <v>3797</v>
      </c>
      <c r="M382" t="s">
        <v>43</v>
      </c>
      <c r="N382" t="s">
        <v>118</v>
      </c>
      <c r="O382" t="s">
        <v>3801</v>
      </c>
      <c r="P382" s="9">
        <v>44258.510462962964</v>
      </c>
      <c r="Q382" t="s">
        <v>3813</v>
      </c>
      <c r="R382" t="s">
        <v>3794</v>
      </c>
    </row>
    <row r="383" spans="1:18" x14ac:dyDescent="0.25">
      <c r="A383" t="s">
        <v>4338</v>
      </c>
      <c r="B383" t="s">
        <v>4336</v>
      </c>
      <c r="C383">
        <v>2</v>
      </c>
      <c r="D383" t="s">
        <v>41</v>
      </c>
      <c r="E383">
        <v>17</v>
      </c>
      <c r="F383" t="s">
        <v>3793</v>
      </c>
      <c r="G383" t="s">
        <v>4338</v>
      </c>
      <c r="H383" t="s">
        <v>3782</v>
      </c>
      <c r="I383" t="s">
        <v>3794</v>
      </c>
      <c r="J383" t="s">
        <v>4336</v>
      </c>
      <c r="K383" t="s">
        <v>3804</v>
      </c>
      <c r="L383" t="s">
        <v>3797</v>
      </c>
      <c r="M383" t="s">
        <v>108</v>
      </c>
      <c r="N383" t="s">
        <v>119</v>
      </c>
      <c r="O383" t="s">
        <v>3815</v>
      </c>
      <c r="P383" s="9">
        <v>44258.510451388887</v>
      </c>
      <c r="Q383" t="s">
        <v>3816</v>
      </c>
      <c r="R383" t="s">
        <v>3794</v>
      </c>
    </row>
    <row r="384" spans="1:18" x14ac:dyDescent="0.25">
      <c r="A384" t="s">
        <v>4339</v>
      </c>
      <c r="B384" t="s">
        <v>4340</v>
      </c>
      <c r="C384">
        <v>2</v>
      </c>
      <c r="D384" t="s">
        <v>41</v>
      </c>
      <c r="E384">
        <v>17</v>
      </c>
      <c r="F384" t="s">
        <v>3793</v>
      </c>
      <c r="G384" t="s">
        <v>4339</v>
      </c>
      <c r="H384" t="s">
        <v>3783</v>
      </c>
      <c r="I384" t="s">
        <v>3794</v>
      </c>
      <c r="J384" t="s">
        <v>4340</v>
      </c>
      <c r="K384" t="s">
        <v>3804</v>
      </c>
      <c r="L384" t="s">
        <v>3797</v>
      </c>
      <c r="M384" t="s">
        <v>42</v>
      </c>
      <c r="N384" t="s">
        <v>118</v>
      </c>
      <c r="O384" t="s">
        <v>3805</v>
      </c>
      <c r="P384" s="9">
        <v>44258.510474537034</v>
      </c>
      <c r="Q384" t="s">
        <v>3806</v>
      </c>
      <c r="R384" t="s">
        <v>3794</v>
      </c>
    </row>
    <row r="385" spans="1:18" x14ac:dyDescent="0.25">
      <c r="A385" t="s">
        <v>4341</v>
      </c>
      <c r="B385" t="s">
        <v>4340</v>
      </c>
      <c r="C385">
        <v>2</v>
      </c>
      <c r="D385" t="s">
        <v>41</v>
      </c>
      <c r="E385">
        <v>17</v>
      </c>
      <c r="F385" t="s">
        <v>3793</v>
      </c>
      <c r="G385" t="s">
        <v>4341</v>
      </c>
      <c r="H385" t="s">
        <v>3783</v>
      </c>
      <c r="I385" t="s">
        <v>3794</v>
      </c>
      <c r="J385" t="s">
        <v>4340</v>
      </c>
      <c r="K385" t="s">
        <v>3804</v>
      </c>
      <c r="L385" t="s">
        <v>3797</v>
      </c>
      <c r="M385" t="s">
        <v>145</v>
      </c>
      <c r="N385" t="s">
        <v>118</v>
      </c>
      <c r="O385" t="s">
        <v>3808</v>
      </c>
      <c r="P385" s="9">
        <v>44258.51048611111</v>
      </c>
      <c r="Q385" t="s">
        <v>3809</v>
      </c>
      <c r="R385" t="s">
        <v>3794</v>
      </c>
    </row>
    <row r="386" spans="1:18" x14ac:dyDescent="0.25">
      <c r="A386" t="s">
        <v>4342</v>
      </c>
      <c r="B386" t="s">
        <v>4340</v>
      </c>
      <c r="C386">
        <v>2</v>
      </c>
      <c r="D386" t="s">
        <v>41</v>
      </c>
      <c r="E386">
        <v>17</v>
      </c>
      <c r="F386" t="s">
        <v>3793</v>
      </c>
      <c r="G386" t="s">
        <v>4342</v>
      </c>
      <c r="H386" t="s">
        <v>3783</v>
      </c>
      <c r="I386" t="s">
        <v>3794</v>
      </c>
      <c r="J386" t="s">
        <v>4340</v>
      </c>
      <c r="K386" t="s">
        <v>3804</v>
      </c>
      <c r="L386" t="s">
        <v>3797</v>
      </c>
      <c r="M386" t="s">
        <v>232</v>
      </c>
      <c r="N386" t="s">
        <v>118</v>
      </c>
      <c r="O386" t="s">
        <v>3808</v>
      </c>
      <c r="P386" s="9">
        <v>44258.51048611111</v>
      </c>
      <c r="Q386" t="s">
        <v>3811</v>
      </c>
      <c r="R386" t="s">
        <v>3794</v>
      </c>
    </row>
    <row r="387" spans="1:18" x14ac:dyDescent="0.25">
      <c r="A387" t="s">
        <v>4343</v>
      </c>
      <c r="B387" t="s">
        <v>4340</v>
      </c>
      <c r="C387">
        <v>2</v>
      </c>
      <c r="D387" t="s">
        <v>41</v>
      </c>
      <c r="E387">
        <v>17</v>
      </c>
      <c r="F387" t="s">
        <v>3793</v>
      </c>
      <c r="G387" t="s">
        <v>4343</v>
      </c>
      <c r="H387" t="s">
        <v>3783</v>
      </c>
      <c r="I387" t="s">
        <v>3794</v>
      </c>
      <c r="J387" t="s">
        <v>4340</v>
      </c>
      <c r="K387" t="s">
        <v>3804</v>
      </c>
      <c r="L387" t="s">
        <v>3797</v>
      </c>
      <c r="M387" t="s">
        <v>43</v>
      </c>
      <c r="N387" t="s">
        <v>118</v>
      </c>
      <c r="O387" t="s">
        <v>3801</v>
      </c>
      <c r="P387" s="9">
        <v>44258.510462962964</v>
      </c>
      <c r="Q387" t="s">
        <v>3813</v>
      </c>
      <c r="R387" t="s">
        <v>3794</v>
      </c>
    </row>
    <row r="388" spans="1:18" x14ac:dyDescent="0.25">
      <c r="A388" t="s">
        <v>4344</v>
      </c>
      <c r="B388" t="s">
        <v>4340</v>
      </c>
      <c r="C388">
        <v>2</v>
      </c>
      <c r="D388" t="s">
        <v>41</v>
      </c>
      <c r="E388">
        <v>17</v>
      </c>
      <c r="F388" t="s">
        <v>3793</v>
      </c>
      <c r="G388" t="s">
        <v>4344</v>
      </c>
      <c r="H388" t="s">
        <v>3783</v>
      </c>
      <c r="I388" t="s">
        <v>3794</v>
      </c>
      <c r="J388" t="s">
        <v>4340</v>
      </c>
      <c r="K388" t="s">
        <v>3804</v>
      </c>
      <c r="L388" t="s">
        <v>3797</v>
      </c>
      <c r="M388" t="s">
        <v>108</v>
      </c>
      <c r="N388" t="s">
        <v>119</v>
      </c>
      <c r="O388" t="s">
        <v>3815</v>
      </c>
      <c r="P388" s="9">
        <v>44258.510451388887</v>
      </c>
      <c r="Q388" t="s">
        <v>3816</v>
      </c>
      <c r="R388" t="s">
        <v>3794</v>
      </c>
    </row>
    <row r="389" spans="1:18" x14ac:dyDescent="0.25">
      <c r="A389" t="s">
        <v>4345</v>
      </c>
      <c r="B389" t="s">
        <v>4346</v>
      </c>
      <c r="C389">
        <v>2</v>
      </c>
      <c r="D389" t="s">
        <v>41</v>
      </c>
      <c r="E389">
        <v>17</v>
      </c>
      <c r="F389" t="s">
        <v>3793</v>
      </c>
      <c r="G389" t="s">
        <v>4345</v>
      </c>
      <c r="H389" t="s">
        <v>3785</v>
      </c>
      <c r="I389" t="s">
        <v>4347</v>
      </c>
      <c r="J389" t="s">
        <v>4346</v>
      </c>
      <c r="K389" t="s">
        <v>3840</v>
      </c>
      <c r="L389" t="s">
        <v>3797</v>
      </c>
      <c r="M389" t="s">
        <v>3739</v>
      </c>
      <c r="N389" t="s">
        <v>118</v>
      </c>
      <c r="O389" t="s">
        <v>4348</v>
      </c>
      <c r="P389" s="9">
        <v>44258.510451388887</v>
      </c>
      <c r="Q389" t="s">
        <v>3842</v>
      </c>
      <c r="R389" t="s">
        <v>3794</v>
      </c>
    </row>
    <row r="390" spans="1:18" x14ac:dyDescent="0.25">
      <c r="A390" t="s">
        <v>4349</v>
      </c>
      <c r="B390" t="s">
        <v>4346</v>
      </c>
      <c r="C390">
        <v>2</v>
      </c>
      <c r="D390" t="s">
        <v>41</v>
      </c>
      <c r="E390">
        <v>17</v>
      </c>
      <c r="F390" t="s">
        <v>3793</v>
      </c>
      <c r="G390" t="s">
        <v>4349</v>
      </c>
      <c r="H390" t="s">
        <v>3785</v>
      </c>
      <c r="I390" t="s">
        <v>3794</v>
      </c>
      <c r="J390" t="s">
        <v>4346</v>
      </c>
      <c r="K390" t="s">
        <v>3840</v>
      </c>
      <c r="L390" t="s">
        <v>3797</v>
      </c>
      <c r="M390" t="s">
        <v>3740</v>
      </c>
      <c r="N390" t="s">
        <v>118</v>
      </c>
      <c r="O390" t="s">
        <v>3801</v>
      </c>
      <c r="P390" s="9">
        <v>44258.510451388887</v>
      </c>
      <c r="Q390" t="s">
        <v>3844</v>
      </c>
      <c r="R390" t="s">
        <v>3794</v>
      </c>
    </row>
    <row r="391" spans="1:18" x14ac:dyDescent="0.25">
      <c r="A391" t="s">
        <v>4350</v>
      </c>
      <c r="B391" t="s">
        <v>4346</v>
      </c>
      <c r="C391">
        <v>2</v>
      </c>
      <c r="D391" t="s">
        <v>41</v>
      </c>
      <c r="E391">
        <v>17</v>
      </c>
      <c r="F391" t="s">
        <v>3793</v>
      </c>
      <c r="G391" t="s">
        <v>4350</v>
      </c>
      <c r="H391" t="s">
        <v>3785</v>
      </c>
      <c r="I391" t="s">
        <v>3794</v>
      </c>
      <c r="J391" t="s">
        <v>4346</v>
      </c>
      <c r="K391" t="s">
        <v>3804</v>
      </c>
      <c r="L391" t="s">
        <v>3797</v>
      </c>
      <c r="M391" t="s">
        <v>42</v>
      </c>
      <c r="N391" t="s">
        <v>118</v>
      </c>
      <c r="O391" t="s">
        <v>3805</v>
      </c>
      <c r="P391" s="9">
        <v>44258.510474537034</v>
      </c>
      <c r="Q391" t="s">
        <v>3806</v>
      </c>
      <c r="R391" t="s">
        <v>3794</v>
      </c>
    </row>
    <row r="392" spans="1:18" x14ac:dyDescent="0.25">
      <c r="A392" t="s">
        <v>4351</v>
      </c>
      <c r="B392" t="s">
        <v>4346</v>
      </c>
      <c r="C392">
        <v>2</v>
      </c>
      <c r="D392" t="s">
        <v>41</v>
      </c>
      <c r="E392">
        <v>17</v>
      </c>
      <c r="F392" t="s">
        <v>3793</v>
      </c>
      <c r="G392" t="s">
        <v>4351</v>
      </c>
      <c r="H392" t="s">
        <v>3785</v>
      </c>
      <c r="I392" t="s">
        <v>3794</v>
      </c>
      <c r="J392" t="s">
        <v>4346</v>
      </c>
      <c r="K392" t="s">
        <v>3804</v>
      </c>
      <c r="L392" t="s">
        <v>3797</v>
      </c>
      <c r="M392" t="s">
        <v>145</v>
      </c>
      <c r="N392" t="s">
        <v>118</v>
      </c>
      <c r="O392" t="s">
        <v>3808</v>
      </c>
      <c r="P392" s="9">
        <v>44258.51048611111</v>
      </c>
      <c r="Q392" t="s">
        <v>3809</v>
      </c>
      <c r="R392" t="s">
        <v>3794</v>
      </c>
    </row>
    <row r="393" spans="1:18" x14ac:dyDescent="0.25">
      <c r="A393" t="s">
        <v>4352</v>
      </c>
      <c r="B393" t="s">
        <v>4346</v>
      </c>
      <c r="C393">
        <v>2</v>
      </c>
      <c r="D393" t="s">
        <v>41</v>
      </c>
      <c r="E393">
        <v>17</v>
      </c>
      <c r="F393" t="s">
        <v>3793</v>
      </c>
      <c r="G393" t="s">
        <v>4352</v>
      </c>
      <c r="H393" t="s">
        <v>3785</v>
      </c>
      <c r="I393" t="s">
        <v>3794</v>
      </c>
      <c r="J393" t="s">
        <v>4346</v>
      </c>
      <c r="K393" t="s">
        <v>3804</v>
      </c>
      <c r="L393" t="s">
        <v>3797</v>
      </c>
      <c r="M393" t="s">
        <v>232</v>
      </c>
      <c r="N393" t="s">
        <v>118</v>
      </c>
      <c r="O393" t="s">
        <v>3808</v>
      </c>
      <c r="P393" s="9">
        <v>44258.51048611111</v>
      </c>
      <c r="Q393" t="s">
        <v>3811</v>
      </c>
      <c r="R393" t="s">
        <v>3794</v>
      </c>
    </row>
    <row r="394" spans="1:18" x14ac:dyDescent="0.25">
      <c r="A394" t="s">
        <v>4353</v>
      </c>
      <c r="B394" t="s">
        <v>4346</v>
      </c>
      <c r="C394">
        <v>2</v>
      </c>
      <c r="D394" t="s">
        <v>41</v>
      </c>
      <c r="E394">
        <v>17</v>
      </c>
      <c r="F394" t="s">
        <v>3793</v>
      </c>
      <c r="G394" t="s">
        <v>4353</v>
      </c>
      <c r="H394" t="s">
        <v>3785</v>
      </c>
      <c r="I394" t="s">
        <v>3794</v>
      </c>
      <c r="J394" t="s">
        <v>4346</v>
      </c>
      <c r="K394" t="s">
        <v>3804</v>
      </c>
      <c r="L394" t="s">
        <v>3797</v>
      </c>
      <c r="M394" t="s">
        <v>43</v>
      </c>
      <c r="N394" t="s">
        <v>118</v>
      </c>
      <c r="O394" t="s">
        <v>3801</v>
      </c>
      <c r="P394" s="9">
        <v>44258.510474537034</v>
      </c>
      <c r="Q394" t="s">
        <v>3813</v>
      </c>
      <c r="R394" t="s">
        <v>3794</v>
      </c>
    </row>
    <row r="395" spans="1:18" x14ac:dyDescent="0.25">
      <c r="A395" t="s">
        <v>4354</v>
      </c>
      <c r="B395" t="s">
        <v>4346</v>
      </c>
      <c r="C395">
        <v>2</v>
      </c>
      <c r="D395" t="s">
        <v>41</v>
      </c>
      <c r="E395">
        <v>17</v>
      </c>
      <c r="F395" t="s">
        <v>3793</v>
      </c>
      <c r="G395" t="s">
        <v>4354</v>
      </c>
      <c r="H395" t="s">
        <v>3785</v>
      </c>
      <c r="I395" t="s">
        <v>3794</v>
      </c>
      <c r="J395" t="s">
        <v>4346</v>
      </c>
      <c r="K395" t="s">
        <v>3804</v>
      </c>
      <c r="L395" t="s">
        <v>3797</v>
      </c>
      <c r="M395" t="s">
        <v>108</v>
      </c>
      <c r="N395" t="s">
        <v>119</v>
      </c>
      <c r="O395" t="s">
        <v>3815</v>
      </c>
      <c r="P395" s="9">
        <v>44258.510462962964</v>
      </c>
      <c r="Q395" t="s">
        <v>3816</v>
      </c>
      <c r="R395" t="s">
        <v>3794</v>
      </c>
    </row>
    <row r="396" spans="1:18" x14ac:dyDescent="0.25">
      <c r="A396" t="s">
        <v>4355</v>
      </c>
      <c r="B396" t="s">
        <v>4356</v>
      </c>
      <c r="C396">
        <v>2</v>
      </c>
      <c r="D396" t="s">
        <v>41</v>
      </c>
      <c r="E396">
        <v>17</v>
      </c>
      <c r="F396" t="s">
        <v>3793</v>
      </c>
      <c r="G396" t="s">
        <v>4355</v>
      </c>
      <c r="H396" t="s">
        <v>3783</v>
      </c>
      <c r="I396" t="s">
        <v>3794</v>
      </c>
      <c r="J396" t="s">
        <v>4356</v>
      </c>
      <c r="K396" t="s">
        <v>3804</v>
      </c>
      <c r="L396" t="s">
        <v>3797</v>
      </c>
      <c r="M396" t="s">
        <v>42</v>
      </c>
      <c r="N396" t="s">
        <v>118</v>
      </c>
      <c r="O396" t="s">
        <v>3805</v>
      </c>
      <c r="P396" s="9">
        <v>44258.510474537034</v>
      </c>
      <c r="Q396" t="s">
        <v>3806</v>
      </c>
      <c r="R396" t="s">
        <v>3794</v>
      </c>
    </row>
    <row r="397" spans="1:18" x14ac:dyDescent="0.25">
      <c r="A397" t="s">
        <v>4357</v>
      </c>
      <c r="B397" t="s">
        <v>4356</v>
      </c>
      <c r="C397">
        <v>2</v>
      </c>
      <c r="D397" t="s">
        <v>41</v>
      </c>
      <c r="E397">
        <v>17</v>
      </c>
      <c r="F397" t="s">
        <v>3793</v>
      </c>
      <c r="G397" t="s">
        <v>4357</v>
      </c>
      <c r="H397" t="s">
        <v>3783</v>
      </c>
      <c r="I397" t="s">
        <v>3794</v>
      </c>
      <c r="J397" t="s">
        <v>4356</v>
      </c>
      <c r="K397" t="s">
        <v>3804</v>
      </c>
      <c r="L397" t="s">
        <v>3797</v>
      </c>
      <c r="M397" t="s">
        <v>145</v>
      </c>
      <c r="N397" t="s">
        <v>118</v>
      </c>
      <c r="O397" t="s">
        <v>3808</v>
      </c>
      <c r="P397" s="9">
        <v>44258.51048611111</v>
      </c>
      <c r="Q397" t="s">
        <v>3809</v>
      </c>
      <c r="R397" t="s">
        <v>3794</v>
      </c>
    </row>
    <row r="398" spans="1:18" x14ac:dyDescent="0.25">
      <c r="A398" t="s">
        <v>4358</v>
      </c>
      <c r="B398" t="s">
        <v>4356</v>
      </c>
      <c r="C398">
        <v>2</v>
      </c>
      <c r="D398" t="s">
        <v>41</v>
      </c>
      <c r="E398">
        <v>17</v>
      </c>
      <c r="F398" t="s">
        <v>3793</v>
      </c>
      <c r="G398" t="s">
        <v>4358</v>
      </c>
      <c r="H398" t="s">
        <v>3783</v>
      </c>
      <c r="I398" t="s">
        <v>3794</v>
      </c>
      <c r="J398" t="s">
        <v>4356</v>
      </c>
      <c r="K398" t="s">
        <v>3804</v>
      </c>
      <c r="L398" t="s">
        <v>3797</v>
      </c>
      <c r="M398" t="s">
        <v>232</v>
      </c>
      <c r="N398" t="s">
        <v>118</v>
      </c>
      <c r="O398" t="s">
        <v>3808</v>
      </c>
      <c r="P398" s="9">
        <v>44258.51048611111</v>
      </c>
      <c r="Q398" t="s">
        <v>3811</v>
      </c>
      <c r="R398" t="s">
        <v>3794</v>
      </c>
    </row>
    <row r="399" spans="1:18" x14ac:dyDescent="0.25">
      <c r="A399" t="s">
        <v>4359</v>
      </c>
      <c r="B399" t="s">
        <v>4356</v>
      </c>
      <c r="C399">
        <v>2</v>
      </c>
      <c r="D399" t="s">
        <v>41</v>
      </c>
      <c r="E399">
        <v>17</v>
      </c>
      <c r="F399" t="s">
        <v>3793</v>
      </c>
      <c r="G399" t="s">
        <v>4359</v>
      </c>
      <c r="H399" t="s">
        <v>3783</v>
      </c>
      <c r="I399" t="s">
        <v>3794</v>
      </c>
      <c r="J399" t="s">
        <v>4356</v>
      </c>
      <c r="K399" t="s">
        <v>3804</v>
      </c>
      <c r="L399" t="s">
        <v>3797</v>
      </c>
      <c r="M399" t="s">
        <v>43</v>
      </c>
      <c r="N399" t="s">
        <v>118</v>
      </c>
      <c r="O399" t="s">
        <v>3801</v>
      </c>
      <c r="P399" s="9">
        <v>44258.510462962964</v>
      </c>
      <c r="Q399" t="s">
        <v>3813</v>
      </c>
      <c r="R399" t="s">
        <v>3794</v>
      </c>
    </row>
    <row r="400" spans="1:18" x14ac:dyDescent="0.25">
      <c r="A400" t="s">
        <v>4360</v>
      </c>
      <c r="B400" t="s">
        <v>4356</v>
      </c>
      <c r="C400">
        <v>2</v>
      </c>
      <c r="D400" t="s">
        <v>41</v>
      </c>
      <c r="E400">
        <v>17</v>
      </c>
      <c r="F400" t="s">
        <v>3793</v>
      </c>
      <c r="G400" t="s">
        <v>4360</v>
      </c>
      <c r="H400" t="s">
        <v>3783</v>
      </c>
      <c r="I400" t="s">
        <v>3794</v>
      </c>
      <c r="J400" t="s">
        <v>4356</v>
      </c>
      <c r="K400" t="s">
        <v>3804</v>
      </c>
      <c r="L400" t="s">
        <v>3797</v>
      </c>
      <c r="M400" t="s">
        <v>108</v>
      </c>
      <c r="N400" t="s">
        <v>119</v>
      </c>
      <c r="O400" t="s">
        <v>3815</v>
      </c>
      <c r="P400" s="9">
        <v>44258.510451388887</v>
      </c>
      <c r="Q400" t="s">
        <v>3816</v>
      </c>
      <c r="R400" t="s">
        <v>3794</v>
      </c>
    </row>
    <row r="401" spans="1:18" x14ac:dyDescent="0.25">
      <c r="A401" t="s">
        <v>4361</v>
      </c>
      <c r="B401" t="s">
        <v>4362</v>
      </c>
      <c r="C401">
        <v>2</v>
      </c>
      <c r="D401" t="s">
        <v>41</v>
      </c>
      <c r="E401">
        <v>17</v>
      </c>
      <c r="F401" t="s">
        <v>3793</v>
      </c>
      <c r="G401" t="s">
        <v>4361</v>
      </c>
      <c r="H401" t="s">
        <v>3783</v>
      </c>
      <c r="I401" t="s">
        <v>3794</v>
      </c>
      <c r="J401" t="s">
        <v>4362</v>
      </c>
      <c r="K401" t="s">
        <v>3804</v>
      </c>
      <c r="L401" t="s">
        <v>3797</v>
      </c>
      <c r="M401" t="s">
        <v>42</v>
      </c>
      <c r="N401" t="s">
        <v>118</v>
      </c>
      <c r="O401" t="s">
        <v>3805</v>
      </c>
      <c r="P401" s="9">
        <v>44258.510474537034</v>
      </c>
      <c r="Q401" t="s">
        <v>3806</v>
      </c>
      <c r="R401" t="s">
        <v>3794</v>
      </c>
    </row>
    <row r="402" spans="1:18" x14ac:dyDescent="0.25">
      <c r="A402" t="s">
        <v>4363</v>
      </c>
      <c r="B402" t="s">
        <v>4362</v>
      </c>
      <c r="C402">
        <v>2</v>
      </c>
      <c r="D402" t="s">
        <v>41</v>
      </c>
      <c r="E402">
        <v>17</v>
      </c>
      <c r="F402" t="s">
        <v>3793</v>
      </c>
      <c r="G402" t="s">
        <v>4363</v>
      </c>
      <c r="H402" t="s">
        <v>3783</v>
      </c>
      <c r="I402" t="s">
        <v>3794</v>
      </c>
      <c r="J402" t="s">
        <v>4362</v>
      </c>
      <c r="K402" t="s">
        <v>3804</v>
      </c>
      <c r="L402" t="s">
        <v>3797</v>
      </c>
      <c r="M402" t="s">
        <v>145</v>
      </c>
      <c r="N402" t="s">
        <v>118</v>
      </c>
      <c r="O402" t="s">
        <v>3808</v>
      </c>
      <c r="P402" s="9">
        <v>44258.51048611111</v>
      </c>
      <c r="Q402" t="s">
        <v>3809</v>
      </c>
      <c r="R402" t="s">
        <v>3794</v>
      </c>
    </row>
    <row r="403" spans="1:18" x14ac:dyDescent="0.25">
      <c r="A403" t="s">
        <v>4364</v>
      </c>
      <c r="B403" t="s">
        <v>4362</v>
      </c>
      <c r="C403">
        <v>2</v>
      </c>
      <c r="D403" t="s">
        <v>41</v>
      </c>
      <c r="E403">
        <v>17</v>
      </c>
      <c r="F403" t="s">
        <v>3793</v>
      </c>
      <c r="G403" t="s">
        <v>4364</v>
      </c>
      <c r="H403" t="s">
        <v>3783</v>
      </c>
      <c r="I403" t="s">
        <v>3794</v>
      </c>
      <c r="J403" t="s">
        <v>4362</v>
      </c>
      <c r="K403" t="s">
        <v>3804</v>
      </c>
      <c r="L403" t="s">
        <v>3797</v>
      </c>
      <c r="M403" t="s">
        <v>232</v>
      </c>
      <c r="N403" t="s">
        <v>118</v>
      </c>
      <c r="O403" t="s">
        <v>3808</v>
      </c>
      <c r="P403" s="9">
        <v>44258.51048611111</v>
      </c>
      <c r="Q403" t="s">
        <v>3811</v>
      </c>
      <c r="R403" t="s">
        <v>3794</v>
      </c>
    </row>
    <row r="404" spans="1:18" x14ac:dyDescent="0.25">
      <c r="A404" t="s">
        <v>4365</v>
      </c>
      <c r="B404" t="s">
        <v>4362</v>
      </c>
      <c r="C404">
        <v>2</v>
      </c>
      <c r="D404" t="s">
        <v>41</v>
      </c>
      <c r="E404">
        <v>17</v>
      </c>
      <c r="F404" t="s">
        <v>3793</v>
      </c>
      <c r="G404" t="s">
        <v>4365</v>
      </c>
      <c r="H404" t="s">
        <v>3783</v>
      </c>
      <c r="I404" t="s">
        <v>3794</v>
      </c>
      <c r="J404" t="s">
        <v>4362</v>
      </c>
      <c r="K404" t="s">
        <v>3804</v>
      </c>
      <c r="L404" t="s">
        <v>3797</v>
      </c>
      <c r="M404" t="s">
        <v>43</v>
      </c>
      <c r="N404" t="s">
        <v>118</v>
      </c>
      <c r="O404" t="s">
        <v>3801</v>
      </c>
      <c r="P404" s="9">
        <v>44258.510462962964</v>
      </c>
      <c r="Q404" t="s">
        <v>3813</v>
      </c>
      <c r="R404" t="s">
        <v>3794</v>
      </c>
    </row>
    <row r="405" spans="1:18" x14ac:dyDescent="0.25">
      <c r="A405" t="s">
        <v>4366</v>
      </c>
      <c r="B405" t="s">
        <v>4362</v>
      </c>
      <c r="C405">
        <v>2</v>
      </c>
      <c r="D405" t="s">
        <v>41</v>
      </c>
      <c r="E405">
        <v>17</v>
      </c>
      <c r="F405" t="s">
        <v>3793</v>
      </c>
      <c r="G405" t="s">
        <v>4366</v>
      </c>
      <c r="H405" t="s">
        <v>3783</v>
      </c>
      <c r="I405" t="s">
        <v>3794</v>
      </c>
      <c r="J405" t="s">
        <v>4362</v>
      </c>
      <c r="K405" t="s">
        <v>3804</v>
      </c>
      <c r="L405" t="s">
        <v>3797</v>
      </c>
      <c r="M405" t="s">
        <v>108</v>
      </c>
      <c r="N405" t="s">
        <v>119</v>
      </c>
      <c r="O405" t="s">
        <v>3815</v>
      </c>
      <c r="P405" s="9">
        <v>44258.510451388887</v>
      </c>
      <c r="Q405" t="s">
        <v>3816</v>
      </c>
      <c r="R405" t="s">
        <v>3794</v>
      </c>
    </row>
    <row r="406" spans="1:18" x14ac:dyDescent="0.25">
      <c r="A406" t="s">
        <v>4367</v>
      </c>
      <c r="B406" t="s">
        <v>4368</v>
      </c>
      <c r="C406">
        <v>2</v>
      </c>
      <c r="D406" t="s">
        <v>41</v>
      </c>
      <c r="E406">
        <v>17</v>
      </c>
      <c r="F406" t="s">
        <v>3793</v>
      </c>
      <c r="G406" t="s">
        <v>4367</v>
      </c>
      <c r="H406" t="s">
        <v>4369</v>
      </c>
      <c r="I406" t="s">
        <v>3794</v>
      </c>
      <c r="J406" t="s">
        <v>4368</v>
      </c>
      <c r="K406" t="s">
        <v>4370</v>
      </c>
      <c r="L406" t="s">
        <v>3797</v>
      </c>
      <c r="M406" t="s">
        <v>3739</v>
      </c>
      <c r="N406" t="s">
        <v>118</v>
      </c>
      <c r="O406" t="s">
        <v>4371</v>
      </c>
      <c r="P406" s="9">
        <v>44253.455659722225</v>
      </c>
      <c r="Q406" t="s">
        <v>4372</v>
      </c>
      <c r="R406" t="s">
        <v>3794</v>
      </c>
    </row>
    <row r="407" spans="1:18" x14ac:dyDescent="0.25">
      <c r="A407" t="s">
        <v>4373</v>
      </c>
      <c r="B407" t="s">
        <v>4368</v>
      </c>
      <c r="C407">
        <v>2</v>
      </c>
      <c r="D407" t="s">
        <v>41</v>
      </c>
      <c r="E407">
        <v>17</v>
      </c>
      <c r="F407" t="s">
        <v>3793</v>
      </c>
      <c r="G407" t="s">
        <v>4373</v>
      </c>
      <c r="H407" t="s">
        <v>4369</v>
      </c>
      <c r="I407" t="s">
        <v>3794</v>
      </c>
      <c r="J407" t="s">
        <v>4368</v>
      </c>
      <c r="K407" t="s">
        <v>3804</v>
      </c>
      <c r="L407" t="s">
        <v>3797</v>
      </c>
      <c r="M407" t="s">
        <v>42</v>
      </c>
      <c r="N407" t="s">
        <v>118</v>
      </c>
      <c r="O407" t="s">
        <v>3805</v>
      </c>
      <c r="P407" s="9">
        <v>44258.510474537034</v>
      </c>
      <c r="Q407" t="s">
        <v>3806</v>
      </c>
      <c r="R407" t="s">
        <v>3794</v>
      </c>
    </row>
    <row r="408" spans="1:18" x14ac:dyDescent="0.25">
      <c r="A408" t="s">
        <v>4374</v>
      </c>
      <c r="B408" t="s">
        <v>4368</v>
      </c>
      <c r="C408">
        <v>2</v>
      </c>
      <c r="D408" t="s">
        <v>41</v>
      </c>
      <c r="E408">
        <v>17</v>
      </c>
      <c r="F408" t="s">
        <v>3793</v>
      </c>
      <c r="G408" t="s">
        <v>4374</v>
      </c>
      <c r="H408" t="s">
        <v>4369</v>
      </c>
      <c r="I408" t="s">
        <v>3794</v>
      </c>
      <c r="J408" t="s">
        <v>4368</v>
      </c>
      <c r="K408" t="s">
        <v>3804</v>
      </c>
      <c r="L408" t="s">
        <v>3797</v>
      </c>
      <c r="M408" t="s">
        <v>43</v>
      </c>
      <c r="N408" t="s">
        <v>118</v>
      </c>
      <c r="O408" t="s">
        <v>3801</v>
      </c>
      <c r="P408" s="9">
        <v>44258.510462962964</v>
      </c>
      <c r="Q408" t="s">
        <v>3813</v>
      </c>
      <c r="R408" t="s">
        <v>3794</v>
      </c>
    </row>
    <row r="409" spans="1:18" x14ac:dyDescent="0.25">
      <c r="A409" t="s">
        <v>4375</v>
      </c>
      <c r="B409" t="s">
        <v>4368</v>
      </c>
      <c r="C409">
        <v>2</v>
      </c>
      <c r="D409" t="s">
        <v>41</v>
      </c>
      <c r="E409">
        <v>17</v>
      </c>
      <c r="F409" t="s">
        <v>3793</v>
      </c>
      <c r="G409" t="s">
        <v>4375</v>
      </c>
      <c r="H409" t="s">
        <v>4369</v>
      </c>
      <c r="I409" t="s">
        <v>3794</v>
      </c>
      <c r="J409" t="s">
        <v>4368</v>
      </c>
      <c r="K409" t="s">
        <v>3804</v>
      </c>
      <c r="L409" t="s">
        <v>3797</v>
      </c>
      <c r="M409" t="s">
        <v>108</v>
      </c>
      <c r="N409" t="s">
        <v>119</v>
      </c>
      <c r="O409" t="s">
        <v>3815</v>
      </c>
      <c r="P409" s="9">
        <v>44258.510451388887</v>
      </c>
      <c r="Q409" t="s">
        <v>3816</v>
      </c>
      <c r="R409" t="s">
        <v>3794</v>
      </c>
    </row>
    <row r="410" spans="1:18" x14ac:dyDescent="0.25">
      <c r="A410" t="s">
        <v>4376</v>
      </c>
      <c r="B410" t="s">
        <v>4377</v>
      </c>
      <c r="C410">
        <v>2</v>
      </c>
      <c r="D410" t="s">
        <v>41</v>
      </c>
      <c r="E410">
        <v>17</v>
      </c>
      <c r="F410" t="s">
        <v>3793</v>
      </c>
      <c r="G410" t="s">
        <v>4376</v>
      </c>
      <c r="H410" t="s">
        <v>3785</v>
      </c>
      <c r="I410" t="s">
        <v>4378</v>
      </c>
      <c r="J410" t="s">
        <v>4377</v>
      </c>
      <c r="K410" t="s">
        <v>3840</v>
      </c>
      <c r="L410" t="s">
        <v>3797</v>
      </c>
      <c r="M410" t="s">
        <v>3739</v>
      </c>
      <c r="N410" t="s">
        <v>118</v>
      </c>
      <c r="O410" t="s">
        <v>4379</v>
      </c>
      <c r="P410" s="9">
        <v>44258.510451388887</v>
      </c>
      <c r="Q410" t="s">
        <v>3842</v>
      </c>
      <c r="R410" t="s">
        <v>3794</v>
      </c>
    </row>
    <row r="411" spans="1:18" x14ac:dyDescent="0.25">
      <c r="A411" t="s">
        <v>4380</v>
      </c>
      <c r="B411" t="s">
        <v>4377</v>
      </c>
      <c r="C411">
        <v>2</v>
      </c>
      <c r="D411" t="s">
        <v>41</v>
      </c>
      <c r="E411">
        <v>17</v>
      </c>
      <c r="F411" t="s">
        <v>3793</v>
      </c>
      <c r="G411" t="s">
        <v>4380</v>
      </c>
      <c r="H411" t="s">
        <v>3785</v>
      </c>
      <c r="I411" t="s">
        <v>3794</v>
      </c>
      <c r="J411" t="s">
        <v>4377</v>
      </c>
      <c r="K411" t="s">
        <v>3840</v>
      </c>
      <c r="L411" t="s">
        <v>3797</v>
      </c>
      <c r="M411" t="s">
        <v>3740</v>
      </c>
      <c r="N411" t="s">
        <v>118</v>
      </c>
      <c r="O411" t="s">
        <v>3801</v>
      </c>
      <c r="P411" s="9">
        <v>44258.510451388887</v>
      </c>
      <c r="Q411" t="s">
        <v>3844</v>
      </c>
      <c r="R411" t="s">
        <v>3794</v>
      </c>
    </row>
    <row r="412" spans="1:18" x14ac:dyDescent="0.25">
      <c r="A412" t="s">
        <v>4381</v>
      </c>
      <c r="B412" t="s">
        <v>4377</v>
      </c>
      <c r="C412">
        <v>2</v>
      </c>
      <c r="D412" t="s">
        <v>41</v>
      </c>
      <c r="E412">
        <v>17</v>
      </c>
      <c r="F412" t="s">
        <v>3793</v>
      </c>
      <c r="G412" t="s">
        <v>4381</v>
      </c>
      <c r="H412" t="s">
        <v>3785</v>
      </c>
      <c r="I412" t="s">
        <v>3794</v>
      </c>
      <c r="J412" t="s">
        <v>4377</v>
      </c>
      <c r="K412" t="s">
        <v>3804</v>
      </c>
      <c r="L412" t="s">
        <v>3797</v>
      </c>
      <c r="M412" t="s">
        <v>42</v>
      </c>
      <c r="N412" t="s">
        <v>118</v>
      </c>
      <c r="O412" t="s">
        <v>3805</v>
      </c>
      <c r="P412" s="9">
        <v>44258.510474537034</v>
      </c>
      <c r="Q412" t="s">
        <v>3806</v>
      </c>
      <c r="R412" t="s">
        <v>3794</v>
      </c>
    </row>
    <row r="413" spans="1:18" x14ac:dyDescent="0.25">
      <c r="A413" t="s">
        <v>4382</v>
      </c>
      <c r="B413" t="s">
        <v>4377</v>
      </c>
      <c r="C413">
        <v>2</v>
      </c>
      <c r="D413" t="s">
        <v>41</v>
      </c>
      <c r="E413">
        <v>17</v>
      </c>
      <c r="F413" t="s">
        <v>3793</v>
      </c>
      <c r="G413" t="s">
        <v>4382</v>
      </c>
      <c r="H413" t="s">
        <v>3785</v>
      </c>
      <c r="I413" t="s">
        <v>3794</v>
      </c>
      <c r="J413" t="s">
        <v>4377</v>
      </c>
      <c r="K413" t="s">
        <v>3804</v>
      </c>
      <c r="L413" t="s">
        <v>3797</v>
      </c>
      <c r="M413" t="s">
        <v>145</v>
      </c>
      <c r="N413" t="s">
        <v>118</v>
      </c>
      <c r="O413" t="s">
        <v>3808</v>
      </c>
      <c r="P413" s="9">
        <v>44258.51048611111</v>
      </c>
      <c r="Q413" t="s">
        <v>3809</v>
      </c>
      <c r="R413" t="s">
        <v>3794</v>
      </c>
    </row>
    <row r="414" spans="1:18" x14ac:dyDescent="0.25">
      <c r="A414" t="s">
        <v>4383</v>
      </c>
      <c r="B414" t="s">
        <v>4377</v>
      </c>
      <c r="C414">
        <v>2</v>
      </c>
      <c r="D414" t="s">
        <v>41</v>
      </c>
      <c r="E414">
        <v>17</v>
      </c>
      <c r="F414" t="s">
        <v>3793</v>
      </c>
      <c r="G414" t="s">
        <v>4383</v>
      </c>
      <c r="H414" t="s">
        <v>3785</v>
      </c>
      <c r="I414" t="s">
        <v>3794</v>
      </c>
      <c r="J414" t="s">
        <v>4377</v>
      </c>
      <c r="K414" t="s">
        <v>3804</v>
      </c>
      <c r="L414" t="s">
        <v>3797</v>
      </c>
      <c r="M414" t="s">
        <v>232</v>
      </c>
      <c r="N414" t="s">
        <v>118</v>
      </c>
      <c r="O414" t="s">
        <v>3808</v>
      </c>
      <c r="P414" s="9">
        <v>44258.51048611111</v>
      </c>
      <c r="Q414" t="s">
        <v>3811</v>
      </c>
      <c r="R414" t="s">
        <v>3794</v>
      </c>
    </row>
    <row r="415" spans="1:18" x14ac:dyDescent="0.25">
      <c r="A415" t="s">
        <v>4384</v>
      </c>
      <c r="B415" t="s">
        <v>4377</v>
      </c>
      <c r="C415">
        <v>2</v>
      </c>
      <c r="D415" t="s">
        <v>41</v>
      </c>
      <c r="E415">
        <v>17</v>
      </c>
      <c r="F415" t="s">
        <v>3793</v>
      </c>
      <c r="G415" t="s">
        <v>4384</v>
      </c>
      <c r="H415" t="s">
        <v>3785</v>
      </c>
      <c r="I415" t="s">
        <v>3794</v>
      </c>
      <c r="J415" t="s">
        <v>4377</v>
      </c>
      <c r="K415" t="s">
        <v>3804</v>
      </c>
      <c r="L415" t="s">
        <v>3797</v>
      </c>
      <c r="M415" t="s">
        <v>43</v>
      </c>
      <c r="N415" t="s">
        <v>118</v>
      </c>
      <c r="O415" t="s">
        <v>3801</v>
      </c>
      <c r="P415" s="9">
        <v>44258.510474537034</v>
      </c>
      <c r="Q415" t="s">
        <v>3813</v>
      </c>
      <c r="R415" t="s">
        <v>3794</v>
      </c>
    </row>
    <row r="416" spans="1:18" x14ac:dyDescent="0.25">
      <c r="A416" t="s">
        <v>4385</v>
      </c>
      <c r="B416" t="s">
        <v>4377</v>
      </c>
      <c r="C416">
        <v>2</v>
      </c>
      <c r="D416" t="s">
        <v>41</v>
      </c>
      <c r="E416">
        <v>17</v>
      </c>
      <c r="F416" t="s">
        <v>3793</v>
      </c>
      <c r="G416" t="s">
        <v>4385</v>
      </c>
      <c r="H416" t="s">
        <v>3785</v>
      </c>
      <c r="I416" t="s">
        <v>3794</v>
      </c>
      <c r="J416" t="s">
        <v>4377</v>
      </c>
      <c r="K416" t="s">
        <v>3804</v>
      </c>
      <c r="L416" t="s">
        <v>3797</v>
      </c>
      <c r="M416" t="s">
        <v>108</v>
      </c>
      <c r="N416" t="s">
        <v>119</v>
      </c>
      <c r="O416" t="s">
        <v>3815</v>
      </c>
      <c r="P416" s="9">
        <v>44258.510462962964</v>
      </c>
      <c r="Q416" t="s">
        <v>3816</v>
      </c>
      <c r="R416" t="s">
        <v>3794</v>
      </c>
    </row>
    <row r="417" spans="1:18" x14ac:dyDescent="0.25">
      <c r="A417" t="s">
        <v>4386</v>
      </c>
      <c r="B417" t="s">
        <v>4387</v>
      </c>
      <c r="C417">
        <v>2</v>
      </c>
      <c r="D417" t="s">
        <v>41</v>
      </c>
      <c r="E417">
        <v>17</v>
      </c>
      <c r="F417" t="s">
        <v>3793</v>
      </c>
      <c r="G417" t="s">
        <v>4386</v>
      </c>
      <c r="H417" t="s">
        <v>3785</v>
      </c>
      <c r="I417" t="s">
        <v>4388</v>
      </c>
      <c r="J417" t="s">
        <v>4387</v>
      </c>
      <c r="K417" t="s">
        <v>3840</v>
      </c>
      <c r="L417" t="s">
        <v>3797</v>
      </c>
      <c r="M417" t="s">
        <v>3739</v>
      </c>
      <c r="N417" t="s">
        <v>118</v>
      </c>
      <c r="O417" t="s">
        <v>4389</v>
      </c>
      <c r="P417" s="9">
        <v>44258.510451388887</v>
      </c>
      <c r="Q417" t="s">
        <v>3842</v>
      </c>
      <c r="R417" t="s">
        <v>3794</v>
      </c>
    </row>
    <row r="418" spans="1:18" x14ac:dyDescent="0.25">
      <c r="A418" t="s">
        <v>4390</v>
      </c>
      <c r="B418" t="s">
        <v>4387</v>
      </c>
      <c r="C418">
        <v>2</v>
      </c>
      <c r="D418" t="s">
        <v>41</v>
      </c>
      <c r="E418">
        <v>17</v>
      </c>
      <c r="F418" t="s">
        <v>3793</v>
      </c>
      <c r="G418" t="s">
        <v>4390</v>
      </c>
      <c r="H418" t="s">
        <v>3785</v>
      </c>
      <c r="I418" t="s">
        <v>3794</v>
      </c>
      <c r="J418" t="s">
        <v>4387</v>
      </c>
      <c r="K418" t="s">
        <v>3840</v>
      </c>
      <c r="L418" t="s">
        <v>3797</v>
      </c>
      <c r="M418" t="s">
        <v>3740</v>
      </c>
      <c r="N418" t="s">
        <v>118</v>
      </c>
      <c r="O418" t="s">
        <v>3801</v>
      </c>
      <c r="P418" s="9">
        <v>44258.510451388887</v>
      </c>
      <c r="Q418" t="s">
        <v>3844</v>
      </c>
      <c r="R418" t="s">
        <v>3794</v>
      </c>
    </row>
    <row r="419" spans="1:18" x14ac:dyDescent="0.25">
      <c r="A419" t="s">
        <v>4391</v>
      </c>
      <c r="B419" t="s">
        <v>4387</v>
      </c>
      <c r="C419">
        <v>2</v>
      </c>
      <c r="D419" t="s">
        <v>41</v>
      </c>
      <c r="E419">
        <v>17</v>
      </c>
      <c r="F419" t="s">
        <v>3793</v>
      </c>
      <c r="G419" t="s">
        <v>4391</v>
      </c>
      <c r="H419" t="s">
        <v>3785</v>
      </c>
      <c r="I419" t="s">
        <v>3794</v>
      </c>
      <c r="J419" t="s">
        <v>4387</v>
      </c>
      <c r="K419" t="s">
        <v>3804</v>
      </c>
      <c r="L419" t="s">
        <v>3797</v>
      </c>
      <c r="M419" t="s">
        <v>42</v>
      </c>
      <c r="N419" t="s">
        <v>118</v>
      </c>
      <c r="O419" t="s">
        <v>3805</v>
      </c>
      <c r="P419" s="9">
        <v>44258.510474537034</v>
      </c>
      <c r="Q419" t="s">
        <v>3806</v>
      </c>
      <c r="R419" t="s">
        <v>3794</v>
      </c>
    </row>
    <row r="420" spans="1:18" x14ac:dyDescent="0.25">
      <c r="A420" t="s">
        <v>4392</v>
      </c>
      <c r="B420" t="s">
        <v>4387</v>
      </c>
      <c r="C420">
        <v>2</v>
      </c>
      <c r="D420" t="s">
        <v>41</v>
      </c>
      <c r="E420">
        <v>17</v>
      </c>
      <c r="F420" t="s">
        <v>3793</v>
      </c>
      <c r="G420" t="s">
        <v>4392</v>
      </c>
      <c r="H420" t="s">
        <v>3785</v>
      </c>
      <c r="I420" t="s">
        <v>3794</v>
      </c>
      <c r="J420" t="s">
        <v>4387</v>
      </c>
      <c r="K420" t="s">
        <v>3804</v>
      </c>
      <c r="L420" t="s">
        <v>3797</v>
      </c>
      <c r="M420" t="s">
        <v>145</v>
      </c>
      <c r="N420" t="s">
        <v>118</v>
      </c>
      <c r="O420" t="s">
        <v>3808</v>
      </c>
      <c r="P420" s="9">
        <v>44258.51048611111</v>
      </c>
      <c r="Q420" t="s">
        <v>3809</v>
      </c>
      <c r="R420" t="s">
        <v>3794</v>
      </c>
    </row>
    <row r="421" spans="1:18" x14ac:dyDescent="0.25">
      <c r="A421" t="s">
        <v>4393</v>
      </c>
      <c r="B421" t="s">
        <v>4387</v>
      </c>
      <c r="C421">
        <v>2</v>
      </c>
      <c r="D421" t="s">
        <v>41</v>
      </c>
      <c r="E421">
        <v>17</v>
      </c>
      <c r="F421" t="s">
        <v>3793</v>
      </c>
      <c r="G421" t="s">
        <v>4393</v>
      </c>
      <c r="H421" t="s">
        <v>3785</v>
      </c>
      <c r="I421" t="s">
        <v>3794</v>
      </c>
      <c r="J421" t="s">
        <v>4387</v>
      </c>
      <c r="K421" t="s">
        <v>3804</v>
      </c>
      <c r="L421" t="s">
        <v>3797</v>
      </c>
      <c r="M421" t="s">
        <v>232</v>
      </c>
      <c r="N421" t="s">
        <v>118</v>
      </c>
      <c r="O421" t="s">
        <v>3808</v>
      </c>
      <c r="P421" s="9">
        <v>44258.510497685187</v>
      </c>
      <c r="Q421" t="s">
        <v>3811</v>
      </c>
      <c r="R421" t="s">
        <v>3794</v>
      </c>
    </row>
    <row r="422" spans="1:18" x14ac:dyDescent="0.25">
      <c r="A422" t="s">
        <v>4394</v>
      </c>
      <c r="B422" t="s">
        <v>4387</v>
      </c>
      <c r="C422">
        <v>2</v>
      </c>
      <c r="D422" t="s">
        <v>41</v>
      </c>
      <c r="E422">
        <v>17</v>
      </c>
      <c r="F422" t="s">
        <v>3793</v>
      </c>
      <c r="G422" t="s">
        <v>4394</v>
      </c>
      <c r="H422" t="s">
        <v>3785</v>
      </c>
      <c r="I422" t="s">
        <v>3794</v>
      </c>
      <c r="J422" t="s">
        <v>4387</v>
      </c>
      <c r="K422" t="s">
        <v>3804</v>
      </c>
      <c r="L422" t="s">
        <v>3797</v>
      </c>
      <c r="M422" t="s">
        <v>43</v>
      </c>
      <c r="N422" t="s">
        <v>118</v>
      </c>
      <c r="O422" t="s">
        <v>3801</v>
      </c>
      <c r="P422" s="9">
        <v>44258.510474537034</v>
      </c>
      <c r="Q422" t="s">
        <v>3813</v>
      </c>
      <c r="R422" t="s">
        <v>3794</v>
      </c>
    </row>
    <row r="423" spans="1:18" x14ac:dyDescent="0.25">
      <c r="A423" t="s">
        <v>4395</v>
      </c>
      <c r="B423" t="s">
        <v>4387</v>
      </c>
      <c r="C423">
        <v>2</v>
      </c>
      <c r="D423" t="s">
        <v>41</v>
      </c>
      <c r="E423">
        <v>17</v>
      </c>
      <c r="F423" t="s">
        <v>3793</v>
      </c>
      <c r="G423" t="s">
        <v>4395</v>
      </c>
      <c r="H423" t="s">
        <v>3785</v>
      </c>
      <c r="I423" t="s">
        <v>3794</v>
      </c>
      <c r="J423" t="s">
        <v>4387</v>
      </c>
      <c r="K423" t="s">
        <v>3804</v>
      </c>
      <c r="L423" t="s">
        <v>3797</v>
      </c>
      <c r="M423" t="s">
        <v>108</v>
      </c>
      <c r="N423" t="s">
        <v>119</v>
      </c>
      <c r="O423" t="s">
        <v>3815</v>
      </c>
      <c r="P423" s="9">
        <v>44258.510462962964</v>
      </c>
      <c r="Q423" t="s">
        <v>3816</v>
      </c>
      <c r="R423" t="s">
        <v>3794</v>
      </c>
    </row>
    <row r="424" spans="1:18" x14ac:dyDescent="0.25">
      <c r="A424" t="s">
        <v>4396</v>
      </c>
      <c r="B424" t="s">
        <v>4397</v>
      </c>
      <c r="C424">
        <v>2</v>
      </c>
      <c r="D424" t="s">
        <v>41</v>
      </c>
      <c r="E424">
        <v>17</v>
      </c>
      <c r="F424" t="s">
        <v>3793</v>
      </c>
      <c r="G424" t="s">
        <v>4396</v>
      </c>
      <c r="H424" t="s">
        <v>3783</v>
      </c>
      <c r="I424" t="s">
        <v>3794</v>
      </c>
      <c r="J424" t="s">
        <v>4397</v>
      </c>
      <c r="K424" t="s">
        <v>3804</v>
      </c>
      <c r="L424" t="s">
        <v>3797</v>
      </c>
      <c r="M424" t="s">
        <v>42</v>
      </c>
      <c r="N424" t="s">
        <v>118</v>
      </c>
      <c r="O424" t="s">
        <v>3805</v>
      </c>
      <c r="P424" s="9">
        <v>44258.510474537034</v>
      </c>
      <c r="Q424" t="s">
        <v>3806</v>
      </c>
      <c r="R424" t="s">
        <v>3794</v>
      </c>
    </row>
    <row r="425" spans="1:18" x14ac:dyDescent="0.25">
      <c r="A425" t="s">
        <v>4398</v>
      </c>
      <c r="B425" t="s">
        <v>4397</v>
      </c>
      <c r="C425">
        <v>2</v>
      </c>
      <c r="D425" t="s">
        <v>41</v>
      </c>
      <c r="E425">
        <v>17</v>
      </c>
      <c r="F425" t="s">
        <v>3793</v>
      </c>
      <c r="G425" t="s">
        <v>4398</v>
      </c>
      <c r="H425" t="s">
        <v>3783</v>
      </c>
      <c r="I425" t="s">
        <v>3794</v>
      </c>
      <c r="J425" t="s">
        <v>4397</v>
      </c>
      <c r="K425" t="s">
        <v>3804</v>
      </c>
      <c r="L425" t="s">
        <v>3797</v>
      </c>
      <c r="M425" t="s">
        <v>145</v>
      </c>
      <c r="N425" t="s">
        <v>118</v>
      </c>
      <c r="O425" t="s">
        <v>3808</v>
      </c>
      <c r="P425" s="9">
        <v>44258.51048611111</v>
      </c>
      <c r="Q425" t="s">
        <v>3809</v>
      </c>
      <c r="R425" t="s">
        <v>3794</v>
      </c>
    </row>
    <row r="426" spans="1:18" x14ac:dyDescent="0.25">
      <c r="A426" t="s">
        <v>4399</v>
      </c>
      <c r="B426" t="s">
        <v>4397</v>
      </c>
      <c r="C426">
        <v>2</v>
      </c>
      <c r="D426" t="s">
        <v>41</v>
      </c>
      <c r="E426">
        <v>17</v>
      </c>
      <c r="F426" t="s">
        <v>3793</v>
      </c>
      <c r="G426" t="s">
        <v>4399</v>
      </c>
      <c r="H426" t="s">
        <v>3783</v>
      </c>
      <c r="I426" t="s">
        <v>3794</v>
      </c>
      <c r="J426" t="s">
        <v>4397</v>
      </c>
      <c r="K426" t="s">
        <v>3804</v>
      </c>
      <c r="L426" t="s">
        <v>3797</v>
      </c>
      <c r="M426" t="s">
        <v>232</v>
      </c>
      <c r="N426" t="s">
        <v>118</v>
      </c>
      <c r="O426" t="s">
        <v>3808</v>
      </c>
      <c r="P426" s="9">
        <v>44258.51048611111</v>
      </c>
      <c r="Q426" t="s">
        <v>3811</v>
      </c>
      <c r="R426" t="s">
        <v>3794</v>
      </c>
    </row>
    <row r="427" spans="1:18" x14ac:dyDescent="0.25">
      <c r="A427" t="s">
        <v>4400</v>
      </c>
      <c r="B427" t="s">
        <v>4397</v>
      </c>
      <c r="C427">
        <v>2</v>
      </c>
      <c r="D427" t="s">
        <v>41</v>
      </c>
      <c r="E427">
        <v>17</v>
      </c>
      <c r="F427" t="s">
        <v>3793</v>
      </c>
      <c r="G427" t="s">
        <v>4400</v>
      </c>
      <c r="H427" t="s">
        <v>3783</v>
      </c>
      <c r="I427" t="s">
        <v>3794</v>
      </c>
      <c r="J427" t="s">
        <v>4397</v>
      </c>
      <c r="K427" t="s">
        <v>3804</v>
      </c>
      <c r="L427" t="s">
        <v>3797</v>
      </c>
      <c r="M427" t="s">
        <v>43</v>
      </c>
      <c r="N427" t="s">
        <v>118</v>
      </c>
      <c r="O427" t="s">
        <v>3801</v>
      </c>
      <c r="P427" s="9">
        <v>44258.510462962964</v>
      </c>
      <c r="Q427" t="s">
        <v>3813</v>
      </c>
      <c r="R427" t="s">
        <v>3794</v>
      </c>
    </row>
    <row r="428" spans="1:18" x14ac:dyDescent="0.25">
      <c r="A428" t="s">
        <v>4401</v>
      </c>
      <c r="B428" t="s">
        <v>4397</v>
      </c>
      <c r="C428">
        <v>2</v>
      </c>
      <c r="D428" t="s">
        <v>41</v>
      </c>
      <c r="E428">
        <v>17</v>
      </c>
      <c r="F428" t="s">
        <v>3793</v>
      </c>
      <c r="G428" t="s">
        <v>4401</v>
      </c>
      <c r="H428" t="s">
        <v>3783</v>
      </c>
      <c r="I428" t="s">
        <v>3794</v>
      </c>
      <c r="J428" t="s">
        <v>4397</v>
      </c>
      <c r="K428" t="s">
        <v>3804</v>
      </c>
      <c r="L428" t="s">
        <v>3797</v>
      </c>
      <c r="M428" t="s">
        <v>108</v>
      </c>
      <c r="N428" t="s">
        <v>119</v>
      </c>
      <c r="O428" t="s">
        <v>3815</v>
      </c>
      <c r="P428" s="9">
        <v>44258.510451388887</v>
      </c>
      <c r="Q428" t="s">
        <v>3816</v>
      </c>
      <c r="R428" t="s">
        <v>3794</v>
      </c>
    </row>
    <row r="429" spans="1:18" x14ac:dyDescent="0.25">
      <c r="A429" t="s">
        <v>4402</v>
      </c>
      <c r="B429" t="s">
        <v>4403</v>
      </c>
      <c r="C429">
        <v>2</v>
      </c>
      <c r="D429" t="s">
        <v>41</v>
      </c>
      <c r="E429">
        <v>17</v>
      </c>
      <c r="F429" t="s">
        <v>3793</v>
      </c>
      <c r="G429" t="s">
        <v>4402</v>
      </c>
      <c r="H429" t="s">
        <v>3784</v>
      </c>
      <c r="I429" t="s">
        <v>4404</v>
      </c>
      <c r="J429" t="s">
        <v>4403</v>
      </c>
      <c r="K429" t="s">
        <v>3796</v>
      </c>
      <c r="L429" t="s">
        <v>3797</v>
      </c>
      <c r="M429" t="s">
        <v>3739</v>
      </c>
      <c r="N429" t="s">
        <v>118</v>
      </c>
      <c r="O429" t="s">
        <v>4405</v>
      </c>
      <c r="P429" s="9">
        <v>44258.510439814818</v>
      </c>
      <c r="Q429" t="s">
        <v>3799</v>
      </c>
      <c r="R429" t="s">
        <v>3794</v>
      </c>
    </row>
    <row r="430" spans="1:18" x14ac:dyDescent="0.25">
      <c r="A430" t="s">
        <v>4406</v>
      </c>
      <c r="B430" t="s">
        <v>4403</v>
      </c>
      <c r="C430">
        <v>2</v>
      </c>
      <c r="D430" t="s">
        <v>41</v>
      </c>
      <c r="E430">
        <v>17</v>
      </c>
      <c r="F430" t="s">
        <v>3793</v>
      </c>
      <c r="G430" t="s">
        <v>4406</v>
      </c>
      <c r="H430" t="s">
        <v>3784</v>
      </c>
      <c r="I430" t="s">
        <v>3794</v>
      </c>
      <c r="J430" t="s">
        <v>4403</v>
      </c>
      <c r="K430" t="s">
        <v>3796</v>
      </c>
      <c r="L430" t="s">
        <v>3797</v>
      </c>
      <c r="M430" t="s">
        <v>3740</v>
      </c>
      <c r="N430" t="s">
        <v>118</v>
      </c>
      <c r="O430" t="s">
        <v>3801</v>
      </c>
      <c r="P430" s="9">
        <v>44258.510439814818</v>
      </c>
      <c r="Q430" t="s">
        <v>3802</v>
      </c>
      <c r="R430" t="s">
        <v>3794</v>
      </c>
    </row>
    <row r="431" spans="1:18" x14ac:dyDescent="0.25">
      <c r="A431" t="s">
        <v>4407</v>
      </c>
      <c r="B431" t="s">
        <v>4403</v>
      </c>
      <c r="C431">
        <v>2</v>
      </c>
      <c r="D431" t="s">
        <v>41</v>
      </c>
      <c r="E431">
        <v>17</v>
      </c>
      <c r="F431" t="s">
        <v>3793</v>
      </c>
      <c r="G431" t="s">
        <v>4407</v>
      </c>
      <c r="H431" t="s">
        <v>3784</v>
      </c>
      <c r="I431" t="s">
        <v>3794</v>
      </c>
      <c r="J431" t="s">
        <v>4403</v>
      </c>
      <c r="K431" t="s">
        <v>3804</v>
      </c>
      <c r="L431" t="s">
        <v>3797</v>
      </c>
      <c r="M431" t="s">
        <v>42</v>
      </c>
      <c r="N431" t="s">
        <v>118</v>
      </c>
      <c r="O431" t="s">
        <v>3805</v>
      </c>
      <c r="P431" s="9">
        <v>44258.510474537034</v>
      </c>
      <c r="Q431" t="s">
        <v>3806</v>
      </c>
      <c r="R431" t="s">
        <v>3794</v>
      </c>
    </row>
    <row r="432" spans="1:18" x14ac:dyDescent="0.25">
      <c r="A432" t="s">
        <v>4408</v>
      </c>
      <c r="B432" t="s">
        <v>4403</v>
      </c>
      <c r="C432">
        <v>2</v>
      </c>
      <c r="D432" t="s">
        <v>41</v>
      </c>
      <c r="E432">
        <v>17</v>
      </c>
      <c r="F432" t="s">
        <v>3793</v>
      </c>
      <c r="G432" t="s">
        <v>4408</v>
      </c>
      <c r="H432" t="s">
        <v>3784</v>
      </c>
      <c r="I432" t="s">
        <v>3794</v>
      </c>
      <c r="J432" t="s">
        <v>4403</v>
      </c>
      <c r="K432" t="s">
        <v>3804</v>
      </c>
      <c r="L432" t="s">
        <v>3797</v>
      </c>
      <c r="M432" t="s">
        <v>145</v>
      </c>
      <c r="N432" t="s">
        <v>118</v>
      </c>
      <c r="O432" t="s">
        <v>3808</v>
      </c>
      <c r="P432" s="9">
        <v>44258.51048611111</v>
      </c>
      <c r="Q432" t="s">
        <v>3809</v>
      </c>
      <c r="R432" t="s">
        <v>3794</v>
      </c>
    </row>
    <row r="433" spans="1:18" x14ac:dyDescent="0.25">
      <c r="A433" t="s">
        <v>4409</v>
      </c>
      <c r="B433" t="s">
        <v>4403</v>
      </c>
      <c r="C433">
        <v>2</v>
      </c>
      <c r="D433" t="s">
        <v>41</v>
      </c>
      <c r="E433">
        <v>17</v>
      </c>
      <c r="F433" t="s">
        <v>3793</v>
      </c>
      <c r="G433" t="s">
        <v>4409</v>
      </c>
      <c r="H433" t="s">
        <v>3784</v>
      </c>
      <c r="I433" t="s">
        <v>3794</v>
      </c>
      <c r="J433" t="s">
        <v>4403</v>
      </c>
      <c r="K433" t="s">
        <v>3804</v>
      </c>
      <c r="L433" t="s">
        <v>3797</v>
      </c>
      <c r="M433" t="s">
        <v>232</v>
      </c>
      <c r="N433" t="s">
        <v>118</v>
      </c>
      <c r="O433" t="s">
        <v>3808</v>
      </c>
      <c r="P433" s="9">
        <v>44258.51048611111</v>
      </c>
      <c r="Q433" t="s">
        <v>3811</v>
      </c>
      <c r="R433" t="s">
        <v>3794</v>
      </c>
    </row>
    <row r="434" spans="1:18" x14ac:dyDescent="0.25">
      <c r="A434" t="s">
        <v>4410</v>
      </c>
      <c r="B434" t="s">
        <v>4403</v>
      </c>
      <c r="C434">
        <v>2</v>
      </c>
      <c r="D434" t="s">
        <v>41</v>
      </c>
      <c r="E434">
        <v>17</v>
      </c>
      <c r="F434" t="s">
        <v>3793</v>
      </c>
      <c r="G434" t="s">
        <v>4410</v>
      </c>
      <c r="H434" t="s">
        <v>3784</v>
      </c>
      <c r="I434" t="s">
        <v>3794</v>
      </c>
      <c r="J434" t="s">
        <v>4403</v>
      </c>
      <c r="K434" t="s">
        <v>3804</v>
      </c>
      <c r="L434" t="s">
        <v>3797</v>
      </c>
      <c r="M434" t="s">
        <v>43</v>
      </c>
      <c r="N434" t="s">
        <v>118</v>
      </c>
      <c r="O434" t="s">
        <v>3801</v>
      </c>
      <c r="P434" s="9">
        <v>44258.510462962964</v>
      </c>
      <c r="Q434" t="s">
        <v>3813</v>
      </c>
      <c r="R434" t="s">
        <v>3794</v>
      </c>
    </row>
    <row r="435" spans="1:18" x14ac:dyDescent="0.25">
      <c r="A435" t="s">
        <v>4411</v>
      </c>
      <c r="B435" t="s">
        <v>4403</v>
      </c>
      <c r="C435">
        <v>2</v>
      </c>
      <c r="D435" t="s">
        <v>41</v>
      </c>
      <c r="E435">
        <v>17</v>
      </c>
      <c r="F435" t="s">
        <v>3793</v>
      </c>
      <c r="G435" t="s">
        <v>4411</v>
      </c>
      <c r="H435" t="s">
        <v>3784</v>
      </c>
      <c r="I435" t="s">
        <v>3794</v>
      </c>
      <c r="J435" t="s">
        <v>4403</v>
      </c>
      <c r="K435" t="s">
        <v>3804</v>
      </c>
      <c r="L435" t="s">
        <v>3797</v>
      </c>
      <c r="M435" t="s">
        <v>108</v>
      </c>
      <c r="N435" t="s">
        <v>119</v>
      </c>
      <c r="O435" t="s">
        <v>3815</v>
      </c>
      <c r="P435" s="9">
        <v>44258.510451388887</v>
      </c>
      <c r="Q435" t="s">
        <v>3816</v>
      </c>
      <c r="R435" t="s">
        <v>3794</v>
      </c>
    </row>
    <row r="436" spans="1:18" x14ac:dyDescent="0.25">
      <c r="A436" t="s">
        <v>4412</v>
      </c>
      <c r="B436" t="s">
        <v>4413</v>
      </c>
      <c r="C436">
        <v>2</v>
      </c>
      <c r="D436" t="s">
        <v>41</v>
      </c>
      <c r="E436">
        <v>17</v>
      </c>
      <c r="F436" t="s">
        <v>3793</v>
      </c>
      <c r="G436" t="s">
        <v>4412</v>
      </c>
      <c r="H436" t="s">
        <v>3787</v>
      </c>
      <c r="I436" t="s">
        <v>4414</v>
      </c>
      <c r="J436" t="s">
        <v>4413</v>
      </c>
      <c r="K436" t="s">
        <v>3804</v>
      </c>
      <c r="L436" t="s">
        <v>3797</v>
      </c>
      <c r="M436" t="s">
        <v>3739</v>
      </c>
      <c r="N436" t="s">
        <v>118</v>
      </c>
      <c r="O436" t="s">
        <v>4415</v>
      </c>
      <c r="P436" s="9">
        <v>44258.510474537034</v>
      </c>
      <c r="Q436" t="s">
        <v>3900</v>
      </c>
      <c r="R436" t="s">
        <v>3794</v>
      </c>
    </row>
    <row r="437" spans="1:18" x14ac:dyDescent="0.25">
      <c r="A437" t="s">
        <v>4416</v>
      </c>
      <c r="B437" t="s">
        <v>4413</v>
      </c>
      <c r="C437">
        <v>2</v>
      </c>
      <c r="D437" t="s">
        <v>41</v>
      </c>
      <c r="E437">
        <v>17</v>
      </c>
      <c r="F437" t="s">
        <v>3793</v>
      </c>
      <c r="G437" t="s">
        <v>4416</v>
      </c>
      <c r="H437" t="s">
        <v>3787</v>
      </c>
      <c r="I437" t="s">
        <v>3794</v>
      </c>
      <c r="J437" t="s">
        <v>4413</v>
      </c>
      <c r="K437" t="s">
        <v>3804</v>
      </c>
      <c r="L437" t="s">
        <v>3797</v>
      </c>
      <c r="M437" t="s">
        <v>3740</v>
      </c>
      <c r="N437" t="s">
        <v>118</v>
      </c>
      <c r="O437" t="s">
        <v>3801</v>
      </c>
      <c r="P437" s="9">
        <v>44258.510497685187</v>
      </c>
      <c r="Q437" t="s">
        <v>3902</v>
      </c>
      <c r="R437" t="s">
        <v>3794</v>
      </c>
    </row>
    <row r="438" spans="1:18" x14ac:dyDescent="0.25">
      <c r="A438" t="s">
        <v>4417</v>
      </c>
      <c r="B438" t="s">
        <v>4413</v>
      </c>
      <c r="C438">
        <v>2</v>
      </c>
      <c r="D438" t="s">
        <v>41</v>
      </c>
      <c r="E438">
        <v>17</v>
      </c>
      <c r="F438" t="s">
        <v>3793</v>
      </c>
      <c r="G438" t="s">
        <v>4417</v>
      </c>
      <c r="H438" t="s">
        <v>3787</v>
      </c>
      <c r="I438" t="s">
        <v>3794</v>
      </c>
      <c r="J438" t="s">
        <v>4413</v>
      </c>
      <c r="K438" t="s">
        <v>3804</v>
      </c>
      <c r="L438" t="s">
        <v>3797</v>
      </c>
      <c r="M438" t="s">
        <v>42</v>
      </c>
      <c r="N438" t="s">
        <v>118</v>
      </c>
      <c r="O438" t="s">
        <v>3805</v>
      </c>
      <c r="P438" s="9">
        <v>44258.510474537034</v>
      </c>
      <c r="Q438" t="s">
        <v>3806</v>
      </c>
      <c r="R438" t="s">
        <v>3794</v>
      </c>
    </row>
    <row r="439" spans="1:18" x14ac:dyDescent="0.25">
      <c r="A439" t="s">
        <v>4418</v>
      </c>
      <c r="B439" t="s">
        <v>4413</v>
      </c>
      <c r="C439">
        <v>2</v>
      </c>
      <c r="D439" t="s">
        <v>41</v>
      </c>
      <c r="E439">
        <v>17</v>
      </c>
      <c r="F439" t="s">
        <v>3793</v>
      </c>
      <c r="G439" t="s">
        <v>4418</v>
      </c>
      <c r="H439" t="s">
        <v>3787</v>
      </c>
      <c r="I439" t="s">
        <v>3794</v>
      </c>
      <c r="J439" t="s">
        <v>4413</v>
      </c>
      <c r="K439" t="s">
        <v>3804</v>
      </c>
      <c r="L439" t="s">
        <v>3797</v>
      </c>
      <c r="M439" t="s">
        <v>43</v>
      </c>
      <c r="N439" t="s">
        <v>118</v>
      </c>
      <c r="O439" t="s">
        <v>3801</v>
      </c>
      <c r="P439" s="9">
        <v>44258.510474537034</v>
      </c>
      <c r="Q439" t="s">
        <v>3813</v>
      </c>
      <c r="R439" t="s">
        <v>3794</v>
      </c>
    </row>
    <row r="440" spans="1:18" x14ac:dyDescent="0.25">
      <c r="A440" t="s">
        <v>4419</v>
      </c>
      <c r="B440" t="s">
        <v>4413</v>
      </c>
      <c r="C440">
        <v>2</v>
      </c>
      <c r="D440" t="s">
        <v>41</v>
      </c>
      <c r="E440">
        <v>17</v>
      </c>
      <c r="F440" t="s">
        <v>3793</v>
      </c>
      <c r="G440" t="s">
        <v>4419</v>
      </c>
      <c r="H440" t="s">
        <v>3787</v>
      </c>
      <c r="I440" t="s">
        <v>3794</v>
      </c>
      <c r="J440" t="s">
        <v>4413</v>
      </c>
      <c r="K440" t="s">
        <v>3804</v>
      </c>
      <c r="L440" t="s">
        <v>3797</v>
      </c>
      <c r="M440" t="s">
        <v>108</v>
      </c>
      <c r="N440" t="s">
        <v>119</v>
      </c>
      <c r="O440" t="s">
        <v>3815</v>
      </c>
      <c r="P440" s="9">
        <v>44258.510462962964</v>
      </c>
      <c r="Q440" t="s">
        <v>3816</v>
      </c>
      <c r="R440" t="s">
        <v>3794</v>
      </c>
    </row>
    <row r="441" spans="1:18" x14ac:dyDescent="0.25">
      <c r="A441" t="s">
        <v>4420</v>
      </c>
      <c r="B441" t="s">
        <v>4421</v>
      </c>
      <c r="C441">
        <v>2</v>
      </c>
      <c r="D441" t="s">
        <v>41</v>
      </c>
      <c r="E441">
        <v>17</v>
      </c>
      <c r="F441" t="s">
        <v>3793</v>
      </c>
      <c r="G441" t="s">
        <v>4420</v>
      </c>
      <c r="H441" t="s">
        <v>3783</v>
      </c>
      <c r="I441" t="s">
        <v>3794</v>
      </c>
      <c r="J441" t="s">
        <v>4421</v>
      </c>
      <c r="K441" t="s">
        <v>3804</v>
      </c>
      <c r="L441" t="s">
        <v>3797</v>
      </c>
      <c r="M441" t="s">
        <v>42</v>
      </c>
      <c r="N441" t="s">
        <v>118</v>
      </c>
      <c r="O441" t="s">
        <v>3805</v>
      </c>
      <c r="P441" s="9">
        <v>44258.510474537034</v>
      </c>
      <c r="Q441" t="s">
        <v>3806</v>
      </c>
      <c r="R441" t="s">
        <v>3794</v>
      </c>
    </row>
    <row r="442" spans="1:18" x14ac:dyDescent="0.25">
      <c r="A442" t="s">
        <v>4422</v>
      </c>
      <c r="B442" t="s">
        <v>4421</v>
      </c>
      <c r="C442">
        <v>2</v>
      </c>
      <c r="D442" t="s">
        <v>41</v>
      </c>
      <c r="E442">
        <v>17</v>
      </c>
      <c r="F442" t="s">
        <v>3793</v>
      </c>
      <c r="G442" t="s">
        <v>4422</v>
      </c>
      <c r="H442" t="s">
        <v>3783</v>
      </c>
      <c r="I442" t="s">
        <v>3794</v>
      </c>
      <c r="J442" t="s">
        <v>4421</v>
      </c>
      <c r="K442" t="s">
        <v>3804</v>
      </c>
      <c r="L442" t="s">
        <v>3797</v>
      </c>
      <c r="M442" t="s">
        <v>145</v>
      </c>
      <c r="N442" t="s">
        <v>118</v>
      </c>
      <c r="O442" t="s">
        <v>3808</v>
      </c>
      <c r="P442" s="9">
        <v>44258.51048611111</v>
      </c>
      <c r="Q442" t="s">
        <v>3809</v>
      </c>
      <c r="R442" t="s">
        <v>3794</v>
      </c>
    </row>
    <row r="443" spans="1:18" x14ac:dyDescent="0.25">
      <c r="A443" t="s">
        <v>4423</v>
      </c>
      <c r="B443" t="s">
        <v>4421</v>
      </c>
      <c r="C443">
        <v>2</v>
      </c>
      <c r="D443" t="s">
        <v>41</v>
      </c>
      <c r="E443">
        <v>17</v>
      </c>
      <c r="F443" t="s">
        <v>3793</v>
      </c>
      <c r="G443" t="s">
        <v>4423</v>
      </c>
      <c r="H443" t="s">
        <v>3783</v>
      </c>
      <c r="I443" t="s">
        <v>3794</v>
      </c>
      <c r="J443" t="s">
        <v>4421</v>
      </c>
      <c r="K443" t="s">
        <v>3804</v>
      </c>
      <c r="L443" t="s">
        <v>3797</v>
      </c>
      <c r="M443" t="s">
        <v>232</v>
      </c>
      <c r="N443" t="s">
        <v>118</v>
      </c>
      <c r="O443" t="s">
        <v>3808</v>
      </c>
      <c r="P443" s="9">
        <v>44258.51048611111</v>
      </c>
      <c r="Q443" t="s">
        <v>3811</v>
      </c>
      <c r="R443" t="s">
        <v>3794</v>
      </c>
    </row>
    <row r="444" spans="1:18" x14ac:dyDescent="0.25">
      <c r="A444" t="s">
        <v>4424</v>
      </c>
      <c r="B444" t="s">
        <v>4421</v>
      </c>
      <c r="C444">
        <v>2</v>
      </c>
      <c r="D444" t="s">
        <v>41</v>
      </c>
      <c r="E444">
        <v>17</v>
      </c>
      <c r="F444" t="s">
        <v>3793</v>
      </c>
      <c r="G444" t="s">
        <v>4424</v>
      </c>
      <c r="H444" t="s">
        <v>3783</v>
      </c>
      <c r="I444" t="s">
        <v>3794</v>
      </c>
      <c r="J444" t="s">
        <v>4421</v>
      </c>
      <c r="K444" t="s">
        <v>3804</v>
      </c>
      <c r="L444" t="s">
        <v>3797</v>
      </c>
      <c r="M444" t="s">
        <v>43</v>
      </c>
      <c r="N444" t="s">
        <v>118</v>
      </c>
      <c r="O444" t="s">
        <v>3801</v>
      </c>
      <c r="P444" s="9">
        <v>44258.510462962964</v>
      </c>
      <c r="Q444" t="s">
        <v>3813</v>
      </c>
      <c r="R444" t="s">
        <v>3794</v>
      </c>
    </row>
    <row r="445" spans="1:18" x14ac:dyDescent="0.25">
      <c r="A445" t="s">
        <v>4425</v>
      </c>
      <c r="B445" t="s">
        <v>4421</v>
      </c>
      <c r="C445">
        <v>2</v>
      </c>
      <c r="D445" t="s">
        <v>41</v>
      </c>
      <c r="E445">
        <v>17</v>
      </c>
      <c r="F445" t="s">
        <v>3793</v>
      </c>
      <c r="G445" t="s">
        <v>4425</v>
      </c>
      <c r="H445" t="s">
        <v>3783</v>
      </c>
      <c r="I445" t="s">
        <v>3794</v>
      </c>
      <c r="J445" t="s">
        <v>4421</v>
      </c>
      <c r="K445" t="s">
        <v>3804</v>
      </c>
      <c r="L445" t="s">
        <v>3797</v>
      </c>
      <c r="M445" t="s">
        <v>108</v>
      </c>
      <c r="N445" t="s">
        <v>119</v>
      </c>
      <c r="O445" t="s">
        <v>3815</v>
      </c>
      <c r="P445" s="9">
        <v>44258.510451388887</v>
      </c>
      <c r="Q445" t="s">
        <v>3816</v>
      </c>
      <c r="R445" t="s">
        <v>3794</v>
      </c>
    </row>
    <row r="446" spans="1:18" x14ac:dyDescent="0.25">
      <c r="A446" t="s">
        <v>4426</v>
      </c>
      <c r="B446" t="s">
        <v>4427</v>
      </c>
      <c r="C446">
        <v>2</v>
      </c>
      <c r="D446" t="s">
        <v>41</v>
      </c>
      <c r="E446">
        <v>17</v>
      </c>
      <c r="F446" t="s">
        <v>3793</v>
      </c>
      <c r="G446" t="s">
        <v>4426</v>
      </c>
      <c r="H446" t="s">
        <v>3787</v>
      </c>
      <c r="I446" t="s">
        <v>4428</v>
      </c>
      <c r="J446" t="s">
        <v>4427</v>
      </c>
      <c r="K446" t="s">
        <v>3804</v>
      </c>
      <c r="L446" t="s">
        <v>3797</v>
      </c>
      <c r="M446" t="s">
        <v>3739</v>
      </c>
      <c r="N446" t="s">
        <v>118</v>
      </c>
      <c r="O446" t="s">
        <v>4429</v>
      </c>
      <c r="P446" s="9">
        <v>44258.510474537034</v>
      </c>
      <c r="Q446" t="s">
        <v>3900</v>
      </c>
      <c r="R446" t="s">
        <v>3794</v>
      </c>
    </row>
    <row r="447" spans="1:18" x14ac:dyDescent="0.25">
      <c r="A447" t="s">
        <v>4430</v>
      </c>
      <c r="B447" t="s">
        <v>4427</v>
      </c>
      <c r="C447">
        <v>2</v>
      </c>
      <c r="D447" t="s">
        <v>41</v>
      </c>
      <c r="E447">
        <v>17</v>
      </c>
      <c r="F447" t="s">
        <v>3793</v>
      </c>
      <c r="G447" t="s">
        <v>4430</v>
      </c>
      <c r="H447" t="s">
        <v>3787</v>
      </c>
      <c r="I447" t="s">
        <v>3794</v>
      </c>
      <c r="J447" t="s">
        <v>4427</v>
      </c>
      <c r="K447" t="s">
        <v>3804</v>
      </c>
      <c r="L447" t="s">
        <v>3797</v>
      </c>
      <c r="M447" t="s">
        <v>3740</v>
      </c>
      <c r="N447" t="s">
        <v>118</v>
      </c>
      <c r="O447" t="s">
        <v>3801</v>
      </c>
      <c r="P447" s="9">
        <v>44258.510497685187</v>
      </c>
      <c r="Q447" t="s">
        <v>3902</v>
      </c>
      <c r="R447" t="s">
        <v>3794</v>
      </c>
    </row>
    <row r="448" spans="1:18" x14ac:dyDescent="0.25">
      <c r="A448" t="s">
        <v>4431</v>
      </c>
      <c r="B448" t="s">
        <v>4427</v>
      </c>
      <c r="C448">
        <v>2</v>
      </c>
      <c r="D448" t="s">
        <v>41</v>
      </c>
      <c r="E448">
        <v>17</v>
      </c>
      <c r="F448" t="s">
        <v>3793</v>
      </c>
      <c r="G448" t="s">
        <v>4431</v>
      </c>
      <c r="H448" t="s">
        <v>3787</v>
      </c>
      <c r="I448" t="s">
        <v>3794</v>
      </c>
      <c r="J448" t="s">
        <v>4427</v>
      </c>
      <c r="K448" t="s">
        <v>3804</v>
      </c>
      <c r="L448" t="s">
        <v>3797</v>
      </c>
      <c r="M448" t="s">
        <v>42</v>
      </c>
      <c r="N448" t="s">
        <v>118</v>
      </c>
      <c r="O448" t="s">
        <v>3805</v>
      </c>
      <c r="P448" s="9">
        <v>44258.510474537034</v>
      </c>
      <c r="Q448" t="s">
        <v>3806</v>
      </c>
      <c r="R448" t="s">
        <v>3794</v>
      </c>
    </row>
    <row r="449" spans="1:18" x14ac:dyDescent="0.25">
      <c r="A449" t="s">
        <v>4432</v>
      </c>
      <c r="B449" t="s">
        <v>4427</v>
      </c>
      <c r="C449">
        <v>2</v>
      </c>
      <c r="D449" t="s">
        <v>41</v>
      </c>
      <c r="E449">
        <v>17</v>
      </c>
      <c r="F449" t="s">
        <v>3793</v>
      </c>
      <c r="G449" t="s">
        <v>4432</v>
      </c>
      <c r="H449" t="s">
        <v>3787</v>
      </c>
      <c r="I449" t="s">
        <v>3794</v>
      </c>
      <c r="J449" t="s">
        <v>4427</v>
      </c>
      <c r="K449" t="s">
        <v>3804</v>
      </c>
      <c r="L449" t="s">
        <v>3797</v>
      </c>
      <c r="M449" t="s">
        <v>43</v>
      </c>
      <c r="N449" t="s">
        <v>118</v>
      </c>
      <c r="O449" t="s">
        <v>3801</v>
      </c>
      <c r="P449" s="9">
        <v>44258.510474537034</v>
      </c>
      <c r="Q449" t="s">
        <v>3813</v>
      </c>
      <c r="R449" t="s">
        <v>3794</v>
      </c>
    </row>
    <row r="450" spans="1:18" x14ac:dyDescent="0.25">
      <c r="A450" t="s">
        <v>4433</v>
      </c>
      <c r="B450" t="s">
        <v>4427</v>
      </c>
      <c r="C450">
        <v>2</v>
      </c>
      <c r="D450" t="s">
        <v>41</v>
      </c>
      <c r="E450">
        <v>17</v>
      </c>
      <c r="F450" t="s">
        <v>3793</v>
      </c>
      <c r="G450" t="s">
        <v>4433</v>
      </c>
      <c r="H450" t="s">
        <v>3787</v>
      </c>
      <c r="I450" t="s">
        <v>3794</v>
      </c>
      <c r="J450" t="s">
        <v>4427</v>
      </c>
      <c r="K450" t="s">
        <v>3804</v>
      </c>
      <c r="L450" t="s">
        <v>3797</v>
      </c>
      <c r="M450" t="s">
        <v>108</v>
      </c>
      <c r="N450" t="s">
        <v>119</v>
      </c>
      <c r="O450" t="s">
        <v>3815</v>
      </c>
      <c r="P450" s="9">
        <v>44258.510462962964</v>
      </c>
      <c r="Q450" t="s">
        <v>3816</v>
      </c>
      <c r="R450" t="s">
        <v>3794</v>
      </c>
    </row>
    <row r="451" spans="1:18" x14ac:dyDescent="0.25">
      <c r="A451" t="s">
        <v>4434</v>
      </c>
      <c r="B451" t="s">
        <v>4435</v>
      </c>
      <c r="C451">
        <v>2</v>
      </c>
      <c r="D451" t="s">
        <v>41</v>
      </c>
      <c r="E451">
        <v>17</v>
      </c>
      <c r="F451" t="s">
        <v>3793</v>
      </c>
      <c r="G451" t="s">
        <v>4434</v>
      </c>
      <c r="H451" t="s">
        <v>3784</v>
      </c>
      <c r="I451" t="s">
        <v>4436</v>
      </c>
      <c r="J451" t="s">
        <v>4435</v>
      </c>
      <c r="K451" t="s">
        <v>3796</v>
      </c>
      <c r="L451" t="s">
        <v>3797</v>
      </c>
      <c r="M451" t="s">
        <v>3739</v>
      </c>
      <c r="N451" t="s">
        <v>118</v>
      </c>
      <c r="O451" t="s">
        <v>4437</v>
      </c>
      <c r="P451" s="9">
        <v>44258.510439814818</v>
      </c>
      <c r="Q451" t="s">
        <v>3799</v>
      </c>
      <c r="R451" t="s">
        <v>3794</v>
      </c>
    </row>
    <row r="452" spans="1:18" x14ac:dyDescent="0.25">
      <c r="A452" t="s">
        <v>4438</v>
      </c>
      <c r="B452" t="s">
        <v>4435</v>
      </c>
      <c r="C452">
        <v>2</v>
      </c>
      <c r="D452" t="s">
        <v>41</v>
      </c>
      <c r="E452">
        <v>17</v>
      </c>
      <c r="F452" t="s">
        <v>3793</v>
      </c>
      <c r="G452" t="s">
        <v>4438</v>
      </c>
      <c r="H452" t="s">
        <v>3784</v>
      </c>
      <c r="I452" t="s">
        <v>3794</v>
      </c>
      <c r="J452" t="s">
        <v>4435</v>
      </c>
      <c r="K452" t="s">
        <v>3796</v>
      </c>
      <c r="L452" t="s">
        <v>3797</v>
      </c>
      <c r="M452" t="s">
        <v>3740</v>
      </c>
      <c r="N452" t="s">
        <v>118</v>
      </c>
      <c r="O452" t="s">
        <v>3801</v>
      </c>
      <c r="P452" s="9">
        <v>44258.510439814818</v>
      </c>
      <c r="Q452" t="s">
        <v>3802</v>
      </c>
      <c r="R452" t="s">
        <v>3794</v>
      </c>
    </row>
    <row r="453" spans="1:18" x14ac:dyDescent="0.25">
      <c r="A453" t="s">
        <v>4439</v>
      </c>
      <c r="B453" t="s">
        <v>4435</v>
      </c>
      <c r="C453">
        <v>2</v>
      </c>
      <c r="D453" t="s">
        <v>41</v>
      </c>
      <c r="E453">
        <v>17</v>
      </c>
      <c r="F453" t="s">
        <v>3793</v>
      </c>
      <c r="G453" t="s">
        <v>4439</v>
      </c>
      <c r="H453" t="s">
        <v>3784</v>
      </c>
      <c r="I453" t="s">
        <v>3794</v>
      </c>
      <c r="J453" t="s">
        <v>4435</v>
      </c>
      <c r="K453" t="s">
        <v>3804</v>
      </c>
      <c r="L453" t="s">
        <v>3797</v>
      </c>
      <c r="M453" t="s">
        <v>42</v>
      </c>
      <c r="N453" t="s">
        <v>118</v>
      </c>
      <c r="O453" t="s">
        <v>3805</v>
      </c>
      <c r="P453" s="9">
        <v>44258.510474537034</v>
      </c>
      <c r="Q453" t="s">
        <v>3806</v>
      </c>
      <c r="R453" t="s">
        <v>3794</v>
      </c>
    </row>
    <row r="454" spans="1:18" x14ac:dyDescent="0.25">
      <c r="A454" t="s">
        <v>4440</v>
      </c>
      <c r="B454" t="s">
        <v>4435</v>
      </c>
      <c r="C454">
        <v>2</v>
      </c>
      <c r="D454" t="s">
        <v>41</v>
      </c>
      <c r="E454">
        <v>17</v>
      </c>
      <c r="F454" t="s">
        <v>3793</v>
      </c>
      <c r="G454" t="s">
        <v>4440</v>
      </c>
      <c r="H454" t="s">
        <v>3784</v>
      </c>
      <c r="I454" t="s">
        <v>3794</v>
      </c>
      <c r="J454" t="s">
        <v>4435</v>
      </c>
      <c r="K454" t="s">
        <v>3804</v>
      </c>
      <c r="L454" t="s">
        <v>3797</v>
      </c>
      <c r="M454" t="s">
        <v>145</v>
      </c>
      <c r="N454" t="s">
        <v>118</v>
      </c>
      <c r="O454" t="s">
        <v>3808</v>
      </c>
      <c r="P454" s="9">
        <v>44258.51048611111</v>
      </c>
      <c r="Q454" t="s">
        <v>3809</v>
      </c>
      <c r="R454" t="s">
        <v>3794</v>
      </c>
    </row>
    <row r="455" spans="1:18" x14ac:dyDescent="0.25">
      <c r="A455" t="s">
        <v>4441</v>
      </c>
      <c r="B455" t="s">
        <v>4435</v>
      </c>
      <c r="C455">
        <v>2</v>
      </c>
      <c r="D455" t="s">
        <v>41</v>
      </c>
      <c r="E455">
        <v>17</v>
      </c>
      <c r="F455" t="s">
        <v>3793</v>
      </c>
      <c r="G455" t="s">
        <v>4441</v>
      </c>
      <c r="H455" t="s">
        <v>3784</v>
      </c>
      <c r="I455" t="s">
        <v>3794</v>
      </c>
      <c r="J455" t="s">
        <v>4435</v>
      </c>
      <c r="K455" t="s">
        <v>3804</v>
      </c>
      <c r="L455" t="s">
        <v>3797</v>
      </c>
      <c r="M455" t="s">
        <v>232</v>
      </c>
      <c r="N455" t="s">
        <v>118</v>
      </c>
      <c r="O455" t="s">
        <v>3808</v>
      </c>
      <c r="P455" s="9">
        <v>44258.51048611111</v>
      </c>
      <c r="Q455" t="s">
        <v>3811</v>
      </c>
      <c r="R455" t="s">
        <v>3794</v>
      </c>
    </row>
    <row r="456" spans="1:18" x14ac:dyDescent="0.25">
      <c r="A456" t="s">
        <v>4442</v>
      </c>
      <c r="B456" t="s">
        <v>4435</v>
      </c>
      <c r="C456">
        <v>2</v>
      </c>
      <c r="D456" t="s">
        <v>41</v>
      </c>
      <c r="E456">
        <v>17</v>
      </c>
      <c r="F456" t="s">
        <v>3793</v>
      </c>
      <c r="G456" t="s">
        <v>4442</v>
      </c>
      <c r="H456" t="s">
        <v>3784</v>
      </c>
      <c r="I456" t="s">
        <v>3794</v>
      </c>
      <c r="J456" t="s">
        <v>4435</v>
      </c>
      <c r="K456" t="s">
        <v>3804</v>
      </c>
      <c r="L456" t="s">
        <v>3797</v>
      </c>
      <c r="M456" t="s">
        <v>43</v>
      </c>
      <c r="N456" t="s">
        <v>118</v>
      </c>
      <c r="O456" t="s">
        <v>3801</v>
      </c>
      <c r="P456" s="9">
        <v>44258.510462962964</v>
      </c>
      <c r="Q456" t="s">
        <v>3813</v>
      </c>
      <c r="R456" t="s">
        <v>3794</v>
      </c>
    </row>
    <row r="457" spans="1:18" x14ac:dyDescent="0.25">
      <c r="A457" t="s">
        <v>4443</v>
      </c>
      <c r="B457" t="s">
        <v>4435</v>
      </c>
      <c r="C457">
        <v>2</v>
      </c>
      <c r="D457" t="s">
        <v>41</v>
      </c>
      <c r="E457">
        <v>17</v>
      </c>
      <c r="F457" t="s">
        <v>3793</v>
      </c>
      <c r="G457" t="s">
        <v>4443</v>
      </c>
      <c r="H457" t="s">
        <v>3784</v>
      </c>
      <c r="I457" t="s">
        <v>3794</v>
      </c>
      <c r="J457" t="s">
        <v>4435</v>
      </c>
      <c r="K457" t="s">
        <v>3804</v>
      </c>
      <c r="L457" t="s">
        <v>3797</v>
      </c>
      <c r="M457" t="s">
        <v>108</v>
      </c>
      <c r="N457" t="s">
        <v>119</v>
      </c>
      <c r="O457" t="s">
        <v>3815</v>
      </c>
      <c r="P457" s="9">
        <v>44258.510451388887</v>
      </c>
      <c r="Q457" t="s">
        <v>3816</v>
      </c>
      <c r="R457" t="s">
        <v>3794</v>
      </c>
    </row>
    <row r="458" spans="1:18" x14ac:dyDescent="0.25">
      <c r="A458" t="s">
        <v>4444</v>
      </c>
      <c r="B458" t="s">
        <v>4445</v>
      </c>
      <c r="C458">
        <v>2</v>
      </c>
      <c r="D458" t="s">
        <v>41</v>
      </c>
      <c r="E458">
        <v>17</v>
      </c>
      <c r="F458" t="s">
        <v>3793</v>
      </c>
      <c r="G458" t="s">
        <v>4444</v>
      </c>
      <c r="H458" t="s">
        <v>3787</v>
      </c>
      <c r="I458" t="s">
        <v>4446</v>
      </c>
      <c r="J458" t="s">
        <v>4445</v>
      </c>
      <c r="K458" t="s">
        <v>3804</v>
      </c>
      <c r="L458" t="s">
        <v>3797</v>
      </c>
      <c r="M458" t="s">
        <v>3739</v>
      </c>
      <c r="N458" t="s">
        <v>118</v>
      </c>
      <c r="O458" t="s">
        <v>4447</v>
      </c>
      <c r="P458" s="9">
        <v>44258.510474537034</v>
      </c>
      <c r="Q458" t="s">
        <v>3900</v>
      </c>
      <c r="R458" t="s">
        <v>3794</v>
      </c>
    </row>
    <row r="459" spans="1:18" x14ac:dyDescent="0.25">
      <c r="A459" t="s">
        <v>4448</v>
      </c>
      <c r="B459" t="s">
        <v>4445</v>
      </c>
      <c r="C459">
        <v>2</v>
      </c>
      <c r="D459" t="s">
        <v>41</v>
      </c>
      <c r="E459">
        <v>17</v>
      </c>
      <c r="F459" t="s">
        <v>3793</v>
      </c>
      <c r="G459" t="s">
        <v>4448</v>
      </c>
      <c r="H459" t="s">
        <v>3787</v>
      </c>
      <c r="I459" t="s">
        <v>3794</v>
      </c>
      <c r="J459" t="s">
        <v>4445</v>
      </c>
      <c r="K459" t="s">
        <v>3804</v>
      </c>
      <c r="L459" t="s">
        <v>3797</v>
      </c>
      <c r="M459" t="s">
        <v>3740</v>
      </c>
      <c r="N459" t="s">
        <v>118</v>
      </c>
      <c r="O459" t="s">
        <v>3801</v>
      </c>
      <c r="P459" s="9">
        <v>44258.510497685187</v>
      </c>
      <c r="Q459" t="s">
        <v>3902</v>
      </c>
      <c r="R459" t="s">
        <v>3794</v>
      </c>
    </row>
    <row r="460" spans="1:18" x14ac:dyDescent="0.25">
      <c r="A460" t="s">
        <v>4449</v>
      </c>
      <c r="B460" t="s">
        <v>4445</v>
      </c>
      <c r="C460">
        <v>2</v>
      </c>
      <c r="D460" t="s">
        <v>41</v>
      </c>
      <c r="E460">
        <v>17</v>
      </c>
      <c r="F460" t="s">
        <v>3793</v>
      </c>
      <c r="G460" t="s">
        <v>4449</v>
      </c>
      <c r="H460" t="s">
        <v>3787</v>
      </c>
      <c r="I460" t="s">
        <v>3794</v>
      </c>
      <c r="J460" t="s">
        <v>4445</v>
      </c>
      <c r="K460" t="s">
        <v>3804</v>
      </c>
      <c r="L460" t="s">
        <v>3797</v>
      </c>
      <c r="M460" t="s">
        <v>42</v>
      </c>
      <c r="N460" t="s">
        <v>118</v>
      </c>
      <c r="O460" t="s">
        <v>3805</v>
      </c>
      <c r="P460" s="9">
        <v>44258.510474537034</v>
      </c>
      <c r="Q460" t="s">
        <v>3806</v>
      </c>
      <c r="R460" t="s">
        <v>3794</v>
      </c>
    </row>
    <row r="461" spans="1:18" x14ac:dyDescent="0.25">
      <c r="A461" t="s">
        <v>4450</v>
      </c>
      <c r="B461" t="s">
        <v>4445</v>
      </c>
      <c r="C461">
        <v>2</v>
      </c>
      <c r="D461" t="s">
        <v>41</v>
      </c>
      <c r="E461">
        <v>17</v>
      </c>
      <c r="F461" t="s">
        <v>3793</v>
      </c>
      <c r="G461" t="s">
        <v>4450</v>
      </c>
      <c r="H461" t="s">
        <v>3787</v>
      </c>
      <c r="I461" t="s">
        <v>3794</v>
      </c>
      <c r="J461" t="s">
        <v>4445</v>
      </c>
      <c r="K461" t="s">
        <v>3804</v>
      </c>
      <c r="L461" t="s">
        <v>3797</v>
      </c>
      <c r="M461" t="s">
        <v>43</v>
      </c>
      <c r="N461" t="s">
        <v>118</v>
      </c>
      <c r="O461" t="s">
        <v>3801</v>
      </c>
      <c r="P461" s="9">
        <v>44258.510474537034</v>
      </c>
      <c r="Q461" t="s">
        <v>3813</v>
      </c>
      <c r="R461" t="s">
        <v>3794</v>
      </c>
    </row>
    <row r="462" spans="1:18" x14ac:dyDescent="0.25">
      <c r="A462" t="s">
        <v>4451</v>
      </c>
      <c r="B462" t="s">
        <v>4445</v>
      </c>
      <c r="C462">
        <v>2</v>
      </c>
      <c r="D462" t="s">
        <v>41</v>
      </c>
      <c r="E462">
        <v>17</v>
      </c>
      <c r="F462" t="s">
        <v>3793</v>
      </c>
      <c r="G462" t="s">
        <v>4451</v>
      </c>
      <c r="H462" t="s">
        <v>3787</v>
      </c>
      <c r="I462" t="s">
        <v>3794</v>
      </c>
      <c r="J462" t="s">
        <v>4445</v>
      </c>
      <c r="K462" t="s">
        <v>3804</v>
      </c>
      <c r="L462" t="s">
        <v>3797</v>
      </c>
      <c r="M462" t="s">
        <v>108</v>
      </c>
      <c r="N462" t="s">
        <v>119</v>
      </c>
      <c r="O462" t="s">
        <v>3815</v>
      </c>
      <c r="P462" s="9">
        <v>44258.510462962964</v>
      </c>
      <c r="Q462" t="s">
        <v>3816</v>
      </c>
      <c r="R462" t="s">
        <v>3794</v>
      </c>
    </row>
    <row r="463" spans="1:18" x14ac:dyDescent="0.25">
      <c r="A463" t="s">
        <v>4452</v>
      </c>
      <c r="B463" t="s">
        <v>4453</v>
      </c>
      <c r="C463">
        <v>2</v>
      </c>
      <c r="D463" t="s">
        <v>41</v>
      </c>
      <c r="E463">
        <v>17</v>
      </c>
      <c r="F463" t="s">
        <v>3793</v>
      </c>
      <c r="G463" t="s">
        <v>4452</v>
      </c>
      <c r="H463" t="s">
        <v>3783</v>
      </c>
      <c r="I463" t="s">
        <v>3794</v>
      </c>
      <c r="J463" t="s">
        <v>4453</v>
      </c>
      <c r="K463" t="s">
        <v>3804</v>
      </c>
      <c r="L463" t="s">
        <v>3797</v>
      </c>
      <c r="M463" t="s">
        <v>42</v>
      </c>
      <c r="N463" t="s">
        <v>118</v>
      </c>
      <c r="O463" t="s">
        <v>3805</v>
      </c>
      <c r="P463" s="9">
        <v>44258.510474537034</v>
      </c>
      <c r="Q463" t="s">
        <v>3806</v>
      </c>
      <c r="R463" t="s">
        <v>3794</v>
      </c>
    </row>
    <row r="464" spans="1:18" x14ac:dyDescent="0.25">
      <c r="A464" t="s">
        <v>4454</v>
      </c>
      <c r="B464" t="s">
        <v>4453</v>
      </c>
      <c r="C464">
        <v>2</v>
      </c>
      <c r="D464" t="s">
        <v>41</v>
      </c>
      <c r="E464">
        <v>17</v>
      </c>
      <c r="F464" t="s">
        <v>3793</v>
      </c>
      <c r="G464" t="s">
        <v>4454</v>
      </c>
      <c r="H464" t="s">
        <v>3783</v>
      </c>
      <c r="I464" t="s">
        <v>3794</v>
      </c>
      <c r="J464" t="s">
        <v>4453</v>
      </c>
      <c r="K464" t="s">
        <v>3804</v>
      </c>
      <c r="L464" t="s">
        <v>3797</v>
      </c>
      <c r="M464" t="s">
        <v>145</v>
      </c>
      <c r="N464" t="s">
        <v>118</v>
      </c>
      <c r="O464" t="s">
        <v>3808</v>
      </c>
      <c r="P464" s="9">
        <v>44258.51048611111</v>
      </c>
      <c r="Q464" t="s">
        <v>3809</v>
      </c>
      <c r="R464" t="s">
        <v>3794</v>
      </c>
    </row>
    <row r="465" spans="1:18" x14ac:dyDescent="0.25">
      <c r="A465" t="s">
        <v>4455</v>
      </c>
      <c r="B465" t="s">
        <v>4453</v>
      </c>
      <c r="C465">
        <v>2</v>
      </c>
      <c r="D465" t="s">
        <v>41</v>
      </c>
      <c r="E465">
        <v>17</v>
      </c>
      <c r="F465" t="s">
        <v>3793</v>
      </c>
      <c r="G465" t="s">
        <v>4455</v>
      </c>
      <c r="H465" t="s">
        <v>3783</v>
      </c>
      <c r="I465" t="s">
        <v>3794</v>
      </c>
      <c r="J465" t="s">
        <v>4453</v>
      </c>
      <c r="K465" t="s">
        <v>3804</v>
      </c>
      <c r="L465" t="s">
        <v>3797</v>
      </c>
      <c r="M465" t="s">
        <v>232</v>
      </c>
      <c r="N465" t="s">
        <v>118</v>
      </c>
      <c r="O465" t="s">
        <v>3808</v>
      </c>
      <c r="P465" s="9">
        <v>44258.51048611111</v>
      </c>
      <c r="Q465" t="s">
        <v>3811</v>
      </c>
      <c r="R465" t="s">
        <v>3794</v>
      </c>
    </row>
    <row r="466" spans="1:18" x14ac:dyDescent="0.25">
      <c r="A466" t="s">
        <v>4456</v>
      </c>
      <c r="B466" t="s">
        <v>4453</v>
      </c>
      <c r="C466">
        <v>2</v>
      </c>
      <c r="D466" t="s">
        <v>41</v>
      </c>
      <c r="E466">
        <v>17</v>
      </c>
      <c r="F466" t="s">
        <v>3793</v>
      </c>
      <c r="G466" t="s">
        <v>4456</v>
      </c>
      <c r="H466" t="s">
        <v>3783</v>
      </c>
      <c r="I466" t="s">
        <v>3794</v>
      </c>
      <c r="J466" t="s">
        <v>4453</v>
      </c>
      <c r="K466" t="s">
        <v>3804</v>
      </c>
      <c r="L466" t="s">
        <v>3797</v>
      </c>
      <c r="M466" t="s">
        <v>43</v>
      </c>
      <c r="N466" t="s">
        <v>118</v>
      </c>
      <c r="O466" t="s">
        <v>3801</v>
      </c>
      <c r="P466" s="9">
        <v>44258.510462962964</v>
      </c>
      <c r="Q466" t="s">
        <v>3813</v>
      </c>
      <c r="R466" t="s">
        <v>3794</v>
      </c>
    </row>
    <row r="467" spans="1:18" x14ac:dyDescent="0.25">
      <c r="A467" t="s">
        <v>4457</v>
      </c>
      <c r="B467" t="s">
        <v>4453</v>
      </c>
      <c r="C467">
        <v>2</v>
      </c>
      <c r="D467" t="s">
        <v>41</v>
      </c>
      <c r="E467">
        <v>17</v>
      </c>
      <c r="F467" t="s">
        <v>3793</v>
      </c>
      <c r="G467" t="s">
        <v>4457</v>
      </c>
      <c r="H467" t="s">
        <v>3783</v>
      </c>
      <c r="I467" t="s">
        <v>3794</v>
      </c>
      <c r="J467" t="s">
        <v>4453</v>
      </c>
      <c r="K467" t="s">
        <v>3804</v>
      </c>
      <c r="L467" t="s">
        <v>3797</v>
      </c>
      <c r="M467" t="s">
        <v>108</v>
      </c>
      <c r="N467" t="s">
        <v>119</v>
      </c>
      <c r="O467" t="s">
        <v>3815</v>
      </c>
      <c r="P467" s="9">
        <v>44258.510451388887</v>
      </c>
      <c r="Q467" t="s">
        <v>3816</v>
      </c>
      <c r="R467" t="s">
        <v>3794</v>
      </c>
    </row>
    <row r="468" spans="1:18" x14ac:dyDescent="0.25">
      <c r="A468" t="s">
        <v>4458</v>
      </c>
      <c r="B468" t="s">
        <v>4459</v>
      </c>
      <c r="C468">
        <v>2</v>
      </c>
      <c r="D468" t="s">
        <v>41</v>
      </c>
      <c r="E468">
        <v>17</v>
      </c>
      <c r="F468" t="s">
        <v>3793</v>
      </c>
      <c r="G468" t="s">
        <v>4458</v>
      </c>
      <c r="H468" t="s">
        <v>3783</v>
      </c>
      <c r="I468" t="s">
        <v>3794</v>
      </c>
      <c r="J468" t="s">
        <v>4459</v>
      </c>
      <c r="K468" t="s">
        <v>3804</v>
      </c>
      <c r="L468" t="s">
        <v>3797</v>
      </c>
      <c r="M468" t="s">
        <v>42</v>
      </c>
      <c r="N468" t="s">
        <v>118</v>
      </c>
      <c r="O468" t="s">
        <v>3805</v>
      </c>
      <c r="P468" s="9">
        <v>44258.510474537034</v>
      </c>
      <c r="Q468" t="s">
        <v>3806</v>
      </c>
      <c r="R468" t="s">
        <v>3794</v>
      </c>
    </row>
    <row r="469" spans="1:18" x14ac:dyDescent="0.25">
      <c r="A469" t="s">
        <v>4460</v>
      </c>
      <c r="B469" t="s">
        <v>4459</v>
      </c>
      <c r="C469">
        <v>2</v>
      </c>
      <c r="D469" t="s">
        <v>41</v>
      </c>
      <c r="E469">
        <v>17</v>
      </c>
      <c r="F469" t="s">
        <v>3793</v>
      </c>
      <c r="G469" t="s">
        <v>4460</v>
      </c>
      <c r="H469" t="s">
        <v>3783</v>
      </c>
      <c r="I469" t="s">
        <v>3794</v>
      </c>
      <c r="J469" t="s">
        <v>4459</v>
      </c>
      <c r="K469" t="s">
        <v>3804</v>
      </c>
      <c r="L469" t="s">
        <v>3797</v>
      </c>
      <c r="M469" t="s">
        <v>145</v>
      </c>
      <c r="N469" t="s">
        <v>118</v>
      </c>
      <c r="O469" t="s">
        <v>3808</v>
      </c>
      <c r="P469" s="9">
        <v>44258.51048611111</v>
      </c>
      <c r="Q469" t="s">
        <v>3809</v>
      </c>
      <c r="R469" t="s">
        <v>3794</v>
      </c>
    </row>
    <row r="470" spans="1:18" x14ac:dyDescent="0.25">
      <c r="A470" t="s">
        <v>4461</v>
      </c>
      <c r="B470" t="s">
        <v>4459</v>
      </c>
      <c r="C470">
        <v>2</v>
      </c>
      <c r="D470" t="s">
        <v>41</v>
      </c>
      <c r="E470">
        <v>17</v>
      </c>
      <c r="F470" t="s">
        <v>3793</v>
      </c>
      <c r="G470" t="s">
        <v>4461</v>
      </c>
      <c r="H470" t="s">
        <v>3783</v>
      </c>
      <c r="I470" t="s">
        <v>3794</v>
      </c>
      <c r="J470" t="s">
        <v>4459</v>
      </c>
      <c r="K470" t="s">
        <v>3804</v>
      </c>
      <c r="L470" t="s">
        <v>3797</v>
      </c>
      <c r="M470" t="s">
        <v>232</v>
      </c>
      <c r="N470" t="s">
        <v>118</v>
      </c>
      <c r="O470" t="s">
        <v>3808</v>
      </c>
      <c r="P470" s="9">
        <v>44258.51048611111</v>
      </c>
      <c r="Q470" t="s">
        <v>3811</v>
      </c>
      <c r="R470" t="s">
        <v>3794</v>
      </c>
    </row>
    <row r="471" spans="1:18" x14ac:dyDescent="0.25">
      <c r="A471" t="s">
        <v>4462</v>
      </c>
      <c r="B471" t="s">
        <v>4459</v>
      </c>
      <c r="C471">
        <v>2</v>
      </c>
      <c r="D471" t="s">
        <v>41</v>
      </c>
      <c r="E471">
        <v>17</v>
      </c>
      <c r="F471" t="s">
        <v>3793</v>
      </c>
      <c r="G471" t="s">
        <v>4462</v>
      </c>
      <c r="H471" t="s">
        <v>3783</v>
      </c>
      <c r="I471" t="s">
        <v>3794</v>
      </c>
      <c r="J471" t="s">
        <v>4459</v>
      </c>
      <c r="K471" t="s">
        <v>3804</v>
      </c>
      <c r="L471" t="s">
        <v>3797</v>
      </c>
      <c r="M471" t="s">
        <v>43</v>
      </c>
      <c r="N471" t="s">
        <v>118</v>
      </c>
      <c r="O471" t="s">
        <v>3801</v>
      </c>
      <c r="P471" s="9">
        <v>44258.510462962964</v>
      </c>
      <c r="Q471" t="s">
        <v>3813</v>
      </c>
      <c r="R471" t="s">
        <v>3794</v>
      </c>
    </row>
    <row r="472" spans="1:18" x14ac:dyDescent="0.25">
      <c r="A472" t="s">
        <v>4463</v>
      </c>
      <c r="B472" t="s">
        <v>4459</v>
      </c>
      <c r="C472">
        <v>2</v>
      </c>
      <c r="D472" t="s">
        <v>41</v>
      </c>
      <c r="E472">
        <v>17</v>
      </c>
      <c r="F472" t="s">
        <v>3793</v>
      </c>
      <c r="G472" t="s">
        <v>4463</v>
      </c>
      <c r="H472" t="s">
        <v>3783</v>
      </c>
      <c r="I472" t="s">
        <v>3794</v>
      </c>
      <c r="J472" t="s">
        <v>4459</v>
      </c>
      <c r="K472" t="s">
        <v>3804</v>
      </c>
      <c r="L472" t="s">
        <v>3797</v>
      </c>
      <c r="M472" t="s">
        <v>108</v>
      </c>
      <c r="N472" t="s">
        <v>119</v>
      </c>
      <c r="O472" t="s">
        <v>3815</v>
      </c>
      <c r="P472" s="9">
        <v>44258.510451388887</v>
      </c>
      <c r="Q472" t="s">
        <v>3816</v>
      </c>
      <c r="R472" t="s">
        <v>3794</v>
      </c>
    </row>
    <row r="473" spans="1:18" x14ac:dyDescent="0.25">
      <c r="A473" t="s">
        <v>4464</v>
      </c>
      <c r="B473" t="s">
        <v>4465</v>
      </c>
      <c r="C473">
        <v>2</v>
      </c>
      <c r="D473" t="s">
        <v>41</v>
      </c>
      <c r="E473">
        <v>17</v>
      </c>
      <c r="F473" t="s">
        <v>3793</v>
      </c>
      <c r="G473" t="s">
        <v>4464</v>
      </c>
      <c r="H473" t="s">
        <v>3787</v>
      </c>
      <c r="I473" t="s">
        <v>4466</v>
      </c>
      <c r="J473" t="s">
        <v>4465</v>
      </c>
      <c r="K473" t="s">
        <v>3804</v>
      </c>
      <c r="L473" t="s">
        <v>3797</v>
      </c>
      <c r="M473" t="s">
        <v>3739</v>
      </c>
      <c r="N473" t="s">
        <v>118</v>
      </c>
      <c r="O473" t="s">
        <v>4467</v>
      </c>
      <c r="P473" s="9">
        <v>44258.510474537034</v>
      </c>
      <c r="Q473" t="s">
        <v>3900</v>
      </c>
      <c r="R473" t="s">
        <v>3794</v>
      </c>
    </row>
    <row r="474" spans="1:18" x14ac:dyDescent="0.25">
      <c r="A474" t="s">
        <v>4468</v>
      </c>
      <c r="B474" t="s">
        <v>4465</v>
      </c>
      <c r="C474">
        <v>2</v>
      </c>
      <c r="D474" t="s">
        <v>41</v>
      </c>
      <c r="E474">
        <v>17</v>
      </c>
      <c r="F474" t="s">
        <v>3793</v>
      </c>
      <c r="G474" t="s">
        <v>4468</v>
      </c>
      <c r="H474" t="s">
        <v>3787</v>
      </c>
      <c r="I474" t="s">
        <v>3794</v>
      </c>
      <c r="J474" t="s">
        <v>4465</v>
      </c>
      <c r="K474" t="s">
        <v>3804</v>
      </c>
      <c r="L474" t="s">
        <v>3797</v>
      </c>
      <c r="M474" t="s">
        <v>3740</v>
      </c>
      <c r="N474" t="s">
        <v>118</v>
      </c>
      <c r="O474" t="s">
        <v>3801</v>
      </c>
      <c r="P474" s="9">
        <v>44258.510497685187</v>
      </c>
      <c r="Q474" t="s">
        <v>3902</v>
      </c>
      <c r="R474" t="s">
        <v>3794</v>
      </c>
    </row>
    <row r="475" spans="1:18" x14ac:dyDescent="0.25">
      <c r="A475" t="s">
        <v>4469</v>
      </c>
      <c r="B475" t="s">
        <v>4465</v>
      </c>
      <c r="C475">
        <v>2</v>
      </c>
      <c r="D475" t="s">
        <v>41</v>
      </c>
      <c r="E475">
        <v>17</v>
      </c>
      <c r="F475" t="s">
        <v>3793</v>
      </c>
      <c r="G475" t="s">
        <v>4469</v>
      </c>
      <c r="H475" t="s">
        <v>3787</v>
      </c>
      <c r="I475" t="s">
        <v>3794</v>
      </c>
      <c r="J475" t="s">
        <v>4465</v>
      </c>
      <c r="K475" t="s">
        <v>3804</v>
      </c>
      <c r="L475" t="s">
        <v>3797</v>
      </c>
      <c r="M475" t="s">
        <v>42</v>
      </c>
      <c r="N475" t="s">
        <v>118</v>
      </c>
      <c r="O475" t="s">
        <v>3805</v>
      </c>
      <c r="P475" s="9">
        <v>44258.510474537034</v>
      </c>
      <c r="Q475" t="s">
        <v>3806</v>
      </c>
      <c r="R475" t="s">
        <v>3794</v>
      </c>
    </row>
    <row r="476" spans="1:18" x14ac:dyDescent="0.25">
      <c r="A476" t="s">
        <v>4470</v>
      </c>
      <c r="B476" t="s">
        <v>4465</v>
      </c>
      <c r="C476">
        <v>2</v>
      </c>
      <c r="D476" t="s">
        <v>41</v>
      </c>
      <c r="E476">
        <v>17</v>
      </c>
      <c r="F476" t="s">
        <v>3793</v>
      </c>
      <c r="G476" t="s">
        <v>4470</v>
      </c>
      <c r="H476" t="s">
        <v>3787</v>
      </c>
      <c r="I476" t="s">
        <v>3794</v>
      </c>
      <c r="J476" t="s">
        <v>4465</v>
      </c>
      <c r="K476" t="s">
        <v>3804</v>
      </c>
      <c r="L476" t="s">
        <v>3797</v>
      </c>
      <c r="M476" t="s">
        <v>43</v>
      </c>
      <c r="N476" t="s">
        <v>118</v>
      </c>
      <c r="O476" t="s">
        <v>3801</v>
      </c>
      <c r="P476" s="9">
        <v>44258.510474537034</v>
      </c>
      <c r="Q476" t="s">
        <v>3813</v>
      </c>
      <c r="R476" t="s">
        <v>3794</v>
      </c>
    </row>
    <row r="477" spans="1:18" x14ac:dyDescent="0.25">
      <c r="A477" t="s">
        <v>4471</v>
      </c>
      <c r="B477" t="s">
        <v>4465</v>
      </c>
      <c r="C477">
        <v>2</v>
      </c>
      <c r="D477" t="s">
        <v>41</v>
      </c>
      <c r="E477">
        <v>17</v>
      </c>
      <c r="F477" t="s">
        <v>3793</v>
      </c>
      <c r="G477" t="s">
        <v>4471</v>
      </c>
      <c r="H477" t="s">
        <v>3787</v>
      </c>
      <c r="I477" t="s">
        <v>3794</v>
      </c>
      <c r="J477" t="s">
        <v>4465</v>
      </c>
      <c r="K477" t="s">
        <v>3804</v>
      </c>
      <c r="L477" t="s">
        <v>3797</v>
      </c>
      <c r="M477" t="s">
        <v>108</v>
      </c>
      <c r="N477" t="s">
        <v>119</v>
      </c>
      <c r="O477" t="s">
        <v>3815</v>
      </c>
      <c r="P477" s="9">
        <v>44258.510462962964</v>
      </c>
      <c r="Q477" t="s">
        <v>3816</v>
      </c>
      <c r="R477" t="s">
        <v>3794</v>
      </c>
    </row>
    <row r="478" spans="1:18" x14ac:dyDescent="0.25">
      <c r="A478" t="s">
        <v>4472</v>
      </c>
      <c r="B478" t="s">
        <v>4473</v>
      </c>
      <c r="C478">
        <v>2</v>
      </c>
      <c r="D478" t="s">
        <v>41</v>
      </c>
      <c r="E478">
        <v>17</v>
      </c>
      <c r="F478" t="s">
        <v>3793</v>
      </c>
      <c r="G478" t="s">
        <v>4472</v>
      </c>
      <c r="H478" t="s">
        <v>3784</v>
      </c>
      <c r="I478" t="s">
        <v>4474</v>
      </c>
      <c r="J478" t="s">
        <v>4473</v>
      </c>
      <c r="K478" t="s">
        <v>3796</v>
      </c>
      <c r="L478" t="s">
        <v>3797</v>
      </c>
      <c r="M478" t="s">
        <v>3739</v>
      </c>
      <c r="N478" t="s">
        <v>118</v>
      </c>
      <c r="O478" t="s">
        <v>4475</v>
      </c>
      <c r="P478" s="9">
        <v>44258.510439814818</v>
      </c>
      <c r="Q478" t="s">
        <v>3799</v>
      </c>
      <c r="R478" t="s">
        <v>3794</v>
      </c>
    </row>
    <row r="479" spans="1:18" x14ac:dyDescent="0.25">
      <c r="A479" t="s">
        <v>4476</v>
      </c>
      <c r="B479" t="s">
        <v>4473</v>
      </c>
      <c r="C479">
        <v>2</v>
      </c>
      <c r="D479" t="s">
        <v>41</v>
      </c>
      <c r="E479">
        <v>17</v>
      </c>
      <c r="F479" t="s">
        <v>3793</v>
      </c>
      <c r="G479" t="s">
        <v>4476</v>
      </c>
      <c r="H479" t="s">
        <v>3784</v>
      </c>
      <c r="I479" t="s">
        <v>3794</v>
      </c>
      <c r="J479" t="s">
        <v>4473</v>
      </c>
      <c r="K479" t="s">
        <v>3796</v>
      </c>
      <c r="L479" t="s">
        <v>3797</v>
      </c>
      <c r="M479" t="s">
        <v>3740</v>
      </c>
      <c r="N479" t="s">
        <v>118</v>
      </c>
      <c r="O479" t="s">
        <v>3801</v>
      </c>
      <c r="P479" s="9">
        <v>44258.510439814818</v>
      </c>
      <c r="Q479" t="s">
        <v>3802</v>
      </c>
      <c r="R479" t="s">
        <v>3794</v>
      </c>
    </row>
    <row r="480" spans="1:18" x14ac:dyDescent="0.25">
      <c r="A480" t="s">
        <v>4477</v>
      </c>
      <c r="B480" t="s">
        <v>4473</v>
      </c>
      <c r="C480">
        <v>2</v>
      </c>
      <c r="D480" t="s">
        <v>41</v>
      </c>
      <c r="E480">
        <v>17</v>
      </c>
      <c r="F480" t="s">
        <v>3793</v>
      </c>
      <c r="G480" t="s">
        <v>4477</v>
      </c>
      <c r="H480" t="s">
        <v>3784</v>
      </c>
      <c r="I480" t="s">
        <v>3794</v>
      </c>
      <c r="J480" t="s">
        <v>4473</v>
      </c>
      <c r="K480" t="s">
        <v>3804</v>
      </c>
      <c r="L480" t="s">
        <v>3797</v>
      </c>
      <c r="M480" t="s">
        <v>42</v>
      </c>
      <c r="N480" t="s">
        <v>118</v>
      </c>
      <c r="O480" t="s">
        <v>3805</v>
      </c>
      <c r="P480" s="9">
        <v>44258.510474537034</v>
      </c>
      <c r="Q480" t="s">
        <v>3806</v>
      </c>
      <c r="R480" t="s">
        <v>3794</v>
      </c>
    </row>
    <row r="481" spans="1:18" x14ac:dyDescent="0.25">
      <c r="A481" t="s">
        <v>4478</v>
      </c>
      <c r="B481" t="s">
        <v>4473</v>
      </c>
      <c r="C481">
        <v>2</v>
      </c>
      <c r="D481" t="s">
        <v>41</v>
      </c>
      <c r="E481">
        <v>17</v>
      </c>
      <c r="F481" t="s">
        <v>3793</v>
      </c>
      <c r="G481" t="s">
        <v>4478</v>
      </c>
      <c r="H481" t="s">
        <v>3784</v>
      </c>
      <c r="I481" t="s">
        <v>3794</v>
      </c>
      <c r="J481" t="s">
        <v>4473</v>
      </c>
      <c r="K481" t="s">
        <v>3804</v>
      </c>
      <c r="L481" t="s">
        <v>3797</v>
      </c>
      <c r="M481" t="s">
        <v>145</v>
      </c>
      <c r="N481" t="s">
        <v>118</v>
      </c>
      <c r="O481" t="s">
        <v>3808</v>
      </c>
      <c r="P481" s="9">
        <v>44258.51048611111</v>
      </c>
      <c r="Q481" t="s">
        <v>3809</v>
      </c>
      <c r="R481" t="s">
        <v>3794</v>
      </c>
    </row>
    <row r="482" spans="1:18" x14ac:dyDescent="0.25">
      <c r="A482" t="s">
        <v>4479</v>
      </c>
      <c r="B482" t="s">
        <v>4473</v>
      </c>
      <c r="C482">
        <v>2</v>
      </c>
      <c r="D482" t="s">
        <v>41</v>
      </c>
      <c r="E482">
        <v>17</v>
      </c>
      <c r="F482" t="s">
        <v>3793</v>
      </c>
      <c r="G482" t="s">
        <v>4479</v>
      </c>
      <c r="H482" t="s">
        <v>3784</v>
      </c>
      <c r="I482" t="s">
        <v>3794</v>
      </c>
      <c r="J482" t="s">
        <v>4473</v>
      </c>
      <c r="K482" t="s">
        <v>3804</v>
      </c>
      <c r="L482" t="s">
        <v>3797</v>
      </c>
      <c r="M482" t="s">
        <v>232</v>
      </c>
      <c r="N482" t="s">
        <v>118</v>
      </c>
      <c r="O482" t="s">
        <v>3808</v>
      </c>
      <c r="P482" s="9">
        <v>44258.51048611111</v>
      </c>
      <c r="Q482" t="s">
        <v>3811</v>
      </c>
      <c r="R482" t="s">
        <v>3794</v>
      </c>
    </row>
    <row r="483" spans="1:18" x14ac:dyDescent="0.25">
      <c r="A483" t="s">
        <v>4480</v>
      </c>
      <c r="B483" t="s">
        <v>4473</v>
      </c>
      <c r="C483">
        <v>2</v>
      </c>
      <c r="D483" t="s">
        <v>41</v>
      </c>
      <c r="E483">
        <v>17</v>
      </c>
      <c r="F483" t="s">
        <v>3793</v>
      </c>
      <c r="G483" t="s">
        <v>4480</v>
      </c>
      <c r="H483" t="s">
        <v>3784</v>
      </c>
      <c r="I483" t="s">
        <v>3794</v>
      </c>
      <c r="J483" t="s">
        <v>4473</v>
      </c>
      <c r="K483" t="s">
        <v>3804</v>
      </c>
      <c r="L483" t="s">
        <v>3797</v>
      </c>
      <c r="M483" t="s">
        <v>43</v>
      </c>
      <c r="N483" t="s">
        <v>118</v>
      </c>
      <c r="O483" t="s">
        <v>3801</v>
      </c>
      <c r="P483" s="9">
        <v>44258.510462962964</v>
      </c>
      <c r="Q483" t="s">
        <v>3813</v>
      </c>
      <c r="R483" t="s">
        <v>3794</v>
      </c>
    </row>
    <row r="484" spans="1:18" x14ac:dyDescent="0.25">
      <c r="A484" t="s">
        <v>4481</v>
      </c>
      <c r="B484" t="s">
        <v>4473</v>
      </c>
      <c r="C484">
        <v>2</v>
      </c>
      <c r="D484" t="s">
        <v>41</v>
      </c>
      <c r="E484">
        <v>17</v>
      </c>
      <c r="F484" t="s">
        <v>3793</v>
      </c>
      <c r="G484" t="s">
        <v>4481</v>
      </c>
      <c r="H484" t="s">
        <v>3784</v>
      </c>
      <c r="I484" t="s">
        <v>3794</v>
      </c>
      <c r="J484" t="s">
        <v>4473</v>
      </c>
      <c r="K484" t="s">
        <v>3804</v>
      </c>
      <c r="L484" t="s">
        <v>3797</v>
      </c>
      <c r="M484" t="s">
        <v>108</v>
      </c>
      <c r="N484" t="s">
        <v>119</v>
      </c>
      <c r="O484" t="s">
        <v>3815</v>
      </c>
      <c r="P484" s="9">
        <v>44258.510451388887</v>
      </c>
      <c r="Q484" t="s">
        <v>3816</v>
      </c>
      <c r="R484" t="s">
        <v>3794</v>
      </c>
    </row>
    <row r="485" spans="1:18" x14ac:dyDescent="0.25">
      <c r="A485" t="s">
        <v>4647</v>
      </c>
      <c r="B485" t="s">
        <v>4648</v>
      </c>
      <c r="C485">
        <v>2</v>
      </c>
      <c r="D485" t="s">
        <v>41</v>
      </c>
      <c r="E485">
        <v>17</v>
      </c>
      <c r="F485" t="s">
        <v>3793</v>
      </c>
      <c r="G485" t="s">
        <v>4647</v>
      </c>
      <c r="H485" t="s">
        <v>4639</v>
      </c>
      <c r="I485" t="s">
        <v>3794</v>
      </c>
      <c r="J485" t="s">
        <v>4648</v>
      </c>
      <c r="K485" t="s">
        <v>4640</v>
      </c>
      <c r="L485" t="s">
        <v>3797</v>
      </c>
      <c r="M485" t="s">
        <v>3739</v>
      </c>
      <c r="N485" t="s">
        <v>118</v>
      </c>
      <c r="O485" t="s">
        <v>4371</v>
      </c>
      <c r="P485" s="9">
        <v>44259.510439814818</v>
      </c>
      <c r="Q485" t="s">
        <v>4641</v>
      </c>
      <c r="R485" t="s">
        <v>3794</v>
      </c>
    </row>
    <row r="486" spans="1:18" x14ac:dyDescent="0.25">
      <c r="A486" t="s">
        <v>4649</v>
      </c>
      <c r="B486" t="s">
        <v>4648</v>
      </c>
      <c r="C486">
        <v>2</v>
      </c>
      <c r="D486" t="s">
        <v>41</v>
      </c>
      <c r="E486">
        <v>17</v>
      </c>
      <c r="F486" t="s">
        <v>3793</v>
      </c>
      <c r="G486" t="s">
        <v>4649</v>
      </c>
      <c r="H486" t="s">
        <v>4639</v>
      </c>
      <c r="I486" t="s">
        <v>3794</v>
      </c>
      <c r="J486" t="s">
        <v>4648</v>
      </c>
      <c r="K486" t="s">
        <v>4640</v>
      </c>
      <c r="L486" t="s">
        <v>3797</v>
      </c>
      <c r="M486" t="s">
        <v>3740</v>
      </c>
      <c r="N486" t="s">
        <v>118</v>
      </c>
      <c r="O486" t="s">
        <v>3801</v>
      </c>
      <c r="P486" s="9">
        <v>44259.510439814818</v>
      </c>
      <c r="Q486" t="s">
        <v>4643</v>
      </c>
      <c r="R486" t="s">
        <v>3794</v>
      </c>
    </row>
    <row r="487" spans="1:18" x14ac:dyDescent="0.25">
      <c r="A487" t="s">
        <v>4482</v>
      </c>
      <c r="B487" t="s">
        <v>4483</v>
      </c>
      <c r="C487">
        <v>2</v>
      </c>
      <c r="D487" t="s">
        <v>41</v>
      </c>
      <c r="E487">
        <v>17</v>
      </c>
      <c r="F487" t="s">
        <v>3793</v>
      </c>
      <c r="G487" t="s">
        <v>4482</v>
      </c>
      <c r="H487" t="s">
        <v>3783</v>
      </c>
      <c r="I487" t="s">
        <v>3794</v>
      </c>
      <c r="J487" t="s">
        <v>4483</v>
      </c>
      <c r="K487" t="s">
        <v>3804</v>
      </c>
      <c r="L487" t="s">
        <v>3797</v>
      </c>
      <c r="M487" t="s">
        <v>42</v>
      </c>
      <c r="N487" t="s">
        <v>118</v>
      </c>
      <c r="O487" t="s">
        <v>3805</v>
      </c>
      <c r="P487" s="9">
        <v>44258.510474537034</v>
      </c>
      <c r="Q487" t="s">
        <v>3806</v>
      </c>
      <c r="R487" t="s">
        <v>3794</v>
      </c>
    </row>
    <row r="488" spans="1:18" x14ac:dyDescent="0.25">
      <c r="A488" t="s">
        <v>4484</v>
      </c>
      <c r="B488" t="s">
        <v>4483</v>
      </c>
      <c r="C488">
        <v>2</v>
      </c>
      <c r="D488" t="s">
        <v>41</v>
      </c>
      <c r="E488">
        <v>17</v>
      </c>
      <c r="F488" t="s">
        <v>3793</v>
      </c>
      <c r="G488" t="s">
        <v>4484</v>
      </c>
      <c r="H488" t="s">
        <v>3783</v>
      </c>
      <c r="I488" t="s">
        <v>3794</v>
      </c>
      <c r="J488" t="s">
        <v>4483</v>
      </c>
      <c r="K488" t="s">
        <v>3804</v>
      </c>
      <c r="L488" t="s">
        <v>3797</v>
      </c>
      <c r="M488" t="s">
        <v>145</v>
      </c>
      <c r="N488" t="s">
        <v>118</v>
      </c>
      <c r="O488" t="s">
        <v>3808</v>
      </c>
      <c r="P488" s="9">
        <v>44258.51048611111</v>
      </c>
      <c r="Q488" t="s">
        <v>3809</v>
      </c>
      <c r="R488" t="s">
        <v>3794</v>
      </c>
    </row>
    <row r="489" spans="1:18" x14ac:dyDescent="0.25">
      <c r="A489" t="s">
        <v>4485</v>
      </c>
      <c r="B489" t="s">
        <v>4483</v>
      </c>
      <c r="C489">
        <v>2</v>
      </c>
      <c r="D489" t="s">
        <v>41</v>
      </c>
      <c r="E489">
        <v>17</v>
      </c>
      <c r="F489" t="s">
        <v>3793</v>
      </c>
      <c r="G489" t="s">
        <v>4485</v>
      </c>
      <c r="H489" t="s">
        <v>3783</v>
      </c>
      <c r="I489" t="s">
        <v>3794</v>
      </c>
      <c r="J489" t="s">
        <v>4483</v>
      </c>
      <c r="K489" t="s">
        <v>3804</v>
      </c>
      <c r="L489" t="s">
        <v>3797</v>
      </c>
      <c r="M489" t="s">
        <v>232</v>
      </c>
      <c r="N489" t="s">
        <v>118</v>
      </c>
      <c r="O489" t="s">
        <v>3808</v>
      </c>
      <c r="P489" s="9">
        <v>44258.51048611111</v>
      </c>
      <c r="Q489" t="s">
        <v>3811</v>
      </c>
      <c r="R489" t="s">
        <v>3794</v>
      </c>
    </row>
    <row r="490" spans="1:18" x14ac:dyDescent="0.25">
      <c r="A490" t="s">
        <v>4486</v>
      </c>
      <c r="B490" t="s">
        <v>4483</v>
      </c>
      <c r="C490">
        <v>2</v>
      </c>
      <c r="D490" t="s">
        <v>41</v>
      </c>
      <c r="E490">
        <v>17</v>
      </c>
      <c r="F490" t="s">
        <v>3793</v>
      </c>
      <c r="G490" t="s">
        <v>4486</v>
      </c>
      <c r="H490" t="s">
        <v>3783</v>
      </c>
      <c r="I490" t="s">
        <v>3794</v>
      </c>
      <c r="J490" t="s">
        <v>4483</v>
      </c>
      <c r="K490" t="s">
        <v>3804</v>
      </c>
      <c r="L490" t="s">
        <v>3797</v>
      </c>
      <c r="M490" t="s">
        <v>43</v>
      </c>
      <c r="N490" t="s">
        <v>118</v>
      </c>
      <c r="O490" t="s">
        <v>3801</v>
      </c>
      <c r="P490" s="9">
        <v>44258.510462962964</v>
      </c>
      <c r="Q490" t="s">
        <v>3813</v>
      </c>
      <c r="R490" t="s">
        <v>3794</v>
      </c>
    </row>
    <row r="491" spans="1:18" x14ac:dyDescent="0.25">
      <c r="A491" t="s">
        <v>4487</v>
      </c>
      <c r="B491" t="s">
        <v>4483</v>
      </c>
      <c r="C491">
        <v>2</v>
      </c>
      <c r="D491" t="s">
        <v>41</v>
      </c>
      <c r="E491">
        <v>17</v>
      </c>
      <c r="F491" t="s">
        <v>3793</v>
      </c>
      <c r="G491" t="s">
        <v>4487</v>
      </c>
      <c r="H491" t="s">
        <v>3783</v>
      </c>
      <c r="I491" t="s">
        <v>3794</v>
      </c>
      <c r="J491" t="s">
        <v>4483</v>
      </c>
      <c r="K491" t="s">
        <v>3804</v>
      </c>
      <c r="L491" t="s">
        <v>3797</v>
      </c>
      <c r="M491" t="s">
        <v>108</v>
      </c>
      <c r="N491" t="s">
        <v>119</v>
      </c>
      <c r="O491" t="s">
        <v>3815</v>
      </c>
      <c r="P491" s="9">
        <v>44258.510451388887</v>
      </c>
      <c r="Q491" t="s">
        <v>3816</v>
      </c>
      <c r="R491" t="s">
        <v>3794</v>
      </c>
    </row>
    <row r="492" spans="1:18" x14ac:dyDescent="0.25">
      <c r="A492" t="s">
        <v>4488</v>
      </c>
      <c r="B492" t="s">
        <v>4489</v>
      </c>
      <c r="C492">
        <v>2</v>
      </c>
      <c r="D492" t="s">
        <v>41</v>
      </c>
      <c r="E492">
        <v>17</v>
      </c>
      <c r="F492" t="s">
        <v>3793</v>
      </c>
      <c r="G492" t="s">
        <v>4488</v>
      </c>
      <c r="H492" t="s">
        <v>3787</v>
      </c>
      <c r="I492" t="s">
        <v>4490</v>
      </c>
      <c r="J492" t="s">
        <v>4489</v>
      </c>
      <c r="K492" t="s">
        <v>3804</v>
      </c>
      <c r="L492" t="s">
        <v>3797</v>
      </c>
      <c r="M492" t="s">
        <v>3739</v>
      </c>
      <c r="N492" t="s">
        <v>118</v>
      </c>
      <c r="O492" t="s">
        <v>4491</v>
      </c>
      <c r="P492" s="9">
        <v>44258.510474537034</v>
      </c>
      <c r="Q492" t="s">
        <v>3900</v>
      </c>
      <c r="R492" t="s">
        <v>3794</v>
      </c>
    </row>
    <row r="493" spans="1:18" x14ac:dyDescent="0.25">
      <c r="A493" t="s">
        <v>4492</v>
      </c>
      <c r="B493" t="s">
        <v>4489</v>
      </c>
      <c r="C493">
        <v>2</v>
      </c>
      <c r="D493" t="s">
        <v>41</v>
      </c>
      <c r="E493">
        <v>17</v>
      </c>
      <c r="F493" t="s">
        <v>3793</v>
      </c>
      <c r="G493" t="s">
        <v>4492</v>
      </c>
      <c r="H493" t="s">
        <v>3787</v>
      </c>
      <c r="I493" t="s">
        <v>3794</v>
      </c>
      <c r="J493" t="s">
        <v>4489</v>
      </c>
      <c r="K493" t="s">
        <v>3804</v>
      </c>
      <c r="L493" t="s">
        <v>3797</v>
      </c>
      <c r="M493" t="s">
        <v>3740</v>
      </c>
      <c r="N493" t="s">
        <v>118</v>
      </c>
      <c r="O493" t="s">
        <v>3801</v>
      </c>
      <c r="P493" s="9">
        <v>44258.510497685187</v>
      </c>
      <c r="Q493" t="s">
        <v>3902</v>
      </c>
      <c r="R493" t="s">
        <v>3794</v>
      </c>
    </row>
    <row r="494" spans="1:18" x14ac:dyDescent="0.25">
      <c r="A494" t="s">
        <v>4493</v>
      </c>
      <c r="B494" t="s">
        <v>4489</v>
      </c>
      <c r="C494">
        <v>2</v>
      </c>
      <c r="D494" t="s">
        <v>41</v>
      </c>
      <c r="E494">
        <v>17</v>
      </c>
      <c r="F494" t="s">
        <v>3793</v>
      </c>
      <c r="G494" t="s">
        <v>4493</v>
      </c>
      <c r="H494" t="s">
        <v>3787</v>
      </c>
      <c r="I494" t="s">
        <v>3794</v>
      </c>
      <c r="J494" t="s">
        <v>4489</v>
      </c>
      <c r="K494" t="s">
        <v>3804</v>
      </c>
      <c r="L494" t="s">
        <v>3797</v>
      </c>
      <c r="M494" t="s">
        <v>42</v>
      </c>
      <c r="N494" t="s">
        <v>118</v>
      </c>
      <c r="O494" t="s">
        <v>3805</v>
      </c>
      <c r="P494" s="9">
        <v>44258.510474537034</v>
      </c>
      <c r="Q494" t="s">
        <v>3806</v>
      </c>
      <c r="R494" t="s">
        <v>3794</v>
      </c>
    </row>
    <row r="495" spans="1:18" x14ac:dyDescent="0.25">
      <c r="A495" t="s">
        <v>4494</v>
      </c>
      <c r="B495" t="s">
        <v>4489</v>
      </c>
      <c r="C495">
        <v>2</v>
      </c>
      <c r="D495" t="s">
        <v>41</v>
      </c>
      <c r="E495">
        <v>17</v>
      </c>
      <c r="F495" t="s">
        <v>3793</v>
      </c>
      <c r="G495" t="s">
        <v>4494</v>
      </c>
      <c r="H495" t="s">
        <v>3787</v>
      </c>
      <c r="I495" t="s">
        <v>3794</v>
      </c>
      <c r="J495" t="s">
        <v>4489</v>
      </c>
      <c r="K495" t="s">
        <v>3804</v>
      </c>
      <c r="L495" t="s">
        <v>3797</v>
      </c>
      <c r="M495" t="s">
        <v>43</v>
      </c>
      <c r="N495" t="s">
        <v>118</v>
      </c>
      <c r="O495" t="s">
        <v>3801</v>
      </c>
      <c r="P495" s="9">
        <v>44258.510474537034</v>
      </c>
      <c r="Q495" t="s">
        <v>3813</v>
      </c>
      <c r="R495" t="s">
        <v>3794</v>
      </c>
    </row>
    <row r="496" spans="1:18" x14ac:dyDescent="0.25">
      <c r="A496" t="s">
        <v>4495</v>
      </c>
      <c r="B496" t="s">
        <v>4489</v>
      </c>
      <c r="C496">
        <v>2</v>
      </c>
      <c r="D496" t="s">
        <v>41</v>
      </c>
      <c r="E496">
        <v>17</v>
      </c>
      <c r="F496" t="s">
        <v>3793</v>
      </c>
      <c r="G496" t="s">
        <v>4495</v>
      </c>
      <c r="H496" t="s">
        <v>3787</v>
      </c>
      <c r="I496" t="s">
        <v>3794</v>
      </c>
      <c r="J496" t="s">
        <v>4489</v>
      </c>
      <c r="K496" t="s">
        <v>3804</v>
      </c>
      <c r="L496" t="s">
        <v>3797</v>
      </c>
      <c r="M496" t="s">
        <v>108</v>
      </c>
      <c r="N496" t="s">
        <v>119</v>
      </c>
      <c r="O496" t="s">
        <v>3815</v>
      </c>
      <c r="P496" s="9">
        <v>44258.510462962964</v>
      </c>
      <c r="Q496" t="s">
        <v>3816</v>
      </c>
      <c r="R496" t="s">
        <v>3794</v>
      </c>
    </row>
    <row r="497" spans="1:18" x14ac:dyDescent="0.25">
      <c r="A497" t="s">
        <v>4496</v>
      </c>
      <c r="B497" t="s">
        <v>4497</v>
      </c>
      <c r="C497">
        <v>2</v>
      </c>
      <c r="D497" t="s">
        <v>41</v>
      </c>
      <c r="E497">
        <v>17</v>
      </c>
      <c r="F497" t="s">
        <v>3793</v>
      </c>
      <c r="G497" t="s">
        <v>4496</v>
      </c>
      <c r="H497" t="s">
        <v>3787</v>
      </c>
      <c r="I497" t="s">
        <v>4498</v>
      </c>
      <c r="J497" t="s">
        <v>4497</v>
      </c>
      <c r="K497" t="s">
        <v>3804</v>
      </c>
      <c r="L497" t="s">
        <v>3797</v>
      </c>
      <c r="M497" t="s">
        <v>3739</v>
      </c>
      <c r="N497" t="s">
        <v>118</v>
      </c>
      <c r="O497" t="s">
        <v>4499</v>
      </c>
      <c r="P497" s="9">
        <v>44258.510474537034</v>
      </c>
      <c r="Q497" t="s">
        <v>3900</v>
      </c>
      <c r="R497" t="s">
        <v>3794</v>
      </c>
    </row>
    <row r="498" spans="1:18" x14ac:dyDescent="0.25">
      <c r="A498" t="s">
        <v>4500</v>
      </c>
      <c r="B498" t="s">
        <v>4497</v>
      </c>
      <c r="C498">
        <v>2</v>
      </c>
      <c r="D498" t="s">
        <v>41</v>
      </c>
      <c r="E498">
        <v>17</v>
      </c>
      <c r="F498" t="s">
        <v>3793</v>
      </c>
      <c r="G498" t="s">
        <v>4500</v>
      </c>
      <c r="H498" t="s">
        <v>3787</v>
      </c>
      <c r="I498" t="s">
        <v>3794</v>
      </c>
      <c r="J498" t="s">
        <v>4497</v>
      </c>
      <c r="K498" t="s">
        <v>3804</v>
      </c>
      <c r="L498" t="s">
        <v>3797</v>
      </c>
      <c r="M498" t="s">
        <v>3740</v>
      </c>
      <c r="N498" t="s">
        <v>118</v>
      </c>
      <c r="O498" t="s">
        <v>3801</v>
      </c>
      <c r="P498" s="9">
        <v>44258.510497685187</v>
      </c>
      <c r="Q498" t="s">
        <v>3902</v>
      </c>
      <c r="R498" t="s">
        <v>3794</v>
      </c>
    </row>
    <row r="499" spans="1:18" x14ac:dyDescent="0.25">
      <c r="A499" t="s">
        <v>4501</v>
      </c>
      <c r="B499" t="s">
        <v>4497</v>
      </c>
      <c r="C499">
        <v>2</v>
      </c>
      <c r="D499" t="s">
        <v>41</v>
      </c>
      <c r="E499">
        <v>17</v>
      </c>
      <c r="F499" t="s">
        <v>3793</v>
      </c>
      <c r="G499" t="s">
        <v>4501</v>
      </c>
      <c r="H499" t="s">
        <v>3787</v>
      </c>
      <c r="I499" t="s">
        <v>3794</v>
      </c>
      <c r="J499" t="s">
        <v>4497</v>
      </c>
      <c r="K499" t="s">
        <v>3804</v>
      </c>
      <c r="L499" t="s">
        <v>3797</v>
      </c>
      <c r="M499" t="s">
        <v>42</v>
      </c>
      <c r="N499" t="s">
        <v>118</v>
      </c>
      <c r="O499" t="s">
        <v>3805</v>
      </c>
      <c r="P499" s="9">
        <v>44258.510474537034</v>
      </c>
      <c r="Q499" t="s">
        <v>3806</v>
      </c>
      <c r="R499" t="s">
        <v>3794</v>
      </c>
    </row>
    <row r="500" spans="1:18" x14ac:dyDescent="0.25">
      <c r="A500" t="s">
        <v>4502</v>
      </c>
      <c r="B500" t="s">
        <v>4497</v>
      </c>
      <c r="C500">
        <v>2</v>
      </c>
      <c r="D500" t="s">
        <v>41</v>
      </c>
      <c r="E500">
        <v>17</v>
      </c>
      <c r="F500" t="s">
        <v>3793</v>
      </c>
      <c r="G500" t="s">
        <v>4502</v>
      </c>
      <c r="H500" t="s">
        <v>3787</v>
      </c>
      <c r="I500" t="s">
        <v>3794</v>
      </c>
      <c r="J500" t="s">
        <v>4497</v>
      </c>
      <c r="K500" t="s">
        <v>3804</v>
      </c>
      <c r="L500" t="s">
        <v>3797</v>
      </c>
      <c r="M500" t="s">
        <v>43</v>
      </c>
      <c r="N500" t="s">
        <v>118</v>
      </c>
      <c r="O500" t="s">
        <v>3801</v>
      </c>
      <c r="P500" s="9">
        <v>44258.510474537034</v>
      </c>
      <c r="Q500" t="s">
        <v>3813</v>
      </c>
      <c r="R500" t="s">
        <v>3794</v>
      </c>
    </row>
    <row r="501" spans="1:18" x14ac:dyDescent="0.25">
      <c r="A501" t="s">
        <v>4503</v>
      </c>
      <c r="B501" t="s">
        <v>4497</v>
      </c>
      <c r="C501">
        <v>2</v>
      </c>
      <c r="D501" t="s">
        <v>41</v>
      </c>
      <c r="E501">
        <v>17</v>
      </c>
      <c r="F501" t="s">
        <v>3793</v>
      </c>
      <c r="G501" t="s">
        <v>4503</v>
      </c>
      <c r="H501" t="s">
        <v>3787</v>
      </c>
      <c r="I501" t="s">
        <v>3794</v>
      </c>
      <c r="J501" t="s">
        <v>4497</v>
      </c>
      <c r="K501" t="s">
        <v>3804</v>
      </c>
      <c r="L501" t="s">
        <v>3797</v>
      </c>
      <c r="M501" t="s">
        <v>108</v>
      </c>
      <c r="N501" t="s">
        <v>119</v>
      </c>
      <c r="O501" t="s">
        <v>3815</v>
      </c>
      <c r="P501" s="9">
        <v>44258.510462962964</v>
      </c>
      <c r="Q501" t="s">
        <v>3816</v>
      </c>
      <c r="R501" t="s">
        <v>3794</v>
      </c>
    </row>
    <row r="502" spans="1:18" x14ac:dyDescent="0.25">
      <c r="A502" t="s">
        <v>4650</v>
      </c>
      <c r="B502" t="s">
        <v>4651</v>
      </c>
      <c r="C502">
        <v>2</v>
      </c>
      <c r="D502" t="s">
        <v>41</v>
      </c>
      <c r="E502">
        <v>17</v>
      </c>
      <c r="F502" t="s">
        <v>3793</v>
      </c>
      <c r="G502" t="s">
        <v>4650</v>
      </c>
      <c r="H502" t="s">
        <v>4639</v>
      </c>
      <c r="I502" t="s">
        <v>3794</v>
      </c>
      <c r="J502" t="s">
        <v>4651</v>
      </c>
      <c r="K502" t="s">
        <v>4640</v>
      </c>
      <c r="L502" t="s">
        <v>3797</v>
      </c>
      <c r="M502" t="s">
        <v>3739</v>
      </c>
      <c r="N502" t="s">
        <v>118</v>
      </c>
      <c r="O502" t="s">
        <v>4371</v>
      </c>
      <c r="P502" s="9">
        <v>44259.510439814818</v>
      </c>
      <c r="Q502" t="s">
        <v>4641</v>
      </c>
      <c r="R502" t="s">
        <v>3794</v>
      </c>
    </row>
    <row r="503" spans="1:18" x14ac:dyDescent="0.25">
      <c r="A503" t="s">
        <v>4652</v>
      </c>
      <c r="B503" t="s">
        <v>4651</v>
      </c>
      <c r="C503">
        <v>2</v>
      </c>
      <c r="D503" t="s">
        <v>41</v>
      </c>
      <c r="E503">
        <v>17</v>
      </c>
      <c r="F503" t="s">
        <v>3793</v>
      </c>
      <c r="G503" t="s">
        <v>4652</v>
      </c>
      <c r="H503" t="s">
        <v>4639</v>
      </c>
      <c r="I503" t="s">
        <v>3794</v>
      </c>
      <c r="J503" t="s">
        <v>4651</v>
      </c>
      <c r="K503" t="s">
        <v>4640</v>
      </c>
      <c r="L503" t="s">
        <v>3797</v>
      </c>
      <c r="M503" t="s">
        <v>3740</v>
      </c>
      <c r="N503" t="s">
        <v>118</v>
      </c>
      <c r="O503" t="s">
        <v>3801</v>
      </c>
      <c r="P503" s="9">
        <v>44259.510439814818</v>
      </c>
      <c r="Q503" t="s">
        <v>4643</v>
      </c>
      <c r="R503" t="s">
        <v>3794</v>
      </c>
    </row>
    <row r="504" spans="1:18" x14ac:dyDescent="0.25">
      <c r="A504" t="s">
        <v>4504</v>
      </c>
      <c r="B504" t="s">
        <v>4505</v>
      </c>
      <c r="C504">
        <v>2</v>
      </c>
      <c r="D504" t="s">
        <v>41</v>
      </c>
      <c r="E504">
        <v>17</v>
      </c>
      <c r="F504" t="s">
        <v>3793</v>
      </c>
      <c r="G504" t="s">
        <v>4504</v>
      </c>
      <c r="H504" t="s">
        <v>3784</v>
      </c>
      <c r="I504" t="s">
        <v>4506</v>
      </c>
      <c r="J504" t="s">
        <v>4505</v>
      </c>
      <c r="K504" t="s">
        <v>3796</v>
      </c>
      <c r="L504" t="s">
        <v>3797</v>
      </c>
      <c r="M504" t="s">
        <v>3739</v>
      </c>
      <c r="N504" t="s">
        <v>118</v>
      </c>
      <c r="O504" t="s">
        <v>4507</v>
      </c>
      <c r="P504" s="9">
        <v>44258.510439814818</v>
      </c>
      <c r="Q504" t="s">
        <v>3799</v>
      </c>
      <c r="R504" t="s">
        <v>3794</v>
      </c>
    </row>
    <row r="505" spans="1:18" x14ac:dyDescent="0.25">
      <c r="A505" t="s">
        <v>4508</v>
      </c>
      <c r="B505" t="s">
        <v>4505</v>
      </c>
      <c r="C505">
        <v>2</v>
      </c>
      <c r="D505" t="s">
        <v>41</v>
      </c>
      <c r="E505">
        <v>17</v>
      </c>
      <c r="F505" t="s">
        <v>3793</v>
      </c>
      <c r="G505" t="s">
        <v>4508</v>
      </c>
      <c r="H505" t="s">
        <v>3784</v>
      </c>
      <c r="I505" t="s">
        <v>3794</v>
      </c>
      <c r="J505" t="s">
        <v>4505</v>
      </c>
      <c r="K505" t="s">
        <v>3796</v>
      </c>
      <c r="L505" t="s">
        <v>3797</v>
      </c>
      <c r="M505" t="s">
        <v>3740</v>
      </c>
      <c r="N505" t="s">
        <v>118</v>
      </c>
      <c r="O505" t="s">
        <v>3801</v>
      </c>
      <c r="P505" s="9">
        <v>44258.510439814818</v>
      </c>
      <c r="Q505" t="s">
        <v>3802</v>
      </c>
      <c r="R505" t="s">
        <v>3794</v>
      </c>
    </row>
    <row r="506" spans="1:18" x14ac:dyDescent="0.25">
      <c r="A506" t="s">
        <v>4509</v>
      </c>
      <c r="B506" t="s">
        <v>4505</v>
      </c>
      <c r="C506">
        <v>2</v>
      </c>
      <c r="D506" t="s">
        <v>41</v>
      </c>
      <c r="E506">
        <v>17</v>
      </c>
      <c r="F506" t="s">
        <v>3793</v>
      </c>
      <c r="G506" t="s">
        <v>4509</v>
      </c>
      <c r="H506" t="s">
        <v>3784</v>
      </c>
      <c r="I506" t="s">
        <v>3794</v>
      </c>
      <c r="J506" t="s">
        <v>4505</v>
      </c>
      <c r="K506" t="s">
        <v>3804</v>
      </c>
      <c r="L506" t="s">
        <v>3797</v>
      </c>
      <c r="M506" t="s">
        <v>42</v>
      </c>
      <c r="N506" t="s">
        <v>118</v>
      </c>
      <c r="O506" t="s">
        <v>3805</v>
      </c>
      <c r="P506" s="9">
        <v>44258.510474537034</v>
      </c>
      <c r="Q506" t="s">
        <v>3806</v>
      </c>
      <c r="R506" t="s">
        <v>3794</v>
      </c>
    </row>
    <row r="507" spans="1:18" x14ac:dyDescent="0.25">
      <c r="A507" t="s">
        <v>4510</v>
      </c>
      <c r="B507" t="s">
        <v>4505</v>
      </c>
      <c r="C507">
        <v>2</v>
      </c>
      <c r="D507" t="s">
        <v>41</v>
      </c>
      <c r="E507">
        <v>17</v>
      </c>
      <c r="F507" t="s">
        <v>3793</v>
      </c>
      <c r="G507" t="s">
        <v>4510</v>
      </c>
      <c r="H507" t="s">
        <v>3784</v>
      </c>
      <c r="I507" t="s">
        <v>3794</v>
      </c>
      <c r="J507" t="s">
        <v>4505</v>
      </c>
      <c r="K507" t="s">
        <v>3804</v>
      </c>
      <c r="L507" t="s">
        <v>3797</v>
      </c>
      <c r="M507" t="s">
        <v>145</v>
      </c>
      <c r="N507" t="s">
        <v>118</v>
      </c>
      <c r="O507" t="s">
        <v>3808</v>
      </c>
      <c r="P507" s="9">
        <v>44258.51048611111</v>
      </c>
      <c r="Q507" t="s">
        <v>3809</v>
      </c>
      <c r="R507" t="s">
        <v>3794</v>
      </c>
    </row>
    <row r="508" spans="1:18" x14ac:dyDescent="0.25">
      <c r="A508" t="s">
        <v>4511</v>
      </c>
      <c r="B508" t="s">
        <v>4505</v>
      </c>
      <c r="C508">
        <v>2</v>
      </c>
      <c r="D508" t="s">
        <v>41</v>
      </c>
      <c r="E508">
        <v>17</v>
      </c>
      <c r="F508" t="s">
        <v>3793</v>
      </c>
      <c r="G508" t="s">
        <v>4511</v>
      </c>
      <c r="H508" t="s">
        <v>3784</v>
      </c>
      <c r="I508" t="s">
        <v>3794</v>
      </c>
      <c r="J508" t="s">
        <v>4505</v>
      </c>
      <c r="K508" t="s">
        <v>3804</v>
      </c>
      <c r="L508" t="s">
        <v>3797</v>
      </c>
      <c r="M508" t="s">
        <v>232</v>
      </c>
      <c r="N508" t="s">
        <v>118</v>
      </c>
      <c r="O508" t="s">
        <v>3808</v>
      </c>
      <c r="P508" s="9">
        <v>44258.51048611111</v>
      </c>
      <c r="Q508" t="s">
        <v>3811</v>
      </c>
      <c r="R508" t="s">
        <v>3794</v>
      </c>
    </row>
    <row r="509" spans="1:18" x14ac:dyDescent="0.25">
      <c r="A509" t="s">
        <v>4512</v>
      </c>
      <c r="B509" t="s">
        <v>4505</v>
      </c>
      <c r="C509">
        <v>2</v>
      </c>
      <c r="D509" t="s">
        <v>41</v>
      </c>
      <c r="E509">
        <v>17</v>
      </c>
      <c r="F509" t="s">
        <v>3793</v>
      </c>
      <c r="G509" t="s">
        <v>4512</v>
      </c>
      <c r="H509" t="s">
        <v>3784</v>
      </c>
      <c r="I509" t="s">
        <v>3794</v>
      </c>
      <c r="J509" t="s">
        <v>4505</v>
      </c>
      <c r="K509" t="s">
        <v>3804</v>
      </c>
      <c r="L509" t="s">
        <v>3797</v>
      </c>
      <c r="M509" t="s">
        <v>43</v>
      </c>
      <c r="N509" t="s">
        <v>118</v>
      </c>
      <c r="O509" t="s">
        <v>3801</v>
      </c>
      <c r="P509" s="9">
        <v>44258.510462962964</v>
      </c>
      <c r="Q509" t="s">
        <v>3813</v>
      </c>
      <c r="R509" t="s">
        <v>3794</v>
      </c>
    </row>
    <row r="510" spans="1:18" x14ac:dyDescent="0.25">
      <c r="A510" t="s">
        <v>4513</v>
      </c>
      <c r="B510" t="s">
        <v>4505</v>
      </c>
      <c r="C510">
        <v>2</v>
      </c>
      <c r="D510" t="s">
        <v>41</v>
      </c>
      <c r="E510">
        <v>17</v>
      </c>
      <c r="F510" t="s">
        <v>3793</v>
      </c>
      <c r="G510" t="s">
        <v>4513</v>
      </c>
      <c r="H510" t="s">
        <v>3784</v>
      </c>
      <c r="I510" t="s">
        <v>3794</v>
      </c>
      <c r="J510" t="s">
        <v>4505</v>
      </c>
      <c r="K510" t="s">
        <v>3804</v>
      </c>
      <c r="L510" t="s">
        <v>3797</v>
      </c>
      <c r="M510" t="s">
        <v>108</v>
      </c>
      <c r="N510" t="s">
        <v>119</v>
      </c>
      <c r="O510" t="s">
        <v>3815</v>
      </c>
      <c r="P510" s="9">
        <v>44258.510451388887</v>
      </c>
      <c r="Q510" t="s">
        <v>3816</v>
      </c>
      <c r="R510" t="s">
        <v>3794</v>
      </c>
    </row>
    <row r="511" spans="1:18" x14ac:dyDescent="0.25">
      <c r="A511" t="s">
        <v>4514</v>
      </c>
      <c r="B511" t="s">
        <v>4515</v>
      </c>
      <c r="C511">
        <v>2</v>
      </c>
      <c r="D511" t="s">
        <v>41</v>
      </c>
      <c r="E511">
        <v>17</v>
      </c>
      <c r="F511" t="s">
        <v>3793</v>
      </c>
      <c r="G511" t="s">
        <v>4514</v>
      </c>
      <c r="H511" t="s">
        <v>3783</v>
      </c>
      <c r="I511" t="s">
        <v>3794</v>
      </c>
      <c r="J511" t="s">
        <v>4515</v>
      </c>
      <c r="K511" t="s">
        <v>3804</v>
      </c>
      <c r="L511" t="s">
        <v>3797</v>
      </c>
      <c r="M511" t="s">
        <v>42</v>
      </c>
      <c r="N511" t="s">
        <v>118</v>
      </c>
      <c r="O511" t="s">
        <v>3805</v>
      </c>
      <c r="P511" s="9">
        <v>44258.510474537034</v>
      </c>
      <c r="Q511" t="s">
        <v>3806</v>
      </c>
      <c r="R511" t="s">
        <v>3794</v>
      </c>
    </row>
    <row r="512" spans="1:18" x14ac:dyDescent="0.25">
      <c r="A512" t="s">
        <v>4516</v>
      </c>
      <c r="B512" t="s">
        <v>4515</v>
      </c>
      <c r="C512">
        <v>2</v>
      </c>
      <c r="D512" t="s">
        <v>41</v>
      </c>
      <c r="E512">
        <v>17</v>
      </c>
      <c r="F512" t="s">
        <v>3793</v>
      </c>
      <c r="G512" t="s">
        <v>4516</v>
      </c>
      <c r="H512" t="s">
        <v>3783</v>
      </c>
      <c r="I512" t="s">
        <v>3794</v>
      </c>
      <c r="J512" t="s">
        <v>4515</v>
      </c>
      <c r="K512" t="s">
        <v>3804</v>
      </c>
      <c r="L512" t="s">
        <v>3797</v>
      </c>
      <c r="M512" t="s">
        <v>145</v>
      </c>
      <c r="N512" t="s">
        <v>118</v>
      </c>
      <c r="O512" t="s">
        <v>3808</v>
      </c>
      <c r="P512" s="9">
        <v>44258.51048611111</v>
      </c>
      <c r="Q512" t="s">
        <v>3809</v>
      </c>
      <c r="R512" t="s">
        <v>3794</v>
      </c>
    </row>
    <row r="513" spans="1:18" x14ac:dyDescent="0.25">
      <c r="A513" t="s">
        <v>4517</v>
      </c>
      <c r="B513" t="s">
        <v>4515</v>
      </c>
      <c r="C513">
        <v>2</v>
      </c>
      <c r="D513" t="s">
        <v>41</v>
      </c>
      <c r="E513">
        <v>17</v>
      </c>
      <c r="F513" t="s">
        <v>3793</v>
      </c>
      <c r="G513" t="s">
        <v>4517</v>
      </c>
      <c r="H513" t="s">
        <v>3783</v>
      </c>
      <c r="I513" t="s">
        <v>3794</v>
      </c>
      <c r="J513" t="s">
        <v>4515</v>
      </c>
      <c r="K513" t="s">
        <v>3804</v>
      </c>
      <c r="L513" t="s">
        <v>3797</v>
      </c>
      <c r="M513" t="s">
        <v>232</v>
      </c>
      <c r="N513" t="s">
        <v>118</v>
      </c>
      <c r="O513" t="s">
        <v>3808</v>
      </c>
      <c r="P513" s="9">
        <v>44258.51048611111</v>
      </c>
      <c r="Q513" t="s">
        <v>3811</v>
      </c>
      <c r="R513" t="s">
        <v>3794</v>
      </c>
    </row>
    <row r="514" spans="1:18" x14ac:dyDescent="0.25">
      <c r="A514" t="s">
        <v>4518</v>
      </c>
      <c r="B514" t="s">
        <v>4515</v>
      </c>
      <c r="C514">
        <v>2</v>
      </c>
      <c r="D514" t="s">
        <v>41</v>
      </c>
      <c r="E514">
        <v>17</v>
      </c>
      <c r="F514" t="s">
        <v>3793</v>
      </c>
      <c r="G514" t="s">
        <v>4518</v>
      </c>
      <c r="H514" t="s">
        <v>3783</v>
      </c>
      <c r="I514" t="s">
        <v>3794</v>
      </c>
      <c r="J514" t="s">
        <v>4515</v>
      </c>
      <c r="K514" t="s">
        <v>3804</v>
      </c>
      <c r="L514" t="s">
        <v>3797</v>
      </c>
      <c r="M514" t="s">
        <v>43</v>
      </c>
      <c r="N514" t="s">
        <v>118</v>
      </c>
      <c r="O514" t="s">
        <v>3801</v>
      </c>
      <c r="P514" s="9">
        <v>44258.510462962964</v>
      </c>
      <c r="Q514" t="s">
        <v>3813</v>
      </c>
      <c r="R514" t="s">
        <v>3794</v>
      </c>
    </row>
    <row r="515" spans="1:18" x14ac:dyDescent="0.25">
      <c r="A515" t="s">
        <v>4519</v>
      </c>
      <c r="B515" t="s">
        <v>4515</v>
      </c>
      <c r="C515">
        <v>2</v>
      </c>
      <c r="D515" t="s">
        <v>41</v>
      </c>
      <c r="E515">
        <v>17</v>
      </c>
      <c r="F515" t="s">
        <v>3793</v>
      </c>
      <c r="G515" t="s">
        <v>4519</v>
      </c>
      <c r="H515" t="s">
        <v>3783</v>
      </c>
      <c r="I515" t="s">
        <v>3794</v>
      </c>
      <c r="J515" t="s">
        <v>4515</v>
      </c>
      <c r="K515" t="s">
        <v>3804</v>
      </c>
      <c r="L515" t="s">
        <v>3797</v>
      </c>
      <c r="M515" t="s">
        <v>108</v>
      </c>
      <c r="N515" t="s">
        <v>119</v>
      </c>
      <c r="O515" t="s">
        <v>3815</v>
      </c>
      <c r="P515" s="9">
        <v>44258.510451388887</v>
      </c>
      <c r="Q515" t="s">
        <v>3816</v>
      </c>
      <c r="R515" t="s">
        <v>3794</v>
      </c>
    </row>
    <row r="516" spans="1:18" x14ac:dyDescent="0.25">
      <c r="A516" t="s">
        <v>4653</v>
      </c>
      <c r="B516" t="s">
        <v>4654</v>
      </c>
      <c r="C516">
        <v>2</v>
      </c>
      <c r="D516" t="s">
        <v>41</v>
      </c>
      <c r="E516">
        <v>17</v>
      </c>
      <c r="F516" t="s">
        <v>3793</v>
      </c>
      <c r="G516" t="s">
        <v>4653</v>
      </c>
      <c r="H516" t="s">
        <v>4639</v>
      </c>
      <c r="I516" t="s">
        <v>3794</v>
      </c>
      <c r="J516" t="s">
        <v>4654</v>
      </c>
      <c r="K516" t="s">
        <v>4640</v>
      </c>
      <c r="L516" t="s">
        <v>3797</v>
      </c>
      <c r="M516" t="s">
        <v>3739</v>
      </c>
      <c r="N516" t="s">
        <v>118</v>
      </c>
      <c r="O516" t="s">
        <v>4371</v>
      </c>
      <c r="P516" s="9">
        <v>44259.510439814818</v>
      </c>
      <c r="Q516" t="s">
        <v>4641</v>
      </c>
      <c r="R516" t="s">
        <v>3794</v>
      </c>
    </row>
    <row r="517" spans="1:18" x14ac:dyDescent="0.25">
      <c r="A517" t="s">
        <v>4655</v>
      </c>
      <c r="B517" t="s">
        <v>4654</v>
      </c>
      <c r="C517">
        <v>2</v>
      </c>
      <c r="D517" t="s">
        <v>41</v>
      </c>
      <c r="E517">
        <v>17</v>
      </c>
      <c r="F517" t="s">
        <v>3793</v>
      </c>
      <c r="G517" t="s">
        <v>4655</v>
      </c>
      <c r="H517" t="s">
        <v>4639</v>
      </c>
      <c r="I517" t="s">
        <v>3794</v>
      </c>
      <c r="J517" t="s">
        <v>4654</v>
      </c>
      <c r="K517" t="s">
        <v>4640</v>
      </c>
      <c r="L517" t="s">
        <v>3797</v>
      </c>
      <c r="M517" t="s">
        <v>3740</v>
      </c>
      <c r="N517" t="s">
        <v>118</v>
      </c>
      <c r="O517" t="s">
        <v>3801</v>
      </c>
      <c r="P517" s="9">
        <v>44259.510439814818</v>
      </c>
      <c r="Q517" t="s">
        <v>4643</v>
      </c>
      <c r="R517" t="s">
        <v>3794</v>
      </c>
    </row>
    <row r="518" spans="1:18" x14ac:dyDescent="0.25">
      <c r="A518" t="s">
        <v>4520</v>
      </c>
      <c r="B518" t="s">
        <v>4521</v>
      </c>
      <c r="C518">
        <v>2</v>
      </c>
      <c r="D518" t="s">
        <v>41</v>
      </c>
      <c r="E518">
        <v>17</v>
      </c>
      <c r="F518" t="s">
        <v>3793</v>
      </c>
      <c r="G518" t="s">
        <v>4520</v>
      </c>
      <c r="H518" t="s">
        <v>3787</v>
      </c>
      <c r="I518" t="s">
        <v>4522</v>
      </c>
      <c r="J518" t="s">
        <v>4521</v>
      </c>
      <c r="K518" t="s">
        <v>3804</v>
      </c>
      <c r="L518" t="s">
        <v>3797</v>
      </c>
      <c r="M518" t="s">
        <v>3739</v>
      </c>
      <c r="N518" t="s">
        <v>118</v>
      </c>
      <c r="O518" t="s">
        <v>4523</v>
      </c>
      <c r="P518" s="9">
        <v>44258.510474537034</v>
      </c>
      <c r="Q518" t="s">
        <v>3900</v>
      </c>
      <c r="R518" t="s">
        <v>3794</v>
      </c>
    </row>
    <row r="519" spans="1:18" x14ac:dyDescent="0.25">
      <c r="A519" t="s">
        <v>4524</v>
      </c>
      <c r="B519" t="s">
        <v>4521</v>
      </c>
      <c r="C519">
        <v>2</v>
      </c>
      <c r="D519" t="s">
        <v>41</v>
      </c>
      <c r="E519">
        <v>17</v>
      </c>
      <c r="F519" t="s">
        <v>3793</v>
      </c>
      <c r="G519" t="s">
        <v>4524</v>
      </c>
      <c r="H519" t="s">
        <v>3787</v>
      </c>
      <c r="I519" t="s">
        <v>3794</v>
      </c>
      <c r="J519" t="s">
        <v>4521</v>
      </c>
      <c r="K519" t="s">
        <v>3804</v>
      </c>
      <c r="L519" t="s">
        <v>3797</v>
      </c>
      <c r="M519" t="s">
        <v>3740</v>
      </c>
      <c r="N519" t="s">
        <v>118</v>
      </c>
      <c r="O519" t="s">
        <v>3801</v>
      </c>
      <c r="P519" s="9">
        <v>44258.510497685187</v>
      </c>
      <c r="Q519" t="s">
        <v>3902</v>
      </c>
      <c r="R519" t="s">
        <v>3794</v>
      </c>
    </row>
    <row r="520" spans="1:18" x14ac:dyDescent="0.25">
      <c r="A520" t="s">
        <v>4525</v>
      </c>
      <c r="B520" t="s">
        <v>4521</v>
      </c>
      <c r="C520">
        <v>2</v>
      </c>
      <c r="D520" t="s">
        <v>41</v>
      </c>
      <c r="E520">
        <v>17</v>
      </c>
      <c r="F520" t="s">
        <v>3793</v>
      </c>
      <c r="G520" t="s">
        <v>4525</v>
      </c>
      <c r="H520" t="s">
        <v>3787</v>
      </c>
      <c r="I520" t="s">
        <v>3794</v>
      </c>
      <c r="J520" t="s">
        <v>4521</v>
      </c>
      <c r="K520" t="s">
        <v>3804</v>
      </c>
      <c r="L520" t="s">
        <v>3797</v>
      </c>
      <c r="M520" t="s">
        <v>42</v>
      </c>
      <c r="N520" t="s">
        <v>118</v>
      </c>
      <c r="O520" t="s">
        <v>3805</v>
      </c>
      <c r="P520" s="9">
        <v>44258.510474537034</v>
      </c>
      <c r="Q520" t="s">
        <v>3806</v>
      </c>
      <c r="R520" t="s">
        <v>3794</v>
      </c>
    </row>
    <row r="521" spans="1:18" x14ac:dyDescent="0.25">
      <c r="A521" t="s">
        <v>4526</v>
      </c>
      <c r="B521" t="s">
        <v>4521</v>
      </c>
      <c r="C521">
        <v>2</v>
      </c>
      <c r="D521" t="s">
        <v>41</v>
      </c>
      <c r="E521">
        <v>17</v>
      </c>
      <c r="F521" t="s">
        <v>3793</v>
      </c>
      <c r="G521" t="s">
        <v>4526</v>
      </c>
      <c r="H521" t="s">
        <v>3787</v>
      </c>
      <c r="I521" t="s">
        <v>3794</v>
      </c>
      <c r="J521" t="s">
        <v>4521</v>
      </c>
      <c r="K521" t="s">
        <v>3804</v>
      </c>
      <c r="L521" t="s">
        <v>3797</v>
      </c>
      <c r="M521" t="s">
        <v>43</v>
      </c>
      <c r="N521" t="s">
        <v>118</v>
      </c>
      <c r="O521" t="s">
        <v>3801</v>
      </c>
      <c r="P521" s="9">
        <v>44258.510474537034</v>
      </c>
      <c r="Q521" t="s">
        <v>3813</v>
      </c>
      <c r="R521" t="s">
        <v>3794</v>
      </c>
    </row>
    <row r="522" spans="1:18" x14ac:dyDescent="0.25">
      <c r="A522" t="s">
        <v>4527</v>
      </c>
      <c r="B522" t="s">
        <v>4521</v>
      </c>
      <c r="C522">
        <v>2</v>
      </c>
      <c r="D522" t="s">
        <v>41</v>
      </c>
      <c r="E522">
        <v>17</v>
      </c>
      <c r="F522" t="s">
        <v>3793</v>
      </c>
      <c r="G522" t="s">
        <v>4527</v>
      </c>
      <c r="H522" t="s">
        <v>3787</v>
      </c>
      <c r="I522" t="s">
        <v>3794</v>
      </c>
      <c r="J522" t="s">
        <v>4521</v>
      </c>
      <c r="K522" t="s">
        <v>3804</v>
      </c>
      <c r="L522" t="s">
        <v>3797</v>
      </c>
      <c r="M522" t="s">
        <v>108</v>
      </c>
      <c r="N522" t="s">
        <v>119</v>
      </c>
      <c r="O522" t="s">
        <v>3815</v>
      </c>
      <c r="P522" s="9">
        <v>44258.510462962964</v>
      </c>
      <c r="Q522" t="s">
        <v>3816</v>
      </c>
      <c r="R522" t="s">
        <v>3794</v>
      </c>
    </row>
    <row r="523" spans="1:18" x14ac:dyDescent="0.25">
      <c r="A523" t="s">
        <v>4656</v>
      </c>
      <c r="B523" t="s">
        <v>4657</v>
      </c>
      <c r="C523">
        <v>2</v>
      </c>
      <c r="D523" t="s">
        <v>41</v>
      </c>
      <c r="E523">
        <v>17</v>
      </c>
      <c r="F523" t="s">
        <v>3793</v>
      </c>
      <c r="G523" t="s">
        <v>4656</v>
      </c>
      <c r="H523" t="s">
        <v>4639</v>
      </c>
      <c r="I523" t="s">
        <v>3794</v>
      </c>
      <c r="J523" t="s">
        <v>4657</v>
      </c>
      <c r="K523" t="s">
        <v>4640</v>
      </c>
      <c r="L523" t="s">
        <v>3797</v>
      </c>
      <c r="M523" t="s">
        <v>3739</v>
      </c>
      <c r="N523" t="s">
        <v>118</v>
      </c>
      <c r="O523" t="s">
        <v>4371</v>
      </c>
      <c r="P523" s="9">
        <v>44259.510439814818</v>
      </c>
      <c r="Q523" t="s">
        <v>4641</v>
      </c>
      <c r="R523" t="s">
        <v>3794</v>
      </c>
    </row>
    <row r="524" spans="1:18" x14ac:dyDescent="0.25">
      <c r="A524" t="s">
        <v>4658</v>
      </c>
      <c r="B524" t="s">
        <v>4657</v>
      </c>
      <c r="C524">
        <v>2</v>
      </c>
      <c r="D524" t="s">
        <v>41</v>
      </c>
      <c r="E524">
        <v>17</v>
      </c>
      <c r="F524" t="s">
        <v>3793</v>
      </c>
      <c r="G524" t="s">
        <v>4658</v>
      </c>
      <c r="H524" t="s">
        <v>4639</v>
      </c>
      <c r="I524" t="s">
        <v>3794</v>
      </c>
      <c r="J524" t="s">
        <v>4657</v>
      </c>
      <c r="K524" t="s">
        <v>4640</v>
      </c>
      <c r="L524" t="s">
        <v>3797</v>
      </c>
      <c r="M524" t="s">
        <v>3740</v>
      </c>
      <c r="N524" t="s">
        <v>118</v>
      </c>
      <c r="O524" t="s">
        <v>3801</v>
      </c>
      <c r="P524" s="9">
        <v>44259.510439814818</v>
      </c>
      <c r="Q524" t="s">
        <v>4643</v>
      </c>
      <c r="R524" t="s">
        <v>3794</v>
      </c>
    </row>
    <row r="525" spans="1:18" x14ac:dyDescent="0.25">
      <c r="A525" t="s">
        <v>4659</v>
      </c>
      <c r="B525" t="s">
        <v>4660</v>
      </c>
      <c r="C525">
        <v>2</v>
      </c>
      <c r="D525" t="s">
        <v>41</v>
      </c>
      <c r="E525">
        <v>17</v>
      </c>
      <c r="F525" t="s">
        <v>3793</v>
      </c>
      <c r="G525" t="s">
        <v>4659</v>
      </c>
      <c r="H525" t="s">
        <v>4639</v>
      </c>
      <c r="I525" t="s">
        <v>3794</v>
      </c>
      <c r="J525" t="s">
        <v>4660</v>
      </c>
      <c r="K525" t="s">
        <v>4640</v>
      </c>
      <c r="L525" t="s">
        <v>3797</v>
      </c>
      <c r="M525" t="s">
        <v>3739</v>
      </c>
      <c r="N525" t="s">
        <v>118</v>
      </c>
      <c r="O525" t="s">
        <v>4371</v>
      </c>
      <c r="P525" s="9">
        <v>44259.510439814818</v>
      </c>
      <c r="Q525" t="s">
        <v>4641</v>
      </c>
      <c r="R525" t="s">
        <v>3794</v>
      </c>
    </row>
    <row r="526" spans="1:18" x14ac:dyDescent="0.25">
      <c r="A526" t="s">
        <v>4661</v>
      </c>
      <c r="B526" t="s">
        <v>4660</v>
      </c>
      <c r="C526">
        <v>2</v>
      </c>
      <c r="D526" t="s">
        <v>41</v>
      </c>
      <c r="E526">
        <v>17</v>
      </c>
      <c r="F526" t="s">
        <v>3793</v>
      </c>
      <c r="G526" t="s">
        <v>4661</v>
      </c>
      <c r="H526" t="s">
        <v>4639</v>
      </c>
      <c r="I526" t="s">
        <v>3794</v>
      </c>
      <c r="J526" t="s">
        <v>4660</v>
      </c>
      <c r="K526" t="s">
        <v>4640</v>
      </c>
      <c r="L526" t="s">
        <v>3797</v>
      </c>
      <c r="M526" t="s">
        <v>3740</v>
      </c>
      <c r="N526" t="s">
        <v>118</v>
      </c>
      <c r="O526" t="s">
        <v>3801</v>
      </c>
      <c r="P526" s="9">
        <v>44259.510439814818</v>
      </c>
      <c r="Q526" t="s">
        <v>4643</v>
      </c>
      <c r="R526" t="s">
        <v>3794</v>
      </c>
    </row>
    <row r="527" spans="1:18" x14ac:dyDescent="0.25">
      <c r="A527" t="s">
        <v>4662</v>
      </c>
      <c r="B527" t="s">
        <v>4663</v>
      </c>
      <c r="C527">
        <v>2</v>
      </c>
      <c r="D527" t="s">
        <v>41</v>
      </c>
      <c r="E527">
        <v>17</v>
      </c>
      <c r="F527" t="s">
        <v>3793</v>
      </c>
      <c r="G527" t="s">
        <v>4662</v>
      </c>
      <c r="H527" t="s">
        <v>4639</v>
      </c>
      <c r="I527" t="s">
        <v>3794</v>
      </c>
      <c r="J527" t="s">
        <v>4663</v>
      </c>
      <c r="K527" t="s">
        <v>4640</v>
      </c>
      <c r="L527" t="s">
        <v>3797</v>
      </c>
      <c r="M527" t="s">
        <v>3739</v>
      </c>
      <c r="N527" t="s">
        <v>118</v>
      </c>
      <c r="O527" t="s">
        <v>4371</v>
      </c>
      <c r="P527" s="9">
        <v>44259.510439814818</v>
      </c>
      <c r="Q527" t="s">
        <v>4641</v>
      </c>
      <c r="R527" t="s">
        <v>3794</v>
      </c>
    </row>
    <row r="528" spans="1:18" x14ac:dyDescent="0.25">
      <c r="A528" t="s">
        <v>4664</v>
      </c>
      <c r="B528" t="s">
        <v>4663</v>
      </c>
      <c r="C528">
        <v>2</v>
      </c>
      <c r="D528" t="s">
        <v>41</v>
      </c>
      <c r="E528">
        <v>17</v>
      </c>
      <c r="F528" t="s">
        <v>3793</v>
      </c>
      <c r="G528" t="s">
        <v>4664</v>
      </c>
      <c r="H528" t="s">
        <v>4639</v>
      </c>
      <c r="I528" t="s">
        <v>3794</v>
      </c>
      <c r="J528" t="s">
        <v>4663</v>
      </c>
      <c r="K528" t="s">
        <v>4640</v>
      </c>
      <c r="L528" t="s">
        <v>3797</v>
      </c>
      <c r="M528" t="s">
        <v>3740</v>
      </c>
      <c r="N528" t="s">
        <v>118</v>
      </c>
      <c r="O528" t="s">
        <v>3801</v>
      </c>
      <c r="P528" s="9">
        <v>44259.510439814818</v>
      </c>
      <c r="Q528" t="s">
        <v>4643</v>
      </c>
      <c r="R528" t="s">
        <v>3794</v>
      </c>
    </row>
    <row r="529" spans="1:18" x14ac:dyDescent="0.25">
      <c r="A529" t="s">
        <v>4665</v>
      </c>
      <c r="B529" t="s">
        <v>4666</v>
      </c>
      <c r="C529">
        <v>2</v>
      </c>
      <c r="D529" t="s">
        <v>41</v>
      </c>
      <c r="E529">
        <v>17</v>
      </c>
      <c r="F529" t="s">
        <v>3793</v>
      </c>
      <c r="G529" t="s">
        <v>4665</v>
      </c>
      <c r="H529" t="s">
        <v>4639</v>
      </c>
      <c r="I529" t="s">
        <v>3794</v>
      </c>
      <c r="J529" t="s">
        <v>4666</v>
      </c>
      <c r="K529" t="s">
        <v>4640</v>
      </c>
      <c r="L529" t="s">
        <v>3797</v>
      </c>
      <c r="M529" t="s">
        <v>3739</v>
      </c>
      <c r="N529" t="s">
        <v>118</v>
      </c>
      <c r="O529" t="s">
        <v>4371</v>
      </c>
      <c r="P529" s="9">
        <v>44259.510439814818</v>
      </c>
      <c r="Q529" t="s">
        <v>4641</v>
      </c>
      <c r="R529" t="s">
        <v>3794</v>
      </c>
    </row>
    <row r="530" spans="1:18" x14ac:dyDescent="0.25">
      <c r="A530" t="s">
        <v>4667</v>
      </c>
      <c r="B530" t="s">
        <v>4666</v>
      </c>
      <c r="C530">
        <v>2</v>
      </c>
      <c r="D530" t="s">
        <v>41</v>
      </c>
      <c r="E530">
        <v>17</v>
      </c>
      <c r="F530" t="s">
        <v>3793</v>
      </c>
      <c r="G530" t="s">
        <v>4667</v>
      </c>
      <c r="H530" t="s">
        <v>4639</v>
      </c>
      <c r="I530" t="s">
        <v>3794</v>
      </c>
      <c r="J530" t="s">
        <v>4666</v>
      </c>
      <c r="K530" t="s">
        <v>4640</v>
      </c>
      <c r="L530" t="s">
        <v>3797</v>
      </c>
      <c r="M530" t="s">
        <v>3740</v>
      </c>
      <c r="N530" t="s">
        <v>118</v>
      </c>
      <c r="O530" t="s">
        <v>3801</v>
      </c>
      <c r="P530" s="9">
        <v>44259.510439814818</v>
      </c>
      <c r="Q530" t="s">
        <v>4643</v>
      </c>
      <c r="R530" t="s">
        <v>3794</v>
      </c>
    </row>
    <row r="531" spans="1:18" x14ac:dyDescent="0.25">
      <c r="A531" t="s">
        <v>4528</v>
      </c>
      <c r="B531" t="s">
        <v>4529</v>
      </c>
      <c r="C531">
        <v>2</v>
      </c>
      <c r="D531" t="s">
        <v>41</v>
      </c>
      <c r="E531">
        <v>17</v>
      </c>
      <c r="F531" t="s">
        <v>3793</v>
      </c>
      <c r="G531" t="s">
        <v>4528</v>
      </c>
      <c r="H531" t="s">
        <v>3787</v>
      </c>
      <c r="I531" t="s">
        <v>4530</v>
      </c>
      <c r="J531" t="s">
        <v>4529</v>
      </c>
      <c r="K531" t="s">
        <v>3804</v>
      </c>
      <c r="L531" t="s">
        <v>3797</v>
      </c>
      <c r="M531" t="s">
        <v>3739</v>
      </c>
      <c r="N531" t="s">
        <v>118</v>
      </c>
      <c r="O531" t="s">
        <v>4531</v>
      </c>
      <c r="P531" s="9">
        <v>44258.510474537034</v>
      </c>
      <c r="Q531" t="s">
        <v>3900</v>
      </c>
      <c r="R531" t="s">
        <v>3794</v>
      </c>
    </row>
    <row r="532" spans="1:18" x14ac:dyDescent="0.25">
      <c r="A532" t="s">
        <v>4532</v>
      </c>
      <c r="B532" t="s">
        <v>4529</v>
      </c>
      <c r="C532">
        <v>2</v>
      </c>
      <c r="D532" t="s">
        <v>41</v>
      </c>
      <c r="E532">
        <v>17</v>
      </c>
      <c r="F532" t="s">
        <v>3793</v>
      </c>
      <c r="G532" t="s">
        <v>4532</v>
      </c>
      <c r="H532" t="s">
        <v>3787</v>
      </c>
      <c r="I532" t="s">
        <v>3794</v>
      </c>
      <c r="J532" t="s">
        <v>4529</v>
      </c>
      <c r="K532" t="s">
        <v>3804</v>
      </c>
      <c r="L532" t="s">
        <v>3797</v>
      </c>
      <c r="M532" t="s">
        <v>3740</v>
      </c>
      <c r="N532" t="s">
        <v>118</v>
      </c>
      <c r="O532" t="s">
        <v>3801</v>
      </c>
      <c r="P532" s="9">
        <v>44258.510497685187</v>
      </c>
      <c r="Q532" t="s">
        <v>3902</v>
      </c>
      <c r="R532" t="s">
        <v>3794</v>
      </c>
    </row>
    <row r="533" spans="1:18" x14ac:dyDescent="0.25">
      <c r="A533" t="s">
        <v>4533</v>
      </c>
      <c r="B533" t="s">
        <v>4529</v>
      </c>
      <c r="C533">
        <v>2</v>
      </c>
      <c r="D533" t="s">
        <v>41</v>
      </c>
      <c r="E533">
        <v>17</v>
      </c>
      <c r="F533" t="s">
        <v>3793</v>
      </c>
      <c r="G533" t="s">
        <v>4533</v>
      </c>
      <c r="H533" t="s">
        <v>3787</v>
      </c>
      <c r="I533" t="s">
        <v>3794</v>
      </c>
      <c r="J533" t="s">
        <v>4529</v>
      </c>
      <c r="K533" t="s">
        <v>3804</v>
      </c>
      <c r="L533" t="s">
        <v>3797</v>
      </c>
      <c r="M533" t="s">
        <v>42</v>
      </c>
      <c r="N533" t="s">
        <v>118</v>
      </c>
      <c r="O533" t="s">
        <v>3805</v>
      </c>
      <c r="P533" s="9">
        <v>44258.510474537034</v>
      </c>
      <c r="Q533" t="s">
        <v>3806</v>
      </c>
      <c r="R533" t="s">
        <v>3794</v>
      </c>
    </row>
    <row r="534" spans="1:18" x14ac:dyDescent="0.25">
      <c r="A534" t="s">
        <v>4534</v>
      </c>
      <c r="B534" t="s">
        <v>4529</v>
      </c>
      <c r="C534">
        <v>2</v>
      </c>
      <c r="D534" t="s">
        <v>41</v>
      </c>
      <c r="E534">
        <v>17</v>
      </c>
      <c r="F534" t="s">
        <v>3793</v>
      </c>
      <c r="G534" t="s">
        <v>4534</v>
      </c>
      <c r="H534" t="s">
        <v>3787</v>
      </c>
      <c r="I534" t="s">
        <v>3794</v>
      </c>
      <c r="J534" t="s">
        <v>4529</v>
      </c>
      <c r="K534" t="s">
        <v>3804</v>
      </c>
      <c r="L534" t="s">
        <v>3797</v>
      </c>
      <c r="M534" t="s">
        <v>43</v>
      </c>
      <c r="N534" t="s">
        <v>118</v>
      </c>
      <c r="O534" t="s">
        <v>3801</v>
      </c>
      <c r="P534" s="9">
        <v>44258.510474537034</v>
      </c>
      <c r="Q534" t="s">
        <v>3813</v>
      </c>
      <c r="R534" t="s">
        <v>3794</v>
      </c>
    </row>
    <row r="535" spans="1:18" x14ac:dyDescent="0.25">
      <c r="A535" t="s">
        <v>4535</v>
      </c>
      <c r="B535" t="s">
        <v>4529</v>
      </c>
      <c r="C535">
        <v>2</v>
      </c>
      <c r="D535" t="s">
        <v>41</v>
      </c>
      <c r="E535">
        <v>17</v>
      </c>
      <c r="F535" t="s">
        <v>3793</v>
      </c>
      <c r="G535" t="s">
        <v>4535</v>
      </c>
      <c r="H535" t="s">
        <v>3787</v>
      </c>
      <c r="I535" t="s">
        <v>3794</v>
      </c>
      <c r="J535" t="s">
        <v>4529</v>
      </c>
      <c r="K535" t="s">
        <v>3804</v>
      </c>
      <c r="L535" t="s">
        <v>3797</v>
      </c>
      <c r="M535" t="s">
        <v>108</v>
      </c>
      <c r="N535" t="s">
        <v>119</v>
      </c>
      <c r="O535" t="s">
        <v>3815</v>
      </c>
      <c r="P535" s="9">
        <v>44258.510462962964</v>
      </c>
      <c r="Q535" t="s">
        <v>3816</v>
      </c>
      <c r="R535" t="s">
        <v>3794</v>
      </c>
    </row>
    <row r="536" spans="1:18" x14ac:dyDescent="0.25">
      <c r="A536" t="s">
        <v>4668</v>
      </c>
      <c r="B536" t="s">
        <v>4669</v>
      </c>
      <c r="C536">
        <v>2</v>
      </c>
      <c r="D536" t="s">
        <v>41</v>
      </c>
      <c r="E536">
        <v>17</v>
      </c>
      <c r="F536" t="s">
        <v>3793</v>
      </c>
      <c r="G536" t="s">
        <v>4668</v>
      </c>
      <c r="H536" t="s">
        <v>4639</v>
      </c>
      <c r="I536" t="s">
        <v>3794</v>
      </c>
      <c r="J536" t="s">
        <v>4669</v>
      </c>
      <c r="K536" t="s">
        <v>4640</v>
      </c>
      <c r="L536" t="s">
        <v>3797</v>
      </c>
      <c r="M536" t="s">
        <v>3739</v>
      </c>
      <c r="N536" t="s">
        <v>118</v>
      </c>
      <c r="O536" t="s">
        <v>4371</v>
      </c>
      <c r="P536" s="9">
        <v>44259.510439814818</v>
      </c>
      <c r="Q536" t="s">
        <v>4641</v>
      </c>
      <c r="R536" t="s">
        <v>3794</v>
      </c>
    </row>
    <row r="537" spans="1:18" x14ac:dyDescent="0.25">
      <c r="A537" t="s">
        <v>4670</v>
      </c>
      <c r="B537" t="s">
        <v>4669</v>
      </c>
      <c r="C537">
        <v>2</v>
      </c>
      <c r="D537" t="s">
        <v>41</v>
      </c>
      <c r="E537">
        <v>17</v>
      </c>
      <c r="F537" t="s">
        <v>3793</v>
      </c>
      <c r="G537" t="s">
        <v>4670</v>
      </c>
      <c r="H537" t="s">
        <v>4639</v>
      </c>
      <c r="I537" t="s">
        <v>3794</v>
      </c>
      <c r="J537" t="s">
        <v>4669</v>
      </c>
      <c r="K537" t="s">
        <v>4640</v>
      </c>
      <c r="L537" t="s">
        <v>3797</v>
      </c>
      <c r="M537" t="s">
        <v>3740</v>
      </c>
      <c r="N537" t="s">
        <v>118</v>
      </c>
      <c r="O537" t="s">
        <v>3801</v>
      </c>
      <c r="P537" s="9">
        <v>44259.510439814818</v>
      </c>
      <c r="Q537" t="s">
        <v>4643</v>
      </c>
      <c r="R537" t="s">
        <v>3794</v>
      </c>
    </row>
    <row r="538" spans="1:18" x14ac:dyDescent="0.25">
      <c r="A538" t="s">
        <v>4671</v>
      </c>
      <c r="B538" t="s">
        <v>4672</v>
      </c>
      <c r="C538">
        <v>2</v>
      </c>
      <c r="D538" t="s">
        <v>41</v>
      </c>
      <c r="E538">
        <v>17</v>
      </c>
      <c r="F538" t="s">
        <v>3793</v>
      </c>
      <c r="G538" t="s">
        <v>4671</v>
      </c>
      <c r="H538" t="s">
        <v>4639</v>
      </c>
      <c r="I538" t="s">
        <v>3794</v>
      </c>
      <c r="J538" t="s">
        <v>4672</v>
      </c>
      <c r="K538" t="s">
        <v>4640</v>
      </c>
      <c r="L538" t="s">
        <v>3797</v>
      </c>
      <c r="M538" t="s">
        <v>3739</v>
      </c>
      <c r="N538" t="s">
        <v>118</v>
      </c>
      <c r="O538" t="s">
        <v>4371</v>
      </c>
      <c r="P538" s="9">
        <v>44259.510439814818</v>
      </c>
      <c r="Q538" t="s">
        <v>4641</v>
      </c>
      <c r="R538" t="s">
        <v>3794</v>
      </c>
    </row>
    <row r="539" spans="1:18" x14ac:dyDescent="0.25">
      <c r="A539" t="s">
        <v>4673</v>
      </c>
      <c r="B539" t="s">
        <v>4672</v>
      </c>
      <c r="C539">
        <v>2</v>
      </c>
      <c r="D539" t="s">
        <v>41</v>
      </c>
      <c r="E539">
        <v>17</v>
      </c>
      <c r="F539" t="s">
        <v>3793</v>
      </c>
      <c r="G539" t="s">
        <v>4673</v>
      </c>
      <c r="H539" t="s">
        <v>4639</v>
      </c>
      <c r="I539" t="s">
        <v>3794</v>
      </c>
      <c r="J539" t="s">
        <v>4672</v>
      </c>
      <c r="K539" t="s">
        <v>4640</v>
      </c>
      <c r="L539" t="s">
        <v>3797</v>
      </c>
      <c r="M539" t="s">
        <v>3740</v>
      </c>
      <c r="N539" t="s">
        <v>118</v>
      </c>
      <c r="O539" t="s">
        <v>3801</v>
      </c>
      <c r="P539" s="9">
        <v>44259.510439814818</v>
      </c>
      <c r="Q539" t="s">
        <v>4643</v>
      </c>
      <c r="R539" t="s">
        <v>3794</v>
      </c>
    </row>
    <row r="540" spans="1:18" x14ac:dyDescent="0.25">
      <c r="A540" t="s">
        <v>4674</v>
      </c>
      <c r="B540" t="s">
        <v>4675</v>
      </c>
      <c r="C540">
        <v>2</v>
      </c>
      <c r="D540" t="s">
        <v>41</v>
      </c>
      <c r="E540">
        <v>17</v>
      </c>
      <c r="F540" t="s">
        <v>3793</v>
      </c>
      <c r="G540" t="s">
        <v>4674</v>
      </c>
      <c r="H540" t="s">
        <v>4639</v>
      </c>
      <c r="I540" t="s">
        <v>3794</v>
      </c>
      <c r="J540" t="s">
        <v>4675</v>
      </c>
      <c r="K540" t="s">
        <v>4640</v>
      </c>
      <c r="L540" t="s">
        <v>3797</v>
      </c>
      <c r="M540" t="s">
        <v>3739</v>
      </c>
      <c r="N540" t="s">
        <v>118</v>
      </c>
      <c r="O540" t="s">
        <v>4371</v>
      </c>
      <c r="P540" s="9">
        <v>44259.510439814818</v>
      </c>
      <c r="Q540" t="s">
        <v>4641</v>
      </c>
      <c r="R540" t="s">
        <v>3794</v>
      </c>
    </row>
    <row r="541" spans="1:18" x14ac:dyDescent="0.25">
      <c r="A541" t="s">
        <v>4676</v>
      </c>
      <c r="B541" t="s">
        <v>4675</v>
      </c>
      <c r="C541">
        <v>2</v>
      </c>
      <c r="D541" t="s">
        <v>41</v>
      </c>
      <c r="E541">
        <v>17</v>
      </c>
      <c r="F541" t="s">
        <v>3793</v>
      </c>
      <c r="G541" t="s">
        <v>4676</v>
      </c>
      <c r="H541" t="s">
        <v>4639</v>
      </c>
      <c r="I541" t="s">
        <v>3794</v>
      </c>
      <c r="J541" t="s">
        <v>4675</v>
      </c>
      <c r="K541" t="s">
        <v>4640</v>
      </c>
      <c r="L541" t="s">
        <v>3797</v>
      </c>
      <c r="M541" t="s">
        <v>3740</v>
      </c>
      <c r="N541" t="s">
        <v>118</v>
      </c>
      <c r="O541" t="s">
        <v>3801</v>
      </c>
      <c r="P541" s="9">
        <v>44259.510439814818</v>
      </c>
      <c r="Q541" t="s">
        <v>4643</v>
      </c>
      <c r="R541" t="s">
        <v>3794</v>
      </c>
    </row>
    <row r="542" spans="1:18" x14ac:dyDescent="0.25">
      <c r="A542" t="s">
        <v>4536</v>
      </c>
      <c r="B542" t="s">
        <v>4537</v>
      </c>
      <c r="C542">
        <v>2</v>
      </c>
      <c r="D542" t="s">
        <v>41</v>
      </c>
      <c r="E542">
        <v>17</v>
      </c>
      <c r="F542" t="s">
        <v>3793</v>
      </c>
      <c r="G542" t="s">
        <v>4536</v>
      </c>
      <c r="H542" t="s">
        <v>3787</v>
      </c>
      <c r="I542" t="s">
        <v>3805</v>
      </c>
      <c r="J542" t="s">
        <v>4537</v>
      </c>
      <c r="K542" t="s">
        <v>3804</v>
      </c>
      <c r="L542" t="s">
        <v>3797</v>
      </c>
      <c r="M542" t="s">
        <v>3739</v>
      </c>
      <c r="N542" t="s">
        <v>118</v>
      </c>
      <c r="O542" t="s">
        <v>3801</v>
      </c>
      <c r="P542" s="9">
        <v>44258.510474537034</v>
      </c>
      <c r="Q542" t="s">
        <v>3900</v>
      </c>
      <c r="R542" t="s">
        <v>3794</v>
      </c>
    </row>
    <row r="543" spans="1:18" x14ac:dyDescent="0.25">
      <c r="A543" t="s">
        <v>4538</v>
      </c>
      <c r="B543" t="s">
        <v>4537</v>
      </c>
      <c r="C543">
        <v>2</v>
      </c>
      <c r="D543" t="s">
        <v>41</v>
      </c>
      <c r="E543">
        <v>17</v>
      </c>
      <c r="F543" t="s">
        <v>3793</v>
      </c>
      <c r="G543" t="s">
        <v>4538</v>
      </c>
      <c r="H543" t="s">
        <v>3787</v>
      </c>
      <c r="I543" t="s">
        <v>3794</v>
      </c>
      <c r="J543" t="s">
        <v>4537</v>
      </c>
      <c r="K543" t="s">
        <v>3804</v>
      </c>
      <c r="L543" t="s">
        <v>3797</v>
      </c>
      <c r="M543" t="s">
        <v>3740</v>
      </c>
      <c r="N543" t="s">
        <v>118</v>
      </c>
      <c r="O543" t="s">
        <v>3801</v>
      </c>
      <c r="P543" s="9">
        <v>44258.510497685187</v>
      </c>
      <c r="Q543" t="s">
        <v>3902</v>
      </c>
      <c r="R543" t="s">
        <v>3794</v>
      </c>
    </row>
    <row r="544" spans="1:18" x14ac:dyDescent="0.25">
      <c r="A544" t="s">
        <v>4539</v>
      </c>
      <c r="B544" t="s">
        <v>4537</v>
      </c>
      <c r="C544">
        <v>2</v>
      </c>
      <c r="D544" t="s">
        <v>41</v>
      </c>
      <c r="E544">
        <v>17</v>
      </c>
      <c r="F544" t="s">
        <v>3793</v>
      </c>
      <c r="G544" t="s">
        <v>4539</v>
      </c>
      <c r="H544" t="s">
        <v>3787</v>
      </c>
      <c r="I544" t="s">
        <v>3794</v>
      </c>
      <c r="J544" t="s">
        <v>4537</v>
      </c>
      <c r="K544" t="s">
        <v>3804</v>
      </c>
      <c r="L544" t="s">
        <v>3797</v>
      </c>
      <c r="M544" t="s">
        <v>42</v>
      </c>
      <c r="N544" t="s">
        <v>118</v>
      </c>
      <c r="O544" t="s">
        <v>3805</v>
      </c>
      <c r="P544" s="9">
        <v>44258.510474537034</v>
      </c>
      <c r="Q544" t="s">
        <v>3806</v>
      </c>
      <c r="R544" t="s">
        <v>3794</v>
      </c>
    </row>
    <row r="545" spans="1:18" x14ac:dyDescent="0.25">
      <c r="A545" t="s">
        <v>4540</v>
      </c>
      <c r="B545" t="s">
        <v>4537</v>
      </c>
      <c r="C545">
        <v>2</v>
      </c>
      <c r="D545" t="s">
        <v>41</v>
      </c>
      <c r="E545">
        <v>17</v>
      </c>
      <c r="F545" t="s">
        <v>3793</v>
      </c>
      <c r="G545" t="s">
        <v>4540</v>
      </c>
      <c r="H545" t="s">
        <v>3787</v>
      </c>
      <c r="I545" t="s">
        <v>3794</v>
      </c>
      <c r="J545" t="s">
        <v>4537</v>
      </c>
      <c r="K545" t="s">
        <v>3804</v>
      </c>
      <c r="L545" t="s">
        <v>3797</v>
      </c>
      <c r="M545" t="s">
        <v>43</v>
      </c>
      <c r="N545" t="s">
        <v>118</v>
      </c>
      <c r="O545" t="s">
        <v>3801</v>
      </c>
      <c r="P545" s="9">
        <v>44258.510474537034</v>
      </c>
      <c r="Q545" t="s">
        <v>3813</v>
      </c>
      <c r="R545" t="s">
        <v>3794</v>
      </c>
    </row>
    <row r="546" spans="1:18" x14ac:dyDescent="0.25">
      <c r="A546" t="s">
        <v>4541</v>
      </c>
      <c r="B546" t="s">
        <v>4537</v>
      </c>
      <c r="C546">
        <v>2</v>
      </c>
      <c r="D546" t="s">
        <v>41</v>
      </c>
      <c r="E546">
        <v>17</v>
      </c>
      <c r="F546" t="s">
        <v>3793</v>
      </c>
      <c r="G546" t="s">
        <v>4541</v>
      </c>
      <c r="H546" t="s">
        <v>3787</v>
      </c>
      <c r="I546" t="s">
        <v>3794</v>
      </c>
      <c r="J546" t="s">
        <v>4537</v>
      </c>
      <c r="K546" t="s">
        <v>3804</v>
      </c>
      <c r="L546" t="s">
        <v>3797</v>
      </c>
      <c r="M546" t="s">
        <v>108</v>
      </c>
      <c r="N546" t="s">
        <v>119</v>
      </c>
      <c r="O546" t="s">
        <v>3815</v>
      </c>
      <c r="P546" s="9">
        <v>44258.510462962964</v>
      </c>
      <c r="Q546" t="s">
        <v>3816</v>
      </c>
      <c r="R546" t="s">
        <v>3794</v>
      </c>
    </row>
    <row r="547" spans="1:18" x14ac:dyDescent="0.25">
      <c r="A547" t="s">
        <v>4677</v>
      </c>
      <c r="B547" t="s">
        <v>4678</v>
      </c>
      <c r="C547">
        <v>2</v>
      </c>
      <c r="D547" t="s">
        <v>41</v>
      </c>
      <c r="E547">
        <v>17</v>
      </c>
      <c r="F547" t="s">
        <v>3793</v>
      </c>
      <c r="G547" t="s">
        <v>4677</v>
      </c>
      <c r="H547" t="s">
        <v>4639</v>
      </c>
      <c r="I547" t="s">
        <v>3794</v>
      </c>
      <c r="J547" t="s">
        <v>4678</v>
      </c>
      <c r="K547" t="s">
        <v>4640</v>
      </c>
      <c r="L547" t="s">
        <v>3797</v>
      </c>
      <c r="M547" t="s">
        <v>3739</v>
      </c>
      <c r="N547" t="s">
        <v>118</v>
      </c>
      <c r="O547" t="s">
        <v>4371</v>
      </c>
      <c r="P547" s="9">
        <v>44259.510439814818</v>
      </c>
      <c r="Q547" t="s">
        <v>4641</v>
      </c>
      <c r="R547" t="s">
        <v>3794</v>
      </c>
    </row>
    <row r="548" spans="1:18" x14ac:dyDescent="0.25">
      <c r="A548" t="s">
        <v>4679</v>
      </c>
      <c r="B548" t="s">
        <v>4678</v>
      </c>
      <c r="C548">
        <v>2</v>
      </c>
      <c r="D548" t="s">
        <v>41</v>
      </c>
      <c r="E548">
        <v>17</v>
      </c>
      <c r="F548" t="s">
        <v>3793</v>
      </c>
      <c r="G548" t="s">
        <v>4679</v>
      </c>
      <c r="H548" t="s">
        <v>4639</v>
      </c>
      <c r="I548" t="s">
        <v>3794</v>
      </c>
      <c r="J548" t="s">
        <v>4678</v>
      </c>
      <c r="K548" t="s">
        <v>4640</v>
      </c>
      <c r="L548" t="s">
        <v>3797</v>
      </c>
      <c r="M548" t="s">
        <v>3740</v>
      </c>
      <c r="N548" t="s">
        <v>118</v>
      </c>
      <c r="O548" t="s">
        <v>3801</v>
      </c>
      <c r="P548" s="9">
        <v>44259.510439814818</v>
      </c>
      <c r="Q548" t="s">
        <v>4643</v>
      </c>
      <c r="R548" t="s">
        <v>3794</v>
      </c>
    </row>
    <row r="549" spans="1:18" x14ac:dyDescent="0.25">
      <c r="A549" t="s">
        <v>4542</v>
      </c>
      <c r="B549" t="s">
        <v>4543</v>
      </c>
      <c r="C549">
        <v>2</v>
      </c>
      <c r="D549" t="s">
        <v>41</v>
      </c>
      <c r="E549">
        <v>17</v>
      </c>
      <c r="F549" t="s">
        <v>3793</v>
      </c>
      <c r="G549" t="s">
        <v>4542</v>
      </c>
      <c r="H549" t="s">
        <v>3787</v>
      </c>
      <c r="I549" t="s">
        <v>4544</v>
      </c>
      <c r="J549" t="s">
        <v>4543</v>
      </c>
      <c r="K549" t="s">
        <v>3804</v>
      </c>
      <c r="L549" t="s">
        <v>3797</v>
      </c>
      <c r="M549" t="s">
        <v>3739</v>
      </c>
      <c r="N549" t="s">
        <v>118</v>
      </c>
      <c r="O549" t="s">
        <v>4545</v>
      </c>
      <c r="P549" s="9">
        <v>44258.510474537034</v>
      </c>
      <c r="Q549" t="s">
        <v>3900</v>
      </c>
      <c r="R549" t="s">
        <v>3794</v>
      </c>
    </row>
    <row r="550" spans="1:18" x14ac:dyDescent="0.25">
      <c r="A550" t="s">
        <v>4546</v>
      </c>
      <c r="B550" t="s">
        <v>4543</v>
      </c>
      <c r="C550">
        <v>2</v>
      </c>
      <c r="D550" t="s">
        <v>41</v>
      </c>
      <c r="E550">
        <v>17</v>
      </c>
      <c r="F550" t="s">
        <v>3793</v>
      </c>
      <c r="G550" t="s">
        <v>4546</v>
      </c>
      <c r="H550" t="s">
        <v>3787</v>
      </c>
      <c r="I550" t="s">
        <v>3794</v>
      </c>
      <c r="J550" t="s">
        <v>4543</v>
      </c>
      <c r="K550" t="s">
        <v>3804</v>
      </c>
      <c r="L550" t="s">
        <v>3797</v>
      </c>
      <c r="M550" t="s">
        <v>3740</v>
      </c>
      <c r="N550" t="s">
        <v>118</v>
      </c>
      <c r="O550" t="s">
        <v>3801</v>
      </c>
      <c r="P550" s="9">
        <v>44258.510497685187</v>
      </c>
      <c r="Q550" t="s">
        <v>3902</v>
      </c>
      <c r="R550" t="s">
        <v>3794</v>
      </c>
    </row>
    <row r="551" spans="1:18" x14ac:dyDescent="0.25">
      <c r="A551" t="s">
        <v>4547</v>
      </c>
      <c r="B551" t="s">
        <v>4543</v>
      </c>
      <c r="C551">
        <v>2</v>
      </c>
      <c r="D551" t="s">
        <v>41</v>
      </c>
      <c r="E551">
        <v>17</v>
      </c>
      <c r="F551" t="s">
        <v>3793</v>
      </c>
      <c r="G551" t="s">
        <v>4547</v>
      </c>
      <c r="H551" t="s">
        <v>3787</v>
      </c>
      <c r="I551" t="s">
        <v>3794</v>
      </c>
      <c r="J551" t="s">
        <v>4543</v>
      </c>
      <c r="K551" t="s">
        <v>3804</v>
      </c>
      <c r="L551" t="s">
        <v>3797</v>
      </c>
      <c r="M551" t="s">
        <v>42</v>
      </c>
      <c r="N551" t="s">
        <v>118</v>
      </c>
      <c r="O551" t="s">
        <v>3805</v>
      </c>
      <c r="P551" s="9">
        <v>44258.510474537034</v>
      </c>
      <c r="Q551" t="s">
        <v>3806</v>
      </c>
      <c r="R551" t="s">
        <v>3794</v>
      </c>
    </row>
    <row r="552" spans="1:18" x14ac:dyDescent="0.25">
      <c r="A552" t="s">
        <v>4548</v>
      </c>
      <c r="B552" t="s">
        <v>4543</v>
      </c>
      <c r="C552">
        <v>2</v>
      </c>
      <c r="D552" t="s">
        <v>41</v>
      </c>
      <c r="E552">
        <v>17</v>
      </c>
      <c r="F552" t="s">
        <v>3793</v>
      </c>
      <c r="G552" t="s">
        <v>4548</v>
      </c>
      <c r="H552" t="s">
        <v>3787</v>
      </c>
      <c r="I552" t="s">
        <v>3794</v>
      </c>
      <c r="J552" t="s">
        <v>4543</v>
      </c>
      <c r="K552" t="s">
        <v>3804</v>
      </c>
      <c r="L552" t="s">
        <v>3797</v>
      </c>
      <c r="M552" t="s">
        <v>43</v>
      </c>
      <c r="N552" t="s">
        <v>118</v>
      </c>
      <c r="O552" t="s">
        <v>3801</v>
      </c>
      <c r="P552" s="9">
        <v>44258.510474537034</v>
      </c>
      <c r="Q552" t="s">
        <v>3813</v>
      </c>
      <c r="R552" t="s">
        <v>3794</v>
      </c>
    </row>
    <row r="553" spans="1:18" x14ac:dyDescent="0.25">
      <c r="A553" t="s">
        <v>4549</v>
      </c>
      <c r="B553" t="s">
        <v>4543</v>
      </c>
      <c r="C553">
        <v>2</v>
      </c>
      <c r="D553" t="s">
        <v>41</v>
      </c>
      <c r="E553">
        <v>17</v>
      </c>
      <c r="F553" t="s">
        <v>3793</v>
      </c>
      <c r="G553" t="s">
        <v>4549</v>
      </c>
      <c r="H553" t="s">
        <v>3787</v>
      </c>
      <c r="I553" t="s">
        <v>3794</v>
      </c>
      <c r="J553" t="s">
        <v>4543</v>
      </c>
      <c r="K553" t="s">
        <v>3804</v>
      </c>
      <c r="L553" t="s">
        <v>3797</v>
      </c>
      <c r="M553" t="s">
        <v>108</v>
      </c>
      <c r="N553" t="s">
        <v>119</v>
      </c>
      <c r="O553" t="s">
        <v>3815</v>
      </c>
      <c r="P553" s="9">
        <v>44258.510462962964</v>
      </c>
      <c r="Q553" t="s">
        <v>3816</v>
      </c>
      <c r="R553" t="s">
        <v>3794</v>
      </c>
    </row>
    <row r="554" spans="1:18" x14ac:dyDescent="0.25">
      <c r="A554" t="s">
        <v>4680</v>
      </c>
      <c r="B554" t="s">
        <v>4681</v>
      </c>
      <c r="C554">
        <v>2</v>
      </c>
      <c r="D554" t="s">
        <v>41</v>
      </c>
      <c r="E554">
        <v>17</v>
      </c>
      <c r="F554" t="s">
        <v>3793</v>
      </c>
      <c r="G554" t="s">
        <v>4680</v>
      </c>
      <c r="H554" t="s">
        <v>4639</v>
      </c>
      <c r="I554" t="s">
        <v>3794</v>
      </c>
      <c r="J554" t="s">
        <v>4681</v>
      </c>
      <c r="K554" t="s">
        <v>4640</v>
      </c>
      <c r="L554" t="s">
        <v>3797</v>
      </c>
      <c r="M554" t="s">
        <v>3739</v>
      </c>
      <c r="N554" t="s">
        <v>118</v>
      </c>
      <c r="O554" t="s">
        <v>4371</v>
      </c>
      <c r="P554" s="9">
        <v>44259.510439814818</v>
      </c>
      <c r="Q554" t="s">
        <v>4641</v>
      </c>
      <c r="R554" t="s">
        <v>3794</v>
      </c>
    </row>
    <row r="555" spans="1:18" x14ac:dyDescent="0.25">
      <c r="A555" t="s">
        <v>4682</v>
      </c>
      <c r="B555" t="s">
        <v>4681</v>
      </c>
      <c r="C555">
        <v>2</v>
      </c>
      <c r="D555" t="s">
        <v>41</v>
      </c>
      <c r="E555">
        <v>17</v>
      </c>
      <c r="F555" t="s">
        <v>3793</v>
      </c>
      <c r="G555" t="s">
        <v>4682</v>
      </c>
      <c r="H555" t="s">
        <v>4639</v>
      </c>
      <c r="I555" t="s">
        <v>3794</v>
      </c>
      <c r="J555" t="s">
        <v>4681</v>
      </c>
      <c r="K555" t="s">
        <v>4640</v>
      </c>
      <c r="L555" t="s">
        <v>3797</v>
      </c>
      <c r="M555" t="s">
        <v>3740</v>
      </c>
      <c r="N555" t="s">
        <v>118</v>
      </c>
      <c r="O555" t="s">
        <v>3801</v>
      </c>
      <c r="P555" s="9">
        <v>44259.510439814818</v>
      </c>
      <c r="Q555" t="s">
        <v>4643</v>
      </c>
      <c r="R555" t="s">
        <v>3794</v>
      </c>
    </row>
    <row r="556" spans="1:18" x14ac:dyDescent="0.25">
      <c r="A556" t="s">
        <v>4550</v>
      </c>
      <c r="B556" t="s">
        <v>4551</v>
      </c>
      <c r="C556">
        <v>2</v>
      </c>
      <c r="D556" t="s">
        <v>41</v>
      </c>
      <c r="E556">
        <v>17</v>
      </c>
      <c r="F556" t="s">
        <v>3793</v>
      </c>
      <c r="G556" t="s">
        <v>4550</v>
      </c>
      <c r="H556" t="s">
        <v>3787</v>
      </c>
      <c r="I556" t="s">
        <v>4552</v>
      </c>
      <c r="J556" t="s">
        <v>4551</v>
      </c>
      <c r="K556" t="s">
        <v>3804</v>
      </c>
      <c r="L556" t="s">
        <v>3797</v>
      </c>
      <c r="M556" t="s">
        <v>3739</v>
      </c>
      <c r="N556" t="s">
        <v>118</v>
      </c>
      <c r="O556" t="s">
        <v>4553</v>
      </c>
      <c r="P556" s="9">
        <v>44258.510474537034</v>
      </c>
      <c r="Q556" t="s">
        <v>3900</v>
      </c>
      <c r="R556" t="s">
        <v>3794</v>
      </c>
    </row>
    <row r="557" spans="1:18" x14ac:dyDescent="0.25">
      <c r="A557" t="s">
        <v>4554</v>
      </c>
      <c r="B557" t="s">
        <v>4551</v>
      </c>
      <c r="C557">
        <v>2</v>
      </c>
      <c r="D557" t="s">
        <v>41</v>
      </c>
      <c r="E557">
        <v>17</v>
      </c>
      <c r="F557" t="s">
        <v>3793</v>
      </c>
      <c r="G557" t="s">
        <v>4554</v>
      </c>
      <c r="H557" t="s">
        <v>3787</v>
      </c>
      <c r="I557" t="s">
        <v>3794</v>
      </c>
      <c r="J557" t="s">
        <v>4551</v>
      </c>
      <c r="K557" t="s">
        <v>3804</v>
      </c>
      <c r="L557" t="s">
        <v>3797</v>
      </c>
      <c r="M557" t="s">
        <v>3740</v>
      </c>
      <c r="N557" t="s">
        <v>118</v>
      </c>
      <c r="O557" t="s">
        <v>3801</v>
      </c>
      <c r="P557" s="9">
        <v>44258.510497685187</v>
      </c>
      <c r="Q557" t="s">
        <v>3902</v>
      </c>
      <c r="R557" t="s">
        <v>3794</v>
      </c>
    </row>
    <row r="558" spans="1:18" x14ac:dyDescent="0.25">
      <c r="A558" t="s">
        <v>4555</v>
      </c>
      <c r="B558" t="s">
        <v>4551</v>
      </c>
      <c r="C558">
        <v>2</v>
      </c>
      <c r="D558" t="s">
        <v>41</v>
      </c>
      <c r="E558">
        <v>17</v>
      </c>
      <c r="F558" t="s">
        <v>3793</v>
      </c>
      <c r="G558" t="s">
        <v>4555</v>
      </c>
      <c r="H558" t="s">
        <v>3787</v>
      </c>
      <c r="I558" t="s">
        <v>3794</v>
      </c>
      <c r="J558" t="s">
        <v>4551</v>
      </c>
      <c r="K558" t="s">
        <v>3804</v>
      </c>
      <c r="L558" t="s">
        <v>3797</v>
      </c>
      <c r="M558" t="s">
        <v>42</v>
      </c>
      <c r="N558" t="s">
        <v>118</v>
      </c>
      <c r="O558" t="s">
        <v>3805</v>
      </c>
      <c r="P558" s="9">
        <v>44258.510474537034</v>
      </c>
      <c r="Q558" t="s">
        <v>3806</v>
      </c>
      <c r="R558" t="s">
        <v>3794</v>
      </c>
    </row>
    <row r="559" spans="1:18" x14ac:dyDescent="0.25">
      <c r="A559" t="s">
        <v>4556</v>
      </c>
      <c r="B559" t="s">
        <v>4551</v>
      </c>
      <c r="C559">
        <v>2</v>
      </c>
      <c r="D559" t="s">
        <v>41</v>
      </c>
      <c r="E559">
        <v>17</v>
      </c>
      <c r="F559" t="s">
        <v>3793</v>
      </c>
      <c r="G559" t="s">
        <v>4556</v>
      </c>
      <c r="H559" t="s">
        <v>3787</v>
      </c>
      <c r="I559" t="s">
        <v>3794</v>
      </c>
      <c r="J559" t="s">
        <v>4551</v>
      </c>
      <c r="K559" t="s">
        <v>3804</v>
      </c>
      <c r="L559" t="s">
        <v>3797</v>
      </c>
      <c r="M559" t="s">
        <v>43</v>
      </c>
      <c r="N559" t="s">
        <v>118</v>
      </c>
      <c r="O559" t="s">
        <v>3801</v>
      </c>
      <c r="P559" s="9">
        <v>44258.510474537034</v>
      </c>
      <c r="Q559" t="s">
        <v>3813</v>
      </c>
      <c r="R559" t="s">
        <v>3794</v>
      </c>
    </row>
    <row r="560" spans="1:18" x14ac:dyDescent="0.25">
      <c r="A560" t="s">
        <v>4557</v>
      </c>
      <c r="B560" t="s">
        <v>4551</v>
      </c>
      <c r="C560">
        <v>2</v>
      </c>
      <c r="D560" t="s">
        <v>41</v>
      </c>
      <c r="E560">
        <v>17</v>
      </c>
      <c r="F560" t="s">
        <v>3793</v>
      </c>
      <c r="G560" t="s">
        <v>4557</v>
      </c>
      <c r="H560" t="s">
        <v>3787</v>
      </c>
      <c r="I560" t="s">
        <v>3794</v>
      </c>
      <c r="J560" t="s">
        <v>4551</v>
      </c>
      <c r="K560" t="s">
        <v>3804</v>
      </c>
      <c r="L560" t="s">
        <v>3797</v>
      </c>
      <c r="M560" t="s">
        <v>108</v>
      </c>
      <c r="N560" t="s">
        <v>119</v>
      </c>
      <c r="O560" t="s">
        <v>3815</v>
      </c>
      <c r="P560" s="9">
        <v>44258.510462962964</v>
      </c>
      <c r="Q560" t="s">
        <v>3816</v>
      </c>
      <c r="R560" t="s">
        <v>3794</v>
      </c>
    </row>
    <row r="561" spans="1:18" x14ac:dyDescent="0.25">
      <c r="A561" t="s">
        <v>4558</v>
      </c>
      <c r="B561" t="s">
        <v>4559</v>
      </c>
      <c r="C561">
        <v>2</v>
      </c>
      <c r="D561" t="s">
        <v>41</v>
      </c>
      <c r="E561">
        <v>17</v>
      </c>
      <c r="F561" t="s">
        <v>3793</v>
      </c>
      <c r="G561" t="s">
        <v>4558</v>
      </c>
      <c r="H561" t="s">
        <v>3787</v>
      </c>
      <c r="I561" t="s">
        <v>4560</v>
      </c>
      <c r="J561" t="s">
        <v>4559</v>
      </c>
      <c r="K561" t="s">
        <v>3804</v>
      </c>
      <c r="L561" t="s">
        <v>3797</v>
      </c>
      <c r="M561" t="s">
        <v>3739</v>
      </c>
      <c r="N561" t="s">
        <v>118</v>
      </c>
      <c r="O561" t="s">
        <v>4561</v>
      </c>
      <c r="P561" s="9">
        <v>44258.510474537034</v>
      </c>
      <c r="Q561" t="s">
        <v>3900</v>
      </c>
      <c r="R561" t="s">
        <v>3794</v>
      </c>
    </row>
    <row r="562" spans="1:18" x14ac:dyDescent="0.25">
      <c r="A562" t="s">
        <v>4562</v>
      </c>
      <c r="B562" t="s">
        <v>4559</v>
      </c>
      <c r="C562">
        <v>2</v>
      </c>
      <c r="D562" t="s">
        <v>41</v>
      </c>
      <c r="E562">
        <v>17</v>
      </c>
      <c r="F562" t="s">
        <v>3793</v>
      </c>
      <c r="G562" t="s">
        <v>4562</v>
      </c>
      <c r="H562" t="s">
        <v>3787</v>
      </c>
      <c r="I562" t="s">
        <v>3794</v>
      </c>
      <c r="J562" t="s">
        <v>4559</v>
      </c>
      <c r="K562" t="s">
        <v>3804</v>
      </c>
      <c r="L562" t="s">
        <v>3797</v>
      </c>
      <c r="M562" t="s">
        <v>3740</v>
      </c>
      <c r="N562" t="s">
        <v>118</v>
      </c>
      <c r="O562" t="s">
        <v>3801</v>
      </c>
      <c r="P562" s="9">
        <v>44258.510497685187</v>
      </c>
      <c r="Q562" t="s">
        <v>3902</v>
      </c>
      <c r="R562" t="s">
        <v>3794</v>
      </c>
    </row>
    <row r="563" spans="1:18" x14ac:dyDescent="0.25">
      <c r="A563" t="s">
        <v>4563</v>
      </c>
      <c r="B563" t="s">
        <v>4559</v>
      </c>
      <c r="C563">
        <v>2</v>
      </c>
      <c r="D563" t="s">
        <v>41</v>
      </c>
      <c r="E563">
        <v>17</v>
      </c>
      <c r="F563" t="s">
        <v>3793</v>
      </c>
      <c r="G563" t="s">
        <v>4563</v>
      </c>
      <c r="H563" t="s">
        <v>3787</v>
      </c>
      <c r="I563" t="s">
        <v>3794</v>
      </c>
      <c r="J563" t="s">
        <v>4559</v>
      </c>
      <c r="K563" t="s">
        <v>3804</v>
      </c>
      <c r="L563" t="s">
        <v>3797</v>
      </c>
      <c r="M563" t="s">
        <v>42</v>
      </c>
      <c r="N563" t="s">
        <v>118</v>
      </c>
      <c r="O563" t="s">
        <v>3805</v>
      </c>
      <c r="P563" s="9">
        <v>44258.510474537034</v>
      </c>
      <c r="Q563" t="s">
        <v>3806</v>
      </c>
      <c r="R563" t="s">
        <v>3794</v>
      </c>
    </row>
    <row r="564" spans="1:18" x14ac:dyDescent="0.25">
      <c r="A564" t="s">
        <v>4564</v>
      </c>
      <c r="B564" t="s">
        <v>4559</v>
      </c>
      <c r="C564">
        <v>2</v>
      </c>
      <c r="D564" t="s">
        <v>41</v>
      </c>
      <c r="E564">
        <v>17</v>
      </c>
      <c r="F564" t="s">
        <v>3793</v>
      </c>
      <c r="G564" t="s">
        <v>4564</v>
      </c>
      <c r="H564" t="s">
        <v>3787</v>
      </c>
      <c r="I564" t="s">
        <v>3794</v>
      </c>
      <c r="J564" t="s">
        <v>4559</v>
      </c>
      <c r="K564" t="s">
        <v>3804</v>
      </c>
      <c r="L564" t="s">
        <v>3797</v>
      </c>
      <c r="M564" t="s">
        <v>43</v>
      </c>
      <c r="N564" t="s">
        <v>118</v>
      </c>
      <c r="O564" t="s">
        <v>3801</v>
      </c>
      <c r="P564" s="9">
        <v>44258.510474537034</v>
      </c>
      <c r="Q564" t="s">
        <v>3813</v>
      </c>
      <c r="R564" t="s">
        <v>3794</v>
      </c>
    </row>
    <row r="565" spans="1:18" x14ac:dyDescent="0.25">
      <c r="A565" t="s">
        <v>4565</v>
      </c>
      <c r="B565" t="s">
        <v>4559</v>
      </c>
      <c r="C565">
        <v>2</v>
      </c>
      <c r="D565" t="s">
        <v>41</v>
      </c>
      <c r="E565">
        <v>17</v>
      </c>
      <c r="F565" t="s">
        <v>3793</v>
      </c>
      <c r="G565" t="s">
        <v>4565</v>
      </c>
      <c r="H565" t="s">
        <v>3787</v>
      </c>
      <c r="I565" t="s">
        <v>3794</v>
      </c>
      <c r="J565" t="s">
        <v>4559</v>
      </c>
      <c r="K565" t="s">
        <v>3804</v>
      </c>
      <c r="L565" t="s">
        <v>3797</v>
      </c>
      <c r="M565" t="s">
        <v>108</v>
      </c>
      <c r="N565" t="s">
        <v>119</v>
      </c>
      <c r="O565" t="s">
        <v>3815</v>
      </c>
      <c r="P565" s="9">
        <v>44258.510462962964</v>
      </c>
      <c r="Q565" t="s">
        <v>3816</v>
      </c>
      <c r="R565" t="s">
        <v>3794</v>
      </c>
    </row>
    <row r="566" spans="1:18" x14ac:dyDescent="0.25">
      <c r="A566" t="s">
        <v>4683</v>
      </c>
      <c r="B566" t="s">
        <v>4684</v>
      </c>
      <c r="C566">
        <v>2</v>
      </c>
      <c r="D566" t="s">
        <v>41</v>
      </c>
      <c r="E566">
        <v>17</v>
      </c>
      <c r="F566" t="s">
        <v>3793</v>
      </c>
      <c r="G566" t="s">
        <v>4683</v>
      </c>
      <c r="H566" t="s">
        <v>4639</v>
      </c>
      <c r="I566" t="s">
        <v>3794</v>
      </c>
      <c r="J566" t="s">
        <v>4684</v>
      </c>
      <c r="K566" t="s">
        <v>4640</v>
      </c>
      <c r="L566" t="s">
        <v>3797</v>
      </c>
      <c r="M566" t="s">
        <v>3739</v>
      </c>
      <c r="N566" t="s">
        <v>118</v>
      </c>
      <c r="O566" t="s">
        <v>4371</v>
      </c>
      <c r="P566" s="9">
        <v>44259.510439814818</v>
      </c>
      <c r="Q566" t="s">
        <v>4641</v>
      </c>
      <c r="R566" t="s">
        <v>3794</v>
      </c>
    </row>
    <row r="567" spans="1:18" x14ac:dyDescent="0.25">
      <c r="A567" t="s">
        <v>4685</v>
      </c>
      <c r="B567" t="s">
        <v>4684</v>
      </c>
      <c r="C567">
        <v>2</v>
      </c>
      <c r="D567" t="s">
        <v>41</v>
      </c>
      <c r="E567">
        <v>17</v>
      </c>
      <c r="F567" t="s">
        <v>3793</v>
      </c>
      <c r="G567" t="s">
        <v>4685</v>
      </c>
      <c r="H567" t="s">
        <v>4639</v>
      </c>
      <c r="I567" t="s">
        <v>3794</v>
      </c>
      <c r="J567" t="s">
        <v>4684</v>
      </c>
      <c r="K567" t="s">
        <v>4640</v>
      </c>
      <c r="L567" t="s">
        <v>3797</v>
      </c>
      <c r="M567" t="s">
        <v>3740</v>
      </c>
      <c r="N567" t="s">
        <v>118</v>
      </c>
      <c r="O567" t="s">
        <v>3801</v>
      </c>
      <c r="P567" s="9">
        <v>44259.510439814818</v>
      </c>
      <c r="Q567" t="s">
        <v>4643</v>
      </c>
      <c r="R567" t="s">
        <v>3794</v>
      </c>
    </row>
    <row r="568" spans="1:18" x14ac:dyDescent="0.25">
      <c r="A568" t="s">
        <v>4686</v>
      </c>
      <c r="B568" t="s">
        <v>4687</v>
      </c>
      <c r="C568">
        <v>2</v>
      </c>
      <c r="D568" t="s">
        <v>41</v>
      </c>
      <c r="E568">
        <v>17</v>
      </c>
      <c r="F568" t="s">
        <v>3793</v>
      </c>
      <c r="G568" t="s">
        <v>4686</v>
      </c>
      <c r="H568" t="s">
        <v>4639</v>
      </c>
      <c r="I568" t="s">
        <v>3794</v>
      </c>
      <c r="J568" t="s">
        <v>4687</v>
      </c>
      <c r="K568" t="s">
        <v>4640</v>
      </c>
      <c r="L568" t="s">
        <v>3797</v>
      </c>
      <c r="M568" t="s">
        <v>3739</v>
      </c>
      <c r="N568" t="s">
        <v>118</v>
      </c>
      <c r="O568" t="s">
        <v>4371</v>
      </c>
      <c r="P568" s="9">
        <v>44259.510439814818</v>
      </c>
      <c r="Q568" t="s">
        <v>4641</v>
      </c>
      <c r="R568" t="s">
        <v>3794</v>
      </c>
    </row>
    <row r="569" spans="1:18" x14ac:dyDescent="0.25">
      <c r="A569" t="s">
        <v>4688</v>
      </c>
      <c r="B569" t="s">
        <v>4687</v>
      </c>
      <c r="C569">
        <v>2</v>
      </c>
      <c r="D569" t="s">
        <v>41</v>
      </c>
      <c r="E569">
        <v>17</v>
      </c>
      <c r="F569" t="s">
        <v>3793</v>
      </c>
      <c r="G569" t="s">
        <v>4688</v>
      </c>
      <c r="H569" t="s">
        <v>4639</v>
      </c>
      <c r="I569" t="s">
        <v>3794</v>
      </c>
      <c r="J569" t="s">
        <v>4687</v>
      </c>
      <c r="K569" t="s">
        <v>4640</v>
      </c>
      <c r="L569" t="s">
        <v>3797</v>
      </c>
      <c r="M569" t="s">
        <v>3740</v>
      </c>
      <c r="N569" t="s">
        <v>118</v>
      </c>
      <c r="O569" t="s">
        <v>3801</v>
      </c>
      <c r="P569" s="9">
        <v>44259.510439814818</v>
      </c>
      <c r="Q569" t="s">
        <v>4643</v>
      </c>
      <c r="R569" t="s">
        <v>3794</v>
      </c>
    </row>
    <row r="570" spans="1:18" x14ac:dyDescent="0.25">
      <c r="A570" t="s">
        <v>4689</v>
      </c>
      <c r="B570" t="s">
        <v>4690</v>
      </c>
      <c r="C570">
        <v>2</v>
      </c>
      <c r="D570" t="s">
        <v>41</v>
      </c>
      <c r="E570">
        <v>17</v>
      </c>
      <c r="F570" t="s">
        <v>3793</v>
      </c>
      <c r="G570" t="s">
        <v>4689</v>
      </c>
      <c r="H570" t="s">
        <v>4639</v>
      </c>
      <c r="I570" t="s">
        <v>3794</v>
      </c>
      <c r="J570" t="s">
        <v>4690</v>
      </c>
      <c r="K570" t="s">
        <v>4640</v>
      </c>
      <c r="L570" t="s">
        <v>3797</v>
      </c>
      <c r="M570" t="s">
        <v>3739</v>
      </c>
      <c r="N570" t="s">
        <v>118</v>
      </c>
      <c r="O570" t="s">
        <v>4371</v>
      </c>
      <c r="P570" s="9">
        <v>44259.510439814818</v>
      </c>
      <c r="Q570" t="s">
        <v>4641</v>
      </c>
      <c r="R570" t="s">
        <v>3794</v>
      </c>
    </row>
    <row r="571" spans="1:18" x14ac:dyDescent="0.25">
      <c r="A571" t="s">
        <v>4691</v>
      </c>
      <c r="B571" t="s">
        <v>4690</v>
      </c>
      <c r="C571">
        <v>2</v>
      </c>
      <c r="D571" t="s">
        <v>41</v>
      </c>
      <c r="E571">
        <v>17</v>
      </c>
      <c r="F571" t="s">
        <v>3793</v>
      </c>
      <c r="G571" t="s">
        <v>4691</v>
      </c>
      <c r="H571" t="s">
        <v>4639</v>
      </c>
      <c r="I571" t="s">
        <v>3794</v>
      </c>
      <c r="J571" t="s">
        <v>4690</v>
      </c>
      <c r="K571" t="s">
        <v>4640</v>
      </c>
      <c r="L571" t="s">
        <v>3797</v>
      </c>
      <c r="M571" t="s">
        <v>3740</v>
      </c>
      <c r="N571" t="s">
        <v>118</v>
      </c>
      <c r="O571" t="s">
        <v>3801</v>
      </c>
      <c r="P571" s="9">
        <v>44259.510439814818</v>
      </c>
      <c r="Q571" t="s">
        <v>4643</v>
      </c>
      <c r="R571" t="s">
        <v>3794</v>
      </c>
    </row>
    <row r="572" spans="1:18" x14ac:dyDescent="0.25">
      <c r="A572" t="s">
        <v>4566</v>
      </c>
      <c r="B572" t="s">
        <v>4567</v>
      </c>
      <c r="C572">
        <v>2</v>
      </c>
      <c r="D572" t="s">
        <v>41</v>
      </c>
      <c r="E572">
        <v>17</v>
      </c>
      <c r="F572" t="s">
        <v>3793</v>
      </c>
      <c r="G572" t="s">
        <v>4566</v>
      </c>
      <c r="H572" t="s">
        <v>3787</v>
      </c>
      <c r="I572" t="s">
        <v>4568</v>
      </c>
      <c r="J572" t="s">
        <v>4567</v>
      </c>
      <c r="K572" t="s">
        <v>3804</v>
      </c>
      <c r="L572" t="s">
        <v>3797</v>
      </c>
      <c r="M572" t="s">
        <v>3739</v>
      </c>
      <c r="N572" t="s">
        <v>118</v>
      </c>
      <c r="O572" t="s">
        <v>4569</v>
      </c>
      <c r="P572" s="9">
        <v>44258.510474537034</v>
      </c>
      <c r="Q572" t="s">
        <v>3900</v>
      </c>
      <c r="R572" t="s">
        <v>3794</v>
      </c>
    </row>
    <row r="573" spans="1:18" x14ac:dyDescent="0.25">
      <c r="A573" t="s">
        <v>4570</v>
      </c>
      <c r="B573" t="s">
        <v>4567</v>
      </c>
      <c r="C573">
        <v>2</v>
      </c>
      <c r="D573" t="s">
        <v>41</v>
      </c>
      <c r="E573">
        <v>17</v>
      </c>
      <c r="F573" t="s">
        <v>3793</v>
      </c>
      <c r="G573" t="s">
        <v>4570</v>
      </c>
      <c r="H573" t="s">
        <v>3787</v>
      </c>
      <c r="I573" t="s">
        <v>3794</v>
      </c>
      <c r="J573" t="s">
        <v>4567</v>
      </c>
      <c r="K573" t="s">
        <v>3804</v>
      </c>
      <c r="L573" t="s">
        <v>3797</v>
      </c>
      <c r="M573" t="s">
        <v>3740</v>
      </c>
      <c r="N573" t="s">
        <v>118</v>
      </c>
      <c r="O573" t="s">
        <v>3801</v>
      </c>
      <c r="P573" s="9">
        <v>44258.510497685187</v>
      </c>
      <c r="Q573" t="s">
        <v>3902</v>
      </c>
      <c r="R573" t="s">
        <v>3794</v>
      </c>
    </row>
    <row r="574" spans="1:18" x14ac:dyDescent="0.25">
      <c r="A574" t="s">
        <v>4571</v>
      </c>
      <c r="B574" t="s">
        <v>4567</v>
      </c>
      <c r="C574">
        <v>2</v>
      </c>
      <c r="D574" t="s">
        <v>41</v>
      </c>
      <c r="E574">
        <v>17</v>
      </c>
      <c r="F574" t="s">
        <v>3793</v>
      </c>
      <c r="G574" t="s">
        <v>4571</v>
      </c>
      <c r="H574" t="s">
        <v>3787</v>
      </c>
      <c r="I574" t="s">
        <v>3794</v>
      </c>
      <c r="J574" t="s">
        <v>4567</v>
      </c>
      <c r="K574" t="s">
        <v>3804</v>
      </c>
      <c r="L574" t="s">
        <v>3797</v>
      </c>
      <c r="M574" t="s">
        <v>42</v>
      </c>
      <c r="N574" t="s">
        <v>118</v>
      </c>
      <c r="O574" t="s">
        <v>3805</v>
      </c>
      <c r="P574" s="9">
        <v>44258.510474537034</v>
      </c>
      <c r="Q574" t="s">
        <v>3806</v>
      </c>
      <c r="R574" t="s">
        <v>3794</v>
      </c>
    </row>
    <row r="575" spans="1:18" x14ac:dyDescent="0.25">
      <c r="A575" t="s">
        <v>4572</v>
      </c>
      <c r="B575" t="s">
        <v>4567</v>
      </c>
      <c r="C575">
        <v>2</v>
      </c>
      <c r="D575" t="s">
        <v>41</v>
      </c>
      <c r="E575">
        <v>17</v>
      </c>
      <c r="F575" t="s">
        <v>3793</v>
      </c>
      <c r="G575" t="s">
        <v>4572</v>
      </c>
      <c r="H575" t="s">
        <v>3787</v>
      </c>
      <c r="I575" t="s">
        <v>3794</v>
      </c>
      <c r="J575" t="s">
        <v>4567</v>
      </c>
      <c r="K575" t="s">
        <v>3804</v>
      </c>
      <c r="L575" t="s">
        <v>3797</v>
      </c>
      <c r="M575" t="s">
        <v>43</v>
      </c>
      <c r="N575" t="s">
        <v>118</v>
      </c>
      <c r="O575" t="s">
        <v>3801</v>
      </c>
      <c r="P575" s="9">
        <v>44258.510474537034</v>
      </c>
      <c r="Q575" t="s">
        <v>3813</v>
      </c>
      <c r="R575" t="s">
        <v>3794</v>
      </c>
    </row>
    <row r="576" spans="1:18" x14ac:dyDescent="0.25">
      <c r="A576" t="s">
        <v>4573</v>
      </c>
      <c r="B576" t="s">
        <v>4567</v>
      </c>
      <c r="C576">
        <v>2</v>
      </c>
      <c r="D576" t="s">
        <v>41</v>
      </c>
      <c r="E576">
        <v>17</v>
      </c>
      <c r="F576" t="s">
        <v>3793</v>
      </c>
      <c r="G576" t="s">
        <v>4573</v>
      </c>
      <c r="H576" t="s">
        <v>3787</v>
      </c>
      <c r="I576" t="s">
        <v>3794</v>
      </c>
      <c r="J576" t="s">
        <v>4567</v>
      </c>
      <c r="K576" t="s">
        <v>3804</v>
      </c>
      <c r="L576" t="s">
        <v>3797</v>
      </c>
      <c r="M576" t="s">
        <v>108</v>
      </c>
      <c r="N576" t="s">
        <v>119</v>
      </c>
      <c r="O576" t="s">
        <v>3815</v>
      </c>
      <c r="P576" s="9">
        <v>44258.510462962964</v>
      </c>
      <c r="Q576" t="s">
        <v>3816</v>
      </c>
      <c r="R576" t="s">
        <v>3794</v>
      </c>
    </row>
    <row r="577" spans="1:18" x14ac:dyDescent="0.25">
      <c r="A577" t="s">
        <v>4574</v>
      </c>
      <c r="B577" t="s">
        <v>4575</v>
      </c>
      <c r="C577">
        <v>2</v>
      </c>
      <c r="D577" t="s">
        <v>41</v>
      </c>
      <c r="E577">
        <v>17</v>
      </c>
      <c r="F577" t="s">
        <v>3793</v>
      </c>
      <c r="G577" t="s">
        <v>4574</v>
      </c>
      <c r="H577" t="s">
        <v>3787</v>
      </c>
      <c r="I577" t="s">
        <v>4576</v>
      </c>
      <c r="J577" t="s">
        <v>4575</v>
      </c>
      <c r="K577" t="s">
        <v>3804</v>
      </c>
      <c r="L577" t="s">
        <v>3797</v>
      </c>
      <c r="M577" t="s">
        <v>3739</v>
      </c>
      <c r="N577" t="s">
        <v>118</v>
      </c>
      <c r="O577" t="s">
        <v>4577</v>
      </c>
      <c r="P577" s="9">
        <v>44258.510474537034</v>
      </c>
      <c r="Q577" t="s">
        <v>3900</v>
      </c>
      <c r="R577" t="s">
        <v>3794</v>
      </c>
    </row>
    <row r="578" spans="1:18" x14ac:dyDescent="0.25">
      <c r="A578" t="s">
        <v>4578</v>
      </c>
      <c r="B578" t="s">
        <v>4575</v>
      </c>
      <c r="C578">
        <v>2</v>
      </c>
      <c r="D578" t="s">
        <v>41</v>
      </c>
      <c r="E578">
        <v>17</v>
      </c>
      <c r="F578" t="s">
        <v>3793</v>
      </c>
      <c r="G578" t="s">
        <v>4578</v>
      </c>
      <c r="H578" t="s">
        <v>3787</v>
      </c>
      <c r="I578" t="s">
        <v>3794</v>
      </c>
      <c r="J578" t="s">
        <v>4575</v>
      </c>
      <c r="K578" t="s">
        <v>3804</v>
      </c>
      <c r="L578" t="s">
        <v>3797</v>
      </c>
      <c r="M578" t="s">
        <v>3740</v>
      </c>
      <c r="N578" t="s">
        <v>118</v>
      </c>
      <c r="O578" t="s">
        <v>3801</v>
      </c>
      <c r="P578" s="9">
        <v>44258.510497685187</v>
      </c>
      <c r="Q578" t="s">
        <v>3902</v>
      </c>
      <c r="R578" t="s">
        <v>3794</v>
      </c>
    </row>
    <row r="579" spans="1:18" x14ac:dyDescent="0.25">
      <c r="A579" t="s">
        <v>4579</v>
      </c>
      <c r="B579" t="s">
        <v>4575</v>
      </c>
      <c r="C579">
        <v>2</v>
      </c>
      <c r="D579" t="s">
        <v>41</v>
      </c>
      <c r="E579">
        <v>17</v>
      </c>
      <c r="F579" t="s">
        <v>3793</v>
      </c>
      <c r="G579" t="s">
        <v>4579</v>
      </c>
      <c r="H579" t="s">
        <v>3787</v>
      </c>
      <c r="I579" t="s">
        <v>3794</v>
      </c>
      <c r="J579" t="s">
        <v>4575</v>
      </c>
      <c r="K579" t="s">
        <v>3804</v>
      </c>
      <c r="L579" t="s">
        <v>3797</v>
      </c>
      <c r="M579" t="s">
        <v>42</v>
      </c>
      <c r="N579" t="s">
        <v>118</v>
      </c>
      <c r="O579" t="s">
        <v>3805</v>
      </c>
      <c r="P579" s="9">
        <v>44258.510474537034</v>
      </c>
      <c r="Q579" t="s">
        <v>3806</v>
      </c>
      <c r="R579" t="s">
        <v>3794</v>
      </c>
    </row>
    <row r="580" spans="1:18" x14ac:dyDescent="0.25">
      <c r="A580" t="s">
        <v>4580</v>
      </c>
      <c r="B580" t="s">
        <v>4575</v>
      </c>
      <c r="C580">
        <v>2</v>
      </c>
      <c r="D580" t="s">
        <v>41</v>
      </c>
      <c r="E580">
        <v>17</v>
      </c>
      <c r="F580" t="s">
        <v>3793</v>
      </c>
      <c r="G580" t="s">
        <v>4580</v>
      </c>
      <c r="H580" t="s">
        <v>3787</v>
      </c>
      <c r="I580" t="s">
        <v>3794</v>
      </c>
      <c r="J580" t="s">
        <v>4575</v>
      </c>
      <c r="K580" t="s">
        <v>3804</v>
      </c>
      <c r="L580" t="s">
        <v>3797</v>
      </c>
      <c r="M580" t="s">
        <v>43</v>
      </c>
      <c r="N580" t="s">
        <v>118</v>
      </c>
      <c r="O580" t="s">
        <v>3801</v>
      </c>
      <c r="P580" s="9">
        <v>44258.510474537034</v>
      </c>
      <c r="Q580" t="s">
        <v>3813</v>
      </c>
      <c r="R580" t="s">
        <v>3794</v>
      </c>
    </row>
    <row r="581" spans="1:18" x14ac:dyDescent="0.25">
      <c r="A581" t="s">
        <v>4581</v>
      </c>
      <c r="B581" t="s">
        <v>4575</v>
      </c>
      <c r="C581">
        <v>2</v>
      </c>
      <c r="D581" t="s">
        <v>41</v>
      </c>
      <c r="E581">
        <v>17</v>
      </c>
      <c r="F581" t="s">
        <v>3793</v>
      </c>
      <c r="G581" t="s">
        <v>4581</v>
      </c>
      <c r="H581" t="s">
        <v>3787</v>
      </c>
      <c r="I581" t="s">
        <v>3794</v>
      </c>
      <c r="J581" t="s">
        <v>4575</v>
      </c>
      <c r="K581" t="s">
        <v>3804</v>
      </c>
      <c r="L581" t="s">
        <v>3797</v>
      </c>
      <c r="M581" t="s">
        <v>108</v>
      </c>
      <c r="N581" t="s">
        <v>119</v>
      </c>
      <c r="O581" t="s">
        <v>3815</v>
      </c>
      <c r="P581" s="9">
        <v>44258.510462962964</v>
      </c>
      <c r="Q581" t="s">
        <v>3816</v>
      </c>
      <c r="R581" t="s">
        <v>3794</v>
      </c>
    </row>
    <row r="582" spans="1:18" x14ac:dyDescent="0.25">
      <c r="A582" t="s">
        <v>4692</v>
      </c>
      <c r="B582" t="s">
        <v>4693</v>
      </c>
      <c r="C582">
        <v>2</v>
      </c>
      <c r="D582" t="s">
        <v>41</v>
      </c>
      <c r="E582">
        <v>17</v>
      </c>
      <c r="F582" t="s">
        <v>3793</v>
      </c>
      <c r="G582" t="s">
        <v>4692</v>
      </c>
      <c r="H582" t="s">
        <v>4639</v>
      </c>
      <c r="I582" t="s">
        <v>3794</v>
      </c>
      <c r="J582" t="s">
        <v>4693</v>
      </c>
      <c r="K582" t="s">
        <v>4640</v>
      </c>
      <c r="L582" t="s">
        <v>3797</v>
      </c>
      <c r="M582" t="s">
        <v>3739</v>
      </c>
      <c r="N582" t="s">
        <v>118</v>
      </c>
      <c r="O582" t="s">
        <v>4371</v>
      </c>
      <c r="P582" s="9">
        <v>44259.510439814818</v>
      </c>
      <c r="Q582" t="s">
        <v>4641</v>
      </c>
      <c r="R582" t="s">
        <v>3794</v>
      </c>
    </row>
    <row r="583" spans="1:18" x14ac:dyDescent="0.25">
      <c r="A583" t="s">
        <v>4694</v>
      </c>
      <c r="B583" t="s">
        <v>4693</v>
      </c>
      <c r="C583">
        <v>2</v>
      </c>
      <c r="D583" t="s">
        <v>41</v>
      </c>
      <c r="E583">
        <v>17</v>
      </c>
      <c r="F583" t="s">
        <v>3793</v>
      </c>
      <c r="G583" t="s">
        <v>4694</v>
      </c>
      <c r="H583" t="s">
        <v>4639</v>
      </c>
      <c r="I583" t="s">
        <v>3794</v>
      </c>
      <c r="J583" t="s">
        <v>4693</v>
      </c>
      <c r="K583" t="s">
        <v>4640</v>
      </c>
      <c r="L583" t="s">
        <v>3797</v>
      </c>
      <c r="M583" t="s">
        <v>3740</v>
      </c>
      <c r="N583" t="s">
        <v>118</v>
      </c>
      <c r="O583" t="s">
        <v>3801</v>
      </c>
      <c r="P583" s="9">
        <v>44259.510439814818</v>
      </c>
      <c r="Q583" t="s">
        <v>4643</v>
      </c>
      <c r="R583" t="s">
        <v>3794</v>
      </c>
    </row>
    <row r="584" spans="1:18" x14ac:dyDescent="0.25">
      <c r="A584" t="s">
        <v>4695</v>
      </c>
      <c r="B584" t="s">
        <v>4696</v>
      </c>
      <c r="C584">
        <v>2</v>
      </c>
      <c r="D584" t="s">
        <v>41</v>
      </c>
      <c r="E584">
        <v>17</v>
      </c>
      <c r="F584" t="s">
        <v>3793</v>
      </c>
      <c r="G584" t="s">
        <v>4695</v>
      </c>
      <c r="H584" t="s">
        <v>4639</v>
      </c>
      <c r="I584" t="s">
        <v>3794</v>
      </c>
      <c r="J584" t="s">
        <v>4696</v>
      </c>
      <c r="K584" t="s">
        <v>4640</v>
      </c>
      <c r="L584" t="s">
        <v>3797</v>
      </c>
      <c r="M584" t="s">
        <v>3739</v>
      </c>
      <c r="N584" t="s">
        <v>118</v>
      </c>
      <c r="O584" t="s">
        <v>4371</v>
      </c>
      <c r="P584" s="9">
        <v>44259.510439814818</v>
      </c>
      <c r="Q584" t="s">
        <v>4641</v>
      </c>
      <c r="R584" t="s">
        <v>3794</v>
      </c>
    </row>
    <row r="585" spans="1:18" x14ac:dyDescent="0.25">
      <c r="A585" t="s">
        <v>4697</v>
      </c>
      <c r="B585" t="s">
        <v>4696</v>
      </c>
      <c r="C585">
        <v>2</v>
      </c>
      <c r="D585" t="s">
        <v>41</v>
      </c>
      <c r="E585">
        <v>17</v>
      </c>
      <c r="F585" t="s">
        <v>3793</v>
      </c>
      <c r="G585" t="s">
        <v>4697</v>
      </c>
      <c r="H585" t="s">
        <v>4639</v>
      </c>
      <c r="I585" t="s">
        <v>3794</v>
      </c>
      <c r="J585" t="s">
        <v>4696</v>
      </c>
      <c r="K585" t="s">
        <v>4640</v>
      </c>
      <c r="L585" t="s">
        <v>3797</v>
      </c>
      <c r="M585" t="s">
        <v>3740</v>
      </c>
      <c r="N585" t="s">
        <v>118</v>
      </c>
      <c r="O585" t="s">
        <v>3801</v>
      </c>
      <c r="P585" s="9">
        <v>44259.510439814818</v>
      </c>
      <c r="Q585" t="s">
        <v>4643</v>
      </c>
      <c r="R585" t="s">
        <v>3794</v>
      </c>
    </row>
    <row r="586" spans="1:18" x14ac:dyDescent="0.25">
      <c r="A586" t="s">
        <v>4698</v>
      </c>
      <c r="B586" t="s">
        <v>4699</v>
      </c>
      <c r="C586">
        <v>2</v>
      </c>
      <c r="D586" t="s">
        <v>41</v>
      </c>
      <c r="E586">
        <v>17</v>
      </c>
      <c r="F586" t="s">
        <v>3793</v>
      </c>
      <c r="G586" t="s">
        <v>4698</v>
      </c>
      <c r="H586" t="s">
        <v>4639</v>
      </c>
      <c r="I586" t="s">
        <v>3794</v>
      </c>
      <c r="J586" t="s">
        <v>4699</v>
      </c>
      <c r="K586" t="s">
        <v>4640</v>
      </c>
      <c r="L586" t="s">
        <v>3797</v>
      </c>
      <c r="M586" t="s">
        <v>3739</v>
      </c>
      <c r="N586" t="s">
        <v>118</v>
      </c>
      <c r="O586" t="s">
        <v>4371</v>
      </c>
      <c r="P586" s="9">
        <v>44259.510439814818</v>
      </c>
      <c r="Q586" t="s">
        <v>4641</v>
      </c>
      <c r="R586" t="s">
        <v>3794</v>
      </c>
    </row>
    <row r="587" spans="1:18" x14ac:dyDescent="0.25">
      <c r="A587" t="s">
        <v>4700</v>
      </c>
      <c r="B587" t="s">
        <v>4699</v>
      </c>
      <c r="C587">
        <v>2</v>
      </c>
      <c r="D587" t="s">
        <v>41</v>
      </c>
      <c r="E587">
        <v>17</v>
      </c>
      <c r="F587" t="s">
        <v>3793</v>
      </c>
      <c r="G587" t="s">
        <v>4700</v>
      </c>
      <c r="H587" t="s">
        <v>4639</v>
      </c>
      <c r="I587" t="s">
        <v>3794</v>
      </c>
      <c r="J587" t="s">
        <v>4699</v>
      </c>
      <c r="K587" t="s">
        <v>4640</v>
      </c>
      <c r="L587" t="s">
        <v>3797</v>
      </c>
      <c r="M587" t="s">
        <v>3740</v>
      </c>
      <c r="N587" t="s">
        <v>118</v>
      </c>
      <c r="O587" t="s">
        <v>3801</v>
      </c>
      <c r="P587" s="9">
        <v>44259.510439814818</v>
      </c>
      <c r="Q587" t="s">
        <v>4643</v>
      </c>
      <c r="R587" t="s">
        <v>3794</v>
      </c>
    </row>
    <row r="588" spans="1:18" x14ac:dyDescent="0.25">
      <c r="A588" t="s">
        <v>4582</v>
      </c>
      <c r="B588" t="s">
        <v>4583</v>
      </c>
      <c r="C588">
        <v>2</v>
      </c>
      <c r="D588" t="s">
        <v>41</v>
      </c>
      <c r="E588">
        <v>17</v>
      </c>
      <c r="F588" t="s">
        <v>3793</v>
      </c>
      <c r="G588" t="s">
        <v>4582</v>
      </c>
      <c r="H588" t="s">
        <v>3787</v>
      </c>
      <c r="I588" t="s">
        <v>4584</v>
      </c>
      <c r="J588" t="s">
        <v>4583</v>
      </c>
      <c r="K588" t="s">
        <v>3804</v>
      </c>
      <c r="L588" t="s">
        <v>3797</v>
      </c>
      <c r="M588" t="s">
        <v>3739</v>
      </c>
      <c r="N588" t="s">
        <v>118</v>
      </c>
      <c r="O588" t="s">
        <v>4585</v>
      </c>
      <c r="P588" s="9">
        <v>44258.510474537034</v>
      </c>
      <c r="Q588" t="s">
        <v>3900</v>
      </c>
      <c r="R588" t="s">
        <v>3794</v>
      </c>
    </row>
    <row r="589" spans="1:18" x14ac:dyDescent="0.25">
      <c r="A589" t="s">
        <v>4586</v>
      </c>
      <c r="B589" t="s">
        <v>4583</v>
      </c>
      <c r="C589">
        <v>2</v>
      </c>
      <c r="D589" t="s">
        <v>41</v>
      </c>
      <c r="E589">
        <v>17</v>
      </c>
      <c r="F589" t="s">
        <v>3793</v>
      </c>
      <c r="G589" t="s">
        <v>4586</v>
      </c>
      <c r="H589" t="s">
        <v>3787</v>
      </c>
      <c r="I589" t="s">
        <v>3794</v>
      </c>
      <c r="J589" t="s">
        <v>4583</v>
      </c>
      <c r="K589" t="s">
        <v>3804</v>
      </c>
      <c r="L589" t="s">
        <v>3797</v>
      </c>
      <c r="M589" t="s">
        <v>3740</v>
      </c>
      <c r="N589" t="s">
        <v>118</v>
      </c>
      <c r="O589" t="s">
        <v>3801</v>
      </c>
      <c r="P589" s="9">
        <v>44258.510497685187</v>
      </c>
      <c r="Q589" t="s">
        <v>3902</v>
      </c>
      <c r="R589" t="s">
        <v>3794</v>
      </c>
    </row>
    <row r="590" spans="1:18" x14ac:dyDescent="0.25">
      <c r="A590" t="s">
        <v>4587</v>
      </c>
      <c r="B590" t="s">
        <v>4583</v>
      </c>
      <c r="C590">
        <v>2</v>
      </c>
      <c r="D590" t="s">
        <v>41</v>
      </c>
      <c r="E590">
        <v>17</v>
      </c>
      <c r="F590" t="s">
        <v>3793</v>
      </c>
      <c r="G590" t="s">
        <v>4587</v>
      </c>
      <c r="H590" t="s">
        <v>3787</v>
      </c>
      <c r="I590" t="s">
        <v>3794</v>
      </c>
      <c r="J590" t="s">
        <v>4583</v>
      </c>
      <c r="K590" t="s">
        <v>3804</v>
      </c>
      <c r="L590" t="s">
        <v>3797</v>
      </c>
      <c r="M590" t="s">
        <v>42</v>
      </c>
      <c r="N590" t="s">
        <v>118</v>
      </c>
      <c r="O590" t="s">
        <v>3805</v>
      </c>
      <c r="P590" s="9">
        <v>44258.510474537034</v>
      </c>
      <c r="Q590" t="s">
        <v>3806</v>
      </c>
      <c r="R590" t="s">
        <v>3794</v>
      </c>
    </row>
    <row r="591" spans="1:18" x14ac:dyDescent="0.25">
      <c r="A591" t="s">
        <v>4588</v>
      </c>
      <c r="B591" t="s">
        <v>4583</v>
      </c>
      <c r="C591">
        <v>2</v>
      </c>
      <c r="D591" t="s">
        <v>41</v>
      </c>
      <c r="E591">
        <v>17</v>
      </c>
      <c r="F591" t="s">
        <v>3793</v>
      </c>
      <c r="G591" t="s">
        <v>4588</v>
      </c>
      <c r="H591" t="s">
        <v>3787</v>
      </c>
      <c r="I591" t="s">
        <v>3794</v>
      </c>
      <c r="J591" t="s">
        <v>4583</v>
      </c>
      <c r="K591" t="s">
        <v>3804</v>
      </c>
      <c r="L591" t="s">
        <v>3797</v>
      </c>
      <c r="M591" t="s">
        <v>43</v>
      </c>
      <c r="N591" t="s">
        <v>118</v>
      </c>
      <c r="O591" t="s">
        <v>3801</v>
      </c>
      <c r="P591" s="9">
        <v>44258.510474537034</v>
      </c>
      <c r="Q591" t="s">
        <v>3813</v>
      </c>
      <c r="R591" t="s">
        <v>3794</v>
      </c>
    </row>
    <row r="592" spans="1:18" x14ac:dyDescent="0.25">
      <c r="A592" t="s">
        <v>4589</v>
      </c>
      <c r="B592" t="s">
        <v>4583</v>
      </c>
      <c r="C592">
        <v>2</v>
      </c>
      <c r="D592" t="s">
        <v>41</v>
      </c>
      <c r="E592">
        <v>17</v>
      </c>
      <c r="F592" t="s">
        <v>3793</v>
      </c>
      <c r="G592" t="s">
        <v>4589</v>
      </c>
      <c r="H592" t="s">
        <v>3787</v>
      </c>
      <c r="I592" t="s">
        <v>3794</v>
      </c>
      <c r="J592" t="s">
        <v>4583</v>
      </c>
      <c r="K592" t="s">
        <v>3804</v>
      </c>
      <c r="L592" t="s">
        <v>3797</v>
      </c>
      <c r="M592" t="s">
        <v>108</v>
      </c>
      <c r="N592" t="s">
        <v>119</v>
      </c>
      <c r="O592" t="s">
        <v>3815</v>
      </c>
      <c r="P592" s="9">
        <v>44258.510462962964</v>
      </c>
      <c r="Q592" t="s">
        <v>3816</v>
      </c>
      <c r="R592" t="s">
        <v>3794</v>
      </c>
    </row>
    <row r="593" spans="1:18" x14ac:dyDescent="0.25">
      <c r="A593" t="s">
        <v>4590</v>
      </c>
      <c r="B593" t="s">
        <v>4591</v>
      </c>
      <c r="C593">
        <v>2</v>
      </c>
      <c r="D593" t="s">
        <v>41</v>
      </c>
      <c r="E593">
        <v>17</v>
      </c>
      <c r="F593" t="s">
        <v>3793</v>
      </c>
      <c r="G593" t="s">
        <v>4590</v>
      </c>
      <c r="H593" t="s">
        <v>3787</v>
      </c>
      <c r="I593" t="s">
        <v>4592</v>
      </c>
      <c r="J593" t="s">
        <v>4591</v>
      </c>
      <c r="K593" t="s">
        <v>3804</v>
      </c>
      <c r="L593" t="s">
        <v>3797</v>
      </c>
      <c r="M593" t="s">
        <v>3739</v>
      </c>
      <c r="N593" t="s">
        <v>118</v>
      </c>
      <c r="O593" t="s">
        <v>4593</v>
      </c>
      <c r="P593" s="9">
        <v>44258.510474537034</v>
      </c>
      <c r="Q593" t="s">
        <v>3900</v>
      </c>
      <c r="R593" t="s">
        <v>3794</v>
      </c>
    </row>
    <row r="594" spans="1:18" x14ac:dyDescent="0.25">
      <c r="A594" t="s">
        <v>4594</v>
      </c>
      <c r="B594" t="s">
        <v>4591</v>
      </c>
      <c r="C594">
        <v>2</v>
      </c>
      <c r="D594" t="s">
        <v>41</v>
      </c>
      <c r="E594">
        <v>17</v>
      </c>
      <c r="F594" t="s">
        <v>3793</v>
      </c>
      <c r="G594" t="s">
        <v>4594</v>
      </c>
      <c r="H594" t="s">
        <v>3787</v>
      </c>
      <c r="I594" t="s">
        <v>3794</v>
      </c>
      <c r="J594" t="s">
        <v>4591</v>
      </c>
      <c r="K594" t="s">
        <v>3804</v>
      </c>
      <c r="L594" t="s">
        <v>3797</v>
      </c>
      <c r="M594" t="s">
        <v>3740</v>
      </c>
      <c r="N594" t="s">
        <v>118</v>
      </c>
      <c r="O594" t="s">
        <v>3801</v>
      </c>
      <c r="P594" s="9">
        <v>44258.510497685187</v>
      </c>
      <c r="Q594" t="s">
        <v>3902</v>
      </c>
      <c r="R594" t="s">
        <v>3794</v>
      </c>
    </row>
    <row r="595" spans="1:18" x14ac:dyDescent="0.25">
      <c r="A595" t="s">
        <v>4595</v>
      </c>
      <c r="B595" t="s">
        <v>4591</v>
      </c>
      <c r="C595">
        <v>2</v>
      </c>
      <c r="D595" t="s">
        <v>41</v>
      </c>
      <c r="E595">
        <v>17</v>
      </c>
      <c r="F595" t="s">
        <v>3793</v>
      </c>
      <c r="G595" t="s">
        <v>4595</v>
      </c>
      <c r="H595" t="s">
        <v>3787</v>
      </c>
      <c r="I595" t="s">
        <v>3794</v>
      </c>
      <c r="J595" t="s">
        <v>4591</v>
      </c>
      <c r="K595" t="s">
        <v>3804</v>
      </c>
      <c r="L595" t="s">
        <v>3797</v>
      </c>
      <c r="M595" t="s">
        <v>42</v>
      </c>
      <c r="N595" t="s">
        <v>118</v>
      </c>
      <c r="O595" t="s">
        <v>3805</v>
      </c>
      <c r="P595" s="9">
        <v>44258.510474537034</v>
      </c>
      <c r="Q595" t="s">
        <v>3806</v>
      </c>
      <c r="R595" t="s">
        <v>3794</v>
      </c>
    </row>
    <row r="596" spans="1:18" x14ac:dyDescent="0.25">
      <c r="A596" t="s">
        <v>4596</v>
      </c>
      <c r="B596" t="s">
        <v>4591</v>
      </c>
      <c r="C596">
        <v>2</v>
      </c>
      <c r="D596" t="s">
        <v>41</v>
      </c>
      <c r="E596">
        <v>17</v>
      </c>
      <c r="F596" t="s">
        <v>3793</v>
      </c>
      <c r="G596" t="s">
        <v>4596</v>
      </c>
      <c r="H596" t="s">
        <v>3787</v>
      </c>
      <c r="I596" t="s">
        <v>3794</v>
      </c>
      <c r="J596" t="s">
        <v>4591</v>
      </c>
      <c r="K596" t="s">
        <v>3804</v>
      </c>
      <c r="L596" t="s">
        <v>3797</v>
      </c>
      <c r="M596" t="s">
        <v>43</v>
      </c>
      <c r="N596" t="s">
        <v>118</v>
      </c>
      <c r="O596" t="s">
        <v>3801</v>
      </c>
      <c r="P596" s="9">
        <v>44258.510474537034</v>
      </c>
      <c r="Q596" t="s">
        <v>3813</v>
      </c>
      <c r="R596" t="s">
        <v>3794</v>
      </c>
    </row>
    <row r="597" spans="1:18" x14ac:dyDescent="0.25">
      <c r="A597" t="s">
        <v>4597</v>
      </c>
      <c r="B597" t="s">
        <v>4591</v>
      </c>
      <c r="C597">
        <v>2</v>
      </c>
      <c r="D597" t="s">
        <v>41</v>
      </c>
      <c r="E597">
        <v>17</v>
      </c>
      <c r="F597" t="s">
        <v>3793</v>
      </c>
      <c r="G597" t="s">
        <v>4597</v>
      </c>
      <c r="H597" t="s">
        <v>3787</v>
      </c>
      <c r="I597" t="s">
        <v>3794</v>
      </c>
      <c r="J597" t="s">
        <v>4591</v>
      </c>
      <c r="K597" t="s">
        <v>3804</v>
      </c>
      <c r="L597" t="s">
        <v>3797</v>
      </c>
      <c r="M597" t="s">
        <v>108</v>
      </c>
      <c r="N597" t="s">
        <v>119</v>
      </c>
      <c r="O597" t="s">
        <v>3815</v>
      </c>
      <c r="P597" s="9">
        <v>44258.510462962964</v>
      </c>
      <c r="Q597" t="s">
        <v>3816</v>
      </c>
      <c r="R597" t="s">
        <v>3794</v>
      </c>
    </row>
    <row r="598" spans="1:18" x14ac:dyDescent="0.25">
      <c r="A598" t="s">
        <v>4598</v>
      </c>
      <c r="B598" t="s">
        <v>4599</v>
      </c>
      <c r="C598">
        <v>2</v>
      </c>
      <c r="D598" t="s">
        <v>41</v>
      </c>
      <c r="E598">
        <v>17</v>
      </c>
      <c r="F598" t="s">
        <v>3793</v>
      </c>
      <c r="G598" t="s">
        <v>4598</v>
      </c>
      <c r="H598" t="s">
        <v>3787</v>
      </c>
      <c r="I598" t="s">
        <v>4600</v>
      </c>
      <c r="J598" t="s">
        <v>4599</v>
      </c>
      <c r="K598" t="s">
        <v>3804</v>
      </c>
      <c r="L598" t="s">
        <v>3797</v>
      </c>
      <c r="M598" t="s">
        <v>3739</v>
      </c>
      <c r="N598" t="s">
        <v>118</v>
      </c>
      <c r="O598" t="s">
        <v>4601</v>
      </c>
      <c r="P598" s="9">
        <v>44258.510474537034</v>
      </c>
      <c r="Q598" t="s">
        <v>3900</v>
      </c>
      <c r="R598" t="s">
        <v>3794</v>
      </c>
    </row>
    <row r="599" spans="1:18" x14ac:dyDescent="0.25">
      <c r="A599" t="s">
        <v>4602</v>
      </c>
      <c r="B599" t="s">
        <v>4599</v>
      </c>
      <c r="C599">
        <v>2</v>
      </c>
      <c r="D599" t="s">
        <v>41</v>
      </c>
      <c r="E599">
        <v>17</v>
      </c>
      <c r="F599" t="s">
        <v>3793</v>
      </c>
      <c r="G599" t="s">
        <v>4602</v>
      </c>
      <c r="H599" t="s">
        <v>3787</v>
      </c>
      <c r="I599" t="s">
        <v>3794</v>
      </c>
      <c r="J599" t="s">
        <v>4599</v>
      </c>
      <c r="K599" t="s">
        <v>3804</v>
      </c>
      <c r="L599" t="s">
        <v>3797</v>
      </c>
      <c r="M599" t="s">
        <v>3740</v>
      </c>
      <c r="N599" t="s">
        <v>118</v>
      </c>
      <c r="O599" t="s">
        <v>3801</v>
      </c>
      <c r="P599" s="9">
        <v>44258.510497685187</v>
      </c>
      <c r="Q599" t="s">
        <v>3902</v>
      </c>
      <c r="R599" t="s">
        <v>3794</v>
      </c>
    </row>
    <row r="600" spans="1:18" x14ac:dyDescent="0.25">
      <c r="A600" t="s">
        <v>4603</v>
      </c>
      <c r="B600" t="s">
        <v>4599</v>
      </c>
      <c r="C600">
        <v>2</v>
      </c>
      <c r="D600" t="s">
        <v>41</v>
      </c>
      <c r="E600">
        <v>17</v>
      </c>
      <c r="F600" t="s">
        <v>3793</v>
      </c>
      <c r="G600" t="s">
        <v>4603</v>
      </c>
      <c r="H600" t="s">
        <v>3787</v>
      </c>
      <c r="I600" t="s">
        <v>3794</v>
      </c>
      <c r="J600" t="s">
        <v>4599</v>
      </c>
      <c r="K600" t="s">
        <v>3804</v>
      </c>
      <c r="L600" t="s">
        <v>3797</v>
      </c>
      <c r="M600" t="s">
        <v>42</v>
      </c>
      <c r="N600" t="s">
        <v>118</v>
      </c>
      <c r="O600" t="s">
        <v>3805</v>
      </c>
      <c r="P600" s="9">
        <v>44258.510474537034</v>
      </c>
      <c r="Q600" t="s">
        <v>3806</v>
      </c>
      <c r="R600" t="s">
        <v>3794</v>
      </c>
    </row>
    <row r="601" spans="1:18" x14ac:dyDescent="0.25">
      <c r="A601" t="s">
        <v>4604</v>
      </c>
      <c r="B601" t="s">
        <v>4599</v>
      </c>
      <c r="C601">
        <v>2</v>
      </c>
      <c r="D601" t="s">
        <v>41</v>
      </c>
      <c r="E601">
        <v>17</v>
      </c>
      <c r="F601" t="s">
        <v>3793</v>
      </c>
      <c r="G601" t="s">
        <v>4604</v>
      </c>
      <c r="H601" t="s">
        <v>3787</v>
      </c>
      <c r="I601" t="s">
        <v>3794</v>
      </c>
      <c r="J601" t="s">
        <v>4599</v>
      </c>
      <c r="K601" t="s">
        <v>3804</v>
      </c>
      <c r="L601" t="s">
        <v>3797</v>
      </c>
      <c r="M601" t="s">
        <v>43</v>
      </c>
      <c r="N601" t="s">
        <v>118</v>
      </c>
      <c r="O601" t="s">
        <v>3801</v>
      </c>
      <c r="P601" s="9">
        <v>44258.510474537034</v>
      </c>
      <c r="Q601" t="s">
        <v>3813</v>
      </c>
      <c r="R601" t="s">
        <v>3794</v>
      </c>
    </row>
    <row r="602" spans="1:18" x14ac:dyDescent="0.25">
      <c r="A602" t="s">
        <v>4605</v>
      </c>
      <c r="B602" t="s">
        <v>4599</v>
      </c>
      <c r="C602">
        <v>2</v>
      </c>
      <c r="D602" t="s">
        <v>41</v>
      </c>
      <c r="E602">
        <v>17</v>
      </c>
      <c r="F602" t="s">
        <v>3793</v>
      </c>
      <c r="G602" t="s">
        <v>4605</v>
      </c>
      <c r="H602" t="s">
        <v>3787</v>
      </c>
      <c r="I602" t="s">
        <v>3794</v>
      </c>
      <c r="J602" t="s">
        <v>4599</v>
      </c>
      <c r="K602" t="s">
        <v>3804</v>
      </c>
      <c r="L602" t="s">
        <v>3797</v>
      </c>
      <c r="M602" t="s">
        <v>108</v>
      </c>
      <c r="N602" t="s">
        <v>119</v>
      </c>
      <c r="O602" t="s">
        <v>3815</v>
      </c>
      <c r="P602" s="9">
        <v>44258.510462962964</v>
      </c>
      <c r="Q602" t="s">
        <v>3816</v>
      </c>
      <c r="R602" t="s">
        <v>3794</v>
      </c>
    </row>
    <row r="603" spans="1:18" x14ac:dyDescent="0.25">
      <c r="A603" t="s">
        <v>4606</v>
      </c>
      <c r="B603" t="s">
        <v>4607</v>
      </c>
      <c r="C603">
        <v>2</v>
      </c>
      <c r="D603" t="s">
        <v>41</v>
      </c>
      <c r="E603">
        <v>17</v>
      </c>
      <c r="F603" t="s">
        <v>3793</v>
      </c>
      <c r="G603" t="s">
        <v>4606</v>
      </c>
      <c r="H603" t="s">
        <v>3787</v>
      </c>
      <c r="I603" t="s">
        <v>4608</v>
      </c>
      <c r="J603" t="s">
        <v>4607</v>
      </c>
      <c r="K603" t="s">
        <v>3804</v>
      </c>
      <c r="L603" t="s">
        <v>3797</v>
      </c>
      <c r="M603" t="s">
        <v>3739</v>
      </c>
      <c r="N603" t="s">
        <v>118</v>
      </c>
      <c r="O603" t="s">
        <v>4609</v>
      </c>
      <c r="P603" s="9">
        <v>44258.510474537034</v>
      </c>
      <c r="Q603" t="s">
        <v>3900</v>
      </c>
      <c r="R603" t="s">
        <v>3794</v>
      </c>
    </row>
    <row r="604" spans="1:18" x14ac:dyDescent="0.25">
      <c r="A604" t="s">
        <v>4610</v>
      </c>
      <c r="B604" t="s">
        <v>4607</v>
      </c>
      <c r="C604">
        <v>2</v>
      </c>
      <c r="D604" t="s">
        <v>41</v>
      </c>
      <c r="E604">
        <v>17</v>
      </c>
      <c r="F604" t="s">
        <v>3793</v>
      </c>
      <c r="G604" t="s">
        <v>4610</v>
      </c>
      <c r="H604" t="s">
        <v>3787</v>
      </c>
      <c r="I604" t="s">
        <v>3794</v>
      </c>
      <c r="J604" t="s">
        <v>4607</v>
      </c>
      <c r="K604" t="s">
        <v>3804</v>
      </c>
      <c r="L604" t="s">
        <v>3797</v>
      </c>
      <c r="M604" t="s">
        <v>3740</v>
      </c>
      <c r="N604" t="s">
        <v>118</v>
      </c>
      <c r="O604" t="s">
        <v>3801</v>
      </c>
      <c r="P604" s="9">
        <v>44258.510497685187</v>
      </c>
      <c r="Q604" t="s">
        <v>3902</v>
      </c>
      <c r="R604" t="s">
        <v>3794</v>
      </c>
    </row>
    <row r="605" spans="1:18" x14ac:dyDescent="0.25">
      <c r="A605" t="s">
        <v>4611</v>
      </c>
      <c r="B605" t="s">
        <v>4607</v>
      </c>
      <c r="C605">
        <v>2</v>
      </c>
      <c r="D605" t="s">
        <v>41</v>
      </c>
      <c r="E605">
        <v>17</v>
      </c>
      <c r="F605" t="s">
        <v>3793</v>
      </c>
      <c r="G605" t="s">
        <v>4611</v>
      </c>
      <c r="H605" t="s">
        <v>3787</v>
      </c>
      <c r="I605" t="s">
        <v>3794</v>
      </c>
      <c r="J605" t="s">
        <v>4607</v>
      </c>
      <c r="K605" t="s">
        <v>3804</v>
      </c>
      <c r="L605" t="s">
        <v>3797</v>
      </c>
      <c r="M605" t="s">
        <v>42</v>
      </c>
      <c r="N605" t="s">
        <v>118</v>
      </c>
      <c r="O605" t="s">
        <v>3805</v>
      </c>
      <c r="P605" s="9">
        <v>44258.510474537034</v>
      </c>
      <c r="Q605" t="s">
        <v>3806</v>
      </c>
      <c r="R605" t="s">
        <v>3794</v>
      </c>
    </row>
    <row r="606" spans="1:18" x14ac:dyDescent="0.25">
      <c r="A606" t="s">
        <v>4612</v>
      </c>
      <c r="B606" t="s">
        <v>4607</v>
      </c>
      <c r="C606">
        <v>2</v>
      </c>
      <c r="D606" t="s">
        <v>41</v>
      </c>
      <c r="E606">
        <v>17</v>
      </c>
      <c r="F606" t="s">
        <v>3793</v>
      </c>
      <c r="G606" t="s">
        <v>4612</v>
      </c>
      <c r="H606" t="s">
        <v>3787</v>
      </c>
      <c r="I606" t="s">
        <v>3794</v>
      </c>
      <c r="J606" t="s">
        <v>4607</v>
      </c>
      <c r="K606" t="s">
        <v>3804</v>
      </c>
      <c r="L606" t="s">
        <v>3797</v>
      </c>
      <c r="M606" t="s">
        <v>43</v>
      </c>
      <c r="N606" t="s">
        <v>118</v>
      </c>
      <c r="O606" t="s">
        <v>3801</v>
      </c>
      <c r="P606" s="9">
        <v>44258.510474537034</v>
      </c>
      <c r="Q606" t="s">
        <v>3813</v>
      </c>
      <c r="R606" t="s">
        <v>3794</v>
      </c>
    </row>
    <row r="607" spans="1:18" x14ac:dyDescent="0.25">
      <c r="A607" t="s">
        <v>4613</v>
      </c>
      <c r="B607" t="s">
        <v>4607</v>
      </c>
      <c r="C607">
        <v>2</v>
      </c>
      <c r="D607" t="s">
        <v>41</v>
      </c>
      <c r="E607">
        <v>17</v>
      </c>
      <c r="F607" t="s">
        <v>3793</v>
      </c>
      <c r="G607" t="s">
        <v>4613</v>
      </c>
      <c r="H607" t="s">
        <v>3787</v>
      </c>
      <c r="I607" t="s">
        <v>3794</v>
      </c>
      <c r="J607" t="s">
        <v>4607</v>
      </c>
      <c r="K607" t="s">
        <v>3804</v>
      </c>
      <c r="L607" t="s">
        <v>3797</v>
      </c>
      <c r="M607" t="s">
        <v>108</v>
      </c>
      <c r="N607" t="s">
        <v>119</v>
      </c>
      <c r="O607" t="s">
        <v>3815</v>
      </c>
      <c r="P607" s="9">
        <v>44258.510462962964</v>
      </c>
      <c r="Q607" t="s">
        <v>3816</v>
      </c>
      <c r="R607" t="s">
        <v>3794</v>
      </c>
    </row>
    <row r="608" spans="1:18" x14ac:dyDescent="0.25">
      <c r="A608" t="s">
        <v>4614</v>
      </c>
      <c r="B608" t="s">
        <v>4615</v>
      </c>
      <c r="C608">
        <v>2</v>
      </c>
      <c r="D608" t="s">
        <v>41</v>
      </c>
      <c r="E608">
        <v>17</v>
      </c>
      <c r="F608" t="s">
        <v>3793</v>
      </c>
      <c r="G608" t="s">
        <v>4614</v>
      </c>
      <c r="H608" t="s">
        <v>3787</v>
      </c>
      <c r="I608" t="s">
        <v>4616</v>
      </c>
      <c r="J608" t="s">
        <v>4615</v>
      </c>
      <c r="K608" t="s">
        <v>3804</v>
      </c>
      <c r="L608" t="s">
        <v>3797</v>
      </c>
      <c r="M608" t="s">
        <v>3739</v>
      </c>
      <c r="N608" t="s">
        <v>118</v>
      </c>
      <c r="O608" t="s">
        <v>4617</v>
      </c>
      <c r="P608" s="9">
        <v>44258.510474537034</v>
      </c>
      <c r="Q608" t="s">
        <v>3900</v>
      </c>
      <c r="R608" t="s">
        <v>3794</v>
      </c>
    </row>
    <row r="609" spans="1:18" x14ac:dyDescent="0.25">
      <c r="A609" t="s">
        <v>4618</v>
      </c>
      <c r="B609" t="s">
        <v>4615</v>
      </c>
      <c r="C609">
        <v>2</v>
      </c>
      <c r="D609" t="s">
        <v>41</v>
      </c>
      <c r="E609">
        <v>17</v>
      </c>
      <c r="F609" t="s">
        <v>3793</v>
      </c>
      <c r="G609" t="s">
        <v>4618</v>
      </c>
      <c r="H609" t="s">
        <v>3787</v>
      </c>
      <c r="I609" t="s">
        <v>3794</v>
      </c>
      <c r="J609" t="s">
        <v>4615</v>
      </c>
      <c r="K609" t="s">
        <v>3804</v>
      </c>
      <c r="L609" t="s">
        <v>3797</v>
      </c>
      <c r="M609" t="s">
        <v>3740</v>
      </c>
      <c r="N609" t="s">
        <v>118</v>
      </c>
      <c r="O609" t="s">
        <v>3801</v>
      </c>
      <c r="P609" s="9">
        <v>44258.510497685187</v>
      </c>
      <c r="Q609" t="s">
        <v>3902</v>
      </c>
      <c r="R609" t="s">
        <v>3794</v>
      </c>
    </row>
    <row r="610" spans="1:18" x14ac:dyDescent="0.25">
      <c r="A610" t="s">
        <v>4619</v>
      </c>
      <c r="B610" t="s">
        <v>4615</v>
      </c>
      <c r="C610">
        <v>2</v>
      </c>
      <c r="D610" t="s">
        <v>41</v>
      </c>
      <c r="E610">
        <v>17</v>
      </c>
      <c r="F610" t="s">
        <v>3793</v>
      </c>
      <c r="G610" t="s">
        <v>4619</v>
      </c>
      <c r="H610" t="s">
        <v>3787</v>
      </c>
      <c r="I610" t="s">
        <v>3794</v>
      </c>
      <c r="J610" t="s">
        <v>4615</v>
      </c>
      <c r="K610" t="s">
        <v>3804</v>
      </c>
      <c r="L610" t="s">
        <v>3797</v>
      </c>
      <c r="M610" t="s">
        <v>42</v>
      </c>
      <c r="N610" t="s">
        <v>118</v>
      </c>
      <c r="O610" t="s">
        <v>3805</v>
      </c>
      <c r="P610" s="9">
        <v>44258.510474537034</v>
      </c>
      <c r="Q610" t="s">
        <v>3806</v>
      </c>
      <c r="R610" t="s">
        <v>3794</v>
      </c>
    </row>
    <row r="611" spans="1:18" x14ac:dyDescent="0.25">
      <c r="A611" t="s">
        <v>4620</v>
      </c>
      <c r="B611" t="s">
        <v>4615</v>
      </c>
      <c r="C611">
        <v>2</v>
      </c>
      <c r="D611" t="s">
        <v>41</v>
      </c>
      <c r="E611">
        <v>17</v>
      </c>
      <c r="F611" t="s">
        <v>3793</v>
      </c>
      <c r="G611" t="s">
        <v>4620</v>
      </c>
      <c r="H611" t="s">
        <v>3787</v>
      </c>
      <c r="I611" t="s">
        <v>3794</v>
      </c>
      <c r="J611" t="s">
        <v>4615</v>
      </c>
      <c r="K611" t="s">
        <v>3804</v>
      </c>
      <c r="L611" t="s">
        <v>3797</v>
      </c>
      <c r="M611" t="s">
        <v>43</v>
      </c>
      <c r="N611" t="s">
        <v>118</v>
      </c>
      <c r="O611" t="s">
        <v>3801</v>
      </c>
      <c r="P611" s="9">
        <v>44258.510474537034</v>
      </c>
      <c r="Q611" t="s">
        <v>3813</v>
      </c>
      <c r="R611" t="s">
        <v>3794</v>
      </c>
    </row>
    <row r="612" spans="1:18" x14ac:dyDescent="0.25">
      <c r="A612" t="s">
        <v>4621</v>
      </c>
      <c r="B612" t="s">
        <v>4615</v>
      </c>
      <c r="C612">
        <v>2</v>
      </c>
      <c r="D612" t="s">
        <v>41</v>
      </c>
      <c r="E612">
        <v>17</v>
      </c>
      <c r="F612" t="s">
        <v>3793</v>
      </c>
      <c r="G612" t="s">
        <v>4621</v>
      </c>
      <c r="H612" t="s">
        <v>3787</v>
      </c>
      <c r="I612" t="s">
        <v>3794</v>
      </c>
      <c r="J612" t="s">
        <v>4615</v>
      </c>
      <c r="K612" t="s">
        <v>3804</v>
      </c>
      <c r="L612" t="s">
        <v>3797</v>
      </c>
      <c r="M612" t="s">
        <v>108</v>
      </c>
      <c r="N612" t="s">
        <v>119</v>
      </c>
      <c r="O612" t="s">
        <v>3815</v>
      </c>
      <c r="P612" s="9">
        <v>44258.510462962964</v>
      </c>
      <c r="Q612" t="s">
        <v>3816</v>
      </c>
      <c r="R612" t="s">
        <v>3794</v>
      </c>
    </row>
    <row r="613" spans="1:18" x14ac:dyDescent="0.25">
      <c r="A613" t="s">
        <v>4701</v>
      </c>
      <c r="B613" t="s">
        <v>4702</v>
      </c>
      <c r="C613">
        <v>2</v>
      </c>
      <c r="D613" t="s">
        <v>41</v>
      </c>
      <c r="E613">
        <v>17</v>
      </c>
      <c r="F613" t="s">
        <v>3793</v>
      </c>
      <c r="G613" t="s">
        <v>4701</v>
      </c>
      <c r="H613" t="s">
        <v>4639</v>
      </c>
      <c r="I613" t="s">
        <v>3794</v>
      </c>
      <c r="J613" t="s">
        <v>4702</v>
      </c>
      <c r="K613" t="s">
        <v>4640</v>
      </c>
      <c r="L613" t="s">
        <v>3797</v>
      </c>
      <c r="M613" t="s">
        <v>3739</v>
      </c>
      <c r="N613" t="s">
        <v>118</v>
      </c>
      <c r="O613" t="s">
        <v>4371</v>
      </c>
      <c r="P613" s="9">
        <v>44259.510439814818</v>
      </c>
      <c r="Q613" t="s">
        <v>4641</v>
      </c>
      <c r="R613" t="s">
        <v>3794</v>
      </c>
    </row>
    <row r="614" spans="1:18" x14ac:dyDescent="0.25">
      <c r="A614" t="s">
        <v>4703</v>
      </c>
      <c r="B614" t="s">
        <v>4702</v>
      </c>
      <c r="C614">
        <v>2</v>
      </c>
      <c r="D614" t="s">
        <v>41</v>
      </c>
      <c r="E614">
        <v>17</v>
      </c>
      <c r="F614" t="s">
        <v>3793</v>
      </c>
      <c r="G614" t="s">
        <v>4703</v>
      </c>
      <c r="H614" t="s">
        <v>4639</v>
      </c>
      <c r="I614" t="s">
        <v>3794</v>
      </c>
      <c r="J614" t="s">
        <v>4702</v>
      </c>
      <c r="K614" t="s">
        <v>4640</v>
      </c>
      <c r="L614" t="s">
        <v>3797</v>
      </c>
      <c r="M614" t="s">
        <v>3740</v>
      </c>
      <c r="N614" t="s">
        <v>118</v>
      </c>
      <c r="O614" t="s">
        <v>3801</v>
      </c>
      <c r="P614" s="9">
        <v>44259.510439814818</v>
      </c>
      <c r="Q614" t="s">
        <v>4643</v>
      </c>
      <c r="R614" t="s">
        <v>3794</v>
      </c>
    </row>
    <row r="615" spans="1:18" x14ac:dyDescent="0.25">
      <c r="A615" t="s">
        <v>4704</v>
      </c>
      <c r="B615" t="s">
        <v>4705</v>
      </c>
      <c r="C615">
        <v>2</v>
      </c>
      <c r="D615" t="s">
        <v>41</v>
      </c>
      <c r="E615">
        <v>17</v>
      </c>
      <c r="F615" t="s">
        <v>3793</v>
      </c>
      <c r="G615" t="s">
        <v>4704</v>
      </c>
      <c r="H615" t="s">
        <v>4639</v>
      </c>
      <c r="I615" t="s">
        <v>3794</v>
      </c>
      <c r="J615" t="s">
        <v>4705</v>
      </c>
      <c r="K615" t="s">
        <v>4640</v>
      </c>
      <c r="L615" t="s">
        <v>3797</v>
      </c>
      <c r="M615" t="s">
        <v>3739</v>
      </c>
      <c r="N615" t="s">
        <v>118</v>
      </c>
      <c r="O615" t="s">
        <v>4371</v>
      </c>
      <c r="P615" s="9">
        <v>44259.510439814818</v>
      </c>
      <c r="Q615" t="s">
        <v>4641</v>
      </c>
      <c r="R615" t="s">
        <v>3794</v>
      </c>
    </row>
    <row r="616" spans="1:18" x14ac:dyDescent="0.25">
      <c r="A616" t="s">
        <v>4706</v>
      </c>
      <c r="B616" t="s">
        <v>4705</v>
      </c>
      <c r="C616">
        <v>2</v>
      </c>
      <c r="D616" t="s">
        <v>41</v>
      </c>
      <c r="E616">
        <v>17</v>
      </c>
      <c r="F616" t="s">
        <v>3793</v>
      </c>
      <c r="G616" t="s">
        <v>4706</v>
      </c>
      <c r="H616" t="s">
        <v>4639</v>
      </c>
      <c r="I616" t="s">
        <v>3794</v>
      </c>
      <c r="J616" t="s">
        <v>4705</v>
      </c>
      <c r="K616" t="s">
        <v>4640</v>
      </c>
      <c r="L616" t="s">
        <v>3797</v>
      </c>
      <c r="M616" t="s">
        <v>3740</v>
      </c>
      <c r="N616" t="s">
        <v>118</v>
      </c>
      <c r="O616" t="s">
        <v>3801</v>
      </c>
      <c r="P616" s="9">
        <v>44259.510439814818</v>
      </c>
      <c r="Q616" t="s">
        <v>4643</v>
      </c>
      <c r="R616" t="s">
        <v>3794</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shipment</vt:lpstr>
      <vt:lpstr>lab_stats</vt:lpstr>
      <vt:lpstr>study_demographic</vt:lpstr>
      <vt:lpstr>config</vt:lpstr>
      <vt:lpstr>manifest</vt:lpstr>
      <vt:lpstr>metadata</vt:lpstr>
      <vt:lpstr>logs</vt:lpstr>
      <vt:lpstr>dictionary</vt:lpstr>
      <vt:lpstr>Manifest MDB data</vt:lpstr>
    </vt:vector>
  </TitlesOfParts>
  <Company>DHA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Weir, Dawn L LT NMRC</dc:creator>
  <cp:lastModifiedBy>Stas Rirak</cp:lastModifiedBy>
  <cp:lastPrinted>2020-05-11T13:49:51Z</cp:lastPrinted>
  <dcterms:created xsi:type="dcterms:W3CDTF">2020-05-10T18:38:04Z</dcterms:created>
  <dcterms:modified xsi:type="dcterms:W3CDTF">2021-03-04T20:48:59Z</dcterms:modified>
</cp:coreProperties>
</file>